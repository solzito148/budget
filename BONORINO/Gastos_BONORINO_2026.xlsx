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>
    <definedName name="_xlnm._FilterDatabase" localSheetId="1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BONORINO</t>
        </is>
      </c>
    </row>
    <row r="2">
      <c r="A2" s="2" t="inlineStr">
        <is>
          <t>Gastos 2026 — propiedad independiente · Edesur LUZ 3932799 · Metrogas GAS 30010713734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EXPENSAS</t>
        </is>
      </c>
      <c r="C5" s="11" t="inlineStr">
        <is>
          <t>Expensas</t>
        </is>
      </c>
      <c r="D5" s="5" t="n"/>
      <c r="E5" s="5" t="n"/>
      <c r="F5" s="5" t="n"/>
      <c r="G5" s="5" t="n">
        <v>200340</v>
      </c>
      <c r="H5" s="5" t="n">
        <v>219145</v>
      </c>
      <c r="I5" s="5" t="n">
        <v>209393</v>
      </c>
      <c r="J5" s="5" t="n">
        <v>214582</v>
      </c>
      <c r="K5" s="5" t="n">
        <v>222825</v>
      </c>
      <c r="L5" s="5" t="n"/>
      <c r="M5" s="5" t="n"/>
      <c r="N5" s="5" t="n"/>
      <c r="O5" s="5" t="n"/>
      <c r="P5" s="5">
        <f>SUM(D5:O5)</f>
        <v/>
      </c>
    </row>
    <row r="6">
      <c r="A6" s="4" t="inlineStr">
        <is>
          <t>SERVICIOS</t>
        </is>
      </c>
      <c r="B6" s="4" t="inlineStr">
        <is>
          <t>LUZ</t>
        </is>
      </c>
      <c r="C6" s="4" t="inlineStr">
        <is>
          <t>Edesur</t>
        </is>
      </c>
      <c r="D6" s="5" t="n"/>
      <c r="E6" s="5" t="n"/>
      <c r="F6" s="5" t="n"/>
      <c r="G6" s="5" t="n">
        <v>1685</v>
      </c>
      <c r="H6" s="5" t="n">
        <v>1441</v>
      </c>
      <c r="I6" s="5" t="n">
        <v>2198</v>
      </c>
      <c r="J6" s="5" t="n"/>
      <c r="K6" s="5" t="n">
        <v>2074</v>
      </c>
      <c r="L6" s="5" t="n"/>
      <c r="M6" s="5" t="n"/>
      <c r="N6" s="5" t="n"/>
      <c r="O6" s="5" t="n"/>
      <c r="P6" s="5">
        <f>SUM(D6:O6)</f>
        <v/>
      </c>
    </row>
    <row r="7">
      <c r="A7" s="4" t="inlineStr">
        <is>
          <t>SERVICIOS</t>
        </is>
      </c>
      <c r="B7" s="4" t="inlineStr">
        <is>
          <t>GAS</t>
        </is>
      </c>
      <c r="C7" s="4" t="inlineStr">
        <is>
          <t>Metrogas — cliente 30010713734</t>
        </is>
      </c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2" t="n"/>
      <c r="C20" s="13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BONORINO — Detalle de gastos 2026</t>
        </is>
      </c>
    </row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9" t="n">
        <v>46154</v>
      </c>
      <c r="B4" s="4" t="inlineStr">
        <is>
          <t>SERVICIOS</t>
        </is>
      </c>
      <c r="C4" s="4" t="inlineStr">
        <is>
          <t>EXPENSAS</t>
        </is>
      </c>
      <c r="D4" s="4" t="inlineStr">
        <is>
          <t>Expensas — Cons De Prop E Bonorino 82</t>
        </is>
      </c>
      <c r="E4" s="5" t="n">
        <v>200340</v>
      </c>
      <c r="F4" s="4" t="inlineStr">
        <is>
          <t>Transferencia Mercado Pago</t>
        </is>
      </c>
      <c r="G4" s="10" t="n"/>
      <c r="H4" s="10" t="n"/>
      <c r="I4" s="4" t="inlineStr">
        <is>
          <t>Op 159022197576 · CUIL 30536004005 · Banco Comafi · Original 200339.05 · ceil · PDF liquidación Abril 2026</t>
        </is>
      </c>
      <c r="J4" s="4" t="inlineStr">
        <is>
          <t>Abril</t>
        </is>
      </c>
    </row>
    <row r="5">
      <c r="A5" s="9" t="n">
        <v>46183</v>
      </c>
      <c r="B5" s="4" t="inlineStr">
        <is>
          <t>SERVICIOS</t>
        </is>
      </c>
      <c r="C5" s="4" t="inlineStr">
        <is>
          <t>EXPENSAS</t>
        </is>
      </c>
      <c r="D5" s="4" t="inlineStr">
        <is>
          <t>Expensas — Cons De Prop E Bonorino 82</t>
        </is>
      </c>
      <c r="E5" s="5" t="n">
        <v>219145</v>
      </c>
      <c r="F5" s="4" t="inlineStr">
        <is>
          <t>Transferencia Mercado Pago</t>
        </is>
      </c>
      <c r="G5" s="10" t="n"/>
      <c r="H5" s="10" t="n"/>
      <c r="I5" s="4" t="inlineStr">
        <is>
          <t>Desde extracto MP CIUDAD (ceil) · PDF liquidación Mayo 2026 · recibo pago 05/06 TOTAL 219144</t>
        </is>
      </c>
      <c r="J5" s="4" t="inlineStr">
        <is>
          <t>Mayo</t>
        </is>
      </c>
    </row>
    <row r="6">
      <c r="A6" s="9" t="n">
        <v>46212</v>
      </c>
      <c r="B6" s="4" t="inlineStr">
        <is>
          <t>SERVICIOS</t>
        </is>
      </c>
      <c r="C6" s="4" t="inlineStr">
        <is>
          <t>EXPENSAS</t>
        </is>
      </c>
      <c r="D6" s="4" t="inlineStr">
        <is>
          <t>Expensas — Cons De Prop E Bonorino 82</t>
        </is>
      </c>
      <c r="E6" s="5" t="n">
        <v>209393</v>
      </c>
      <c r="F6" s="4" t="inlineStr">
        <is>
          <t>Transferencia Mercado Pago</t>
        </is>
      </c>
      <c r="G6" s="10" t="n"/>
      <c r="H6" s="10" t="n"/>
      <c r="I6" s="4" t="inlineStr">
        <is>
          <t>Desde extracto MP CIUDAD (ceil) · PDF liquidación Junio 2026 · recibo pago 06/07 TOTAL 209392</t>
        </is>
      </c>
      <c r="J6" s="4" t="inlineStr">
        <is>
          <t>Junio</t>
        </is>
      </c>
    </row>
    <row r="7">
      <c r="A7" s="14" t="n">
        <v>46240</v>
      </c>
      <c r="B7" s="4" t="inlineStr">
        <is>
          <t>SERVICIOS</t>
        </is>
      </c>
      <c r="C7" s="4" t="inlineStr">
        <is>
          <t>EXPENSAS</t>
        </is>
      </c>
      <c r="D7" s="4" t="inlineStr">
        <is>
          <t>Expensas — Cons De Prop E Bonorino 82</t>
        </is>
      </c>
      <c r="E7" s="5" t="n">
        <v>214582</v>
      </c>
      <c r="F7" s="4" t="inlineStr">
        <is>
          <t>Transferencia · PDF recibo consorcio (06/08/2026)</t>
        </is>
      </c>
      <c r="G7" s="10" t="n"/>
      <c r="H7" s="10" t="n"/>
      <c r="I7" s="4" t="inlineStr">
        <is>
          <t>PDF liquidación Julio 2026 · FORMA DE PAGO 1er venc 214581.05 · recibo Nro 00052345 pago 06/08 TOTAL 214581 · ceil</t>
        </is>
      </c>
      <c r="J7" s="4" t="inlineStr">
        <is>
          <t>Julio</t>
        </is>
      </c>
    </row>
    <row r="8">
      <c r="A8" s="14" t="n">
        <v>46266</v>
      </c>
      <c r="B8" s="4" t="inlineStr">
        <is>
          <t>SERVICIOS</t>
        </is>
      </c>
      <c r="C8" s="4" t="inlineStr">
        <is>
          <t>EXPENSAS</t>
        </is>
      </c>
      <c r="D8" s="4" t="inlineStr">
        <is>
          <t>Expensas — Cons De Prop E Bonorino 82</t>
        </is>
      </c>
      <c r="E8" s="5" t="n">
        <v>222825</v>
      </c>
      <c r="F8" s="4" t="inlineStr">
        <is>
          <t>Transferencia Mercado Pago</t>
        </is>
      </c>
      <c r="G8" s="10" t="n"/>
      <c r="H8" s="10" t="n"/>
      <c r="I8" s="4" t="inlineStr">
        <is>
          <t>Op 175716187231 · CUIL 30536004005 · Banco Comafi · Original 222824.05 · ceil · PDF liquidación Agosto 2026</t>
        </is>
      </c>
      <c r="J8" s="4" t="inlineStr">
        <is>
          <t>Agosto</t>
        </is>
      </c>
    </row>
    <row r="9">
      <c r="A9" s="14" t="n">
        <v>46132</v>
      </c>
      <c r="B9" s="4" t="inlineStr">
        <is>
          <t>SERVICIOS</t>
        </is>
      </c>
      <c r="C9" s="4" t="inlineStr">
        <is>
          <t>LUZ</t>
        </is>
      </c>
      <c r="D9" s="4" t="inlineStr">
        <is>
          <t>Edesur</t>
        </is>
      </c>
      <c r="E9" s="5" t="n">
        <v>1685</v>
      </c>
      <c r="F9" s="4" t="inlineStr">
        <is>
          <t>Factura digital Gmail / MP</t>
        </is>
      </c>
      <c r="G9" s="10" t="inlineStr">
        <is>
          <t>3932799</t>
        </is>
      </c>
      <c r="H9" s="10" t="n"/>
      <c r="I9" s="4" t="n"/>
      <c r="J9" s="4" t="inlineStr">
        <is>
          <t>Abril</t>
        </is>
      </c>
    </row>
    <row r="10">
      <c r="A10" s="14" t="n">
        <v>46160</v>
      </c>
      <c r="B10" s="4" t="inlineStr">
        <is>
          <t>SERVICIOS</t>
        </is>
      </c>
      <c r="C10" s="4" t="inlineStr">
        <is>
          <t>LUZ</t>
        </is>
      </c>
      <c r="D10" s="4" t="inlineStr">
        <is>
          <t>Edesur</t>
        </is>
      </c>
      <c r="E10" s="5" t="n">
        <v>1441</v>
      </c>
      <c r="F10" s="4" t="inlineStr">
        <is>
          <t>Factura digital Gmail / MP</t>
        </is>
      </c>
      <c r="G10" s="10" t="inlineStr">
        <is>
          <t>3932799</t>
        </is>
      </c>
      <c r="H10" s="10" t="n"/>
      <c r="I10" s="4" t="n"/>
      <c r="J10" s="4" t="inlineStr">
        <is>
          <t>Mayo</t>
        </is>
      </c>
    </row>
    <row r="11">
      <c r="A11" s="9" t="n">
        <v>46192</v>
      </c>
      <c r="B11" s="4" t="inlineStr">
        <is>
          <t>SERVICIOS</t>
        </is>
      </c>
      <c r="C11" s="4" t="inlineStr">
        <is>
          <t>LUZ</t>
        </is>
      </c>
      <c r="D11" s="4" t="inlineStr">
        <is>
          <t>Edesur</t>
        </is>
      </c>
      <c r="E11" s="5" t="n">
        <v>2198</v>
      </c>
      <c r="F11" s="4" t="inlineStr">
        <is>
          <t>Factura digital Gmail / MP</t>
        </is>
      </c>
      <c r="G11" s="10" t="inlineStr">
        <is>
          <t>3932799</t>
        </is>
      </c>
      <c r="H11" s="10" t="n"/>
      <c r="I11" s="4" t="n"/>
      <c r="J11" s="4" t="inlineStr">
        <is>
          <t>Junio</t>
        </is>
      </c>
    </row>
    <row r="12">
      <c r="A12" s="9" t="n">
        <v>46237</v>
      </c>
      <c r="B12" s="4" t="inlineStr">
        <is>
          <t>SERVICIOS</t>
        </is>
      </c>
      <c r="C12" s="4" t="inlineStr">
        <is>
          <t>LUZ</t>
        </is>
      </c>
      <c r="D12" s="4" t="inlineStr">
        <is>
          <t>Edesur</t>
        </is>
      </c>
      <c r="E12" s="5" t="n">
        <v>2074</v>
      </c>
      <c r="F12" s="4" t="inlineStr">
        <is>
          <t>Factura digital · vencimiento 03/08/2026 · cliente 3932799</t>
        </is>
      </c>
      <c r="G12" s="10" t="inlineStr">
        <is>
          <t>3932799</t>
        </is>
      </c>
      <c r="H12" s="10" t="n"/>
      <c r="I12" s="4" t="n"/>
      <c r="J12" s="4" t="inlineStr">
        <is>
          <t>Agosto</t>
        </is>
      </c>
    </row>
    <row r="13">
      <c r="A13" s="9" t="n"/>
      <c r="B13" s="4" t="n"/>
      <c r="C13" s="4" t="n"/>
      <c r="D13" s="4" t="n"/>
      <c r="E13" s="5" t="n"/>
      <c r="F13" s="4" t="n"/>
      <c r="G13" s="10" t="n"/>
      <c r="H13" s="10" t="n"/>
      <c r="I13" s="4" t="n"/>
      <c r="J13" s="4" t="n"/>
    </row>
    <row r="14">
      <c r="A14" s="9" t="n"/>
      <c r="B14" s="4" t="n"/>
      <c r="C14" s="4" t="n"/>
      <c r="D14" s="4" t="n"/>
      <c r="E14" s="5" t="n"/>
      <c r="F14" s="4" t="n"/>
      <c r="G14" s="10" t="n"/>
      <c r="H14" s="10" t="n"/>
      <c r="I14" s="4" t="n"/>
      <c r="J14" s="4" t="n"/>
    </row>
    <row r="15">
      <c r="A15" s="9" t="n"/>
      <c r="B15" s="4" t="n"/>
      <c r="C15" s="4" t="n"/>
      <c r="D15" s="4" t="n"/>
      <c r="E15" s="5" t="n"/>
      <c r="F15" s="4" t="n"/>
      <c r="G15" s="10" t="n"/>
      <c r="H15" s="10" t="n"/>
      <c r="I15" s="4" t="n"/>
      <c r="J15" s="4" t="n"/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  <row r="103">
      <c r="A103" s="9" t="n"/>
      <c r="B103" s="4" t="n"/>
      <c r="C103" s="4" t="n"/>
      <c r="D103" s="4" t="n"/>
      <c r="E103" s="5" t="n"/>
      <c r="F103" s="4" t="n"/>
      <c r="G103" s="10" t="n"/>
      <c r="H103" s="10" t="n"/>
      <c r="I103" s="4" t="n"/>
      <c r="J103" s="4" t="n"/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2026-09-21T02:24:55Z</dcterms:modified>
</cp:coreProperties>
</file>
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imulación de pagos" sheetId="2" state="visible" r:id="rId2"/>
    <sheet name="Planes" sheetId="3" state="visible" r:id="rId3"/>
    <sheet name="Acción estimada" sheetId="4" state="visible" r:id="rId4"/>
    <sheet name="Calendario vesting" sheetId="5" state="visible" r:id="rId5"/>
    <sheet name="Detalle fórmula 202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595959"/>
    </font>
    <font>
      <b val="1"/>
      <color rgb="001F4E79"/>
    </font>
    <font>
      <b val="1"/>
      <color rgb="00FFFFFF"/>
    </font>
    <font>
      <b val="1"/>
    </font>
    <font>
      <b val="1"/>
      <color rgb="001F4E79"/>
      <sz val="12"/>
    </font>
    <font>
      <b val="1"/>
      <sz val="12"/>
    </font>
    <font>
      <b val="1"/>
      <color rgb="001F4E79"/>
      <sz val="13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BF7"/>
      </patternFill>
    </fill>
    <fill>
      <patternFill patternType="solid">
        <fgColor rgb="00F2F2F2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0" fillId="0" borderId="1" pivotButton="0" quotePrefix="0" xfId="0"/>
    <xf numFmtId="0" fontId="5" fillId="6" borderId="1" pivotButton="0" quotePrefix="0" xfId="0"/>
    <xf numFmtId="3" fontId="5" fillId="6" borderId="1" pivotButton="0" quotePrefix="0" xfId="0"/>
    <xf numFmtId="3" fontId="0" fillId="0" borderId="1" pivotButton="0" quotePrefix="0" xfId="0"/>
    <xf numFmtId="4" fontId="0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3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3" fontId="0" fillId="4" borderId="1" pivotButton="0" quotePrefix="0" xfId="0"/>
    <xf numFmtId="4" fontId="0" fillId="4" borderId="1" pivotButton="0" quotePrefix="0" xfId="0"/>
    <xf numFmtId="3" fontId="0" fillId="4" borderId="1" applyAlignment="1" pivotButton="0" quotePrefix="0" xfId="0">
      <alignment horizontal="center"/>
    </xf>
    <xf numFmtId="0" fontId="5" fillId="5" borderId="1" pivotButton="0" quotePrefix="0" xfId="0"/>
    <xf numFmtId="3" fontId="5" fillId="6" borderId="1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4" fontId="0" fillId="7" borderId="1" applyAlignment="1" pivotButton="0" quotePrefix="0" xfId="0">
      <alignment horizontal="center"/>
    </xf>
    <xf numFmtId="3" fontId="7" fillId="6" borderId="0" pivotButton="0" quotePrefix="0" xfId="0"/>
    <xf numFmtId="3" fontId="0" fillId="7" borderId="0" pivotButton="0" quotePrefix="0" xfId="0"/>
    <xf numFmtId="4" fontId="0" fillId="7" borderId="1" pivotButton="0" quotePrefix="0" xfId="0"/>
    <xf numFmtId="0" fontId="4" fillId="2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8" fillId="0" borderId="0" pivotButton="0" quotePrefix="0" xfId="0"/>
    <xf numFmtId="4" fontId="5" fillId="6" borderId="1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6" customWidth="1" min="1" max="1"/>
    <col width="77" customWidth="1" min="2" max="2"/>
  </cols>
  <sheetData>
    <row r="1">
      <c r="A1" s="1" t="inlineStr">
        <is>
          <t>Campo</t>
        </is>
      </c>
      <c r="B1" s="2" t="inlineStr">
        <is>
          <t>Valor</t>
        </is>
      </c>
    </row>
    <row r="2">
      <c r="A2" s="3" t="inlineStr">
        <is>
          <t>Long Term Retention Program (LTRP)</t>
        </is>
      </c>
      <c r="B2" s="3" t="inlineStr"/>
    </row>
    <row r="3">
      <c r="A3" s="3" t="inlineStr">
        <is>
          <t>Excel canónico</t>
        </is>
      </c>
      <c r="B3" s="3" t="inlineStr">
        <is>
          <t>LTRP.xlsx</t>
        </is>
      </c>
    </row>
    <row r="4">
      <c r="A4" s="3" t="inlineStr">
        <is>
          <t>Última actualización</t>
        </is>
      </c>
      <c r="B4" s="3" t="inlineStr">
        <is>
          <t>agosto 2026</t>
        </is>
      </c>
    </row>
    <row r="5">
      <c r="A5" s="4" t="inlineStr"/>
      <c r="B5" s="4" t="inlineStr"/>
    </row>
    <row r="6">
      <c r="A6" s="4" t="inlineStr">
        <is>
          <t>REGLA GENERAL</t>
        </is>
      </c>
      <c r="B6" s="4" t="inlineStr">
        <is>
          <t>Máximo 6 planes; cada enero se suma el 1/6 de cada uno</t>
        </is>
      </c>
    </row>
    <row r="7">
      <c r="A7" s="4" t="inlineStr">
        <is>
          <t>Ejemplo</t>
        </is>
      </c>
      <c r="B7" s="4" t="inlineStr">
        <is>
          <t>Otorgado 70.000 en 2026 (edad 45) → ene-2027 = 1/6·2026+…+1/6·2022</t>
        </is>
      </c>
    </row>
    <row r="8">
      <c r="A8" s="3" t="inlineStr">
        <is>
          <t>Plan 2026 completo</t>
        </is>
      </c>
      <c r="B8" s="3" t="inlineStr">
        <is>
          <t>Recién en 2032 se cobra el 6/6 y se completa la totalidad del plan</t>
        </is>
      </c>
    </row>
    <row r="9">
      <c r="A9" s="3" t="inlineStr">
        <is>
          <t>Proyección</t>
        </is>
      </c>
      <c r="B9" s="3" t="inlineStr">
        <is>
          <t>LTRP 2027–2036 asumidos a 70.000 · 1/6≈11.666 sin precio de acción aún</t>
        </is>
      </c>
    </row>
    <row r="10">
      <c r="A10" s="3" t="inlineStr">
        <is>
          <t>Fórmula con acción</t>
        </is>
      </c>
      <c r="B10" s="3" t="inlineStr">
        <is>
          <t>(N/6)×50% fijo + (N/6)×50% × (P_año / P_otorgamiento)</t>
        </is>
      </c>
    </row>
    <row r="11">
      <c r="A11" s="4" t="inlineStr"/>
      <c r="B11" s="5" t="inlineStr"/>
    </row>
    <row r="12">
      <c r="A12" s="3" t="inlineStr">
        <is>
          <t>Total estimado 2027 (vigentes)</t>
        </is>
      </c>
      <c r="B12" s="6" t="n">
        <v>35332</v>
      </c>
    </row>
    <row r="13">
      <c r="A13" s="3" t="inlineStr">
        <is>
          <t>Total estimado 2028 (con proy. 2027)</t>
        </is>
      </c>
      <c r="B13" s="6" t="n">
        <v>48513</v>
      </c>
    </row>
    <row r="14">
      <c r="A14" s="3" t="inlineStr">
        <is>
          <t>Total estimado 2029</t>
        </is>
      </c>
      <c r="B14" s="6" t="n">
        <v>55616</v>
      </c>
    </row>
    <row r="15">
      <c r="A15" s="3" t="inlineStr">
        <is>
          <t>Total estimado 2030</t>
        </is>
      </c>
      <c r="B15" s="6" t="n">
        <v>59999</v>
      </c>
    </row>
    <row r="16">
      <c r="A16" s="4" t="inlineStr">
        <is>
          <t>Total estimado 2031</t>
        </is>
      </c>
      <c r="B16" s="5" t="n">
        <v>66043</v>
      </c>
    </row>
    <row r="17">
      <c r="A17" s="3" t="inlineStr">
        <is>
          <t>Total estimado 2032 (cierra plan 2026)</t>
        </is>
      </c>
      <c r="B17" s="6" t="n">
        <v>71386</v>
      </c>
    </row>
    <row r="18">
      <c r="A18" s="3" t="inlineStr">
        <is>
          <t>Total estimado 2033–2037 (c/u, tope 6×11666)</t>
        </is>
      </c>
      <c r="B18" s="3" t="n">
        <v>69996</v>
      </c>
    </row>
    <row r="19">
      <c r="A19" s="4" t="inlineStr"/>
      <c r="B19" s="5" t="inlineStr"/>
    </row>
    <row r="20">
      <c r="A20" s="3" t="inlineStr">
        <is>
          <t>Pendiente vigentes 2022–2026 (con acción)</t>
        </is>
      </c>
      <c r="B20" s="6" t="n">
        <v>161899</v>
      </c>
    </row>
    <row r="21">
      <c r="A21" s="3" t="inlineStr">
        <is>
          <t>Pendiente total con proyección 2027–2037</t>
        </is>
      </c>
      <c r="B21" s="3" t="n">
        <v>686869</v>
      </c>
    </row>
    <row r="22">
      <c r="A22" s="3" t="inlineStr"/>
      <c r="B22" s="7" t="inlineStr"/>
    </row>
    <row r="23">
      <c r="A23" s="3" t="inlineStr">
        <is>
          <t>Base 2027 sin efecto acción</t>
        </is>
      </c>
      <c r="B23" s="7" t="n">
        <v>32803.67</v>
      </c>
    </row>
    <row r="24">
      <c r="A24" s="3" t="inlineStr">
        <is>
          <t>Diferencia 2027 por valor de la acción</t>
        </is>
      </c>
      <c r="B24" s="7" t="n">
        <v>2528.33</v>
      </c>
    </row>
    <row r="25">
      <c r="A25" s="3" t="inlineStr">
        <is>
          <t>Precio acción estimado 2027</t>
        </is>
      </c>
      <c r="B25" s="3" t="n">
        <v>1765.02</v>
      </c>
    </row>
    <row r="26">
      <c r="A26" s="3" t="inlineStr"/>
      <c r="B26" s="3" t="inlineStr"/>
    </row>
    <row r="27">
      <c r="A27" s="3" t="inlineStr">
        <is>
          <t>Edad Sol</t>
        </is>
      </c>
      <c r="B27" s="3" t="inlineStr">
        <is>
          <t>Columna por plan al año de otorgamiento (41 en LTRP 2022 … 51 en LTRP 2036)</t>
        </is>
      </c>
    </row>
    <row r="28">
      <c r="A28" s="3" t="inlineStr">
        <is>
          <t>Nota</t>
        </is>
      </c>
      <c r="B28" s="3" t="inlineStr">
        <is>
          <t>Ingreso por bono MELI; independiente de CIUDAD / SOL / propiedades.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3" customWidth="1" min="3" max="3"/>
    <col width="16" customWidth="1" min="4" max="4"/>
    <col width="2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8" t="inlineStr">
        <is>
          <t>Long Term Retention Program (LTRP) — Simulación de pagos</t>
        </is>
      </c>
    </row>
    <row r="2">
      <c r="A2" s="9" t="inlineStr">
        <is>
          <t>Máx. 6 planes por enero · 50% fijo + 50% variable (acción MELI) · Planes 2027+ proyectados a 70.000 con 1/6≈11.666 (sin precio de acción aún) · Plan 2026 se completa recién en 2032</t>
        </is>
      </c>
    </row>
    <row r="3">
      <c r="F3" s="10" t="n">
        <v>2027</v>
      </c>
      <c r="G3" s="10" t="n">
        <v>2028</v>
      </c>
      <c r="H3" s="10" t="n">
        <v>2029</v>
      </c>
      <c r="I3" s="10" t="n">
        <v>2030</v>
      </c>
      <c r="J3" s="10" t="n">
        <v>2031</v>
      </c>
      <c r="K3" s="10" t="n">
        <v>2032</v>
      </c>
      <c r="L3" s="10" t="n">
        <v>2033</v>
      </c>
      <c r="M3" s="10" t="n">
        <v>2034</v>
      </c>
      <c r="N3" s="10" t="n">
        <v>2035</v>
      </c>
      <c r="O3" s="10" t="n">
        <v>2036</v>
      </c>
      <c r="P3" s="10" t="n">
        <v>2037</v>
      </c>
    </row>
    <row r="4">
      <c r="A4" s="2" t="inlineStr">
        <is>
          <t>Edad Sol</t>
        </is>
      </c>
      <c r="B4" s="2" t="inlineStr">
        <is>
          <t>Concepto</t>
        </is>
      </c>
      <c r="C4" s="2" t="inlineStr">
        <is>
          <t>Valor nominal</t>
        </is>
      </c>
      <c r="D4" s="2" t="inlineStr">
        <is>
          <t>Valor por año Aprox</t>
        </is>
      </c>
      <c r="E4" s="2" t="inlineStr">
        <is>
          <t>Valor de acción al otorgamiento</t>
        </is>
      </c>
      <c r="F4" s="2" t="inlineStr">
        <is>
          <t>2027</t>
        </is>
      </c>
      <c r="G4" s="2" t="inlineStr">
        <is>
          <t>2028</t>
        </is>
      </c>
      <c r="H4" s="2" t="inlineStr">
        <is>
          <t>2029</t>
        </is>
      </c>
      <c r="I4" s="2" t="inlineStr">
        <is>
          <t>2030</t>
        </is>
      </c>
      <c r="J4" s="2" t="inlineStr">
        <is>
          <t>2031</t>
        </is>
      </c>
      <c r="K4" s="2" t="inlineStr">
        <is>
          <t>2032</t>
        </is>
      </c>
      <c r="L4" s="2" t="inlineStr">
        <is>
          <t>2033</t>
        </is>
      </c>
      <c r="M4" s="2" t="inlineStr">
        <is>
          <t>2034</t>
        </is>
      </c>
      <c r="N4" s="2" t="inlineStr">
        <is>
          <t>2035</t>
        </is>
      </c>
      <c r="O4" s="2" t="inlineStr">
        <is>
          <t>2036</t>
        </is>
      </c>
      <c r="P4" s="2" t="inlineStr">
        <is>
          <t>2037</t>
        </is>
      </c>
    </row>
    <row r="5">
      <c r="A5" s="11" t="n">
        <v>41</v>
      </c>
      <c r="B5" s="3" t="inlineStr">
        <is>
          <t>LTRP 2022</t>
        </is>
      </c>
      <c r="C5" s="6" t="n">
        <v>30000</v>
      </c>
      <c r="D5" s="7" t="n">
        <v>5000</v>
      </c>
      <c r="E5" s="7" t="n">
        <v>1391.81</v>
      </c>
      <c r="F5" s="12" t="n">
        <v>5670</v>
      </c>
      <c r="G5" s="13" t="n">
        <v>5924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11" t="n">
        <v>42</v>
      </c>
      <c r="B6" s="3" t="inlineStr">
        <is>
          <t>LTRP 2023</t>
        </is>
      </c>
      <c r="C6" s="6" t="n">
        <v>30000</v>
      </c>
      <c r="D6" s="7" t="n">
        <v>5000</v>
      </c>
      <c r="E6" s="7" t="n">
        <v>888.6900000000001</v>
      </c>
      <c r="F6" s="12" t="n">
        <v>7465</v>
      </c>
      <c r="G6" s="13" t="n">
        <v>7862</v>
      </c>
      <c r="H6" s="13" t="n">
        <v>8291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11" t="n">
        <v>43</v>
      </c>
      <c r="B7" s="3" t="inlineStr">
        <is>
          <t>LTRP 2024</t>
        </is>
      </c>
      <c r="C7" s="6" t="n">
        <v>30000</v>
      </c>
      <c r="D7" s="7" t="n">
        <v>5000</v>
      </c>
      <c r="E7" s="7" t="n">
        <v>1426.11</v>
      </c>
      <c r="F7" s="12" t="n">
        <v>5594</v>
      </c>
      <c r="G7" s="13" t="n">
        <v>5842</v>
      </c>
      <c r="H7" s="13" t="n">
        <v>6109</v>
      </c>
      <c r="I7" s="13" t="n">
        <v>6398</v>
      </c>
      <c r="J7" s="3" t="n"/>
      <c r="K7" s="3" t="n"/>
      <c r="L7" s="3" t="n"/>
      <c r="M7" s="3" t="n"/>
      <c r="N7" s="3" t="n"/>
      <c r="O7" s="3" t="n"/>
      <c r="P7" s="3" t="n"/>
    </row>
    <row r="8">
      <c r="A8" s="11" t="n">
        <v>44</v>
      </c>
      <c r="B8" s="3" t="inlineStr">
        <is>
          <t>LTRP 2025</t>
        </is>
      </c>
      <c r="C8" s="6" t="n">
        <v>36822</v>
      </c>
      <c r="D8" s="7" t="n">
        <v>6137</v>
      </c>
      <c r="E8" s="7" t="n">
        <v>1944.47</v>
      </c>
      <c r="F8" s="12" t="n">
        <v>5854</v>
      </c>
      <c r="G8" s="13" t="n">
        <v>6077</v>
      </c>
      <c r="H8" s="13" t="n">
        <v>6317</v>
      </c>
      <c r="I8" s="13" t="n">
        <v>6577</v>
      </c>
      <c r="J8" s="13" t="n">
        <v>6858</v>
      </c>
      <c r="K8" s="3" t="n"/>
      <c r="L8" s="3" t="n"/>
      <c r="M8" s="3" t="n"/>
      <c r="N8" s="3" t="n"/>
      <c r="O8" s="3" t="n"/>
      <c r="P8" s="3" t="n"/>
    </row>
    <row r="9">
      <c r="A9" s="11" t="n">
        <v>45</v>
      </c>
      <c r="B9" s="3" t="inlineStr">
        <is>
          <t>LTRP 2026</t>
        </is>
      </c>
      <c r="C9" s="6" t="n">
        <v>70000</v>
      </c>
      <c r="D9" s="7" t="n">
        <v>11666.67</v>
      </c>
      <c r="E9" s="7" t="n">
        <v>2094.65</v>
      </c>
      <c r="F9" s="12" t="n">
        <v>10749</v>
      </c>
      <c r="G9" s="13" t="n">
        <v>11142</v>
      </c>
      <c r="H9" s="13" t="n">
        <v>11567</v>
      </c>
      <c r="I9" s="13" t="n">
        <v>12026</v>
      </c>
      <c r="J9" s="13" t="n">
        <v>12521</v>
      </c>
      <c r="K9" s="13" t="n">
        <v>13056</v>
      </c>
      <c r="L9" s="3" t="n"/>
      <c r="M9" s="3" t="n"/>
      <c r="N9" s="3" t="n"/>
      <c r="O9" s="3" t="n"/>
      <c r="P9" s="3" t="n"/>
    </row>
    <row r="10">
      <c r="A10" s="14" t="n">
        <v>46</v>
      </c>
      <c r="B10" s="15" t="inlineStr">
        <is>
          <t>LTRP 2027</t>
        </is>
      </c>
      <c r="C10" s="16" t="n">
        <v>70000</v>
      </c>
      <c r="D10" s="17" t="n">
        <v>11666.67</v>
      </c>
      <c r="E10" s="15" t="n"/>
      <c r="F10" s="3" t="n"/>
      <c r="G10" s="18" t="n">
        <v>11666</v>
      </c>
      <c r="H10" s="18" t="n">
        <v>11666</v>
      </c>
      <c r="I10" s="18" t="n">
        <v>11666</v>
      </c>
      <c r="J10" s="18" t="n">
        <v>11666</v>
      </c>
      <c r="K10" s="18" t="n">
        <v>11666</v>
      </c>
      <c r="L10" s="18" t="n">
        <v>11666</v>
      </c>
      <c r="M10" s="3" t="n"/>
      <c r="N10" s="3" t="n"/>
      <c r="O10" s="3" t="n"/>
      <c r="P10" s="3" t="n"/>
    </row>
    <row r="11">
      <c r="A11" s="14" t="n">
        <v>47</v>
      </c>
      <c r="B11" s="15" t="inlineStr">
        <is>
          <t>LTRP 2028</t>
        </is>
      </c>
      <c r="C11" s="16" t="n">
        <v>70000</v>
      </c>
      <c r="D11" s="17" t="n">
        <v>11666.67</v>
      </c>
      <c r="E11" s="15" t="n"/>
      <c r="F11" s="3" t="n"/>
      <c r="G11" s="3" t="n"/>
      <c r="H11" s="18" t="n">
        <v>11666</v>
      </c>
      <c r="I11" s="18" t="n">
        <v>11666</v>
      </c>
      <c r="J11" s="18" t="n">
        <v>11666</v>
      </c>
      <c r="K11" s="18" t="n">
        <v>11666</v>
      </c>
      <c r="L11" s="18" t="n">
        <v>11666</v>
      </c>
      <c r="M11" s="18" t="n">
        <v>11666</v>
      </c>
      <c r="N11" s="3" t="n"/>
      <c r="O11" s="3" t="n"/>
      <c r="P11" s="3" t="n"/>
    </row>
    <row r="12">
      <c r="A12" s="14" t="n">
        <v>47</v>
      </c>
      <c r="B12" s="15" t="inlineStr">
        <is>
          <t>LTRP 2029</t>
        </is>
      </c>
      <c r="C12" s="16" t="n">
        <v>70000</v>
      </c>
      <c r="D12" s="17" t="n">
        <v>11666.67</v>
      </c>
      <c r="E12" s="15" t="n"/>
      <c r="F12" s="3" t="n"/>
      <c r="G12" s="3" t="n"/>
      <c r="H12" s="3" t="n"/>
      <c r="I12" s="18" t="n">
        <v>11666</v>
      </c>
      <c r="J12" s="18" t="n">
        <v>11666</v>
      </c>
      <c r="K12" s="18" t="n">
        <v>11666</v>
      </c>
      <c r="L12" s="18" t="n">
        <v>11666</v>
      </c>
      <c r="M12" s="18" t="n">
        <v>11666</v>
      </c>
      <c r="N12" s="18" t="n">
        <v>11666</v>
      </c>
      <c r="O12" s="3" t="n"/>
      <c r="P12" s="3" t="n"/>
    </row>
    <row r="13">
      <c r="A13" s="14" t="n">
        <v>48</v>
      </c>
      <c r="B13" s="15" t="inlineStr">
        <is>
          <t>LTRP 2030</t>
        </is>
      </c>
      <c r="C13" s="16" t="n">
        <v>70000</v>
      </c>
      <c r="D13" s="17" t="n">
        <v>11666.67</v>
      </c>
      <c r="E13" s="15" t="n"/>
      <c r="F13" s="3" t="n"/>
      <c r="G13" s="3" t="n"/>
      <c r="H13" s="3" t="n"/>
      <c r="I13" s="3" t="n"/>
      <c r="J13" s="18" t="n">
        <v>11666</v>
      </c>
      <c r="K13" s="18" t="n">
        <v>11666</v>
      </c>
      <c r="L13" s="18" t="n">
        <v>11666</v>
      </c>
      <c r="M13" s="18" t="n">
        <v>11666</v>
      </c>
      <c r="N13" s="18" t="n">
        <v>11666</v>
      </c>
      <c r="O13" s="18" t="n">
        <v>11666</v>
      </c>
      <c r="P13" s="3" t="n"/>
    </row>
    <row r="14">
      <c r="A14" s="14" t="n">
        <v>48</v>
      </c>
      <c r="B14" s="15" t="inlineStr">
        <is>
          <t>LTRP 2031</t>
        </is>
      </c>
      <c r="C14" s="16" t="n">
        <v>70000</v>
      </c>
      <c r="D14" s="17" t="n">
        <v>11666.67</v>
      </c>
      <c r="E14" s="15" t="n"/>
      <c r="F14" s="3" t="n"/>
      <c r="G14" s="3" t="n"/>
      <c r="H14" s="3" t="n"/>
      <c r="I14" s="3" t="n"/>
      <c r="J14" s="3" t="n"/>
      <c r="K14" s="18" t="n">
        <v>11666</v>
      </c>
      <c r="L14" s="18" t="n">
        <v>11666</v>
      </c>
      <c r="M14" s="18" t="n">
        <v>11666</v>
      </c>
      <c r="N14" s="18" t="n">
        <v>11666</v>
      </c>
      <c r="O14" s="18" t="n">
        <v>11666</v>
      </c>
      <c r="P14" s="18" t="n">
        <v>11666</v>
      </c>
    </row>
    <row r="15">
      <c r="A15" s="14" t="n">
        <v>49</v>
      </c>
      <c r="B15" s="15" t="inlineStr">
        <is>
          <t>LTRP 2032</t>
        </is>
      </c>
      <c r="C15" s="16" t="n">
        <v>70000</v>
      </c>
      <c r="D15" s="17" t="n">
        <v>11666.67</v>
      </c>
      <c r="E15" s="15" t="n"/>
      <c r="F15" s="3" t="n"/>
      <c r="G15" s="3" t="n"/>
      <c r="H15" s="3" t="n"/>
      <c r="I15" s="3" t="n"/>
      <c r="J15" s="3" t="n"/>
      <c r="K15" s="3" t="n"/>
      <c r="L15" s="18" t="n">
        <v>11666</v>
      </c>
      <c r="M15" s="18" t="n">
        <v>11666</v>
      </c>
      <c r="N15" s="18" t="n">
        <v>11666</v>
      </c>
      <c r="O15" s="18" t="n">
        <v>11666</v>
      </c>
      <c r="P15" s="18" t="n">
        <v>11666</v>
      </c>
    </row>
    <row r="16">
      <c r="A16" s="14" t="n">
        <v>49</v>
      </c>
      <c r="B16" s="15" t="inlineStr">
        <is>
          <t>LTRP 2033</t>
        </is>
      </c>
      <c r="C16" s="16" t="n">
        <v>70000</v>
      </c>
      <c r="D16" s="17" t="n">
        <v>11666.67</v>
      </c>
      <c r="E16" s="15" t="n"/>
      <c r="F16" s="3" t="n"/>
      <c r="G16" s="3" t="n"/>
      <c r="H16" s="3" t="n"/>
      <c r="I16" s="3" t="n"/>
      <c r="J16" s="3" t="n"/>
      <c r="K16" s="3" t="n"/>
      <c r="L16" s="3" t="n"/>
      <c r="M16" s="18" t="n">
        <v>11666</v>
      </c>
      <c r="N16" s="18" t="n">
        <v>11666</v>
      </c>
      <c r="O16" s="18" t="n">
        <v>11666</v>
      </c>
      <c r="P16" s="18" t="n">
        <v>11666</v>
      </c>
    </row>
    <row r="17">
      <c r="A17" s="14" t="n">
        <v>50</v>
      </c>
      <c r="B17" s="15" t="inlineStr">
        <is>
          <t>LTRP 2034</t>
        </is>
      </c>
      <c r="C17" s="16" t="n">
        <v>70000</v>
      </c>
      <c r="D17" s="17" t="n">
        <v>11666.67</v>
      </c>
      <c r="E17" s="15" t="n"/>
      <c r="F17" s="3" t="n"/>
      <c r="G17" s="3" t="n"/>
      <c r="H17" s="3" t="n"/>
      <c r="I17" s="3" t="n"/>
      <c r="J17" s="3" t="n"/>
      <c r="K17" s="3" t="n"/>
      <c r="L17" s="3" t="n"/>
      <c r="M17" s="3" t="n"/>
      <c r="N17" s="18" t="n">
        <v>11666</v>
      </c>
      <c r="O17" s="18" t="n">
        <v>11666</v>
      </c>
      <c r="P17" s="18" t="n">
        <v>11666</v>
      </c>
    </row>
    <row r="18">
      <c r="A18" s="14" t="n">
        <v>50</v>
      </c>
      <c r="B18" s="15" t="inlineStr">
        <is>
          <t>LTRP 2035</t>
        </is>
      </c>
      <c r="C18" s="16" t="n">
        <v>70000</v>
      </c>
      <c r="D18" s="17" t="n">
        <v>11666.67</v>
      </c>
      <c r="E18" s="15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18" t="n">
        <v>11666</v>
      </c>
      <c r="P18" s="18" t="n">
        <v>11666</v>
      </c>
    </row>
    <row r="19">
      <c r="A19" s="14" t="n">
        <v>51</v>
      </c>
      <c r="B19" s="15" t="inlineStr">
        <is>
          <t>LTRP 2036</t>
        </is>
      </c>
      <c r="C19" s="16" t="n">
        <v>70000</v>
      </c>
      <c r="D19" s="17" t="n">
        <v>11666.67</v>
      </c>
      <c r="E19" s="15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18" t="n">
        <v>11666</v>
      </c>
    </row>
    <row r="20">
      <c r="A20" s="19" t="inlineStr"/>
      <c r="B20" s="19" t="inlineStr">
        <is>
          <t>Total estimado a cobrar por año</t>
        </is>
      </c>
      <c r="C20" s="19" t="n"/>
      <c r="D20" s="19" t="n"/>
      <c r="E20" s="19" t="n"/>
      <c r="F20" s="20">
        <f>SUM(F5:F19)</f>
        <v/>
      </c>
      <c r="G20" s="20">
        <f>SUM(G5:G19)</f>
        <v/>
      </c>
      <c r="H20" s="20">
        <f>SUM(H5:H19)</f>
        <v/>
      </c>
      <c r="I20" s="20">
        <f>SUM(I5:I19)</f>
        <v/>
      </c>
      <c r="J20" s="20">
        <f>SUM(J5:J19)</f>
        <v/>
      </c>
      <c r="K20" s="20">
        <f>SUM(K5:K19)</f>
        <v/>
      </c>
      <c r="L20" s="20">
        <f>SUM(L5:L19)</f>
        <v/>
      </c>
      <c r="M20" s="20">
        <f>SUM(M5:M19)</f>
        <v/>
      </c>
      <c r="N20" s="20">
        <f>SUM(N5:N19)</f>
        <v/>
      </c>
      <c r="O20" s="20">
        <f>SUM(O5:O19)</f>
        <v/>
      </c>
      <c r="P20" s="20">
        <f>SUM(P5:P19)</f>
        <v/>
      </c>
    </row>
    <row r="22">
      <c r="B22" s="21" t="inlineStr">
        <is>
          <t>Valor de la acción estimado</t>
        </is>
      </c>
    </row>
    <row r="23" ht="40" customHeight="1">
      <c r="B23" s="22" t="inlineStr">
        <is>
          <t>Año 1 (2027): promedio últimos 60 días de trading + ajuste 3% cierre 2026. Años siguientes: crecimiento anual 8%. Planes 2027+ aún sin precio al otorgamiento → placeholder 11.666 (1/6 nominal).</t>
        </is>
      </c>
    </row>
    <row r="24">
      <c r="B24" s="23" t="inlineStr">
        <is>
          <t>Precio estimado</t>
        </is>
      </c>
      <c r="F24" s="24" t="n">
        <v>1765.02</v>
      </c>
      <c r="G24" s="24" t="n">
        <v>1906.22</v>
      </c>
      <c r="H24" s="24" t="n">
        <v>2058.72</v>
      </c>
      <c r="I24" s="24" t="n">
        <v>2223.42</v>
      </c>
      <c r="J24" s="24" t="n">
        <v>2401.29</v>
      </c>
      <c r="K24" s="24" t="n">
        <v>2593.39</v>
      </c>
      <c r="L24" s="14" t="inlineStr">
        <is>
          <t>n/d</t>
        </is>
      </c>
      <c r="M24" s="14" t="inlineStr">
        <is>
          <t>n/d</t>
        </is>
      </c>
      <c r="N24" s="14" t="inlineStr">
        <is>
          <t>n/d</t>
        </is>
      </c>
      <c r="O24" s="14" t="inlineStr">
        <is>
          <t>n/d</t>
        </is>
      </c>
      <c r="P24" s="14" t="inlineStr">
        <is>
          <t>n/d</t>
        </is>
      </c>
    </row>
    <row r="26">
      <c r="B26" s="23" t="inlineStr">
        <is>
          <t>Total acumulado pendiente de pago (con proyección)</t>
        </is>
      </c>
      <c r="C26" s="25">
        <f>SUM(F20:P20)</f>
        <v/>
      </c>
    </row>
    <row r="27">
      <c r="B27" t="inlineStr">
        <is>
          <t>Pendiente planes vigentes 2022–2026 (simulación con acción)</t>
        </is>
      </c>
      <c r="C27" s="26" t="n">
        <v>161899</v>
      </c>
    </row>
    <row r="29">
      <c r="B29" s="23" t="inlineStr">
        <is>
          <t>Fórmula (planes con precio al otorgamiento)</t>
        </is>
      </c>
      <c r="C29" t="inlineStr">
        <is>
          <t>ROUND( (N÷6)×50% + (N÷6)×50% × (P_año / P_otorgamiento) ; 0 )</t>
        </is>
      </c>
    </row>
    <row r="30" ht="48" customHeight="1">
      <c r="B30" s="23" t="inlineStr">
        <is>
          <t>Regla general</t>
        </is>
      </c>
      <c r="C30" s="22" t="inlineStr">
        <is>
          <t>Máximo 6 planes por cobro de enero. Ej.: otorgado 70.000 en 2026 → ene-2027 = 1/6·2026+…+1/6·2022. Recién en 2032 se completa la totalidad del plan 2026. Filas grises = proyección futura (nominal 70.000 asumido).</t>
        </is>
      </c>
    </row>
  </sheetData>
  <mergeCells count="3">
    <mergeCell ref="B23:P23"/>
    <mergeCell ref="C30:P30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5" customWidth="1" min="4" max="4"/>
    <col width="21" customWidth="1" min="5" max="5"/>
    <col width="33" customWidth="1" min="6" max="6"/>
    <col width="12" customWidth="1" min="7" max="7"/>
    <col width="55" customWidth="1" min="8" max="8"/>
  </cols>
  <sheetData>
    <row r="1">
      <c r="A1" s="2" t="inlineStr">
        <is>
          <t>Edad Sol</t>
        </is>
      </c>
      <c r="B1" s="2" t="inlineStr">
        <is>
          <t>Concepto</t>
        </is>
      </c>
      <c r="C1" s="2" t="inlineStr">
        <is>
          <t>Año grant</t>
        </is>
      </c>
      <c r="D1" s="2" t="inlineStr">
        <is>
          <t>Valor nominal</t>
        </is>
      </c>
      <c r="E1" s="2" t="inlineStr">
        <is>
          <t>Valor por año Aprox</t>
        </is>
      </c>
      <c r="F1" s="2" t="inlineStr">
        <is>
          <t>Valor de acción al otorgamiento</t>
        </is>
      </c>
      <c r="G1" s="2" t="inlineStr">
        <is>
          <t>Estado</t>
        </is>
      </c>
      <c r="H1" s="2" t="inlineStr">
        <is>
          <t>Notas</t>
        </is>
      </c>
    </row>
    <row r="2">
      <c r="A2" s="3" t="n">
        <v>41</v>
      </c>
      <c r="B2" s="3" t="inlineStr">
        <is>
          <t>LTRP 2022</t>
        </is>
      </c>
      <c r="C2" s="3" t="n">
        <v>2022</v>
      </c>
      <c r="D2" s="6" t="n">
        <v>30000</v>
      </c>
      <c r="E2" s="7" t="n">
        <v>5000</v>
      </c>
      <c r="F2" s="7" t="n">
        <v>1391.81</v>
      </c>
      <c r="G2" s="3" t="inlineStr">
        <is>
          <t>vigente</t>
        </is>
      </c>
      <c r="H2" s="3" t="inlineStr">
        <is>
          <t>Últimos cobros 2027-2028</t>
        </is>
      </c>
    </row>
    <row r="3">
      <c r="A3" s="3" t="n">
        <v>42</v>
      </c>
      <c r="B3" s="3" t="inlineStr">
        <is>
          <t>LTRP 2023</t>
        </is>
      </c>
      <c r="C3" s="3" t="n">
        <v>2023</v>
      </c>
      <c r="D3" s="6" t="n">
        <v>30000</v>
      </c>
      <c r="E3" s="7" t="n">
        <v>5000</v>
      </c>
      <c r="F3" s="7" t="n">
        <v>888.6900000000001</v>
      </c>
      <c r="G3" s="3" t="inlineStr">
        <is>
          <t>vigente</t>
        </is>
      </c>
      <c r="H3" s="3" t="inlineStr">
        <is>
          <t>Cobros 2027-2029</t>
        </is>
      </c>
    </row>
    <row r="4">
      <c r="A4" s="3" t="n">
        <v>43</v>
      </c>
      <c r="B4" s="3" t="inlineStr">
        <is>
          <t>LTRP 2024</t>
        </is>
      </c>
      <c r="C4" s="3" t="n">
        <v>2024</v>
      </c>
      <c r="D4" s="6" t="n">
        <v>30000</v>
      </c>
      <c r="E4" s="7" t="n">
        <v>5000</v>
      </c>
      <c r="F4" s="7" t="n">
        <v>1426.11</v>
      </c>
      <c r="G4" s="3" t="inlineStr">
        <is>
          <t>vigente</t>
        </is>
      </c>
      <c r="H4" s="3" t="inlineStr">
        <is>
          <t>Cobros 2027-2030</t>
        </is>
      </c>
    </row>
    <row r="5">
      <c r="A5" s="3" t="n">
        <v>44</v>
      </c>
      <c r="B5" s="3" t="inlineStr">
        <is>
          <t>LTRP 2025</t>
        </is>
      </c>
      <c r="C5" s="3" t="n">
        <v>2025</v>
      </c>
      <c r="D5" s="6" t="n">
        <v>36822</v>
      </c>
      <c r="E5" s="7" t="n">
        <v>6137</v>
      </c>
      <c r="F5" s="7" t="n">
        <v>1944.47</v>
      </c>
      <c r="G5" s="3" t="inlineStr">
        <is>
          <t>vigente</t>
        </is>
      </c>
      <c r="H5" s="3" t="inlineStr">
        <is>
          <t>Cobros 2027-2031</t>
        </is>
      </c>
    </row>
    <row r="6">
      <c r="A6" s="3" t="n">
        <v>45</v>
      </c>
      <c r="B6" s="3" t="inlineStr">
        <is>
          <t>LTRP 2026</t>
        </is>
      </c>
      <c r="C6" s="3" t="n">
        <v>2026</v>
      </c>
      <c r="D6" s="6" t="n">
        <v>70000</v>
      </c>
      <c r="E6" s="7" t="n">
        <v>11666.67</v>
      </c>
      <c r="F6" s="7" t="n">
        <v>2094.65</v>
      </c>
      <c r="G6" s="3" t="inlineStr">
        <is>
          <t>vigente</t>
        </is>
      </c>
      <c r="H6" s="3" t="inlineStr">
        <is>
          <t>Cobros 2027-2032 · completo recién en 2032</t>
        </is>
      </c>
    </row>
    <row r="7">
      <c r="A7" s="15" t="n">
        <v>46</v>
      </c>
      <c r="B7" s="15" t="inlineStr">
        <is>
          <t>LTRP 2027</t>
        </is>
      </c>
      <c r="C7" s="15" t="n">
        <v>2027</v>
      </c>
      <c r="D7" s="16" t="n">
        <v>70000</v>
      </c>
      <c r="E7" s="17" t="n">
        <v>11666.67</v>
      </c>
      <c r="F7" s="15" t="n"/>
      <c r="G7" s="15" t="inlineStr">
        <is>
          <t>proyectado</t>
        </is>
      </c>
      <c r="H7" s="15" t="inlineStr">
        <is>
          <t>Placeholder 1/6≈11666 sin precio de acción aún · cobros 2028-2033</t>
        </is>
      </c>
    </row>
    <row r="8">
      <c r="A8" s="15" t="n">
        <v>47</v>
      </c>
      <c r="B8" s="15" t="inlineStr">
        <is>
          <t>LTRP 2028</t>
        </is>
      </c>
      <c r="C8" s="15" t="n">
        <v>2028</v>
      </c>
      <c r="D8" s="16" t="n">
        <v>70000</v>
      </c>
      <c r="E8" s="17" t="n">
        <v>11666.67</v>
      </c>
      <c r="F8" s="15" t="n"/>
      <c r="G8" s="15" t="inlineStr">
        <is>
          <t>proyectado</t>
        </is>
      </c>
      <c r="H8" s="15" t="inlineStr">
        <is>
          <t>Placeholder · cobros 2029-2034</t>
        </is>
      </c>
    </row>
    <row r="9">
      <c r="A9" s="15" t="n">
        <v>47</v>
      </c>
      <c r="B9" s="15" t="inlineStr">
        <is>
          <t>LTRP 2029</t>
        </is>
      </c>
      <c r="C9" s="15" t="n">
        <v>2029</v>
      </c>
      <c r="D9" s="16" t="n">
        <v>70000</v>
      </c>
      <c r="E9" s="17" t="n">
        <v>11666.67</v>
      </c>
      <c r="F9" s="15" t="n"/>
      <c r="G9" s="15" t="inlineStr">
        <is>
          <t>proyectado</t>
        </is>
      </c>
      <c r="H9" s="15" t="inlineStr">
        <is>
          <t>Placeholder · cobros 2030-2035</t>
        </is>
      </c>
    </row>
    <row r="10">
      <c r="A10" s="15" t="n">
        <v>48</v>
      </c>
      <c r="B10" s="15" t="inlineStr">
        <is>
          <t>LTRP 2030</t>
        </is>
      </c>
      <c r="C10" s="15" t="n">
        <v>2030</v>
      </c>
      <c r="D10" s="16" t="n">
        <v>70000</v>
      </c>
      <c r="E10" s="17" t="n">
        <v>11666.67</v>
      </c>
      <c r="F10" s="15" t="n"/>
      <c r="G10" s="15" t="inlineStr">
        <is>
          <t>proyectado</t>
        </is>
      </c>
      <c r="H10" s="15" t="inlineStr">
        <is>
          <t>Placeholder · cobros 2031-2036</t>
        </is>
      </c>
    </row>
    <row r="11">
      <c r="A11" s="15" t="n">
        <v>48</v>
      </c>
      <c r="B11" s="15" t="inlineStr">
        <is>
          <t>LTRP 2031</t>
        </is>
      </c>
      <c r="C11" s="15" t="n">
        <v>2031</v>
      </c>
      <c r="D11" s="16" t="n">
        <v>70000</v>
      </c>
      <c r="E11" s="17" t="n">
        <v>11666.67</v>
      </c>
      <c r="F11" s="15" t="n"/>
      <c r="G11" s="15" t="inlineStr">
        <is>
          <t>proyectado</t>
        </is>
      </c>
      <c r="H11" s="15" t="inlineStr">
        <is>
          <t>Placeholder · cobros 2032-2037</t>
        </is>
      </c>
    </row>
    <row r="12">
      <c r="A12" s="15" t="n">
        <v>49</v>
      </c>
      <c r="B12" s="15" t="inlineStr">
        <is>
          <t>LTRP 2032</t>
        </is>
      </c>
      <c r="C12" s="15" t="n">
        <v>2032</v>
      </c>
      <c r="D12" s="16" t="n">
        <v>70000</v>
      </c>
      <c r="E12" s="17" t="n">
        <v>11666.67</v>
      </c>
      <c r="F12" s="15" t="n"/>
      <c r="G12" s="15" t="inlineStr">
        <is>
          <t>proyectado</t>
        </is>
      </c>
      <c r="H12" s="15" t="inlineStr">
        <is>
          <t>Placeholder · cobros 2033-2038 (parcial en matriz hasta 2037)</t>
        </is>
      </c>
    </row>
    <row r="13">
      <c r="A13" s="15" t="n">
        <v>49</v>
      </c>
      <c r="B13" s="15" t="inlineStr">
        <is>
          <t>LTRP 2033</t>
        </is>
      </c>
      <c r="C13" s="15" t="n">
        <v>2033</v>
      </c>
      <c r="D13" s="16" t="n">
        <v>70000</v>
      </c>
      <c r="E13" s="17" t="n">
        <v>11666.67</v>
      </c>
      <c r="F13" s="15" t="n"/>
      <c r="G13" s="15" t="inlineStr">
        <is>
          <t>proyectado</t>
        </is>
      </c>
      <c r="H13" s="15" t="inlineStr">
        <is>
          <t>Placeholder · cobros 2034-2039 (parcial hasta 2037)</t>
        </is>
      </c>
    </row>
    <row r="14">
      <c r="A14" s="15" t="n">
        <v>50</v>
      </c>
      <c r="B14" s="15" t="inlineStr">
        <is>
          <t>LTRP 2034</t>
        </is>
      </c>
      <c r="C14" s="15" t="n">
        <v>2034</v>
      </c>
      <c r="D14" s="16" t="n">
        <v>70000</v>
      </c>
      <c r="E14" s="17" t="n">
        <v>11666.67</v>
      </c>
      <c r="F14" s="15" t="n"/>
      <c r="G14" s="15" t="inlineStr">
        <is>
          <t>proyectado</t>
        </is>
      </c>
      <c r="H14" s="15" t="inlineStr">
        <is>
          <t>Placeholder · cobros 2035-2040 (parcial hasta 2037)</t>
        </is>
      </c>
    </row>
    <row r="15">
      <c r="A15" s="15" t="n">
        <v>50</v>
      </c>
      <c r="B15" s="15" t="inlineStr">
        <is>
          <t>LTRP 2035</t>
        </is>
      </c>
      <c r="C15" s="15" t="n">
        <v>2035</v>
      </c>
      <c r="D15" s="16" t="n">
        <v>70000</v>
      </c>
      <c r="E15" s="17" t="n">
        <v>11666.67</v>
      </c>
      <c r="F15" s="15" t="n"/>
      <c r="G15" s="15" t="inlineStr">
        <is>
          <t>proyectado</t>
        </is>
      </c>
      <c r="H15" s="15" t="inlineStr">
        <is>
          <t>Placeholder · cobros 2036-2041 (parcial hasta 2037)</t>
        </is>
      </c>
    </row>
    <row r="16">
      <c r="A16" s="15" t="n">
        <v>51</v>
      </c>
      <c r="B16" s="15" t="inlineStr">
        <is>
          <t>LTRP 2036</t>
        </is>
      </c>
      <c r="C16" s="15" t="n">
        <v>2036</v>
      </c>
      <c r="D16" s="16" t="n">
        <v>70000</v>
      </c>
      <c r="E16" s="17" t="n">
        <v>11666.67</v>
      </c>
      <c r="F16" s="15" t="n"/>
      <c r="G16" s="15" t="inlineStr">
        <is>
          <t>proyectado</t>
        </is>
      </c>
      <c r="H16" s="15" t="inlineStr">
        <is>
          <t>Placeholder · primer cobro 2037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7" customWidth="1" min="1" max="1"/>
    <col width="70" customWidth="1" min="2" max="2"/>
    <col width="70" customWidth="1" min="3" max="3"/>
  </cols>
  <sheetData>
    <row r="1">
      <c r="A1" s="2" t="inlineStr">
        <is>
          <t>Año pago</t>
        </is>
      </c>
      <c r="B1" s="2" t="inlineStr">
        <is>
          <t>Precio acción estimado</t>
        </is>
      </c>
      <c r="C1" s="2" t="inlineStr">
        <is>
          <t>Notas</t>
        </is>
      </c>
    </row>
    <row r="2">
      <c r="A2" s="3" t="n">
        <v>2027</v>
      </c>
      <c r="B2" s="27" t="n">
        <v>1765.02</v>
      </c>
      <c r="C2" s="3" t="inlineStr">
        <is>
          <t>Promedio últimos 60 días de trading al actualizar + ajuste 3% cierre 2026</t>
        </is>
      </c>
    </row>
    <row r="3">
      <c r="A3" s="3" t="n">
        <v>2028</v>
      </c>
      <c r="B3" s="27" t="n">
        <v>1906.22</v>
      </c>
      <c r="C3" s="3" t="inlineStr">
        <is>
          <t>Crecimiento anual 8% sobre año anterior</t>
        </is>
      </c>
    </row>
    <row r="4">
      <c r="A4" s="3" t="n">
        <v>2029</v>
      </c>
      <c r="B4" s="27" t="n">
        <v>2058.72</v>
      </c>
      <c r="C4" s="3" t="inlineStr">
        <is>
          <t>Crecimiento anual 8%</t>
        </is>
      </c>
    </row>
    <row r="5">
      <c r="A5" s="3" t="n">
        <v>2030</v>
      </c>
      <c r="B5" s="27" t="n">
        <v>2223.42</v>
      </c>
      <c r="C5" s="3" t="inlineStr">
        <is>
          <t>Crecimiento anual 8%</t>
        </is>
      </c>
    </row>
    <row r="6">
      <c r="A6" s="3" t="n">
        <v>2031</v>
      </c>
      <c r="B6" s="27" t="n">
        <v>2401.29</v>
      </c>
      <c r="C6" s="3" t="inlineStr">
        <is>
          <t>Crecimiento anual 8%</t>
        </is>
      </c>
    </row>
    <row r="7">
      <c r="A7" s="3" t="n">
        <v>2032</v>
      </c>
      <c r="B7" s="27" t="n">
        <v>2593.39</v>
      </c>
      <c r="C7" s="3" t="inlineStr">
        <is>
          <t>Crecimiento anual 8%</t>
        </is>
      </c>
    </row>
    <row r="8"/>
    <row r="9">
      <c r="A9" s="23" t="inlineStr">
        <is>
          <t>Metodología</t>
        </is>
      </c>
      <c r="B9" t="inlineStr"/>
    </row>
    <row r="10">
      <c r="A10" t="inlineStr">
        <is>
          <t>Año 1 (2027)</t>
        </is>
      </c>
      <c r="B10" t="inlineStr">
        <is>
          <t>Promedio 60 días trading + ajuste 3% cierre 2026</t>
        </is>
      </c>
    </row>
    <row r="11">
      <c r="A11" t="inlineStr">
        <is>
          <t>Años siguientes</t>
        </is>
      </c>
      <c r="B11" t="inlineStr">
        <is>
          <t>Crecimiento anual 8%</t>
        </is>
      </c>
    </row>
    <row r="12">
      <c r="A12" t="inlineStr">
        <is>
          <t>Planes 2027+</t>
        </is>
      </c>
      <c r="B12" t="inlineStr">
        <is>
          <t>Sin precio al otorgamiento aún → simulación usa 11.666 (1/6 de 70.000)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28" t="inlineStr">
        <is>
          <t>Plan</t>
        </is>
      </c>
      <c r="B1" s="28" t="inlineStr">
        <is>
          <t>31/01/2023</t>
        </is>
      </c>
      <c r="C1" s="28" t="inlineStr">
        <is>
          <t>31/01/2024</t>
        </is>
      </c>
      <c r="D1" s="28" t="inlineStr">
        <is>
          <t>31/01/2025</t>
        </is>
      </c>
      <c r="E1" s="28" t="inlineStr">
        <is>
          <t>31/01/2026</t>
        </is>
      </c>
      <c r="F1" s="28" t="inlineStr">
        <is>
          <t>31/01/2027</t>
        </is>
      </c>
      <c r="G1" s="28" t="inlineStr">
        <is>
          <t>31/01/2028</t>
        </is>
      </c>
      <c r="H1" s="28" t="inlineStr">
        <is>
          <t>31/01/2029</t>
        </is>
      </c>
      <c r="I1" s="28" t="inlineStr">
        <is>
          <t>31/01/2030</t>
        </is>
      </c>
      <c r="J1" s="28" t="inlineStr">
        <is>
          <t>31/01/2031</t>
        </is>
      </c>
      <c r="K1" s="28" t="inlineStr">
        <is>
          <t>31/01/2032</t>
        </is>
      </c>
      <c r="L1" s="28" t="inlineStr">
        <is>
          <t>31/01/2033</t>
        </is>
      </c>
      <c r="M1" s="28" t="inlineStr">
        <is>
          <t>31/01/2034</t>
        </is>
      </c>
      <c r="N1" s="28" t="inlineStr">
        <is>
          <t>31/01/2035</t>
        </is>
      </c>
      <c r="O1" s="28" t="inlineStr">
        <is>
          <t>31/01/2036</t>
        </is>
      </c>
      <c r="P1" s="28" t="inlineStr">
        <is>
          <t>31/01/2037</t>
        </is>
      </c>
    </row>
    <row r="2">
      <c r="A2" s="11" t="inlineStr">
        <is>
          <t>LTRP 2022</t>
        </is>
      </c>
      <c r="B2" s="11" t="inlineStr">
        <is>
          <t>1/6</t>
        </is>
      </c>
      <c r="C2" s="11" t="inlineStr">
        <is>
          <t>2/6</t>
        </is>
      </c>
      <c r="D2" s="11" t="inlineStr">
        <is>
          <t>3/6</t>
        </is>
      </c>
      <c r="E2" s="11" t="inlineStr">
        <is>
          <t>4/6</t>
        </is>
      </c>
      <c r="F2" s="11" t="inlineStr">
        <is>
          <t>5/6</t>
        </is>
      </c>
      <c r="G2" s="11" t="inlineStr">
        <is>
          <t>6/6</t>
        </is>
      </c>
      <c r="H2" s="11" t="inlineStr"/>
      <c r="I2" s="11" t="inlineStr"/>
      <c r="J2" s="11" t="inlineStr"/>
      <c r="K2" s="11" t="inlineStr"/>
      <c r="L2" s="11" t="inlineStr"/>
      <c r="M2" s="11" t="inlineStr"/>
      <c r="N2" s="11" t="inlineStr"/>
      <c r="O2" s="11" t="inlineStr"/>
      <c r="P2" s="11" t="inlineStr"/>
    </row>
    <row r="3">
      <c r="A3" s="11" t="inlineStr">
        <is>
          <t>LTRP 2023</t>
        </is>
      </c>
      <c r="B3" s="11" t="inlineStr"/>
      <c r="C3" s="11" t="inlineStr">
        <is>
          <t>1/6</t>
        </is>
      </c>
      <c r="D3" s="11" t="inlineStr">
        <is>
          <t>2/6</t>
        </is>
      </c>
      <c r="E3" s="11" t="inlineStr">
        <is>
          <t>3/6</t>
        </is>
      </c>
      <c r="F3" s="11" t="inlineStr">
        <is>
          <t>4/6</t>
        </is>
      </c>
      <c r="G3" s="11" t="inlineStr">
        <is>
          <t>5/6</t>
        </is>
      </c>
      <c r="H3" s="11" t="inlineStr">
        <is>
          <t>6/6</t>
        </is>
      </c>
      <c r="I3" s="11" t="inlineStr"/>
      <c r="J3" s="11" t="inlineStr"/>
      <c r="K3" s="11" t="inlineStr"/>
      <c r="L3" s="11" t="inlineStr"/>
      <c r="M3" s="11" t="inlineStr"/>
      <c r="N3" s="11" t="inlineStr"/>
      <c r="O3" s="11" t="inlineStr"/>
      <c r="P3" s="11" t="inlineStr"/>
    </row>
    <row r="4">
      <c r="A4" s="11" t="inlineStr">
        <is>
          <t>LTRP 2024</t>
        </is>
      </c>
      <c r="B4" s="11" t="inlineStr"/>
      <c r="C4" s="11" t="inlineStr"/>
      <c r="D4" s="11" t="inlineStr">
        <is>
          <t>1/6</t>
        </is>
      </c>
      <c r="E4" s="11" t="inlineStr">
        <is>
          <t>2/6</t>
        </is>
      </c>
      <c r="F4" s="11" t="inlineStr">
        <is>
          <t>3/6</t>
        </is>
      </c>
      <c r="G4" s="11" t="inlineStr">
        <is>
          <t>4/6</t>
        </is>
      </c>
      <c r="H4" s="11" t="inlineStr">
        <is>
          <t>5/6</t>
        </is>
      </c>
      <c r="I4" s="11" t="inlineStr">
        <is>
          <t>6/6</t>
        </is>
      </c>
      <c r="J4" s="11" t="inlineStr"/>
      <c r="K4" s="11" t="inlineStr"/>
      <c r="L4" s="11" t="inlineStr"/>
      <c r="M4" s="11" t="inlineStr"/>
      <c r="N4" s="11" t="inlineStr"/>
      <c r="O4" s="11" t="inlineStr"/>
      <c r="P4" s="11" t="inlineStr"/>
    </row>
    <row r="5">
      <c r="A5" s="11" t="inlineStr">
        <is>
          <t>LTRP 2025</t>
        </is>
      </c>
      <c r="B5" s="11" t="inlineStr"/>
      <c r="C5" s="11" t="inlineStr"/>
      <c r="D5" s="11" t="inlineStr"/>
      <c r="E5" s="11" t="inlineStr">
        <is>
          <t>1/6</t>
        </is>
      </c>
      <c r="F5" s="11" t="inlineStr">
        <is>
          <t>2/6</t>
        </is>
      </c>
      <c r="G5" s="11" t="inlineStr">
        <is>
          <t>3/6</t>
        </is>
      </c>
      <c r="H5" s="11" t="inlineStr">
        <is>
          <t>4/6</t>
        </is>
      </c>
      <c r="I5" s="11" t="inlineStr">
        <is>
          <t>5/6</t>
        </is>
      </c>
      <c r="J5" s="11" t="inlineStr">
        <is>
          <t>6/6</t>
        </is>
      </c>
      <c r="K5" s="11" t="inlineStr"/>
      <c r="L5" s="11" t="inlineStr"/>
      <c r="M5" s="11" t="inlineStr"/>
      <c r="N5" s="11" t="inlineStr"/>
      <c r="O5" s="11" t="inlineStr"/>
      <c r="P5" s="11" t="inlineStr"/>
    </row>
    <row r="6">
      <c r="A6" s="11" t="inlineStr">
        <is>
          <t>LTRP 2026</t>
        </is>
      </c>
      <c r="B6" s="11" t="inlineStr"/>
      <c r="C6" s="11" t="inlineStr"/>
      <c r="D6" s="11" t="inlineStr"/>
      <c r="E6" s="11" t="inlineStr"/>
      <c r="F6" s="11" t="inlineStr">
        <is>
          <t>1/6</t>
        </is>
      </c>
      <c r="G6" s="11" t="inlineStr">
        <is>
          <t>2/6</t>
        </is>
      </c>
      <c r="H6" s="11" t="inlineStr">
        <is>
          <t>3/6</t>
        </is>
      </c>
      <c r="I6" s="11" t="inlineStr">
        <is>
          <t>4/6</t>
        </is>
      </c>
      <c r="J6" s="11" t="inlineStr">
        <is>
          <t>5/6</t>
        </is>
      </c>
      <c r="K6" s="11" t="inlineStr">
        <is>
          <t>6/6</t>
        </is>
      </c>
      <c r="L6" s="11" t="inlineStr"/>
      <c r="M6" s="11" t="inlineStr"/>
      <c r="N6" s="11" t="inlineStr"/>
      <c r="O6" s="11" t="inlineStr"/>
      <c r="P6" s="11" t="inlineStr"/>
    </row>
    <row r="7">
      <c r="A7" s="11" t="inlineStr">
        <is>
          <t>LTRP 2027</t>
        </is>
      </c>
      <c r="B7" s="11" t="inlineStr"/>
      <c r="C7" s="11" t="inlineStr"/>
      <c r="D7" s="11" t="inlineStr"/>
      <c r="E7" s="11" t="inlineStr"/>
      <c r="F7" s="11" t="inlineStr"/>
      <c r="G7" s="11" t="inlineStr">
        <is>
          <t>1/6</t>
        </is>
      </c>
      <c r="H7" s="11" t="inlineStr">
        <is>
          <t>2/6</t>
        </is>
      </c>
      <c r="I7" s="11" t="inlineStr">
        <is>
          <t>3/6</t>
        </is>
      </c>
      <c r="J7" s="11" t="inlineStr">
        <is>
          <t>4/6</t>
        </is>
      </c>
      <c r="K7" s="11" t="inlineStr">
        <is>
          <t>5/6</t>
        </is>
      </c>
      <c r="L7" s="11" t="inlineStr">
        <is>
          <t>6/6</t>
        </is>
      </c>
      <c r="M7" s="11" t="inlineStr"/>
      <c r="N7" s="11" t="inlineStr"/>
      <c r="O7" s="11" t="inlineStr"/>
      <c r="P7" s="11" t="inlineStr"/>
    </row>
    <row r="8">
      <c r="A8" s="11" t="inlineStr">
        <is>
          <t>LTRP 2028</t>
        </is>
      </c>
      <c r="B8" s="11" t="inlineStr"/>
      <c r="C8" s="11" t="inlineStr"/>
      <c r="D8" s="11" t="inlineStr"/>
      <c r="E8" s="11" t="inlineStr"/>
      <c r="F8" s="11" t="inlineStr"/>
      <c r="G8" s="11" t="inlineStr"/>
      <c r="H8" s="11" t="inlineStr">
        <is>
          <t>1/6</t>
        </is>
      </c>
      <c r="I8" s="11" t="inlineStr">
        <is>
          <t>2/6</t>
        </is>
      </c>
      <c r="J8" s="11" t="inlineStr">
        <is>
          <t>3/6</t>
        </is>
      </c>
      <c r="K8" s="11" t="inlineStr">
        <is>
          <t>4/6</t>
        </is>
      </c>
      <c r="L8" s="11" t="inlineStr">
        <is>
          <t>5/6</t>
        </is>
      </c>
      <c r="M8" s="11" t="inlineStr">
        <is>
          <t>6/6</t>
        </is>
      </c>
      <c r="N8" s="11" t="inlineStr"/>
      <c r="O8" s="11" t="inlineStr"/>
      <c r="P8" s="11" t="inlineStr"/>
    </row>
    <row r="9">
      <c r="A9" s="11" t="inlineStr">
        <is>
          <t>LTRP 2029</t>
        </is>
      </c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>
        <is>
          <t>1/6</t>
        </is>
      </c>
      <c r="J9" s="11" t="inlineStr">
        <is>
          <t>2/6</t>
        </is>
      </c>
      <c r="K9" s="11" t="inlineStr">
        <is>
          <t>3/6</t>
        </is>
      </c>
      <c r="L9" s="11" t="inlineStr">
        <is>
          <t>4/6</t>
        </is>
      </c>
      <c r="M9" s="11" t="inlineStr">
        <is>
          <t>5/6</t>
        </is>
      </c>
      <c r="N9" s="11" t="inlineStr">
        <is>
          <t>6/6</t>
        </is>
      </c>
      <c r="O9" s="11" t="inlineStr"/>
      <c r="P9" s="11" t="inlineStr"/>
    </row>
    <row r="10">
      <c r="A10" s="11" t="inlineStr">
        <is>
          <t>LTRP 2030</t>
        </is>
      </c>
      <c r="B10" s="11" t="inlineStr"/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>
        <is>
          <t>1/6</t>
        </is>
      </c>
      <c r="K10" s="11" t="inlineStr">
        <is>
          <t>2/6</t>
        </is>
      </c>
      <c r="L10" s="11" t="inlineStr">
        <is>
          <t>3/6</t>
        </is>
      </c>
      <c r="M10" s="11" t="inlineStr">
        <is>
          <t>4/6</t>
        </is>
      </c>
      <c r="N10" s="11" t="inlineStr">
        <is>
          <t>5/6</t>
        </is>
      </c>
      <c r="O10" s="11" t="inlineStr">
        <is>
          <t>6/6</t>
        </is>
      </c>
      <c r="P10" s="11" t="inlineStr"/>
    </row>
    <row r="11">
      <c r="A11" s="11" t="inlineStr">
        <is>
          <t>LTRP 2031</t>
        </is>
      </c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  <c r="I11" s="11" t="inlineStr"/>
      <c r="J11" s="11" t="inlineStr"/>
      <c r="K11" s="11" t="inlineStr">
        <is>
          <t>1/6</t>
        </is>
      </c>
      <c r="L11" s="11" t="inlineStr">
        <is>
          <t>2/6</t>
        </is>
      </c>
      <c r="M11" s="11" t="inlineStr">
        <is>
          <t>3/6</t>
        </is>
      </c>
      <c r="N11" s="11" t="inlineStr">
        <is>
          <t>4/6</t>
        </is>
      </c>
      <c r="O11" s="11" t="inlineStr">
        <is>
          <t>5/6</t>
        </is>
      </c>
      <c r="P11" s="11" t="inlineStr">
        <is>
          <t>6/6</t>
        </is>
      </c>
    </row>
    <row r="12">
      <c r="A12" s="11" t="inlineStr">
        <is>
          <t>LTRP 2032</t>
        </is>
      </c>
      <c r="B12" s="11" t="inlineStr"/>
      <c r="C12" s="11" t="inlineStr"/>
      <c r="D12" s="11" t="inlineStr"/>
      <c r="E12" s="11" t="inlineStr"/>
      <c r="F12" s="11" t="inlineStr"/>
      <c r="G12" s="11" t="inlineStr"/>
      <c r="H12" s="11" t="inlineStr"/>
      <c r="I12" s="11" t="inlineStr"/>
      <c r="J12" s="11" t="inlineStr"/>
      <c r="K12" s="11" t="inlineStr"/>
      <c r="L12" s="11" t="inlineStr">
        <is>
          <t>1/6</t>
        </is>
      </c>
      <c r="M12" s="11" t="inlineStr">
        <is>
          <t>2/6</t>
        </is>
      </c>
      <c r="N12" s="11" t="inlineStr">
        <is>
          <t>3/6</t>
        </is>
      </c>
      <c r="O12" s="11" t="inlineStr">
        <is>
          <t>4/6</t>
        </is>
      </c>
      <c r="P12" s="11" t="inlineStr">
        <is>
          <t>5/6</t>
        </is>
      </c>
    </row>
    <row r="13">
      <c r="A13" s="11" t="inlineStr">
        <is>
          <t>LTRP 2033</t>
        </is>
      </c>
      <c r="B13" s="11" t="inlineStr"/>
      <c r="C13" s="11" t="inlineStr"/>
      <c r="D13" s="11" t="inlineStr"/>
      <c r="E13" s="11" t="inlineStr"/>
      <c r="F13" s="11" t="inlineStr"/>
      <c r="G13" s="11" t="inlineStr"/>
      <c r="H13" s="11" t="inlineStr"/>
      <c r="I13" s="11" t="inlineStr"/>
      <c r="J13" s="11" t="inlineStr"/>
      <c r="K13" s="11" t="inlineStr"/>
      <c r="L13" s="11" t="inlineStr"/>
      <c r="M13" s="11" t="inlineStr">
        <is>
          <t>1/6</t>
        </is>
      </c>
      <c r="N13" s="11" t="inlineStr">
        <is>
          <t>2/6</t>
        </is>
      </c>
      <c r="O13" s="11" t="inlineStr">
        <is>
          <t>3/6</t>
        </is>
      </c>
      <c r="P13" s="11" t="inlineStr">
        <is>
          <t>4/6</t>
        </is>
      </c>
    </row>
    <row r="14">
      <c r="A14" s="11" t="inlineStr">
        <is>
          <t>LTRP 2034</t>
        </is>
      </c>
      <c r="B14" s="11" t="inlineStr"/>
      <c r="C14" s="11" t="inlineStr"/>
      <c r="D14" s="11" t="inlineStr"/>
      <c r="E14" s="11" t="inlineStr"/>
      <c r="F14" s="11" t="inlineStr"/>
      <c r="G14" s="11" t="inlineStr"/>
      <c r="H14" s="11" t="inlineStr"/>
      <c r="I14" s="11" t="inlineStr"/>
      <c r="J14" s="11" t="inlineStr"/>
      <c r="K14" s="11" t="inlineStr"/>
      <c r="L14" s="11" t="inlineStr"/>
      <c r="M14" s="11" t="inlineStr"/>
      <c r="N14" s="11" t="inlineStr">
        <is>
          <t>1/6</t>
        </is>
      </c>
      <c r="O14" s="11" t="inlineStr">
        <is>
          <t>2/6</t>
        </is>
      </c>
      <c r="P14" s="11" t="inlineStr">
        <is>
          <t>3/6</t>
        </is>
      </c>
    </row>
    <row r="15">
      <c r="A15" s="11" t="inlineStr">
        <is>
          <t>LTRP 2035</t>
        </is>
      </c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/>
      <c r="M15" s="11" t="inlineStr"/>
      <c r="N15" s="11" t="inlineStr"/>
      <c r="O15" s="11" t="inlineStr">
        <is>
          <t>1/6</t>
        </is>
      </c>
      <c r="P15" s="11" t="inlineStr">
        <is>
          <t>2/6</t>
        </is>
      </c>
    </row>
    <row r="16">
      <c r="A16" s="11" t="inlineStr">
        <is>
          <t>LTRP 2036</t>
        </is>
      </c>
      <c r="B16" s="11" t="inlineStr"/>
      <c r="C16" s="11" t="inlineStr"/>
      <c r="D16" s="11" t="inlineStr"/>
      <c r="E16" s="11" t="inlineStr"/>
      <c r="F16" s="11" t="inlineStr"/>
      <c r="G16" s="11" t="inlineStr"/>
      <c r="H16" s="11" t="inlineStr"/>
      <c r="I16" s="11" t="inlineStr"/>
      <c r="J16" s="11" t="inlineStr"/>
      <c r="K16" s="11" t="inlineStr"/>
      <c r="L16" s="11" t="inlineStr"/>
      <c r="M16" s="11" t="inlineStr"/>
      <c r="N16" s="11" t="inlineStr"/>
      <c r="O16" s="11" t="inlineStr"/>
      <c r="P16" s="11" t="inlineStr">
        <is>
          <t>1/6</t>
        </is>
      </c>
    </row>
    <row r="17">
      <c r="A17" s="29" t="inlineStr">
        <is>
          <t># planes</t>
        </is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6</v>
      </c>
      <c r="I17" s="29" t="n">
        <v>6</v>
      </c>
      <c r="J17" s="29" t="n">
        <v>6</v>
      </c>
      <c r="K17" s="29" t="n">
        <v>6</v>
      </c>
      <c r="L17" s="29" t="n">
        <v>6</v>
      </c>
      <c r="M17" s="29" t="n">
        <v>6</v>
      </c>
      <c r="N17" s="29" t="n">
        <v>6</v>
      </c>
      <c r="O17" s="29" t="n">
        <v>6</v>
      </c>
      <c r="P17" s="29" t="n">
        <v>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3" customWidth="1" min="3" max="3"/>
    <col width="16" customWidth="1" min="4" max="4"/>
    <col width="20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30" t="inlineStr">
        <is>
          <t>Detalle ene-2027 — solo planes vigentes con precio de acción</t>
        </is>
      </c>
    </row>
    <row r="2">
      <c r="A2" t="inlineStr">
        <is>
          <t>Precio acción estimado 2027: 1765.02</t>
        </is>
      </c>
    </row>
    <row r="3"/>
    <row r="4">
      <c r="A4" s="2" t="inlineStr">
        <is>
          <t>Edad</t>
        </is>
      </c>
      <c r="B4" s="2" t="inlineStr">
        <is>
          <t>Plan</t>
        </is>
      </c>
      <c r="C4" s="2" t="inlineStr">
        <is>
          <t>Nominal</t>
        </is>
      </c>
      <c r="D4" s="2" t="inlineStr">
        <is>
          <t>P otorgamiento</t>
        </is>
      </c>
      <c r="E4" s="2" t="inlineStr">
        <is>
          <t>1/6</t>
        </is>
      </c>
      <c r="F4" s="2" t="inlineStr">
        <is>
          <t>Fijo 50%</t>
        </is>
      </c>
      <c r="G4" s="2" t="inlineStr">
        <is>
          <t>Variable ajustada</t>
        </is>
      </c>
      <c r="H4" s="2" t="inlineStr">
        <is>
          <t>Total (sin round)</t>
        </is>
      </c>
      <c r="I4" s="2" t="inlineStr">
        <is>
          <t>Simulación (round)</t>
        </is>
      </c>
    </row>
    <row r="5">
      <c r="A5" s="3" t="n">
        <v>41</v>
      </c>
      <c r="B5" s="3" t="inlineStr">
        <is>
          <t>LTRP 2022</t>
        </is>
      </c>
      <c r="C5" s="6" t="n">
        <v>30000</v>
      </c>
      <c r="D5" s="7" t="n">
        <v>1391.81</v>
      </c>
      <c r="E5" s="7" t="n">
        <v>5000</v>
      </c>
      <c r="F5" s="7" t="n">
        <v>2500</v>
      </c>
      <c r="G5" s="7" t="n">
        <v>3170.368081850253</v>
      </c>
      <c r="H5" s="7" t="n">
        <v>5670.368081850253</v>
      </c>
      <c r="I5" s="6" t="n">
        <v>5670</v>
      </c>
    </row>
    <row r="6">
      <c r="A6" s="3" t="n">
        <v>42</v>
      </c>
      <c r="B6" s="3" t="inlineStr">
        <is>
          <t>LTRP 2023</t>
        </is>
      </c>
      <c r="C6" s="6" t="n">
        <v>30000</v>
      </c>
      <c r="D6" s="7" t="n">
        <v>888.6900000000001</v>
      </c>
      <c r="E6" s="7" t="n">
        <v>5000</v>
      </c>
      <c r="F6" s="7" t="n">
        <v>2500</v>
      </c>
      <c r="G6" s="7" t="n">
        <v>4965.229720149883</v>
      </c>
      <c r="H6" s="7" t="n">
        <v>7465.229720149883</v>
      </c>
      <c r="I6" s="6" t="n">
        <v>7465</v>
      </c>
    </row>
    <row r="7">
      <c r="A7" s="3" t="n">
        <v>43</v>
      </c>
      <c r="B7" s="3" t="inlineStr">
        <is>
          <t>LTRP 2024</t>
        </is>
      </c>
      <c r="C7" s="6" t="n">
        <v>30000</v>
      </c>
      <c r="D7" s="7" t="n">
        <v>1426.11</v>
      </c>
      <c r="E7" s="7" t="n">
        <v>5000</v>
      </c>
      <c r="F7" s="7" t="n">
        <v>2500</v>
      </c>
      <c r="G7" s="7" t="n">
        <v>3094.11616214738</v>
      </c>
      <c r="H7" s="7" t="n">
        <v>5594.11616214738</v>
      </c>
      <c r="I7" s="6" t="n">
        <v>5594</v>
      </c>
    </row>
    <row r="8">
      <c r="A8" s="3" t="n">
        <v>44</v>
      </c>
      <c r="B8" s="3" t="inlineStr">
        <is>
          <t>LTRP 2025</t>
        </is>
      </c>
      <c r="C8" s="6" t="n">
        <v>36822</v>
      </c>
      <c r="D8" s="7" t="n">
        <v>1944.47</v>
      </c>
      <c r="E8" s="7" t="n">
        <v>6137</v>
      </c>
      <c r="F8" s="7" t="n">
        <v>3068.5</v>
      </c>
      <c r="G8" s="7" t="n">
        <v>2785.316240415126</v>
      </c>
      <c r="H8" s="7" t="n">
        <v>5853.816240415126</v>
      </c>
      <c r="I8" s="6" t="n">
        <v>5854</v>
      </c>
    </row>
    <row r="9">
      <c r="A9" s="3" t="n">
        <v>45</v>
      </c>
      <c r="B9" s="3" t="inlineStr">
        <is>
          <t>LTRP 2026</t>
        </is>
      </c>
      <c r="C9" s="6" t="n">
        <v>70000</v>
      </c>
      <c r="D9" s="7" t="n">
        <v>2094.65</v>
      </c>
      <c r="E9" s="7" t="n">
        <v>11666.66666666667</v>
      </c>
      <c r="F9" s="7" t="n">
        <v>5833.333333333333</v>
      </c>
      <c r="G9" s="7" t="n">
        <v>4915.355787363043</v>
      </c>
      <c r="H9" s="7" t="n">
        <v>10748.68912069638</v>
      </c>
      <c r="I9" s="6" t="n">
        <v>10749</v>
      </c>
    </row>
    <row r="10">
      <c r="A10" s="4" t="inlineStr"/>
      <c r="B10" s="4" t="inlineStr">
        <is>
          <t>TOTAL</t>
        </is>
      </c>
      <c r="C10" s="5">
        <f>SUM(C5:C9)</f>
        <v/>
      </c>
      <c r="D10" s="4" t="inlineStr"/>
      <c r="E10" s="31">
        <f>SUM(E5:E9)</f>
        <v/>
      </c>
      <c r="F10" s="31">
        <f>SUM(F5:F9)</f>
        <v/>
      </c>
      <c r="G10" s="31">
        <f>SUM(G5:G9)</f>
        <v/>
      </c>
      <c r="H10" s="31">
        <f>SUM(H5:H9)</f>
        <v/>
      </c>
      <c r="I10" s="5">
        <f>SUM(I5:I9)</f>
        <v/>
      </c>
    </row>
    <row r="11"/>
    <row r="12">
      <c r="A12" t="inlineStr">
        <is>
          <t>Base sin acción (suma 1/6)</t>
        </is>
      </c>
      <c r="B12" s="32" t="n">
        <v>32803.67</v>
      </c>
    </row>
    <row r="13">
      <c r="A13" t="inlineStr">
        <is>
          <t>Estimado con acción</t>
        </is>
      </c>
      <c r="B13" s="32" t="n">
        <v>35332</v>
      </c>
    </row>
    <row r="14">
      <c r="A14" t="inlineStr">
        <is>
          <t>Diferencia = efecto valor de la acción</t>
        </is>
      </c>
      <c r="B14" s="32" t="n">
        <v>2528.33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2026-08-06T15:51:13Z</dcterms:created>
  <dcterms:modified xsi:type="dcterms:W3CDTF">2026-08-06T15:51:13Z</dcterms:modified>
</cp:coreProperties>
</file>
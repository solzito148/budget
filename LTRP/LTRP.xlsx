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Simulación de pagos" sheetId="2" state="visible" r:id="rId2"/>
    <sheet name="Planes vigentes" sheetId="3" state="visible" r:id="rId3"/>
    <sheet name="Acción estimada" sheetId="4" state="visible" r:id="rId4"/>
    <sheet name="Calendario vesting" sheetId="5" state="visible" r:id="rId5"/>
    <sheet name="Detalle fórmula 2027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595959"/>
    </font>
    <font>
      <b val="1"/>
      <color rgb="00FFFFFF"/>
    </font>
    <font>
      <b val="1"/>
    </font>
    <font>
      <b val="1"/>
      <color rgb="001F4E79"/>
      <sz val="12"/>
    </font>
    <font>
      <b val="1"/>
      <sz val="12"/>
    </font>
    <font>
      <b val="1"/>
      <color rgb="001F4E79"/>
      <sz val="13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wrapText="1"/>
    </xf>
    <xf numFmtId="0" fontId="0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3" fontId="0" fillId="0" borderId="1" pivotButton="0" quotePrefix="0" xfId="0"/>
    <xf numFmtId="4" fontId="0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6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0" fontId="4" fillId="3" borderId="1" pivotButton="0" quotePrefix="0" xfId="0"/>
    <xf numFmtId="0" fontId="0" fillId="3" borderId="1" pivotButton="0" quotePrefix="0" xfId="0"/>
    <xf numFmtId="3" fontId="4" fillId="4" borderId="1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4" fontId="0" fillId="5" borderId="1" applyAlignment="1" pivotButton="0" quotePrefix="0" xfId="0">
      <alignment horizontal="center"/>
    </xf>
    <xf numFmtId="3" fontId="6" fillId="4" borderId="0" pivotButton="0" quotePrefix="0" xfId="0"/>
    <xf numFmtId="0" fontId="4" fillId="0" borderId="1" pivotButton="0" quotePrefix="0" xfId="0"/>
    <xf numFmtId="3" fontId="4" fillId="3" borderId="1" pivotButton="0" quotePrefix="0" xfId="0"/>
    <xf numFmtId="4" fontId="4" fillId="3" borderId="1" pivotButton="0" quotePrefix="0" xfId="0"/>
    <xf numFmtId="4" fontId="0" fillId="5" borderId="1" pivotButton="0" quotePrefix="0" xfId="0"/>
    <xf numFmtId="0" fontId="3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7" fillId="0" borderId="0" pivotButton="0" quotePrefix="0" xfId="0"/>
    <xf numFmtId="4" fontId="4" fillId="4" borderId="1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0" customWidth="1" min="1" max="1"/>
    <col width="91" customWidth="1" min="2" max="2"/>
  </cols>
  <sheetData>
    <row r="1">
      <c r="A1" s="1" t="inlineStr">
        <is>
          <t>Campo</t>
        </is>
      </c>
      <c r="B1" s="2" t="inlineStr">
        <is>
          <t>Valor</t>
        </is>
      </c>
    </row>
    <row r="2">
      <c r="A2" s="3" t="inlineStr">
        <is>
          <t>Long Term Retention Program (LTRP)</t>
        </is>
      </c>
      <c r="B2" s="3" t="inlineStr"/>
    </row>
    <row r="3">
      <c r="A3" s="3" t="inlineStr">
        <is>
          <t>Excel canónico</t>
        </is>
      </c>
      <c r="B3" s="3" t="inlineStr">
        <is>
          <t>LTRP.xlsx</t>
        </is>
      </c>
    </row>
    <row r="4">
      <c r="A4" s="3" t="inlineStr">
        <is>
          <t>Última actualización</t>
        </is>
      </c>
      <c r="B4" s="3" t="inlineStr">
        <is>
          <t>agosto 2026</t>
        </is>
      </c>
    </row>
    <row r="5">
      <c r="A5" s="4" t="inlineStr"/>
      <c r="B5" s="4" t="inlineStr"/>
    </row>
    <row r="6">
      <c r="A6" s="4" t="inlineStr">
        <is>
          <t>REGLA GENERAL</t>
        </is>
      </c>
      <c r="B6" s="4" t="inlineStr">
        <is>
          <t>Máximo 6 planes; cada enero se suma el 1/6 de cada uno</t>
        </is>
      </c>
    </row>
    <row r="7">
      <c r="A7" s="3" t="inlineStr">
        <is>
          <t>Ejemplo</t>
        </is>
      </c>
      <c r="B7" s="3" t="inlineStr">
        <is>
          <t>Otorgado 70.000 en 2026 → ene-2027 = 1/6·2026 + 1/6·2025 + 1/6·2024 + 1/6·2023 + 1/6·2022</t>
        </is>
      </c>
    </row>
    <row r="8">
      <c r="A8" s="3" t="inlineStr">
        <is>
          <t>Fórmula con acción</t>
        </is>
      </c>
      <c r="B8" s="3" t="inlineStr">
        <is>
          <t>(N/6)×50% fijo + (N/6)×50% × (P_año / P_otorgamiento)</t>
        </is>
      </c>
    </row>
    <row r="9">
      <c r="A9" s="4" t="inlineStr"/>
      <c r="B9" s="5" t="inlineStr"/>
    </row>
    <row r="10">
      <c r="A10" s="3" t="inlineStr">
        <is>
          <t>Total estimado a cobrar 2027</t>
        </is>
      </c>
      <c r="B10" s="6" t="n">
        <v>35332</v>
      </c>
    </row>
    <row r="11">
      <c r="A11" s="3" t="inlineStr">
        <is>
          <t>Total estimado a cobrar 2028</t>
        </is>
      </c>
      <c r="B11" s="6" t="n">
        <v>36847</v>
      </c>
    </row>
    <row r="12">
      <c r="A12" s="3" t="inlineStr">
        <is>
          <t>Total estimado a cobrar 2029</t>
        </is>
      </c>
      <c r="B12" s="6" t="n">
        <v>32284</v>
      </c>
    </row>
    <row r="13">
      <c r="A13" s="3" t="inlineStr">
        <is>
          <t>Total estimado a cobrar 2030</t>
        </is>
      </c>
      <c r="B13" s="6" t="n">
        <v>25001</v>
      </c>
    </row>
    <row r="14">
      <c r="A14" s="3" t="inlineStr">
        <is>
          <t>Total estimado a cobrar 2031</t>
        </is>
      </c>
      <c r="B14" s="6" t="n">
        <v>19379</v>
      </c>
    </row>
    <row r="15">
      <c r="A15" s="4" t="inlineStr">
        <is>
          <t>Total estimado a cobrar 2032</t>
        </is>
      </c>
      <c r="B15" s="5" t="n">
        <v>13056</v>
      </c>
    </row>
    <row r="16">
      <c r="A16" s="3" t="inlineStr">
        <is>
          <t>Total acumulado pendiente de pago</t>
        </is>
      </c>
      <c r="B16" s="3" t="n">
        <v>161899</v>
      </c>
    </row>
    <row r="17">
      <c r="A17" s="3" t="inlineStr"/>
      <c r="B17" s="7" t="inlineStr"/>
    </row>
    <row r="18">
      <c r="A18" s="3" t="inlineStr">
        <is>
          <t>Base 2027 sin efecto acción (suma 1/6)</t>
        </is>
      </c>
      <c r="B18" s="7" t="n">
        <v>32803.67</v>
      </c>
    </row>
    <row r="19">
      <c r="A19" s="3" t="inlineStr">
        <is>
          <t>Diferencia 2027 por valor de la acción</t>
        </is>
      </c>
      <c r="B19" s="7" t="n">
        <v>2528.33</v>
      </c>
    </row>
    <row r="20">
      <c r="A20" s="3" t="inlineStr">
        <is>
          <t>Precio acción estimado 2027</t>
        </is>
      </c>
      <c r="B20" s="3" t="n">
        <v>1765.02</v>
      </c>
    </row>
    <row r="21">
      <c r="A21" s="3" t="inlineStr"/>
      <c r="B21" s="3" t="inlineStr"/>
    </row>
    <row r="22">
      <c r="A22" s="3" t="inlineStr">
        <is>
          <t>Metodología precio</t>
        </is>
      </c>
      <c r="B22" s="3" t="inlineStr">
        <is>
          <t>Año 1: promedio 60 días + 3% cierre 2026 · Luego +8% anual</t>
        </is>
      </c>
    </row>
    <row r="23">
      <c r="A23" s="3" t="inlineStr">
        <is>
          <t>Nota</t>
        </is>
      </c>
      <c r="B23" s="3" t="inlineStr">
        <is>
          <t>Ingreso por bono MELI; independiente de CIUDAD / SOL / propiedades.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2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8" t="inlineStr">
        <is>
          <t>Long Term Retention Program (LTRP) — Simulación de pagos</t>
        </is>
      </c>
    </row>
    <row r="2">
      <c r="A2" s="9" t="inlineStr">
        <is>
          <t>Última actualización: agosto 2026 · Máx. 6 planes · cada enero = suma de 1/6 ajustados por acción MELI</t>
        </is>
      </c>
    </row>
    <row r="4">
      <c r="A4" s="2" t="inlineStr">
        <is>
          <t>Concepto</t>
        </is>
      </c>
      <c r="B4" s="2" t="inlineStr">
        <is>
          <t>Valor nominal</t>
        </is>
      </c>
      <c r="C4" s="2" t="inlineStr">
        <is>
          <t>Valor de acción al otorgamiento</t>
        </is>
      </c>
      <c r="D4" s="2" t="inlineStr">
        <is>
          <t>2027</t>
        </is>
      </c>
      <c r="E4" s="2" t="inlineStr">
        <is>
          <t>2028</t>
        </is>
      </c>
      <c r="F4" s="2" t="inlineStr">
        <is>
          <t>2029</t>
        </is>
      </c>
      <c r="G4" s="2" t="inlineStr">
        <is>
          <t>2030</t>
        </is>
      </c>
      <c r="H4" s="2" t="inlineStr">
        <is>
          <t>2031</t>
        </is>
      </c>
      <c r="I4" s="2" t="inlineStr">
        <is>
          <t>2032</t>
        </is>
      </c>
    </row>
    <row r="5">
      <c r="A5" s="3" t="inlineStr">
        <is>
          <t>LTRP 2022</t>
        </is>
      </c>
      <c r="B5" s="6" t="n">
        <v>30000</v>
      </c>
      <c r="C5" s="7" t="n">
        <v>1391.81</v>
      </c>
      <c r="D5" s="10" t="n">
        <v>5670</v>
      </c>
      <c r="E5" s="11" t="n">
        <v>5924</v>
      </c>
      <c r="F5" s="3" t="n"/>
      <c r="G5" s="3" t="n"/>
      <c r="H5" s="3" t="n"/>
      <c r="I5" s="3" t="n"/>
    </row>
    <row r="6">
      <c r="A6" s="3" t="inlineStr">
        <is>
          <t>LTRP 2023</t>
        </is>
      </c>
      <c r="B6" s="6" t="n">
        <v>30000</v>
      </c>
      <c r="C6" s="7" t="n">
        <v>888.6900000000001</v>
      </c>
      <c r="D6" s="10" t="n">
        <v>7465</v>
      </c>
      <c r="E6" s="11" t="n">
        <v>7862</v>
      </c>
      <c r="F6" s="11" t="n">
        <v>8291</v>
      </c>
      <c r="G6" s="3" t="n"/>
      <c r="H6" s="3" t="n"/>
      <c r="I6" s="3" t="n"/>
    </row>
    <row r="7">
      <c r="A7" s="3" t="inlineStr">
        <is>
          <t>LTRP 2024</t>
        </is>
      </c>
      <c r="B7" s="6" t="n">
        <v>30000</v>
      </c>
      <c r="C7" s="7" t="n">
        <v>1426.11</v>
      </c>
      <c r="D7" s="10" t="n">
        <v>5594</v>
      </c>
      <c r="E7" s="11" t="n">
        <v>5842</v>
      </c>
      <c r="F7" s="11" t="n">
        <v>6109</v>
      </c>
      <c r="G7" s="11" t="n">
        <v>6398</v>
      </c>
      <c r="H7" s="3" t="n"/>
      <c r="I7" s="3" t="n"/>
    </row>
    <row r="8">
      <c r="A8" s="3" t="inlineStr">
        <is>
          <t>LTRP 2025</t>
        </is>
      </c>
      <c r="B8" s="6" t="n">
        <v>36822</v>
      </c>
      <c r="C8" s="7" t="n">
        <v>1944.47</v>
      </c>
      <c r="D8" s="10" t="n">
        <v>5854</v>
      </c>
      <c r="E8" s="11" t="n">
        <v>6077</v>
      </c>
      <c r="F8" s="11" t="n">
        <v>6317</v>
      </c>
      <c r="G8" s="11" t="n">
        <v>6577</v>
      </c>
      <c r="H8" s="11" t="n">
        <v>6858</v>
      </c>
      <c r="I8" s="3" t="n"/>
    </row>
    <row r="9">
      <c r="A9" s="3" t="inlineStr">
        <is>
          <t>LTRP 2026</t>
        </is>
      </c>
      <c r="B9" s="6" t="n">
        <v>70000</v>
      </c>
      <c r="C9" s="7" t="n">
        <v>2094.65</v>
      </c>
      <c r="D9" s="10" t="n">
        <v>10749</v>
      </c>
      <c r="E9" s="11" t="n">
        <v>11142</v>
      </c>
      <c r="F9" s="11" t="n">
        <v>11567</v>
      </c>
      <c r="G9" s="11" t="n">
        <v>12026</v>
      </c>
      <c r="H9" s="11" t="n">
        <v>12521</v>
      </c>
      <c r="I9" s="11" t="n">
        <v>13056</v>
      </c>
    </row>
    <row r="10">
      <c r="A10" s="12" t="inlineStr">
        <is>
          <t>Total estimado a cobrar por año</t>
        </is>
      </c>
      <c r="B10" s="13" t="n"/>
      <c r="C10" s="13" t="n"/>
      <c r="D10" s="14">
        <f>SUM(D5:D9)</f>
        <v/>
      </c>
      <c r="E10" s="14">
        <f>SUM(E5:E9)</f>
        <v/>
      </c>
      <c r="F10" s="14">
        <f>SUM(F5:F9)</f>
        <v/>
      </c>
      <c r="G10" s="14">
        <f>SUM(G5:G9)</f>
        <v/>
      </c>
      <c r="H10" s="14">
        <f>SUM(H5:H9)</f>
        <v/>
      </c>
      <c r="I10" s="14">
        <f>SUM(I5:I9)</f>
        <v/>
      </c>
    </row>
    <row r="12">
      <c r="A12" s="15" t="inlineStr">
        <is>
          <t>Valor de la acción estimado</t>
        </is>
      </c>
    </row>
    <row r="13" ht="48" customHeight="1">
      <c r="A13" s="16" t="inlineStr">
        <is>
          <t>El valor de acción considerado para el primer año corresponde al promedio de los últimos 60 días de trading al momento de actualizar esta simulación con un ajuste de 3% correspondiente al cierre del 2026. Para los años subsiguientes se considera un crecimiento anual del 8%.</t>
        </is>
      </c>
    </row>
    <row r="14">
      <c r="A14" s="17" t="inlineStr">
        <is>
          <t>Precio estimado</t>
        </is>
      </c>
      <c r="D14" s="18" t="n">
        <v>1765.02</v>
      </c>
      <c r="E14" s="18" t="n">
        <v>1906.22</v>
      </c>
      <c r="F14" s="18" t="n">
        <v>2058.72</v>
      </c>
      <c r="G14" s="18" t="n">
        <v>2223.42</v>
      </c>
      <c r="H14" s="18" t="n">
        <v>2401.29</v>
      </c>
      <c r="I14" s="18" t="n">
        <v>2593.39</v>
      </c>
    </row>
    <row r="16">
      <c r="A16" s="17" t="inlineStr">
        <is>
          <t>Total acumulado pendiente de pago</t>
        </is>
      </c>
      <c r="B16" s="19">
        <f>SUM(D10:I10)</f>
        <v/>
      </c>
    </row>
    <row r="18">
      <c r="A18" s="17" t="inlineStr">
        <is>
          <t>Fórmula por celda</t>
        </is>
      </c>
      <c r="B18" t="inlineStr">
        <is>
          <t>ROUND( (Nominal÷6)×50% + (Nominal÷6)×50% × (P_año / P_otorgamiento) ; 0 )</t>
        </is>
      </c>
    </row>
    <row r="19" ht="36" customHeight="1">
      <c r="A19" s="17" t="inlineStr">
        <is>
          <t>Regla general</t>
        </is>
      </c>
      <c r="B19" s="16" t="inlineStr">
        <is>
          <t>Máximo 6 planes. Cada enero se suma el 1/6 de cada plan activo. Ej.: otorgado 70.000 en 2026 → ene-2027 = 1/6·2026 + 1/6·2025 + … + 1/6·2022, cada tramo ajustado 50/50 por la acción.</t>
        </is>
      </c>
    </row>
  </sheetData>
  <mergeCells count="2">
    <mergeCell ref="B19:I19"/>
    <mergeCell ref="A13:I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33" customWidth="1" min="4" max="4"/>
    <col width="20" customWidth="1" min="5" max="5"/>
    <col width="19" customWidth="1" min="6" max="6"/>
    <col width="19" customWidth="1" min="7" max="7"/>
    <col width="10" customWidth="1" min="8" max="8"/>
    <col width="42" customWidth="1" min="9" max="9"/>
  </cols>
  <sheetData>
    <row r="1">
      <c r="A1" s="2" t="inlineStr">
        <is>
          <t>Concepto</t>
        </is>
      </c>
      <c r="B1" s="2" t="inlineStr">
        <is>
          <t>Año grant</t>
        </is>
      </c>
      <c r="C1" s="2" t="inlineStr">
        <is>
          <t>Valor nominal</t>
        </is>
      </c>
      <c r="D1" s="2" t="inlineStr">
        <is>
          <t>Valor de acción al otorgamiento</t>
        </is>
      </c>
      <c r="E1" s="2" t="inlineStr">
        <is>
          <t>1/6 anual (base)</t>
        </is>
      </c>
      <c r="F1" s="2" t="inlineStr">
        <is>
          <t>Fijo 50% base</t>
        </is>
      </c>
      <c r="G1" s="2" t="inlineStr">
        <is>
          <t>Variable 50% base</t>
        </is>
      </c>
      <c r="H1" s="2" t="inlineStr">
        <is>
          <t>Estado</t>
        </is>
      </c>
      <c r="I1" s="2" t="inlineStr">
        <is>
          <t>Notas</t>
        </is>
      </c>
    </row>
    <row r="2">
      <c r="A2" s="3" t="inlineStr">
        <is>
          <t>LTRP 2022</t>
        </is>
      </c>
      <c r="B2" s="3" t="n">
        <v>2022</v>
      </c>
      <c r="C2" s="6" t="n">
        <v>30000</v>
      </c>
      <c r="D2" s="7" t="n">
        <v>1391.81</v>
      </c>
      <c r="E2" s="7" t="n">
        <v>5000</v>
      </c>
      <c r="F2" s="7" t="n">
        <v>2500</v>
      </c>
      <c r="G2" s="7" t="n">
        <v>2500</v>
      </c>
      <c r="H2" s="3" t="inlineStr">
        <is>
          <t>vigente</t>
        </is>
      </c>
      <c r="I2" s="3" t="inlineStr">
        <is>
          <t>Últimos cobros ene-2027 y ene-2028</t>
        </is>
      </c>
    </row>
    <row r="3">
      <c r="A3" s="3" t="inlineStr">
        <is>
          <t>LTRP 2023</t>
        </is>
      </c>
      <c r="B3" s="3" t="n">
        <v>2023</v>
      </c>
      <c r="C3" s="6" t="n">
        <v>30000</v>
      </c>
      <c r="D3" s="7" t="n">
        <v>888.6900000000001</v>
      </c>
      <c r="E3" s="7" t="n">
        <v>5000</v>
      </c>
      <c r="F3" s="7" t="n">
        <v>2500</v>
      </c>
      <c r="G3" s="7" t="n">
        <v>2500</v>
      </c>
      <c r="H3" s="3" t="inlineStr">
        <is>
          <t>vigente</t>
        </is>
      </c>
      <c r="I3" s="3" t="inlineStr">
        <is>
          <t>Cobros ene-2027 a ene-2029</t>
        </is>
      </c>
    </row>
    <row r="4">
      <c r="A4" s="3" t="inlineStr">
        <is>
          <t>LTRP 2024</t>
        </is>
      </c>
      <c r="B4" s="3" t="n">
        <v>2024</v>
      </c>
      <c r="C4" s="6" t="n">
        <v>30000</v>
      </c>
      <c r="D4" s="7" t="n">
        <v>1426.11</v>
      </c>
      <c r="E4" s="7" t="n">
        <v>5000</v>
      </c>
      <c r="F4" s="7" t="n">
        <v>2500</v>
      </c>
      <c r="G4" s="7" t="n">
        <v>2500</v>
      </c>
      <c r="H4" s="3" t="inlineStr">
        <is>
          <t>vigente</t>
        </is>
      </c>
      <c r="I4" s="3" t="inlineStr">
        <is>
          <t>Cobros ene-2027 a ene-2030</t>
        </is>
      </c>
    </row>
    <row r="5">
      <c r="A5" s="3" t="inlineStr">
        <is>
          <t>LTRP 2025</t>
        </is>
      </c>
      <c r="B5" s="3" t="n">
        <v>2025</v>
      </c>
      <c r="C5" s="6" t="n">
        <v>36822</v>
      </c>
      <c r="D5" s="7" t="n">
        <v>1944.47</v>
      </c>
      <c r="E5" s="7" t="n">
        <v>6137</v>
      </c>
      <c r="F5" s="7" t="n">
        <v>3068.5</v>
      </c>
      <c r="G5" s="7" t="n">
        <v>3068.5</v>
      </c>
      <c r="H5" s="3" t="inlineStr">
        <is>
          <t>vigente</t>
        </is>
      </c>
      <c r="I5" s="3" t="inlineStr">
        <is>
          <t>Cobros ene-2027 a ene-2031</t>
        </is>
      </c>
    </row>
    <row r="6">
      <c r="A6" s="3" t="inlineStr">
        <is>
          <t>LTRP 2026</t>
        </is>
      </c>
      <c r="B6" s="3" t="n">
        <v>2026</v>
      </c>
      <c r="C6" s="6" t="n">
        <v>70000</v>
      </c>
      <c r="D6" s="7" t="n">
        <v>2094.65</v>
      </c>
      <c r="E6" s="7" t="n">
        <v>11666.66666666667</v>
      </c>
      <c r="F6" s="7" t="n">
        <v>5833.333333333333</v>
      </c>
      <c r="G6" s="7" t="n">
        <v>5833.333333333333</v>
      </c>
      <c r="H6" s="3" t="inlineStr">
        <is>
          <t>vigente</t>
        </is>
      </c>
      <c r="I6" s="3" t="inlineStr">
        <is>
          <t>Cobros ene-2027 a ene-2032 · otorgado 70000</t>
        </is>
      </c>
    </row>
    <row r="7">
      <c r="A7" s="20" t="inlineStr">
        <is>
          <t>TOTAL</t>
        </is>
      </c>
      <c r="B7" s="3" t="n"/>
      <c r="C7" s="21">
        <f>SUM(C2:C6)</f>
        <v/>
      </c>
      <c r="D7" s="7" t="n"/>
      <c r="E7" s="22">
        <f>SUM(E2:E6)</f>
        <v/>
      </c>
      <c r="F7" s="22">
        <f>SUM(F2:F6)</f>
        <v/>
      </c>
      <c r="G7" s="22">
        <f>SUM(G2:G6)</f>
        <v/>
      </c>
      <c r="H7" s="3" t="n"/>
      <c r="I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7" customWidth="1" min="1" max="1"/>
    <col width="61" customWidth="1" min="2" max="2"/>
    <col width="70" customWidth="1" min="3" max="3"/>
  </cols>
  <sheetData>
    <row r="1">
      <c r="A1" s="2" t="inlineStr">
        <is>
          <t>Año pago</t>
        </is>
      </c>
      <c r="B1" s="2" t="inlineStr">
        <is>
          <t>Precio acción estimado</t>
        </is>
      </c>
      <c r="C1" s="2" t="inlineStr">
        <is>
          <t>Notas</t>
        </is>
      </c>
    </row>
    <row r="2">
      <c r="A2" s="3" t="n">
        <v>2027</v>
      </c>
      <c r="B2" s="23" t="n">
        <v>1765.02</v>
      </c>
      <c r="C2" s="3" t="inlineStr">
        <is>
          <t>Promedio últimos 60 días de trading al actualizar + ajuste 3% cierre 2026</t>
        </is>
      </c>
    </row>
    <row r="3">
      <c r="A3" s="3" t="n">
        <v>2028</v>
      </c>
      <c r="B3" s="23" t="n">
        <v>1906.22</v>
      </c>
      <c r="C3" s="3" t="inlineStr">
        <is>
          <t>Crecimiento anual 8% sobre año anterior</t>
        </is>
      </c>
    </row>
    <row r="4">
      <c r="A4" s="3" t="n">
        <v>2029</v>
      </c>
      <c r="B4" s="23" t="n">
        <v>2058.72</v>
      </c>
      <c r="C4" s="3" t="inlineStr">
        <is>
          <t>Crecimiento anual 8%</t>
        </is>
      </c>
    </row>
    <row r="5">
      <c r="A5" s="3" t="n">
        <v>2030</v>
      </c>
      <c r="B5" s="23" t="n">
        <v>2223.42</v>
      </c>
      <c r="C5" s="3" t="inlineStr">
        <is>
          <t>Crecimiento anual 8%</t>
        </is>
      </c>
    </row>
    <row r="6">
      <c r="A6" s="3" t="n">
        <v>2031</v>
      </c>
      <c r="B6" s="23" t="n">
        <v>2401.29</v>
      </c>
      <c r="C6" s="3" t="inlineStr">
        <is>
          <t>Crecimiento anual 8%</t>
        </is>
      </c>
    </row>
    <row r="7">
      <c r="A7" s="3" t="n">
        <v>2032</v>
      </c>
      <c r="B7" s="23" t="n">
        <v>2593.39</v>
      </c>
      <c r="C7" s="3" t="inlineStr">
        <is>
          <t>Crecimiento anual 8%</t>
        </is>
      </c>
    </row>
    <row r="8"/>
    <row r="9">
      <c r="A9" s="17" t="inlineStr">
        <is>
          <t>Metodología</t>
        </is>
      </c>
      <c r="B9" t="inlineStr"/>
    </row>
    <row r="10">
      <c r="A10" t="inlineStr">
        <is>
          <t>Año 1 (2027)</t>
        </is>
      </c>
      <c r="B10" t="inlineStr">
        <is>
          <t>Promedio últimos 60 días de trading + ajuste 3% cierre 2026</t>
        </is>
      </c>
    </row>
    <row r="11">
      <c r="A11" t="inlineStr">
        <is>
          <t>Años siguientes</t>
        </is>
      </c>
      <c r="B11" t="inlineStr">
        <is>
          <t>Crecimiento anual 8%</t>
        </is>
      </c>
    </row>
    <row r="12">
      <c r="A12" t="inlineStr">
        <is>
          <t>Fórmula pago</t>
        </is>
      </c>
      <c r="B12" t="inlineStr">
        <is>
          <t>ROUND((N/6)*50% + (N/6)*50%*(P_año/P_otorgamiento); 0)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24" t="inlineStr">
        <is>
          <t>Plan</t>
        </is>
      </c>
      <c r="B1" s="24" t="inlineStr">
        <is>
          <t>31/01/2023</t>
        </is>
      </c>
      <c r="C1" s="24" t="inlineStr">
        <is>
          <t>31/01/2024</t>
        </is>
      </c>
      <c r="D1" s="24" t="inlineStr">
        <is>
          <t>31/01/2025</t>
        </is>
      </c>
      <c r="E1" s="24" t="inlineStr">
        <is>
          <t>31/01/2026</t>
        </is>
      </c>
      <c r="F1" s="24" t="inlineStr">
        <is>
          <t>31/01/2027</t>
        </is>
      </c>
      <c r="G1" s="24" t="inlineStr">
        <is>
          <t>31/01/2028</t>
        </is>
      </c>
      <c r="H1" s="24" t="inlineStr">
        <is>
          <t>31/01/2029</t>
        </is>
      </c>
      <c r="I1" s="24" t="inlineStr">
        <is>
          <t>31/01/2030</t>
        </is>
      </c>
      <c r="J1" s="24" t="inlineStr">
        <is>
          <t>31/01/2031</t>
        </is>
      </c>
      <c r="K1" s="24" t="inlineStr">
        <is>
          <t>31/01/2032</t>
        </is>
      </c>
    </row>
    <row r="2">
      <c r="A2" s="25" t="inlineStr">
        <is>
          <t>LTRP 2022</t>
        </is>
      </c>
      <c r="B2" s="25" t="inlineStr">
        <is>
          <t>1/6</t>
        </is>
      </c>
      <c r="C2" s="25" t="inlineStr">
        <is>
          <t>2/6</t>
        </is>
      </c>
      <c r="D2" s="25" t="inlineStr">
        <is>
          <t>3/6</t>
        </is>
      </c>
      <c r="E2" s="25" t="inlineStr">
        <is>
          <t>4/6</t>
        </is>
      </c>
      <c r="F2" s="25" t="inlineStr">
        <is>
          <t>5/6</t>
        </is>
      </c>
      <c r="G2" s="25" t="inlineStr">
        <is>
          <t>6/6</t>
        </is>
      </c>
      <c r="H2" s="25" t="inlineStr"/>
      <c r="I2" s="25" t="inlineStr"/>
      <c r="J2" s="25" t="inlineStr"/>
      <c r="K2" s="25" t="inlineStr"/>
    </row>
    <row r="3">
      <c r="A3" s="25" t="inlineStr">
        <is>
          <t>LTRP 2023</t>
        </is>
      </c>
      <c r="B3" s="25" t="inlineStr"/>
      <c r="C3" s="25" t="inlineStr">
        <is>
          <t>1/6</t>
        </is>
      </c>
      <c r="D3" s="25" t="inlineStr">
        <is>
          <t>2/6</t>
        </is>
      </c>
      <c r="E3" s="25" t="inlineStr">
        <is>
          <t>3/6</t>
        </is>
      </c>
      <c r="F3" s="25" t="inlineStr">
        <is>
          <t>4/6</t>
        </is>
      </c>
      <c r="G3" s="25" t="inlineStr">
        <is>
          <t>5/6</t>
        </is>
      </c>
      <c r="H3" s="25" t="inlineStr">
        <is>
          <t>6/6</t>
        </is>
      </c>
      <c r="I3" s="25" t="inlineStr"/>
      <c r="J3" s="25" t="inlineStr"/>
      <c r="K3" s="25" t="inlineStr"/>
    </row>
    <row r="4">
      <c r="A4" s="25" t="inlineStr">
        <is>
          <t>LTRP 2024</t>
        </is>
      </c>
      <c r="B4" s="25" t="inlineStr"/>
      <c r="C4" s="25" t="inlineStr"/>
      <c r="D4" s="25" t="inlineStr">
        <is>
          <t>1/6</t>
        </is>
      </c>
      <c r="E4" s="25" t="inlineStr">
        <is>
          <t>2/6</t>
        </is>
      </c>
      <c r="F4" s="25" t="inlineStr">
        <is>
          <t>3/6</t>
        </is>
      </c>
      <c r="G4" s="25" t="inlineStr">
        <is>
          <t>4/6</t>
        </is>
      </c>
      <c r="H4" s="25" t="inlineStr">
        <is>
          <t>5/6</t>
        </is>
      </c>
      <c r="I4" s="25" t="inlineStr">
        <is>
          <t>6/6</t>
        </is>
      </c>
      <c r="J4" s="25" t="inlineStr"/>
      <c r="K4" s="25" t="inlineStr"/>
    </row>
    <row r="5">
      <c r="A5" s="25" t="inlineStr">
        <is>
          <t>LTRP 2025</t>
        </is>
      </c>
      <c r="B5" s="25" t="inlineStr"/>
      <c r="C5" s="25" t="inlineStr"/>
      <c r="D5" s="25" t="inlineStr"/>
      <c r="E5" s="25" t="inlineStr">
        <is>
          <t>1/6</t>
        </is>
      </c>
      <c r="F5" s="25" t="inlineStr">
        <is>
          <t>2/6</t>
        </is>
      </c>
      <c r="G5" s="25" t="inlineStr">
        <is>
          <t>3/6</t>
        </is>
      </c>
      <c r="H5" s="25" t="inlineStr">
        <is>
          <t>4/6</t>
        </is>
      </c>
      <c r="I5" s="25" t="inlineStr">
        <is>
          <t>5/6</t>
        </is>
      </c>
      <c r="J5" s="25" t="inlineStr">
        <is>
          <t>6/6</t>
        </is>
      </c>
      <c r="K5" s="25" t="inlineStr"/>
    </row>
    <row r="6">
      <c r="A6" s="25" t="inlineStr">
        <is>
          <t>LTRP 2026</t>
        </is>
      </c>
      <c r="B6" s="25" t="inlineStr"/>
      <c r="C6" s="25" t="inlineStr"/>
      <c r="D6" s="25" t="inlineStr"/>
      <c r="E6" s="25" t="inlineStr"/>
      <c r="F6" s="25" t="inlineStr">
        <is>
          <t>1/6</t>
        </is>
      </c>
      <c r="G6" s="25" t="inlineStr">
        <is>
          <t>2/6</t>
        </is>
      </c>
      <c r="H6" s="25" t="inlineStr">
        <is>
          <t>3/6</t>
        </is>
      </c>
      <c r="I6" s="25" t="inlineStr">
        <is>
          <t>4/6</t>
        </is>
      </c>
      <c r="J6" s="25" t="inlineStr">
        <is>
          <t>5/6</t>
        </is>
      </c>
      <c r="K6" s="25" t="inlineStr">
        <is>
          <t>6/6</t>
        </is>
      </c>
    </row>
    <row r="7">
      <c r="A7" s="26" t="inlineStr">
        <is>
          <t># planes</t>
        </is>
      </c>
      <c r="B7" s="26" t="n">
        <v>1</v>
      </c>
      <c r="C7" s="26" t="n">
        <v>2</v>
      </c>
      <c r="D7" s="26" t="n">
        <v>3</v>
      </c>
      <c r="E7" s="26" t="n">
        <v>4</v>
      </c>
      <c r="F7" s="26" t="n">
        <v>5</v>
      </c>
      <c r="G7" s="26" t="n">
        <v>5</v>
      </c>
      <c r="H7" s="26" t="n">
        <v>4</v>
      </c>
      <c r="I7" s="26" t="n">
        <v>3</v>
      </c>
      <c r="J7" s="26" t="n">
        <v>2</v>
      </c>
      <c r="K7" s="26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6" customWidth="1" min="3" max="3"/>
    <col width="20" customWidth="1" min="4" max="4"/>
    <col width="19" customWidth="1" min="5" max="5"/>
    <col width="31" customWidth="1" min="6" max="6"/>
    <col width="20" customWidth="1" min="7" max="7"/>
    <col width="26" customWidth="1" min="8" max="8"/>
  </cols>
  <sheetData>
    <row r="1">
      <c r="A1" s="27" t="inlineStr">
        <is>
          <t>Detalle ene-2027 — base 50/50 × precio acción</t>
        </is>
      </c>
    </row>
    <row r="2">
      <c r="A2" t="inlineStr">
        <is>
          <t>Precio acción estimado 2027: 1765.02</t>
        </is>
      </c>
    </row>
    <row r="3"/>
    <row r="4">
      <c r="A4" s="2" t="inlineStr">
        <is>
          <t>Plan</t>
        </is>
      </c>
      <c r="B4" s="2" t="inlineStr">
        <is>
          <t>Nominal</t>
        </is>
      </c>
      <c r="C4" s="2" t="inlineStr">
        <is>
          <t>P otorgamiento</t>
        </is>
      </c>
      <c r="D4" s="2" t="inlineStr">
        <is>
          <t>1/6</t>
        </is>
      </c>
      <c r="E4" s="2" t="inlineStr">
        <is>
          <t>Fijo 50%</t>
        </is>
      </c>
      <c r="F4" s="2" t="inlineStr">
        <is>
          <t>Variable 50% × (P2027/Pgrant)</t>
        </is>
      </c>
      <c r="G4" s="2" t="inlineStr">
        <is>
          <t>Total (sin round)</t>
        </is>
      </c>
      <c r="H4" s="2" t="inlineStr">
        <is>
          <t>Total simulación (round)</t>
        </is>
      </c>
    </row>
    <row r="5">
      <c r="A5" s="3" t="inlineStr">
        <is>
          <t>LTRP 2022</t>
        </is>
      </c>
      <c r="B5" s="6" t="n">
        <v>30000</v>
      </c>
      <c r="C5" s="7" t="n">
        <v>1391.81</v>
      </c>
      <c r="D5" s="7" t="n">
        <v>5000</v>
      </c>
      <c r="E5" s="7" t="n">
        <v>2500</v>
      </c>
      <c r="F5" s="7" t="n">
        <v>3170.368081850253</v>
      </c>
      <c r="G5" s="7" t="n">
        <v>5670.368081850253</v>
      </c>
      <c r="H5" s="6" t="n">
        <v>5670</v>
      </c>
    </row>
    <row r="6">
      <c r="A6" s="3" t="inlineStr">
        <is>
          <t>LTRP 2023</t>
        </is>
      </c>
      <c r="B6" s="6" t="n">
        <v>30000</v>
      </c>
      <c r="C6" s="7" t="n">
        <v>888.6900000000001</v>
      </c>
      <c r="D6" s="7" t="n">
        <v>5000</v>
      </c>
      <c r="E6" s="7" t="n">
        <v>2500</v>
      </c>
      <c r="F6" s="7" t="n">
        <v>4965.229720149883</v>
      </c>
      <c r="G6" s="7" t="n">
        <v>7465.229720149883</v>
      </c>
      <c r="H6" s="6" t="n">
        <v>7465</v>
      </c>
    </row>
    <row r="7">
      <c r="A7" s="3" t="inlineStr">
        <is>
          <t>LTRP 2024</t>
        </is>
      </c>
      <c r="B7" s="6" t="n">
        <v>30000</v>
      </c>
      <c r="C7" s="7" t="n">
        <v>1426.11</v>
      </c>
      <c r="D7" s="7" t="n">
        <v>5000</v>
      </c>
      <c r="E7" s="7" t="n">
        <v>2500</v>
      </c>
      <c r="F7" s="7" t="n">
        <v>3094.11616214738</v>
      </c>
      <c r="G7" s="7" t="n">
        <v>5594.11616214738</v>
      </c>
      <c r="H7" s="6" t="n">
        <v>5594</v>
      </c>
    </row>
    <row r="8">
      <c r="A8" s="3" t="inlineStr">
        <is>
          <t>LTRP 2025</t>
        </is>
      </c>
      <c r="B8" s="6" t="n">
        <v>36822</v>
      </c>
      <c r="C8" s="7" t="n">
        <v>1944.47</v>
      </c>
      <c r="D8" s="7" t="n">
        <v>6137</v>
      </c>
      <c r="E8" s="7" t="n">
        <v>3068.5</v>
      </c>
      <c r="F8" s="7" t="n">
        <v>2785.316240415126</v>
      </c>
      <c r="G8" s="7" t="n">
        <v>5853.816240415126</v>
      </c>
      <c r="H8" s="6" t="n">
        <v>5854</v>
      </c>
    </row>
    <row r="9">
      <c r="A9" s="3" t="inlineStr">
        <is>
          <t>LTRP 2026</t>
        </is>
      </c>
      <c r="B9" s="6" t="n">
        <v>70000</v>
      </c>
      <c r="C9" s="7" t="n">
        <v>2094.65</v>
      </c>
      <c r="D9" s="7" t="n">
        <v>11666.66666666667</v>
      </c>
      <c r="E9" s="7" t="n">
        <v>5833.333333333333</v>
      </c>
      <c r="F9" s="7" t="n">
        <v>4915.355787363043</v>
      </c>
      <c r="G9" s="7" t="n">
        <v>10748.68912069638</v>
      </c>
      <c r="H9" s="6" t="n">
        <v>10749</v>
      </c>
    </row>
    <row r="10">
      <c r="A10" s="4" t="inlineStr">
        <is>
          <t>TOTAL</t>
        </is>
      </c>
      <c r="B10" s="5">
        <f>SUM(B5:B9)</f>
        <v/>
      </c>
      <c r="C10" s="4" t="inlineStr"/>
      <c r="D10" s="28">
        <f>SUM(D5:D9)</f>
        <v/>
      </c>
      <c r="E10" s="28">
        <f>SUM(E5:E9)</f>
        <v/>
      </c>
      <c r="F10" s="28">
        <f>SUM(F5:F9)</f>
        <v/>
      </c>
      <c r="G10" s="28">
        <f>SUM(G5:G9)</f>
        <v/>
      </c>
      <c r="H10" s="5">
        <f>SUM(H5:H9)</f>
        <v/>
      </c>
    </row>
    <row r="11"/>
    <row r="12">
      <c r="A12" t="inlineStr">
        <is>
          <t>Base sin acción (factor 1,0)</t>
        </is>
      </c>
      <c r="B12" s="29" t="n">
        <v>32803.67</v>
      </c>
    </row>
    <row r="13">
      <c r="A13" t="inlineStr">
        <is>
          <t>Estimado con acción (simulación)</t>
        </is>
      </c>
      <c r="B13" s="29" t="n">
        <v>35332</v>
      </c>
    </row>
    <row r="14">
      <c r="A14" t="inlineStr">
        <is>
          <t>Diferencia = efecto valor de la acción</t>
        </is>
      </c>
      <c r="B14" s="29" t="n">
        <v>2528.330000000002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2026-08-06T15:42:39Z</dcterms:created>
  <dcterms:modified xsi:type="dcterms:W3CDTF">2026-08-06T15:42:39Z</dcterms:modified>
</cp:coreProperties>
</file>
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lanes vigentes" sheetId="2" state="visible" r:id="rId2"/>
    <sheet name="Calendario vesting" sheetId="3" state="visible" r:id="rId3"/>
    <sheet name="Matriz USD base" sheetId="4" state="visible" r:id="rId4"/>
    <sheet name="Simulación pagos" sheetId="5" state="visible" r:id="rId5"/>
    <sheet name="Detalle pago 2027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  <sz val="14"/>
    </font>
    <font>
      <b val="1"/>
    </font>
    <font>
      <b val="1"/>
      <color rgb="001F4E79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3" fillId="3" borderId="1" pivotButton="0" quotePrefix="0" xfId="0"/>
    <xf numFmtId="4" fontId="3" fillId="3" borderId="1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4" fontId="3" fillId="3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164" fontId="0" fillId="4" borderId="1" pivotButton="0" quotePrefix="0" xfId="0"/>
    <xf numFmtId="0" fontId="4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9" customWidth="1" min="1" max="1"/>
    <col width="80" customWidth="1" min="2" max="2"/>
  </cols>
  <sheetData>
    <row r="1">
      <c r="A1" s="1" t="inlineStr">
        <is>
          <t>Campo</t>
        </is>
      </c>
      <c r="B1" s="2" t="inlineStr">
        <is>
          <t>Valor</t>
        </is>
      </c>
    </row>
    <row r="2">
      <c r="A2" s="3" t="inlineStr">
        <is>
          <t>Long Term Retention Program (LTRP)</t>
        </is>
      </c>
      <c r="B2" s="3" t="inlineStr"/>
    </row>
    <row r="3">
      <c r="A3" s="3" t="inlineStr">
        <is>
          <t>Última actualización</t>
        </is>
      </c>
      <c r="B3" s="3" t="inlineStr">
        <is>
          <t>agosto 2026</t>
        </is>
      </c>
    </row>
    <row r="4">
      <c r="A4" s="3" t="inlineStr">
        <is>
          <t>Moneda</t>
        </is>
      </c>
      <c r="B4" s="3" t="inlineStr">
        <is>
          <t>USD</t>
        </is>
      </c>
    </row>
    <row r="5">
      <c r="A5" s="3" t="inlineStr">
        <is>
          <t>Duración por plan</t>
        </is>
      </c>
      <c r="B5" s="3" t="inlineStr">
        <is>
          <t>6 años (1/6 por año)</t>
        </is>
      </c>
    </row>
    <row r="6">
      <c r="A6" s="3" t="inlineStr">
        <is>
          <t>Composición del pago</t>
        </is>
      </c>
      <c r="B6" s="3" t="inlineStr">
        <is>
          <t>50% fijo + 50% variable (acción MELI)</t>
        </is>
      </c>
    </row>
    <row r="7">
      <c r="A7" s="3" t="inlineStr">
        <is>
          <t>Fecha de pago</t>
        </is>
      </c>
      <c r="B7" s="3" t="inlineStr">
        <is>
          <t>31/01 del año siguiente al período calculado</t>
        </is>
      </c>
    </row>
    <row r="8">
      <c r="A8" s="3" t="inlineStr"/>
      <c r="B8" s="4" t="inlineStr"/>
    </row>
    <row r="9">
      <c r="A9" s="3" t="inlineStr">
        <is>
          <t>Estimación de pago para 2027</t>
        </is>
      </c>
      <c r="B9" s="4" t="n">
        <v>35332</v>
      </c>
    </row>
    <row r="10">
      <c r="A10" s="3" t="inlineStr">
        <is>
          <t>Base total 2027 (factor MELI = 1,0)</t>
        </is>
      </c>
      <c r="B10" s="3" t="n">
        <v>32803.67</v>
      </c>
    </row>
    <row r="11">
      <c r="A11" s="3" t="inlineStr">
        <is>
          <t>Factor MELI implícito (solo variable)</t>
        </is>
      </c>
      <c r="B11" s="3" t="n">
        <v>1.1542</v>
      </c>
    </row>
    <row r="12">
      <c r="A12" s="3" t="inlineStr"/>
      <c r="B12" s="4" t="inlineStr"/>
    </row>
    <row r="13">
      <c r="A13" s="3" t="inlineStr">
        <is>
          <t>Total valor nominal planes vigentes</t>
        </is>
      </c>
      <c r="B13" s="3" t="n">
        <v>196822</v>
      </c>
    </row>
    <row r="14">
      <c r="A14" s="3" t="inlineStr">
        <is>
          <t>Planes vigentes</t>
        </is>
      </c>
      <c r="B14" s="3" t="n">
        <v>5</v>
      </c>
    </row>
    <row r="15">
      <c r="A15" s="3" t="inlineStr"/>
      <c r="B15" s="3" t="inlineStr"/>
    </row>
    <row r="16">
      <c r="A16" s="3" t="inlineStr">
        <is>
          <t>Nota</t>
        </is>
      </c>
      <c r="B16" s="3" t="inlineStr">
        <is>
          <t>El 50% variable depende de la acción MELI. La estimación del portal puede diferir de la base a factor 1,0. Esta carpeta trackea ingreso por bono; no es gasto CIUDAD/SOL.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9" customWidth="1" min="3" max="3"/>
    <col width="21" customWidth="1" min="4" max="4"/>
    <col width="17" customWidth="1" min="5" max="5"/>
    <col width="23" customWidth="1" min="6" max="6"/>
    <col width="10" customWidth="1" min="7" max="7"/>
    <col width="42" customWidth="1" min="8" max="8"/>
  </cols>
  <sheetData>
    <row r="1">
      <c r="A1" s="2" t="inlineStr">
        <is>
          <t>Plan</t>
        </is>
      </c>
      <c r="B1" s="2" t="inlineStr">
        <is>
          <t>Año grant</t>
        </is>
      </c>
      <c r="C1" s="2" t="inlineStr">
        <is>
          <t>Valor nominal USD</t>
        </is>
      </c>
      <c r="D1" s="2" t="inlineStr">
        <is>
          <t>Tramo anual 1/6 USD</t>
        </is>
      </c>
      <c r="E1" s="2" t="inlineStr">
        <is>
          <t>Fijo 50% USD</t>
        </is>
      </c>
      <c r="F1" s="2" t="inlineStr">
        <is>
          <t>Variable 50% base USD</t>
        </is>
      </c>
      <c r="G1" s="2" t="inlineStr">
        <is>
          <t>Estado</t>
        </is>
      </c>
      <c r="H1" s="2" t="inlineStr">
        <is>
          <t>Notas</t>
        </is>
      </c>
    </row>
    <row r="2">
      <c r="A2" s="3" t="inlineStr">
        <is>
          <t>LTRP 2022</t>
        </is>
      </c>
      <c r="B2" s="3" t="n">
        <v>2022</v>
      </c>
      <c r="C2" s="4" t="n">
        <v>30000</v>
      </c>
      <c r="D2" s="4" t="n">
        <v>5000</v>
      </c>
      <c r="E2" s="4" t="n">
        <v>2500</v>
      </c>
      <c r="F2" s="4" t="n">
        <v>2500</v>
      </c>
      <c r="G2" s="3" t="inlineStr">
        <is>
          <t>vigente</t>
        </is>
      </c>
      <c r="H2" s="3" t="inlineStr">
        <is>
          <t>Primer pago 31/01/2023 · último 31/01/2028</t>
        </is>
      </c>
    </row>
    <row r="3">
      <c r="A3" s="3" t="inlineStr">
        <is>
          <t>LTRP 2023</t>
        </is>
      </c>
      <c r="B3" s="3" t="n">
        <v>2023</v>
      </c>
      <c r="C3" s="4" t="n">
        <v>30000</v>
      </c>
      <c r="D3" s="4" t="n">
        <v>5000</v>
      </c>
      <c r="E3" s="4" t="n">
        <v>2500</v>
      </c>
      <c r="F3" s="4" t="n">
        <v>2500</v>
      </c>
      <c r="G3" s="3" t="inlineStr">
        <is>
          <t>vigente</t>
        </is>
      </c>
      <c r="H3" s="3" t="inlineStr">
        <is>
          <t>Primer pago 31/01/2024 · último 31/01/2029</t>
        </is>
      </c>
    </row>
    <row r="4">
      <c r="A4" s="3" t="inlineStr">
        <is>
          <t>LTRP 2024</t>
        </is>
      </c>
      <c r="B4" s="3" t="n">
        <v>2024</v>
      </c>
      <c r="C4" s="4" t="n">
        <v>30000</v>
      </c>
      <c r="D4" s="4" t="n">
        <v>5000</v>
      </c>
      <c r="E4" s="4" t="n">
        <v>2500</v>
      </c>
      <c r="F4" s="4" t="n">
        <v>2500</v>
      </c>
      <c r="G4" s="3" t="inlineStr">
        <is>
          <t>vigente</t>
        </is>
      </c>
      <c r="H4" s="3" t="inlineStr">
        <is>
          <t>Primer pago 31/01/2025 · último 31/01/2030</t>
        </is>
      </c>
    </row>
    <row r="5">
      <c r="A5" s="3" t="inlineStr">
        <is>
          <t>LTRP 2025</t>
        </is>
      </c>
      <c r="B5" s="3" t="n">
        <v>2025</v>
      </c>
      <c r="C5" s="4" t="n">
        <v>36822</v>
      </c>
      <c r="D5" s="4" t="n">
        <v>6137</v>
      </c>
      <c r="E5" s="4" t="n">
        <v>3068.5</v>
      </c>
      <c r="F5" s="4" t="n">
        <v>3068.5</v>
      </c>
      <c r="G5" s="3" t="inlineStr">
        <is>
          <t>vigente</t>
        </is>
      </c>
      <c r="H5" s="3" t="inlineStr">
        <is>
          <t>Primer pago 31/01/2026 · último 31/01/2031</t>
        </is>
      </c>
    </row>
    <row r="6">
      <c r="A6" s="3" t="inlineStr">
        <is>
          <t>LTRP 2026</t>
        </is>
      </c>
      <c r="B6" s="3" t="n">
        <v>2026</v>
      </c>
      <c r="C6" s="4" t="n">
        <v>70000</v>
      </c>
      <c r="D6" s="4" t="n">
        <v>11666.6666666667</v>
      </c>
      <c r="E6" s="4" t="n">
        <v>5833.3333333333</v>
      </c>
      <c r="F6" s="4" t="n">
        <v>5833.3333333333</v>
      </c>
      <c r="G6" s="3" t="inlineStr">
        <is>
          <t>vigente</t>
        </is>
      </c>
      <c r="H6" s="3" t="inlineStr">
        <is>
          <t>Primer pago 31/01/2027 · último 31/01/2032</t>
        </is>
      </c>
    </row>
    <row r="7">
      <c r="A7" s="5" t="inlineStr">
        <is>
          <t>TOTAL</t>
        </is>
      </c>
      <c r="B7" s="3" t="n"/>
      <c r="C7" s="6">
        <f>SUM(C2:C6)</f>
        <v/>
      </c>
      <c r="D7" s="6">
        <f>SUM(D2:D6)</f>
        <v/>
      </c>
      <c r="E7" s="6">
        <f>SUM(E2:E6)</f>
        <v/>
      </c>
      <c r="F7" s="6">
        <f>SUM(F2:F6)</f>
        <v/>
      </c>
      <c r="G7" s="3" t="n"/>
      <c r="H7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7" t="inlineStr">
        <is>
          <t>Plan</t>
        </is>
      </c>
      <c r="B1" s="7" t="inlineStr">
        <is>
          <t>Pago 2023 (31/01/2023)</t>
        </is>
      </c>
      <c r="C1" s="7" t="inlineStr">
        <is>
          <t>Pago 2024 (31/01/2024)</t>
        </is>
      </c>
      <c r="D1" s="7" t="inlineStr">
        <is>
          <t>Pago 2025 (31/01/2025)</t>
        </is>
      </c>
      <c r="E1" s="7" t="inlineStr">
        <is>
          <t>Pago 2026 (31/01/2026)</t>
        </is>
      </c>
      <c r="F1" s="7" t="inlineStr">
        <is>
          <t>Pago 2027 (31/01/2027)</t>
        </is>
      </c>
      <c r="G1" s="7" t="inlineStr">
        <is>
          <t>Pago 2028 (31/01/2028)</t>
        </is>
      </c>
      <c r="H1" s="7" t="inlineStr">
        <is>
          <t>Pago 2029 (31/01/2029)</t>
        </is>
      </c>
      <c r="I1" s="7" t="inlineStr">
        <is>
          <t>Pago 2030 (31/01/2030)</t>
        </is>
      </c>
      <c r="J1" s="7" t="inlineStr">
        <is>
          <t>Pago 2031 (31/01/2031)</t>
        </is>
      </c>
      <c r="K1" s="7" t="inlineStr">
        <is>
          <t>Pago 2032 (31/01/2032)</t>
        </is>
      </c>
    </row>
    <row r="2">
      <c r="A2" s="8" t="inlineStr">
        <is>
          <t>LTRP 2022</t>
        </is>
      </c>
      <c r="B2" s="8" t="inlineStr">
        <is>
          <t>1/6</t>
        </is>
      </c>
      <c r="C2" s="8" t="inlineStr">
        <is>
          <t>2/6</t>
        </is>
      </c>
      <c r="D2" s="8" t="inlineStr">
        <is>
          <t>3/6</t>
        </is>
      </c>
      <c r="E2" s="8" t="inlineStr">
        <is>
          <t>4/6</t>
        </is>
      </c>
      <c r="F2" s="8" t="inlineStr">
        <is>
          <t>5/6</t>
        </is>
      </c>
      <c r="G2" s="8" t="inlineStr">
        <is>
          <t>6/6</t>
        </is>
      </c>
      <c r="H2" s="8" t="inlineStr"/>
      <c r="I2" s="8" t="inlineStr"/>
      <c r="J2" s="8" t="inlineStr"/>
      <c r="K2" s="8" t="inlineStr"/>
    </row>
    <row r="3">
      <c r="A3" s="8" t="inlineStr">
        <is>
          <t>LTRP 2023</t>
        </is>
      </c>
      <c r="B3" s="8" t="inlineStr"/>
      <c r="C3" s="8" t="inlineStr">
        <is>
          <t>1/6</t>
        </is>
      </c>
      <c r="D3" s="8" t="inlineStr">
        <is>
          <t>2/6</t>
        </is>
      </c>
      <c r="E3" s="8" t="inlineStr">
        <is>
          <t>3/6</t>
        </is>
      </c>
      <c r="F3" s="8" t="inlineStr">
        <is>
          <t>4/6</t>
        </is>
      </c>
      <c r="G3" s="8" t="inlineStr">
        <is>
          <t>5/6</t>
        </is>
      </c>
      <c r="H3" s="8" t="inlineStr">
        <is>
          <t>6/6</t>
        </is>
      </c>
      <c r="I3" s="8" t="inlineStr"/>
      <c r="J3" s="8" t="inlineStr"/>
      <c r="K3" s="8" t="inlineStr"/>
    </row>
    <row r="4">
      <c r="A4" s="8" t="inlineStr">
        <is>
          <t>LTRP 2024</t>
        </is>
      </c>
      <c r="B4" s="8" t="inlineStr"/>
      <c r="C4" s="8" t="inlineStr"/>
      <c r="D4" s="8" t="inlineStr">
        <is>
          <t>1/6</t>
        </is>
      </c>
      <c r="E4" s="8" t="inlineStr">
        <is>
          <t>2/6</t>
        </is>
      </c>
      <c r="F4" s="8" t="inlineStr">
        <is>
          <t>3/6</t>
        </is>
      </c>
      <c r="G4" s="8" t="inlineStr">
        <is>
          <t>4/6</t>
        </is>
      </c>
      <c r="H4" s="8" t="inlineStr">
        <is>
          <t>5/6</t>
        </is>
      </c>
      <c r="I4" s="8" t="inlineStr">
        <is>
          <t>6/6</t>
        </is>
      </c>
      <c r="J4" s="8" t="inlineStr"/>
      <c r="K4" s="8" t="inlineStr"/>
    </row>
    <row r="5">
      <c r="A5" s="8" t="inlineStr">
        <is>
          <t>LTRP 2025</t>
        </is>
      </c>
      <c r="B5" s="8" t="inlineStr"/>
      <c r="C5" s="8" t="inlineStr"/>
      <c r="D5" s="8" t="inlineStr"/>
      <c r="E5" s="8" t="inlineStr">
        <is>
          <t>1/6</t>
        </is>
      </c>
      <c r="F5" s="8" t="inlineStr">
        <is>
          <t>2/6</t>
        </is>
      </c>
      <c r="G5" s="8" t="inlineStr">
        <is>
          <t>3/6</t>
        </is>
      </c>
      <c r="H5" s="8" t="inlineStr">
        <is>
          <t>4/6</t>
        </is>
      </c>
      <c r="I5" s="8" t="inlineStr">
        <is>
          <t>5/6</t>
        </is>
      </c>
      <c r="J5" s="8" t="inlineStr">
        <is>
          <t>6/6</t>
        </is>
      </c>
      <c r="K5" s="8" t="inlineStr"/>
    </row>
    <row r="6">
      <c r="A6" s="8" t="inlineStr">
        <is>
          <t>LTRP 2026</t>
        </is>
      </c>
      <c r="B6" s="8" t="inlineStr"/>
      <c r="C6" s="8" t="inlineStr"/>
      <c r="D6" s="8" t="inlineStr"/>
      <c r="E6" s="8" t="inlineStr"/>
      <c r="F6" s="8" t="inlineStr">
        <is>
          <t>1/6</t>
        </is>
      </c>
      <c r="G6" s="8" t="inlineStr">
        <is>
          <t>2/6</t>
        </is>
      </c>
      <c r="H6" s="8" t="inlineStr">
        <is>
          <t>3/6</t>
        </is>
      </c>
      <c r="I6" s="8" t="inlineStr">
        <is>
          <t>4/6</t>
        </is>
      </c>
      <c r="J6" s="8" t="inlineStr">
        <is>
          <t>5/6</t>
        </is>
      </c>
      <c r="K6" s="8" t="inlineStr">
        <is>
          <t>6/6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12" customWidth="1" min="13" max="13"/>
  </cols>
  <sheetData>
    <row r="1">
      <c r="A1" s="2" t="inlineStr">
        <is>
          <t>Plan</t>
        </is>
      </c>
      <c r="B1" s="2" t="inlineStr">
        <is>
          <t>Nominal USD</t>
        </is>
      </c>
      <c r="C1" s="2" t="inlineStr">
        <is>
          <t>2023</t>
        </is>
      </c>
      <c r="D1" s="2" t="inlineStr">
        <is>
          <t>2024</t>
        </is>
      </c>
      <c r="E1" s="2" t="inlineStr">
        <is>
          <t>2025</t>
        </is>
      </c>
      <c r="F1" s="2" t="inlineStr">
        <is>
          <t>2026</t>
        </is>
      </c>
      <c r="G1" s="2" t="inlineStr">
        <is>
          <t>2027</t>
        </is>
      </c>
      <c r="H1" s="2" t="inlineStr">
        <is>
          <t>2028</t>
        </is>
      </c>
      <c r="I1" s="2" t="inlineStr">
        <is>
          <t>2029</t>
        </is>
      </c>
      <c r="J1" s="2" t="inlineStr">
        <is>
          <t>2030</t>
        </is>
      </c>
      <c r="K1" s="2" t="inlineStr">
        <is>
          <t>2031</t>
        </is>
      </c>
      <c r="L1" s="2" t="inlineStr">
        <is>
          <t>2032</t>
        </is>
      </c>
      <c r="M1" s="2" t="inlineStr">
        <is>
          <t>Total plan</t>
        </is>
      </c>
    </row>
    <row r="2">
      <c r="A2" s="3" t="inlineStr">
        <is>
          <t>LTRP 2022</t>
        </is>
      </c>
      <c r="B2" s="9" t="n">
        <v>30000</v>
      </c>
      <c r="C2" s="9" t="n">
        <v>5000</v>
      </c>
      <c r="D2" s="9" t="n">
        <v>5000</v>
      </c>
      <c r="E2" s="9" t="n">
        <v>5000</v>
      </c>
      <c r="F2" s="9" t="n">
        <v>5000</v>
      </c>
      <c r="G2" s="9" t="n">
        <v>5000</v>
      </c>
      <c r="H2" s="9" t="n">
        <v>5000</v>
      </c>
      <c r="I2" s="8" t="n"/>
      <c r="J2" s="8" t="n"/>
      <c r="K2" s="8" t="n"/>
      <c r="L2" s="8" t="n"/>
      <c r="M2" s="9" t="n">
        <v>30000</v>
      </c>
    </row>
    <row r="3">
      <c r="A3" s="3" t="inlineStr">
        <is>
          <t>LTRP 2023</t>
        </is>
      </c>
      <c r="B3" s="9" t="n">
        <v>30000</v>
      </c>
      <c r="C3" s="8" t="n"/>
      <c r="D3" s="9" t="n">
        <v>5000</v>
      </c>
      <c r="E3" s="9" t="n">
        <v>5000</v>
      </c>
      <c r="F3" s="9" t="n">
        <v>5000</v>
      </c>
      <c r="G3" s="9" t="n">
        <v>5000</v>
      </c>
      <c r="H3" s="9" t="n">
        <v>5000</v>
      </c>
      <c r="I3" s="9" t="n">
        <v>5000</v>
      </c>
      <c r="J3" s="8" t="n"/>
      <c r="K3" s="8" t="n"/>
      <c r="L3" s="8" t="n"/>
      <c r="M3" s="9" t="n">
        <v>30000</v>
      </c>
    </row>
    <row r="4">
      <c r="A4" s="3" t="inlineStr">
        <is>
          <t>LTRP 2024</t>
        </is>
      </c>
      <c r="B4" s="9" t="n">
        <v>30000</v>
      </c>
      <c r="C4" s="8" t="n"/>
      <c r="D4" s="8" t="n"/>
      <c r="E4" s="9" t="n">
        <v>5000</v>
      </c>
      <c r="F4" s="9" t="n">
        <v>5000</v>
      </c>
      <c r="G4" s="9" t="n">
        <v>5000</v>
      </c>
      <c r="H4" s="9" t="n">
        <v>5000</v>
      </c>
      <c r="I4" s="9" t="n">
        <v>5000</v>
      </c>
      <c r="J4" s="9" t="n">
        <v>5000</v>
      </c>
      <c r="K4" s="8" t="n"/>
      <c r="L4" s="8" t="n"/>
      <c r="M4" s="9" t="n">
        <v>30000</v>
      </c>
    </row>
    <row r="5">
      <c r="A5" s="3" t="inlineStr">
        <is>
          <t>LTRP 2025</t>
        </is>
      </c>
      <c r="B5" s="9" t="n">
        <v>36822</v>
      </c>
      <c r="C5" s="8" t="n"/>
      <c r="D5" s="8" t="n"/>
      <c r="E5" s="8" t="n"/>
      <c r="F5" s="9" t="n">
        <v>6137</v>
      </c>
      <c r="G5" s="9" t="n">
        <v>6137</v>
      </c>
      <c r="H5" s="9" t="n">
        <v>6137</v>
      </c>
      <c r="I5" s="9" t="n">
        <v>6137</v>
      </c>
      <c r="J5" s="9" t="n">
        <v>6137</v>
      </c>
      <c r="K5" s="9" t="n">
        <v>6137</v>
      </c>
      <c r="L5" s="8" t="n"/>
      <c r="M5" s="9" t="n">
        <v>36822</v>
      </c>
    </row>
    <row r="6">
      <c r="A6" s="3" t="inlineStr">
        <is>
          <t>LTRP 2026</t>
        </is>
      </c>
      <c r="B6" s="9" t="n">
        <v>70000</v>
      </c>
      <c r="C6" s="8" t="n"/>
      <c r="D6" s="8" t="n"/>
      <c r="E6" s="8" t="n"/>
      <c r="F6" s="8" t="n"/>
      <c r="G6" s="9" t="n">
        <v>11666.66666666667</v>
      </c>
      <c r="H6" s="9" t="n">
        <v>11666.66666666667</v>
      </c>
      <c r="I6" s="9" t="n">
        <v>11666.66666666667</v>
      </c>
      <c r="J6" s="9" t="n">
        <v>11666.66666666667</v>
      </c>
      <c r="K6" s="9" t="n">
        <v>11666.66666666667</v>
      </c>
      <c r="L6" s="9" t="n">
        <v>11666.66666666667</v>
      </c>
      <c r="M6" s="9" t="n">
        <v>70000</v>
      </c>
    </row>
    <row r="7">
      <c r="A7" s="5" t="inlineStr">
        <is>
          <t>TOTAL</t>
        </is>
      </c>
      <c r="B7" s="10">
        <f>SUM(B2:B6)</f>
        <v/>
      </c>
      <c r="C7" s="10" t="n">
        <v>5000</v>
      </c>
      <c r="D7" s="10" t="n">
        <v>10000</v>
      </c>
      <c r="E7" s="10" t="n">
        <v>15000</v>
      </c>
      <c r="F7" s="10" t="n">
        <v>21137</v>
      </c>
      <c r="G7" s="10" t="n">
        <v>32803.66666666666</v>
      </c>
      <c r="H7" s="10" t="n">
        <v>32803.66666666666</v>
      </c>
      <c r="I7" s="10" t="n">
        <v>27803.66666666666</v>
      </c>
      <c r="J7" s="10" t="n">
        <v>22803.66666666666</v>
      </c>
      <c r="K7" s="10" t="n">
        <v>17803.66666666666</v>
      </c>
      <c r="L7" s="10" t="n">
        <v>11666.66666666667</v>
      </c>
      <c r="M7" s="10" t="n">
        <v>196822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6" customWidth="1" min="4" max="4"/>
    <col width="25" customWidth="1" min="5" max="5"/>
    <col width="29" customWidth="1" min="6" max="6"/>
    <col width="21" customWidth="1" min="7" max="7"/>
    <col width="34" customWidth="1" min="8" max="8"/>
    <col width="22" customWidth="1" min="9" max="9"/>
    <col width="52" customWidth="1" min="10" max="10"/>
  </cols>
  <sheetData>
    <row r="1">
      <c r="A1" s="2" t="inlineStr">
        <is>
          <t>Año pago</t>
        </is>
      </c>
      <c r="B1" s="2" t="inlineStr">
        <is>
          <t>Fecha pago</t>
        </is>
      </c>
      <c r="C1" s="2" t="inlineStr">
        <is>
          <t>Planes activos</t>
        </is>
      </c>
      <c r="D1" s="2" t="inlineStr">
        <is>
          <t>Tramo fijo USD</t>
        </is>
      </c>
      <c r="E1" s="2" t="inlineStr">
        <is>
          <t>Tramo variable base USD</t>
        </is>
      </c>
      <c r="F1" s="2" t="inlineStr">
        <is>
          <t>Total base (factor 1,0) USD</t>
        </is>
      </c>
      <c r="G1" s="2" t="inlineStr">
        <is>
          <t>Estimado portal USD</t>
        </is>
      </c>
      <c r="H1" s="2" t="inlineStr">
        <is>
          <t>Factor MELI implícito (variable)</t>
        </is>
      </c>
      <c r="I1" s="2" t="inlineStr">
        <is>
          <t>Última actualización</t>
        </is>
      </c>
      <c r="J1" s="2" t="inlineStr">
        <is>
          <t>Notas</t>
        </is>
      </c>
    </row>
    <row r="2">
      <c r="A2" s="3" t="n">
        <v>2023</v>
      </c>
      <c r="B2" s="3" t="inlineStr">
        <is>
          <t>2023-01-31</t>
        </is>
      </c>
      <c r="C2" s="3" t="n">
        <v>1</v>
      </c>
      <c r="D2" s="4" t="n">
        <v>2500</v>
      </c>
      <c r="E2" s="4" t="n">
        <v>2500</v>
      </c>
      <c r="F2" s="4" t="n">
        <v>5000</v>
      </c>
      <c r="G2" s="3" t="n"/>
      <c r="H2" s="3" t="n"/>
      <c r="I2" s="3" t="inlineStr"/>
      <c r="J2" s="3" t="inlineStr">
        <is>
          <t>Solo LTRP 2022 (1/6)</t>
        </is>
      </c>
    </row>
    <row r="3">
      <c r="A3" s="3" t="n">
        <v>2024</v>
      </c>
      <c r="B3" s="3" t="inlineStr">
        <is>
          <t>2024-01-31</t>
        </is>
      </c>
      <c r="C3" s="3" t="n">
        <v>2</v>
      </c>
      <c r="D3" s="4" t="n">
        <v>5000</v>
      </c>
      <c r="E3" s="4" t="n">
        <v>5000</v>
      </c>
      <c r="F3" s="4" t="n">
        <v>10000</v>
      </c>
      <c r="G3" s="3" t="n"/>
      <c r="H3" s="3" t="n"/>
      <c r="I3" s="3" t="inlineStr"/>
      <c r="J3" s="3" t="inlineStr">
        <is>
          <t>LTRP 2022+2023</t>
        </is>
      </c>
    </row>
    <row r="4">
      <c r="A4" s="3" t="n">
        <v>2025</v>
      </c>
      <c r="B4" s="3" t="inlineStr">
        <is>
          <t>2025-01-31</t>
        </is>
      </c>
      <c r="C4" s="3" t="n">
        <v>3</v>
      </c>
      <c r="D4" s="4" t="n">
        <v>7500</v>
      </c>
      <c r="E4" s="4" t="n">
        <v>7500</v>
      </c>
      <c r="F4" s="4" t="n">
        <v>15000</v>
      </c>
      <c r="G4" s="3" t="n"/>
      <c r="H4" s="3" t="n"/>
      <c r="I4" s="3" t="inlineStr"/>
      <c r="J4" s="3" t="inlineStr">
        <is>
          <t>LTRP 2022+2023+2024</t>
        </is>
      </c>
    </row>
    <row r="5">
      <c r="A5" s="3" t="n">
        <v>2026</v>
      </c>
      <c r="B5" s="3" t="inlineStr">
        <is>
          <t>2026-01-31</t>
        </is>
      </c>
      <c r="C5" s="3" t="n">
        <v>4</v>
      </c>
      <c r="D5" s="4" t="n">
        <v>10568.5</v>
      </c>
      <c r="E5" s="4" t="n">
        <v>10568.5</v>
      </c>
      <c r="F5" s="4" t="n">
        <v>21137</v>
      </c>
      <c r="G5" s="3" t="n"/>
      <c r="H5" s="3" t="n"/>
      <c r="I5" s="3" t="inlineStr"/>
      <c r="J5" s="3" t="inlineStr">
        <is>
          <t>LTRP 2022..2025</t>
        </is>
      </c>
    </row>
    <row r="6">
      <c r="A6" s="11" t="n">
        <v>2027</v>
      </c>
      <c r="B6" s="11" t="inlineStr">
        <is>
          <t>2027-01-31</t>
        </is>
      </c>
      <c r="C6" s="11" t="n">
        <v>5</v>
      </c>
      <c r="D6" s="12" t="n">
        <v>16401.83</v>
      </c>
      <c r="E6" s="12" t="n">
        <v>16401.83</v>
      </c>
      <c r="F6" s="12" t="n">
        <v>32803.67</v>
      </c>
      <c r="G6" s="12" t="n">
        <v>35332</v>
      </c>
      <c r="H6" s="13" t="n">
        <v>1.1542</v>
      </c>
      <c r="I6" s="11" t="inlineStr">
        <is>
          <t>2026-08</t>
        </is>
      </c>
      <c r="J6" s="11" t="inlineStr">
        <is>
          <t>Estimación portal MELI agosto 2026 · USD 35.332</t>
        </is>
      </c>
    </row>
    <row r="7">
      <c r="A7" s="3" t="n">
        <v>2028</v>
      </c>
      <c r="B7" s="3" t="inlineStr">
        <is>
          <t>2028-01-31</t>
        </is>
      </c>
      <c r="C7" s="3" t="n">
        <v>5</v>
      </c>
      <c r="D7" s="4" t="n">
        <v>16401.83</v>
      </c>
      <c r="E7" s="4" t="n">
        <v>16401.83</v>
      </c>
      <c r="F7" s="4" t="n">
        <v>32803.67</v>
      </c>
      <c r="G7" s="3" t="n"/>
      <c r="H7" s="3" t="n"/>
      <c r="I7" s="3" t="inlineStr"/>
      <c r="J7" s="3" t="inlineStr">
        <is>
          <t>LTRP 2022 (último) + 2023..2026; sin LTRP 2027 aún</t>
        </is>
      </c>
    </row>
    <row r="8">
      <c r="A8" s="3" t="n">
        <v>2029</v>
      </c>
      <c r="B8" s="3" t="inlineStr">
        <is>
          <t>2029-01-31</t>
        </is>
      </c>
      <c r="C8" s="3" t="n">
        <v>4</v>
      </c>
      <c r="D8" s="4" t="n">
        <v>13901.83</v>
      </c>
      <c r="E8" s="4" t="n">
        <v>13901.83</v>
      </c>
      <c r="F8" s="4" t="n">
        <v>27803.67</v>
      </c>
      <c r="G8" s="3" t="n"/>
      <c r="H8" s="3" t="n"/>
      <c r="I8" s="3" t="inlineStr"/>
      <c r="J8" s="3" t="inlineStr">
        <is>
          <t>Sin LTRP 2022; LTRP 2023 (último) + 2024..2026</t>
        </is>
      </c>
    </row>
    <row r="9">
      <c r="A9" s="3" t="n">
        <v>2030</v>
      </c>
      <c r="B9" s="3" t="inlineStr">
        <is>
          <t>2030-01-31</t>
        </is>
      </c>
      <c r="C9" s="3" t="n">
        <v>3</v>
      </c>
      <c r="D9" s="4" t="n">
        <v>11401.83</v>
      </c>
      <c r="E9" s="4" t="n">
        <v>11401.83</v>
      </c>
      <c r="F9" s="4" t="n">
        <v>22803.67</v>
      </c>
      <c r="G9" s="3" t="n"/>
      <c r="H9" s="3" t="n"/>
      <c r="I9" s="3" t="inlineStr"/>
      <c r="J9" s="3" t="inlineStr">
        <is>
          <t>LTRP 2024 (último) + 2025 + 2026</t>
        </is>
      </c>
    </row>
    <row r="10">
      <c r="A10" s="3" t="n">
        <v>2031</v>
      </c>
      <c r="B10" s="3" t="inlineStr">
        <is>
          <t>2031-01-31</t>
        </is>
      </c>
      <c r="C10" s="3" t="n">
        <v>2</v>
      </c>
      <c r="D10" s="4" t="n">
        <v>8901.83</v>
      </c>
      <c r="E10" s="4" t="n">
        <v>8901.83</v>
      </c>
      <c r="F10" s="4" t="n">
        <v>17803.67</v>
      </c>
      <c r="G10" s="3" t="n"/>
      <c r="H10" s="3" t="n"/>
      <c r="I10" s="3" t="inlineStr"/>
      <c r="J10" s="3" t="inlineStr">
        <is>
          <t>LTRP 2025 (último) + 2026</t>
        </is>
      </c>
    </row>
    <row r="11">
      <c r="A11" s="3" t="n">
        <v>2032</v>
      </c>
      <c r="B11" s="3" t="inlineStr">
        <is>
          <t>2032-01-31</t>
        </is>
      </c>
      <c r="C11" s="3" t="n">
        <v>1</v>
      </c>
      <c r="D11" s="4" t="n">
        <v>5833.33</v>
      </c>
      <c r="E11" s="4" t="n">
        <v>5833.33</v>
      </c>
      <c r="F11" s="4" t="n">
        <v>11666.67</v>
      </c>
      <c r="G11" s="3" t="n"/>
      <c r="H11" s="3" t="n"/>
      <c r="I11" s="3" t="inlineStr"/>
      <c r="J11" s="3" t="inlineStr">
        <is>
          <t>Solo LTRP 2026 (último 6/6)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2" max="2"/>
    <col width="20" customWidth="1" min="3" max="3"/>
    <col width="19" customWidth="1" min="4" max="4"/>
    <col width="23" customWidth="1" min="5" max="5"/>
    <col width="20" customWidth="1" min="6" max="6"/>
    <col width="22" customWidth="1" min="7" max="7"/>
  </cols>
  <sheetData>
    <row r="1">
      <c r="A1" s="14" t="inlineStr">
        <is>
          <t>Detalle estimación pago 31/01/2027</t>
        </is>
      </c>
    </row>
    <row r="2"/>
    <row r="3">
      <c r="A3" s="2" t="inlineStr">
        <is>
          <t>Plan</t>
        </is>
      </c>
      <c r="B3" s="2" t="inlineStr">
        <is>
          <t>Año vesting</t>
        </is>
      </c>
      <c r="C3" s="2" t="inlineStr">
        <is>
          <t>Tramo 1/6 USD</t>
        </is>
      </c>
      <c r="D3" s="2" t="inlineStr">
        <is>
          <t>Fijo 50% USD</t>
        </is>
      </c>
      <c r="E3" s="2" t="inlineStr">
        <is>
          <t>Variable base 50% USD</t>
        </is>
      </c>
      <c r="F3" s="2" t="inlineStr">
        <is>
          <t>Variable estimado*</t>
        </is>
      </c>
      <c r="G3" s="2" t="inlineStr">
        <is>
          <t>Total estimado plan*</t>
        </is>
      </c>
    </row>
    <row r="4">
      <c r="A4" s="3" t="inlineStr">
        <is>
          <t>LTRP 2022</t>
        </is>
      </c>
      <c r="B4" s="3" t="inlineStr">
        <is>
          <t>5/6</t>
        </is>
      </c>
      <c r="C4" s="4" t="n">
        <v>5000</v>
      </c>
      <c r="D4" s="4" t="n">
        <v>2500</v>
      </c>
      <c r="E4" s="4" t="n">
        <v>2500</v>
      </c>
      <c r="F4" s="4" t="n">
        <v>2885.5</v>
      </c>
      <c r="G4" s="4" t="n">
        <v>5385.5</v>
      </c>
    </row>
    <row r="5">
      <c r="A5" s="3" t="inlineStr">
        <is>
          <t>LTRP 2023</t>
        </is>
      </c>
      <c r="B5" s="3" t="inlineStr">
        <is>
          <t>4/6</t>
        </is>
      </c>
      <c r="C5" s="4" t="n">
        <v>5000</v>
      </c>
      <c r="D5" s="4" t="n">
        <v>2500</v>
      </c>
      <c r="E5" s="4" t="n">
        <v>2500</v>
      </c>
      <c r="F5" s="4" t="n">
        <v>2885.5</v>
      </c>
      <c r="G5" s="4" t="n">
        <v>5385.5</v>
      </c>
    </row>
    <row r="6">
      <c r="A6" s="3" t="inlineStr">
        <is>
          <t>LTRP 2024</t>
        </is>
      </c>
      <c r="B6" s="3" t="inlineStr">
        <is>
          <t>3/6</t>
        </is>
      </c>
      <c r="C6" s="4" t="n">
        <v>5000</v>
      </c>
      <c r="D6" s="4" t="n">
        <v>2500</v>
      </c>
      <c r="E6" s="4" t="n">
        <v>2500</v>
      </c>
      <c r="F6" s="4" t="n">
        <v>2885.5</v>
      </c>
      <c r="G6" s="4" t="n">
        <v>5385.5</v>
      </c>
    </row>
    <row r="7">
      <c r="A7" s="3" t="inlineStr">
        <is>
          <t>LTRP 2025</t>
        </is>
      </c>
      <c r="B7" s="3" t="inlineStr">
        <is>
          <t>2/6</t>
        </is>
      </c>
      <c r="C7" s="4" t="n">
        <v>6137</v>
      </c>
      <c r="D7" s="4" t="n">
        <v>3068.5</v>
      </c>
      <c r="E7" s="4" t="n">
        <v>3068.5</v>
      </c>
      <c r="F7" s="4" t="n">
        <v>3541.6627</v>
      </c>
      <c r="G7" s="4" t="n">
        <v>6610.1627</v>
      </c>
    </row>
    <row r="8">
      <c r="A8" s="3" t="inlineStr">
        <is>
          <t>LTRP 2026</t>
        </is>
      </c>
      <c r="B8" s="3" t="inlineStr">
        <is>
          <t>1/6</t>
        </is>
      </c>
      <c r="C8" s="4" t="n">
        <v>11666.66666666667</v>
      </c>
      <c r="D8" s="4" t="n">
        <v>5833.333333333333</v>
      </c>
      <c r="E8" s="4" t="n">
        <v>5833.333333333333</v>
      </c>
      <c r="F8" s="4" t="n">
        <v>6732.833333333332</v>
      </c>
      <c r="G8" s="4" t="n">
        <v>12566.16666666666</v>
      </c>
    </row>
    <row r="9">
      <c r="A9" s="5" t="inlineStr">
        <is>
          <t>TOTAL</t>
        </is>
      </c>
      <c r="B9" s="5" t="inlineStr"/>
      <c r="C9" s="6">
        <f>SUM(C4:C8)</f>
        <v/>
      </c>
      <c r="D9" s="6">
        <f>SUM(D4:D8)</f>
        <v/>
      </c>
      <c r="E9" s="6">
        <f>SUM(E4:E8)</f>
        <v/>
      </c>
      <c r="F9" s="6">
        <f>SUM(F4:F8)</f>
        <v/>
      </c>
      <c r="G9" s="6">
        <f>SUM(G4:G8)</f>
        <v/>
      </c>
    </row>
    <row r="10"/>
    <row r="11">
      <c r="A11" t="inlineStr">
        <is>
          <t>Estimación portal MELI (agosto 2026)</t>
        </is>
      </c>
      <c r="B11" s="15" t="n">
        <v>35332</v>
      </c>
    </row>
    <row r="12">
      <c r="A12" t="inlineStr">
        <is>
          <t>Factor MELI usado en esta hoja (implícito)</t>
        </is>
      </c>
      <c r="B12" t="n">
        <v>1.1542</v>
      </c>
    </row>
    <row r="13">
      <c r="A13" t="inlineStr">
        <is>
          <t>*Variable estimado</t>
        </is>
      </c>
      <c r="B13" t="inlineStr">
        <is>
          <t>Variable base × factor MELI implícito derivado de 35.332 vs base 32.803,67</t>
        </is>
      </c>
    </row>
    <row r="14">
      <c r="A14" t="inlineStr">
        <is>
          <t>Fórmula</t>
        </is>
      </c>
      <c r="B14" t="inlineStr">
        <is>
          <t>Pago = (Nominal/6)×50% + (Nominal/6)×50%×factor_MELI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2026-08-06T15:34:21Z</dcterms:created>
  <dcterms:modified xsi:type="dcterms:W3CDTF">2026-08-06T15:34:21Z</dcterms:modified>
</cp:coreProperties>
</file>
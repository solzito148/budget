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Detalle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  <font>
      <name val="Calibri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17365D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pivotButton="0" quotePrefix="0" xfId="0"/>
    <xf numFmtId="164" fontId="0" fillId="0" borderId="1" pivotButton="0" quotePrefix="0" xfId="0"/>
    <xf numFmtId="49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165" fontId="0" fillId="0" borderId="1" pivotButton="0" quotePrefix="0" xfId="0"/>
    <xf numFmtId="0" fontId="3" fillId="4" borderId="0" pivotButton="0" quotePrefix="0" xfId="0"/>
    <xf numFmtId="166" fontId="0" fillId="0" borderId="6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OHIGGINS</t>
        </is>
      </c>
    </row>
    <row r="2">
      <c r="A2" s="13" t="inlineStr">
        <is>
          <t>OHIGGINS · ABL 3016365 · Edenor Chagas 9267222037 · Metrogas INVALMAR 10139236800 · Personal TV · Expensas 2219 piso 8 (Copropi/Kalmus)</t>
        </is>
      </c>
    </row>
    <row r="4">
      <c r="A4" s="3" t="inlineStr">
        <is>
          <t>Tipo</t>
        </is>
      </c>
      <c r="B4" s="3" t="inlineStr">
        <is>
          <t>Categoría</t>
        </is>
      </c>
      <c r="C4" s="3" t="inlineStr">
        <is>
          <t>Descripción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  <c r="P4" s="3" t="inlineStr">
        <is>
          <t>TOTAL</t>
        </is>
      </c>
    </row>
    <row r="5">
      <c r="A5" t="inlineStr">
        <is>
          <t>SERVICIOS</t>
        </is>
      </c>
      <c r="B5" t="inlineStr">
        <is>
          <t>EXPENSAS</t>
        </is>
      </c>
      <c r="C5" t="inlineStr">
        <is>
          <t>Expensas — O'Higgins 2219 piso 8 (Kalmus / Consorcio De Copropi)</t>
        </is>
      </c>
      <c r="D5" t="n">
        <v>376564</v>
      </c>
      <c r="E5" t="n">
        <v>395551</v>
      </c>
      <c r="F5" t="n">
        <v>402934</v>
      </c>
      <c r="G5" t="n">
        <v>570841</v>
      </c>
      <c r="H5" t="n">
        <v>666347</v>
      </c>
      <c r="I5" t="n">
        <v>829490</v>
      </c>
    </row>
    <row r="6">
      <c r="A6" s="4" t="inlineStr">
        <is>
          <t>SERVICIOS</t>
        </is>
      </c>
      <c r="B6" s="4" t="inlineStr">
        <is>
          <t>TV CABLE-INTERNET</t>
        </is>
      </c>
      <c r="C6" s="4" t="inlineStr">
        <is>
          <t>Personal — Pago directo</t>
        </is>
      </c>
      <c r="D6" s="5" t="n">
        <v>34921</v>
      </c>
      <c r="E6" s="5" t="n"/>
      <c r="F6" s="5" t="n"/>
      <c r="G6" s="5" t="n">
        <v>101114</v>
      </c>
      <c r="H6" s="5" t="n">
        <v>53245</v>
      </c>
      <c r="I6" s="5" t="n">
        <v>55106</v>
      </c>
      <c r="J6" s="5" t="n">
        <v>56200</v>
      </c>
      <c r="K6" s="5" t="n"/>
      <c r="L6" s="5" t="n"/>
      <c r="M6" s="5" t="n"/>
      <c r="N6" s="5" t="n"/>
      <c r="O6" s="5" t="n"/>
      <c r="P6" s="5">
        <f>SUM(D5:O5)</f>
        <v/>
      </c>
    </row>
    <row r="7">
      <c r="A7" s="4" t="inlineStr">
        <is>
          <t>SERVICIOS</t>
        </is>
      </c>
      <c r="B7" s="4" t="inlineStr">
        <is>
          <t>IMPUESTOS</t>
        </is>
      </c>
      <c r="C7" s="4" t="inlineStr">
        <is>
          <t>ABL — partida 3016365</t>
        </is>
      </c>
      <c r="D7" s="5" t="n"/>
      <c r="E7" s="5" t="n">
        <v>83757</v>
      </c>
      <c r="F7" s="5" t="n">
        <v>88141</v>
      </c>
      <c r="G7" s="5" t="n"/>
      <c r="H7" s="5" t="n"/>
      <c r="I7" s="5" t="n">
        <v>100779</v>
      </c>
      <c r="J7" s="5" t="n">
        <v>88891</v>
      </c>
      <c r="K7" s="5" t="n"/>
      <c r="L7" s="5" t="n"/>
      <c r="M7" s="5" t="n"/>
      <c r="N7" s="5" t="n"/>
      <c r="O7" s="5" t="n"/>
      <c r="P7" s="5">
        <f>SUM(D6:O6)</f>
        <v/>
      </c>
    </row>
    <row r="8">
      <c r="A8" s="4" t="inlineStr">
        <is>
          <t>SERVICIOS</t>
        </is>
      </c>
      <c r="B8" s="4" t="inlineStr">
        <is>
          <t>LUZ</t>
        </is>
      </c>
      <c r="C8" s="4" t="inlineStr">
        <is>
          <t>Edenor — Marta Chagas (9267222037)</t>
        </is>
      </c>
      <c r="D8" s="5" t="n"/>
      <c r="E8" s="5" t="n">
        <v>116475</v>
      </c>
      <c r="F8" s="5" t="n">
        <v>21474</v>
      </c>
      <c r="G8" s="5" t="n">
        <v>14546</v>
      </c>
      <c r="H8" s="5" t="n">
        <v>10578</v>
      </c>
      <c r="I8" s="5" t="n">
        <v>16904</v>
      </c>
      <c r="J8" s="5" t="n"/>
      <c r="K8" s="5" t="n"/>
      <c r="L8" s="5" t="n"/>
      <c r="M8" s="5" t="n"/>
      <c r="N8" s="5" t="n"/>
      <c r="O8" s="5" t="n"/>
      <c r="P8" s="5">
        <f>SUM(D7:O7)</f>
        <v/>
      </c>
    </row>
    <row r="9">
      <c r="A9" s="4" t="inlineStr">
        <is>
          <t>SERVICIOS</t>
        </is>
      </c>
      <c r="B9" s="4" t="inlineStr">
        <is>
          <t>GAS</t>
        </is>
      </c>
      <c r="C9" s="4" t="inlineStr">
        <is>
          <t>Metrogas — INVALMAR (10139236800)</t>
        </is>
      </c>
      <c r="D9" s="5" t="n"/>
      <c r="E9" s="5" t="n"/>
      <c r="F9" s="5" t="n"/>
      <c r="G9" s="5" t="n">
        <v>4850</v>
      </c>
      <c r="H9" s="5" t="n">
        <v>4935</v>
      </c>
      <c r="I9" s="5" t="n">
        <v>4984</v>
      </c>
      <c r="J9" s="5" t="n">
        <v>5208</v>
      </c>
      <c r="K9" s="5" t="n"/>
      <c r="L9" s="5" t="n"/>
      <c r="M9" s="5" t="n"/>
      <c r="N9" s="5" t="n"/>
      <c r="O9" s="5" t="n"/>
      <c r="P9" s="5">
        <f>SUM(D8:O8)</f>
        <v/>
      </c>
    </row>
    <row r="10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>
        <f>SUM(D9:O9)</f>
        <v/>
      </c>
    </row>
    <row r="11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SUM(D10:O10)</f>
        <v/>
      </c>
    </row>
    <row r="12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>
        <f>SUM(D11:O11)</f>
        <v/>
      </c>
    </row>
    <row r="13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SUM(D12:O12)</f>
        <v/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>
        <f>SUM(D13:O13)</f>
        <v/>
      </c>
    </row>
    <row r="15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SUM(D14:O14)</f>
        <v/>
      </c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>
        <f>SUM(D15:O15)</f>
        <v/>
      </c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SUM(D16:O16)</f>
        <v/>
      </c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>
        <f>SUM(D17:O17)</f>
        <v/>
      </c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SUM(D18:O18)</f>
        <v/>
      </c>
    </row>
    <row r="20">
      <c r="A20" s="4" t="n"/>
      <c r="B20" s="11" t="n"/>
      <c r="C20" s="1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>
        <f>SUM(D19:O19)</f>
        <v/>
      </c>
    </row>
    <row r="21">
      <c r="A21" s="6" t="inlineStr">
        <is>
          <t>TOTAL MES</t>
        </is>
      </c>
      <c r="B21" s="11" t="n"/>
      <c r="C21" s="12" t="n"/>
      <c r="D21" s="7">
        <f>SUM(D5:D19)</f>
        <v/>
      </c>
      <c r="E21" s="7">
        <f>SUM(E5:E19)</f>
        <v/>
      </c>
      <c r="F21" s="7">
        <f>SUM(F5:F19)</f>
        <v/>
      </c>
      <c r="G21" s="7">
        <f>SUM(G5:G19)</f>
        <v/>
      </c>
      <c r="H21" s="7">
        <f>SUM(H5:H19)</f>
        <v/>
      </c>
      <c r="I21" s="7">
        <f>SUM(I5:I19)</f>
        <v/>
      </c>
      <c r="J21" s="7">
        <f>SUM(J5:J19)</f>
        <v/>
      </c>
      <c r="K21" s="7">
        <f>SUM(K5:K19)</f>
        <v/>
      </c>
      <c r="L21" s="7">
        <f>SUM(L5:L19)</f>
        <v/>
      </c>
      <c r="M21" s="7">
        <f>SUM(M5:M19)</f>
        <v/>
      </c>
      <c r="N21" s="7">
        <f>SUM(N5:N19)</f>
        <v/>
      </c>
      <c r="O21" s="7">
        <f>SUM(O5:O19)</f>
        <v/>
      </c>
      <c r="P21" s="7">
        <f>SUM(P5:P19)</f>
        <v/>
      </c>
    </row>
  </sheetData>
  <mergeCells count="1"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OHIGGINS — Detalle de gastos 2026 · ABL partida AGIP 3016365</t>
        </is>
      </c>
    </row>
    <row r="3">
      <c r="A3" s="15" t="inlineStr">
        <is>
          <t>Fecha</t>
        </is>
      </c>
      <c r="B3" s="15" t="inlineStr">
        <is>
          <t>Tipo</t>
        </is>
      </c>
      <c r="C3" s="15" t="inlineStr">
        <is>
          <t>Categoría</t>
        </is>
      </c>
      <c r="D3" s="15" t="inlineStr">
        <is>
          <t>Descripción</t>
        </is>
      </c>
      <c r="E3" s="15" t="inlineStr">
        <is>
          <t>Monto</t>
        </is>
      </c>
      <c r="F3" s="15" t="inlineStr">
        <is>
          <t>Forma de pago</t>
        </is>
      </c>
      <c r="G3" s="15" t="inlineStr">
        <is>
          <t>Partida / N° Cliente / Notas</t>
        </is>
      </c>
    </row>
    <row r="4">
      <c r="A4" s="16" t="n">
        <v>46066</v>
      </c>
      <c r="B4" s="17" t="inlineStr">
        <is>
          <t>IMPUESTOS</t>
        </is>
      </c>
      <c r="C4" s="17" t="inlineStr">
        <is>
          <t>ABL</t>
        </is>
      </c>
      <c r="D4" s="17" t="inlineStr">
        <is>
          <t>ABL — partida 3016365</t>
        </is>
      </c>
      <c r="E4" s="17" t="n">
        <v>83757</v>
      </c>
      <c r="F4" s="17" t="inlineStr">
        <is>
          <t>Mercado Pago</t>
        </is>
      </c>
      <c r="G4" s="17" t="inlineStr">
        <is>
          <t>3016365</t>
        </is>
      </c>
    </row>
    <row r="5">
      <c r="A5" s="16" t="n">
        <v>46084</v>
      </c>
      <c r="B5" s="17" t="inlineStr">
        <is>
          <t>IMPUESTOS</t>
        </is>
      </c>
      <c r="C5" s="17" t="inlineStr">
        <is>
          <t>ABL</t>
        </is>
      </c>
      <c r="D5" s="17" t="inlineStr">
        <is>
          <t>ABL — partida 3016365</t>
        </is>
      </c>
      <c r="E5" s="17" t="n">
        <v>88141</v>
      </c>
      <c r="F5" s="17" t="inlineStr">
        <is>
          <t>Mercado Pago</t>
        </is>
      </c>
      <c r="G5" s="17" t="inlineStr">
        <is>
          <t>3016365</t>
        </is>
      </c>
    </row>
    <row r="6">
      <c r="A6" s="16" t="n">
        <v>46203</v>
      </c>
      <c r="B6" s="17" t="inlineStr">
        <is>
          <t>IMPUESTOS</t>
        </is>
      </c>
      <c r="C6" s="17" t="inlineStr">
        <is>
          <t>ABL</t>
        </is>
      </c>
      <c r="D6" s="17" t="inlineStr">
        <is>
          <t>ABL — partida 3016365</t>
        </is>
      </c>
      <c r="E6" s="17" t="n">
        <v>100779</v>
      </c>
      <c r="F6" s="17" t="inlineStr">
        <is>
          <t>Mercado Pago</t>
        </is>
      </c>
      <c r="G6" s="17" t="inlineStr">
        <is>
          <t>3016365</t>
        </is>
      </c>
    </row>
    <row r="7">
      <c r="A7" s="16" t="n">
        <v>46217</v>
      </c>
      <c r="B7" s="17" t="inlineStr">
        <is>
          <t>IMPUESTOS</t>
        </is>
      </c>
      <c r="C7" s="17" t="inlineStr">
        <is>
          <t>ABL</t>
        </is>
      </c>
      <c r="D7" s="17" t="inlineStr">
        <is>
          <t>ABL — partida 3016365</t>
        </is>
      </c>
      <c r="E7" s="17" t="n">
        <v>88891</v>
      </c>
      <c r="F7" s="17" t="inlineStr">
        <is>
          <t>Mercado Pago</t>
        </is>
      </c>
      <c r="G7" s="17" t="inlineStr">
        <is>
          <t>3016365</t>
        </is>
      </c>
    </row>
    <row r="8">
      <c r="A8" s="16" t="n">
        <v>46081</v>
      </c>
      <c r="B8" s="17" t="inlineStr">
        <is>
          <t>SERVICIOS</t>
        </is>
      </c>
      <c r="C8" s="17" t="inlineStr">
        <is>
          <t>LUZ</t>
        </is>
      </c>
      <c r="D8" s="17" t="inlineStr">
        <is>
          <t>Edenor — Marta Chagas · O'Higgins 2225</t>
        </is>
      </c>
      <c r="E8" s="17" t="n">
        <v>116475</v>
      </c>
      <c r="F8" s="17" t="inlineStr">
        <is>
          <t>Factura digital Gmail / BBVA</t>
        </is>
      </c>
      <c r="G8" s="17" t="inlineStr">
        <is>
          <t>9267222037</t>
        </is>
      </c>
    </row>
    <row r="9">
      <c r="A9" s="16" t="n">
        <v>46110</v>
      </c>
      <c r="B9" s="17" t="inlineStr">
        <is>
          <t>SERVICIOS</t>
        </is>
      </c>
      <c r="C9" s="17" t="inlineStr">
        <is>
          <t>LUZ</t>
        </is>
      </c>
      <c r="D9" s="17" t="inlineStr">
        <is>
          <t>Edenor — Marta Chagas · O'Higgins 2225</t>
        </is>
      </c>
      <c r="E9" s="17" t="n">
        <v>21474</v>
      </c>
      <c r="F9" s="17" t="inlineStr">
        <is>
          <t>Factura digital Gmail / BBVA</t>
        </is>
      </c>
      <c r="G9" s="17" t="inlineStr">
        <is>
          <t>9267222037</t>
        </is>
      </c>
    </row>
    <row r="10">
      <c r="A10" s="16" t="n">
        <v>46142</v>
      </c>
      <c r="B10" s="17" t="inlineStr">
        <is>
          <t>SERVICIOS</t>
        </is>
      </c>
      <c r="C10" s="17" t="inlineStr">
        <is>
          <t>LUZ</t>
        </is>
      </c>
      <c r="D10" s="17" t="inlineStr">
        <is>
          <t>Edenor — Marta Chagas · O'Higgins 2225</t>
        </is>
      </c>
      <c r="E10" s="17" t="n">
        <v>14546</v>
      </c>
      <c r="F10" s="17" t="inlineStr">
        <is>
          <t>Factura digital Gmail / BBVA</t>
        </is>
      </c>
      <c r="G10" s="17" t="inlineStr">
        <is>
          <t>9267222037</t>
        </is>
      </c>
    </row>
    <row r="11">
      <c r="A11" s="16" t="n">
        <v>46171</v>
      </c>
      <c r="B11" s="17" t="inlineStr">
        <is>
          <t>SERVICIOS</t>
        </is>
      </c>
      <c r="C11" s="17" t="inlineStr">
        <is>
          <t>LUZ</t>
        </is>
      </c>
      <c r="D11" s="17" t="inlineStr">
        <is>
          <t>Edenor — Marta Chagas · O'Higgins 2225</t>
        </is>
      </c>
      <c r="E11" s="17" t="n">
        <v>10578</v>
      </c>
      <c r="F11" s="17" t="inlineStr">
        <is>
          <t>Factura digital Gmail / BBVA</t>
        </is>
      </c>
      <c r="G11" s="17" t="inlineStr">
        <is>
          <t>9267222037</t>
        </is>
      </c>
    </row>
    <row r="12">
      <c r="A12" s="16" t="n">
        <v>46200</v>
      </c>
      <c r="B12" s="17" t="inlineStr">
        <is>
          <t>SERVICIOS</t>
        </is>
      </c>
      <c r="C12" s="17" t="inlineStr">
        <is>
          <t>LUZ</t>
        </is>
      </c>
      <c r="D12" s="17" t="inlineStr">
        <is>
          <t>Edenor — Marta Chagas · O'Higgins 2225</t>
        </is>
      </c>
      <c r="E12" s="17" t="n">
        <v>16904</v>
      </c>
      <c r="F12" s="17" t="inlineStr">
        <is>
          <t>Factura digital Gmail / BBVA</t>
        </is>
      </c>
      <c r="G12" s="17" t="inlineStr">
        <is>
          <t>9267222037</t>
        </is>
      </c>
    </row>
    <row r="13">
      <c r="A13" s="16" t="n">
        <v>46118</v>
      </c>
      <c r="B13" s="17" t="inlineStr">
        <is>
          <t>SERVICIOS</t>
        </is>
      </c>
      <c r="C13" s="17" t="inlineStr">
        <is>
          <t>GAS</t>
        </is>
      </c>
      <c r="D13" s="17" t="inlineStr">
        <is>
          <t>Metrogas — INVALMAR SRL · O'Higgins 2225</t>
        </is>
      </c>
      <c r="E13" s="17" t="n">
        <v>4850</v>
      </c>
      <c r="F13" s="17" t="inlineStr">
        <is>
          <t>Mercado Pago / Gmail</t>
        </is>
      </c>
      <c r="G13" s="17" t="inlineStr">
        <is>
          <t>10139236800</t>
        </is>
      </c>
    </row>
    <row r="14">
      <c r="A14" s="16" t="n">
        <v>46146</v>
      </c>
      <c r="B14" s="17" t="inlineStr">
        <is>
          <t>SERVICIOS</t>
        </is>
      </c>
      <c r="C14" s="17" t="inlineStr">
        <is>
          <t>GAS</t>
        </is>
      </c>
      <c r="D14" s="17" t="inlineStr">
        <is>
          <t>Metrogas — INVALMAR SRL · O'Higgins 2225</t>
        </is>
      </c>
      <c r="E14" s="17" t="n">
        <v>4935</v>
      </c>
      <c r="F14" s="17" t="inlineStr">
        <is>
          <t>Mercado Pago / Gmail</t>
        </is>
      </c>
      <c r="G14" s="17" t="inlineStr">
        <is>
          <t>10139236800</t>
        </is>
      </c>
    </row>
    <row r="15">
      <c r="A15" s="16" t="n">
        <v>46175</v>
      </c>
      <c r="B15" s="17" t="inlineStr">
        <is>
          <t>SERVICIOS</t>
        </is>
      </c>
      <c r="C15" s="17" t="inlineStr">
        <is>
          <t>GAS</t>
        </is>
      </c>
      <c r="D15" s="17" t="inlineStr">
        <is>
          <t>Metrogas — INVALMAR SRL · O'Higgins 2225</t>
        </is>
      </c>
      <c r="E15" s="17" t="n">
        <v>4984</v>
      </c>
      <c r="F15" s="17" t="inlineStr">
        <is>
          <t>Mercado Pago / Gmail</t>
        </is>
      </c>
      <c r="G15" s="17" t="inlineStr">
        <is>
          <t>10139236800</t>
        </is>
      </c>
    </row>
    <row r="16">
      <c r="A16" s="16" t="n">
        <v>46209</v>
      </c>
      <c r="B16" s="17" t="inlineStr">
        <is>
          <t>SERVICIOS</t>
        </is>
      </c>
      <c r="C16" s="17" t="inlineStr">
        <is>
          <t>GAS</t>
        </is>
      </c>
      <c r="D16" s="17" t="inlineStr">
        <is>
          <t>Metrogas — INVALMAR SRL · O'Higgins 2225</t>
        </is>
      </c>
      <c r="E16" s="17" t="n">
        <v>5208</v>
      </c>
      <c r="F16" s="17" t="inlineStr">
        <is>
          <t>Mercado Pago / Gmail</t>
        </is>
      </c>
      <c r="G16" s="17" t="inlineStr">
        <is>
          <t>10139236800</t>
        </is>
      </c>
    </row>
    <row r="17">
      <c r="A17" s="16" t="n">
        <v>46032</v>
      </c>
      <c r="B17" s="17" t="inlineStr">
        <is>
          <t>SERVICIOS</t>
        </is>
      </c>
      <c r="C17" s="17" t="inlineStr">
        <is>
          <t>TV CABLE-INTERNET</t>
        </is>
      </c>
      <c r="D17" s="17" t="inlineStr">
        <is>
          <t>Personal — Pago directo</t>
        </is>
      </c>
      <c r="E17" s="17" t="n">
        <v>34921</v>
      </c>
      <c r="F17" s="17" t="inlineStr">
        <is>
          <t>Mercado Pago</t>
        </is>
      </c>
      <c r="G17" s="17" t="inlineStr">
        <is>
          <t>Personal flow · resumen MP</t>
        </is>
      </c>
    </row>
    <row r="18">
      <c r="A18" s="16" t="n">
        <v>46122</v>
      </c>
      <c r="B18" s="17" t="inlineStr">
        <is>
          <t>SERVICIOS</t>
        </is>
      </c>
      <c r="C18" s="17" t="inlineStr">
        <is>
          <t>TV CABLE-INTERNET</t>
        </is>
      </c>
      <c r="D18" s="17" t="inlineStr">
        <is>
          <t>Personal — Pago directo</t>
        </is>
      </c>
      <c r="E18" s="17" t="n">
        <v>101114</v>
      </c>
      <c r="F18" s="17" t="inlineStr">
        <is>
          <t>Mercado Pago</t>
        </is>
      </c>
      <c r="G18" s="17" t="inlineStr">
        <is>
          <t>resumen MP</t>
        </is>
      </c>
    </row>
    <row r="19">
      <c r="A19" s="16" t="n">
        <v>46154</v>
      </c>
      <c r="B19" s="17" t="inlineStr">
        <is>
          <t>SERVICIOS</t>
        </is>
      </c>
      <c r="C19" s="17" t="inlineStr">
        <is>
          <t>TV CABLE-INTERNET</t>
        </is>
      </c>
      <c r="D19" s="17" t="inlineStr">
        <is>
          <t>Personal — Pago directo</t>
        </is>
      </c>
      <c r="E19" s="17" t="n">
        <v>53245</v>
      </c>
      <c r="F19" s="17" t="inlineStr">
        <is>
          <t>Mercado Pago</t>
        </is>
      </c>
      <c r="G19" s="17" t="inlineStr">
        <is>
          <t>resumen MP</t>
        </is>
      </c>
    </row>
    <row r="20">
      <c r="A20" s="16" t="n">
        <v>46184</v>
      </c>
      <c r="B20" s="17" t="inlineStr">
        <is>
          <t>SERVICIOS</t>
        </is>
      </c>
      <c r="C20" s="17" t="inlineStr">
        <is>
          <t>TV CABLE-INTERNET</t>
        </is>
      </c>
      <c r="D20" s="17" t="inlineStr">
        <is>
          <t>Personal — Pago directo</t>
        </is>
      </c>
      <c r="E20" s="17" t="n">
        <v>55106</v>
      </c>
      <c r="F20" s="17" t="inlineStr">
        <is>
          <t>Mercado Pago</t>
        </is>
      </c>
      <c r="G20" s="17" t="inlineStr">
        <is>
          <t>resumen MP</t>
        </is>
      </c>
    </row>
    <row r="21">
      <c r="A21" s="16" t="n">
        <v>46217</v>
      </c>
      <c r="B21" s="17" t="inlineStr">
        <is>
          <t>SERVICIOS</t>
        </is>
      </c>
      <c r="C21" s="17" t="inlineStr">
        <is>
          <t>TV CABLE-INTERNET</t>
        </is>
      </c>
      <c r="D21" s="17" t="inlineStr">
        <is>
          <t>Personal — Pago directo</t>
        </is>
      </c>
      <c r="E21" s="17" t="n">
        <v>56200</v>
      </c>
      <c r="F21" s="17" t="inlineStr">
        <is>
          <t>Mercado Pago</t>
        </is>
      </c>
      <c r="G21" s="17" t="inlineStr">
        <is>
          <t>resumen MP</t>
        </is>
      </c>
    </row>
    <row r="22">
      <c r="A22" s="16" t="n">
        <v>46031</v>
      </c>
      <c r="B22" s="17" t="inlineStr">
        <is>
          <t>SERVICIOS</t>
        </is>
      </c>
      <c r="C22" s="17" t="inlineStr">
        <is>
          <t>EXPENSAS</t>
        </is>
      </c>
      <c r="D22" s="17" t="inlineStr">
        <is>
          <t>Expensas OHIGGINS 2219 piso 8 · enero</t>
        </is>
      </c>
      <c r="E22" s="17" t="n">
        <v>376564</v>
      </c>
      <c r="F22" s="17" t="inlineStr">
        <is>
          <t>Mercado Pago — Consorcio De Copropi</t>
        </is>
      </c>
      <c r="G22" s="17" t="inlineStr">
        <is>
          <t>Kalmus</t>
        </is>
      </c>
    </row>
    <row r="23">
      <c r="A23" s="16" t="n">
        <v>46059</v>
      </c>
      <c r="B23" s="17" t="inlineStr">
        <is>
          <t>SERVICIOS</t>
        </is>
      </c>
      <c r="C23" s="17" t="inlineStr">
        <is>
          <t>EXPENSAS</t>
        </is>
      </c>
      <c r="D23" s="17" t="inlineStr">
        <is>
          <t>Expensas OHIGGINS 2219 piso 8 · febrero</t>
        </is>
      </c>
      <c r="E23" s="17" t="n">
        <v>395551</v>
      </c>
      <c r="F23" s="17" t="inlineStr">
        <is>
          <t>Mercado Pago — Consorcio De Copropi</t>
        </is>
      </c>
      <c r="G23" s="17" t="inlineStr">
        <is>
          <t>Kalmus</t>
        </is>
      </c>
    </row>
    <row r="24">
      <c r="A24" s="16" t="n">
        <v>46091</v>
      </c>
      <c r="B24" s="17" t="inlineStr">
        <is>
          <t>SERVICIOS</t>
        </is>
      </c>
      <c r="C24" s="17" t="inlineStr">
        <is>
          <t>EXPENSAS</t>
        </is>
      </c>
      <c r="D24" s="17" t="inlineStr">
        <is>
          <t>Expensas OHIGGINS 2219 piso 8 · marzo</t>
        </is>
      </c>
      <c r="E24" s="17" t="n">
        <v>402934</v>
      </c>
      <c r="F24" s="17" t="inlineStr">
        <is>
          <t>Mercado Pago — Consorcio De Copropi</t>
        </is>
      </c>
      <c r="G24" s="17" t="inlineStr">
        <is>
          <t>Kalmus</t>
        </is>
      </c>
    </row>
    <row r="25">
      <c r="A25" s="16" t="n">
        <v>46120</v>
      </c>
      <c r="B25" s="17" t="inlineStr">
        <is>
          <t>SERVICIOS</t>
        </is>
      </c>
      <c r="C25" s="17" t="inlineStr">
        <is>
          <t>EXPENSAS</t>
        </is>
      </c>
      <c r="D25" s="17" t="inlineStr">
        <is>
          <t>Expensas OHIGGINS 2219 piso 8 · abril</t>
        </is>
      </c>
      <c r="E25" s="17" t="n">
        <v>570841</v>
      </c>
      <c r="F25" s="17" t="inlineStr">
        <is>
          <t>Banco — Transferencia</t>
        </is>
      </c>
      <c r="G25" s="17" t="inlineStr">
        <is>
          <t>Gmail Sent 8-abr</t>
        </is>
      </c>
    </row>
    <row r="26">
      <c r="A26" s="16" t="n">
        <v>46183</v>
      </c>
      <c r="B26" s="17" t="inlineStr">
        <is>
          <t>SERVICIOS</t>
        </is>
      </c>
      <c r="C26" s="17" t="inlineStr">
        <is>
          <t>EXPENSAS</t>
        </is>
      </c>
      <c r="D26" s="17" t="inlineStr">
        <is>
          <t>Expensas OHIGGINS 2219 piso 8 · mayo (pago 10-jun)</t>
        </is>
      </c>
      <c r="E26" s="17" t="n">
        <v>666347</v>
      </c>
      <c r="F26" s="17" t="inlineStr">
        <is>
          <t>Mercado Pago — Consorcio De Copropi</t>
        </is>
      </c>
      <c r="G26" s="17" t="inlineStr">
        <is>
          <t>Gmail Sent</t>
        </is>
      </c>
    </row>
    <row r="27">
      <c r="A27" s="16" t="n">
        <v>46212</v>
      </c>
      <c r="B27" s="17" t="inlineStr">
        <is>
          <t>SERVICIOS</t>
        </is>
      </c>
      <c r="C27" s="17" t="inlineStr">
        <is>
          <t>EXPENSAS</t>
        </is>
      </c>
      <c r="D27" s="17" t="inlineStr">
        <is>
          <t>Expensas OHIGGINS 2219 piso 8 · junio (pago 9-jul)</t>
        </is>
      </c>
      <c r="E27" s="17" t="n">
        <v>829490</v>
      </c>
      <c r="F27" s="17" t="inlineStr">
        <is>
          <t>Mercado Pago — Consorcio De Copropi</t>
        </is>
      </c>
      <c r="G27" s="17" t="inlineStr">
        <is>
          <t>Gmail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2026-07-18T16:30:24Z</dcterms:created>
  <dcterms:modified xsi:type="dcterms:W3CDTF">2026-07-19T14:56:23Z</dcterms:modified>
</cp:coreProperties>
</file>
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Sol'!$A$1:$O$994</definedName>
    <definedName name="_xlnm._FilterDatabase" localSheetId="2" hidden="1">'Gastos Personales'!$A$1:$L$842</definedName>
    <definedName name="_xlnm._FilterDatabase" localSheetId="3" hidden="1">'Almacén Sol'!$A$1:$K$245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94" headerRowCount="1">
  <autoFilter ref="A1:O994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42" headerRowCount="1">
  <autoFilter ref="A1:L84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45" headerRowCount="1">
  <autoFilter ref="A1:K24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81122648</v>
      </c>
      <c r="C5" s="4" t="inlineStr">
        <is>
          <t>735 movimientos</t>
        </is>
      </c>
    </row>
    <row r="6">
      <c r="A6" s="4" t="inlineStr">
        <is>
          <t>Almacén Sol real 2026</t>
        </is>
      </c>
      <c r="B6" s="5" t="n">
        <v>8701471</v>
      </c>
      <c r="C6" s="4" t="inlineStr">
        <is>
          <t>244 movimientos</t>
        </is>
      </c>
    </row>
    <row r="7">
      <c r="A7" s="6" t="inlineStr">
        <is>
          <t>Total real Sol 2026</t>
        </is>
      </c>
      <c r="B7" s="7" t="n">
        <v>89824119</v>
      </c>
      <c r="C7" s="4" t="inlineStr">
        <is>
          <t>979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7401952</v>
      </c>
      <c r="C23" s="5" t="n">
        <v>466683</v>
      </c>
      <c r="D23" s="5" t="n">
        <v>7868635</v>
      </c>
      <c r="E23" s="5" t="n">
        <v>1608575</v>
      </c>
      <c r="F23" s="5" t="n">
        <v>9477210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46266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GASTO PERSONAL</t>
        </is>
      </c>
      <c r="F902" s="4" t="inlineStr">
        <is>
          <t>SUSCRIPCIONES · APPLE</t>
        </is>
      </c>
      <c r="G902" s="4" t="inlineStr">
        <is>
          <t>SUSCRIPCIONES · Apple</t>
        </is>
      </c>
      <c r="H902" s="5" t="n">
        <v>81961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SUSCRIPCIONES · Apple · Mercado Pago · gasto personal Sol · dinero en cuenta MP screenshot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TRANSFERENCIAS</t>
        </is>
      </c>
      <c r="G903" s="4" t="inlineStr">
        <is>
          <t>TRANSFERENCIAS</t>
        </is>
      </c>
      <c r="H903" s="5" t="n">
        <v>45000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Facundo Lisandro Marin · Transferencia enviada · gasto personal Sol · dinero en cuenta MP screenshot</t>
        </is>
      </c>
      <c r="N903" s="4" t="inlineStr">
        <is>
          <t>CIUDAD / Gasto Personal Sol</t>
        </is>
      </c>
      <c r="O903" s="4" t="n">
        <v>834</v>
      </c>
    </row>
    <row r="904">
      <c r="A904" s="4" t="n">
        <v>903</v>
      </c>
      <c r="B904" s="15" t="n">
        <v>46267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COMIDA · OFICINA</t>
        </is>
      </c>
      <c r="G904" s="4" t="inlineStr">
        <is>
          <t>COMIDA · Oficina</t>
        </is>
      </c>
      <c r="H904" s="5" t="n">
        <v>4080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COMIDA · Oficina · Copetin Catering · Gmail Pago aprobado · REVISAR vs settlement</t>
        </is>
      </c>
      <c r="N904" s="4" t="inlineStr">
        <is>
          <t>CIUDAD / Gasto Personal Sol</t>
        </is>
      </c>
      <c r="O904" s="4" t="n">
        <v>833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4000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Kiosk Store · gasto personal Sol · REVISAR ítem · dinero en cuenta MP screenshot</t>
        </is>
      </c>
      <c r="N905" s="4" t="inlineStr">
        <is>
          <t>CIUDAD / Gasto Personal Sol</t>
        </is>
      </c>
      <c r="O905" s="4" t="n">
        <v>841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ENVÍOS</t>
        </is>
      </c>
      <c r="G906" s="4" t="inlineStr">
        <is>
          <t>ENVÍOS</t>
        </is>
      </c>
      <c r="H906" s="5" t="n">
        <v>24000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ENVÍOS · Correo Oficial · gasto personal Sol · dinero en cuenta MP screenshot</t>
        </is>
      </c>
      <c r="N906" s="4" t="inlineStr">
        <is>
          <t>CIUDAD / Gasto Personal Sol</t>
        </is>
      </c>
      <c r="O906" s="4" t="n">
        <v>842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863600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Neira Martina · Transferencia enviada · gasto personal Sol · dinero en cuenta MP screenshot</t>
        </is>
      </c>
      <c r="N907" s="4" t="inlineStr">
        <is>
          <t>CIUDAD / Gasto Personal Sol</t>
        </is>
      </c>
      <c r="O907" s="4" t="n">
        <v>838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TRANSPORTE</t>
        </is>
      </c>
      <c r="G908" s="4" t="inlineStr">
        <is>
          <t>TRANSPORTE · Didi</t>
        </is>
      </c>
      <c r="H908" s="5" t="n">
        <v>7600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TRANSPORTE · Didi · gasto personal Sol · dinero en cuenta MP screenshot</t>
        </is>
      </c>
      <c r="N908" s="4" t="inlineStr">
        <is>
          <t>CIUDAD / Gasto Personal Sol</t>
        </is>
      </c>
      <c r="O908" s="4" t="n">
        <v>837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839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TRANSPORTE</t>
        </is>
      </c>
      <c r="G911" s="4" t="inlineStr">
        <is>
          <t>TRANSPORTE · Uber</t>
        </is>
      </c>
      <c r="H911" s="5" t="n">
        <v>6607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TRANSPORTE · Uber · Ebanx (=Uber) · gasto personal Sol · dinero en cuenta MP screenshot</t>
        </is>
      </c>
      <c r="N911" s="4" t="inlineStr">
        <is>
          <t>CIUDAD / Gasto Personal Sol</t>
        </is>
      </c>
      <c r="O911" s="4" t="n">
        <v>840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</t>
        </is>
      </c>
      <c r="H912" s="5" t="n">
        <v>16149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screenshot · REVISAR si Market · dinero en cuenta MP screenshot</t>
        </is>
      </c>
      <c r="N912" s="4" t="inlineStr">
        <is>
          <t>CIUDAD / Almacen Detalle</t>
        </is>
      </c>
      <c r="O912" s="4" t="n">
        <v>359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COMIDA</t>
        </is>
      </c>
      <c r="G913" s="4" t="inlineStr">
        <is>
          <t>PEDIDOS YA · COMIDA · propina</t>
        </is>
      </c>
      <c r="H913" s="5" t="n">
        <v>800</v>
      </c>
      <c r="I913" s="16" t="n"/>
      <c r="J913" s="4" t="inlineStr">
        <is>
          <t>REAL</t>
        </is>
      </c>
      <c r="K913" s="17" t="n"/>
      <c r="L913" s="4" t="inlineStr">
        <is>
          <t>Sin identificar</t>
        </is>
      </c>
      <c r="M913" s="4" t="inlineStr">
        <is>
          <t>PEDIDOS YA · COMIDA · propina · screenshot · REVISAR si Market · dinero en cuenta MP screenshot</t>
        </is>
      </c>
      <c r="N913" s="4" t="inlineStr">
        <is>
          <t>CIUDAD / Almacen Detalle</t>
        </is>
      </c>
      <c r="O913" s="4" t="n">
        <v>360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SUPERMERCADO</t>
        </is>
      </c>
      <c r="G914" s="4" t="inlineStr">
        <is>
          <t>SUPERMERCADO · Día</t>
        </is>
      </c>
      <c r="H914" s="5" t="n">
        <v>41139</v>
      </c>
      <c r="I914" s="16" t="n"/>
      <c r="J914" s="4" t="inlineStr">
        <is>
          <t>REAL</t>
        </is>
      </c>
      <c r="K914" s="17" t="n"/>
      <c r="L914" s="4" t="inlineStr">
        <is>
          <t>BBVA</t>
        </is>
      </c>
      <c r="M914" s="4" t="inlineStr">
        <is>
          <t>SUPERMERCADO · Día · BBVA VISA · MERPAGO*SUPERDIA · Gmail Compra aprobada · REVISAR vs settlement</t>
        </is>
      </c>
      <c r="N914" s="4" t="inlineStr">
        <is>
          <t>CIUDAD / Almacen Detalle</t>
        </is>
      </c>
      <c r="O914" s="4" t="n">
        <v>356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Didi</t>
        </is>
      </c>
      <c r="H915" s="5" t="n">
        <v>4900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Didi · gasto personal Sol · dinero en cuenta MP screenshot</t>
        </is>
      </c>
      <c r="N915" s="4" t="inlineStr">
        <is>
          <t>CIUDAD / Gasto Personal Sol</t>
        </is>
      </c>
      <c r="O915" s="4" t="n">
        <v>844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GASTO PERSONAL</t>
        </is>
      </c>
      <c r="F916" s="4" t="inlineStr">
        <is>
          <t>TRANSPORTE</t>
        </is>
      </c>
      <c r="G916" s="4" t="inlineStr">
        <is>
          <t>TRANSPORTE · Uber</t>
        </is>
      </c>
      <c r="H916" s="5" t="n">
        <v>7520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TRANSPORTE · Uber · Ebanx (=Uber) · gasto personal Sol · dinero en cuenta MP screenshot</t>
        </is>
      </c>
      <c r="N916" s="4" t="inlineStr">
        <is>
          <t>CIUDAD / Gasto Personal Sol</t>
        </is>
      </c>
      <c r="O916" s="4" t="n">
        <v>843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ALMACÉN SOL</t>
        </is>
      </c>
      <c r="F917" s="4" t="inlineStr">
        <is>
          <t>COMIDA</t>
        </is>
      </c>
      <c r="G917" s="4" t="inlineStr">
        <is>
          <t>COMIDA · Pescadería Belgrano</t>
        </is>
      </c>
      <c r="H917" s="5" t="n">
        <v>6213</v>
      </c>
      <c r="I917" s="16" t="n"/>
      <c r="J917" s="4" t="inlineStr">
        <is>
          <t>REAL</t>
        </is>
      </c>
      <c r="K917" s="17" t="n"/>
      <c r="L917" s="4" t="inlineStr">
        <is>
          <t>Mercado Pago</t>
        </is>
      </c>
      <c r="M917" s="4" t="inlineStr">
        <is>
          <t>COMIDA · Pescadería Belgrano · Mercado Pago · Gmail Pago aprobado · REVISAR vs settlement</t>
        </is>
      </c>
      <c r="N917" s="4" t="inlineStr">
        <is>
          <t>CIUDAD / Almacen Detalle</t>
        </is>
      </c>
      <c r="O917" s="4" t="n">
        <v>358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AVA FIDEICOMISO</t>
        </is>
      </c>
      <c r="G918" s="4" t="inlineStr">
        <is>
          <t>AVA Fideicomiso</t>
        </is>
      </c>
      <c r="H918" s="5" t="n">
        <v>3134720</v>
      </c>
      <c r="I918" s="16" t="n"/>
      <c r="J918" s="4" t="inlineStr">
        <is>
          <t>REAL</t>
        </is>
      </c>
      <c r="K918" s="4" t="inlineStr">
        <is>
          <t>Mercado Pago / Transferencia</t>
        </is>
      </c>
      <c r="L918" s="4" t="inlineStr">
        <is>
          <t>Mercado Pago</t>
        </is>
      </c>
      <c r="M918" s="4" t="inlineStr">
        <is>
          <t>AVA Fideicomiso · cuota 10 · vto 2026-09-04 · total 6269440 · TC MEP venta 1525.39 · USD 4110.06 · 50% Sol · Gmail factura/recibo 07/09</t>
        </is>
      </c>
      <c r="N918" s="4" t="inlineStr">
        <is>
          <t>CIUDAD / Gasto Personal Sol</t>
        </is>
      </c>
      <c r="O918" s="4" t="n">
        <v>829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847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TRANSFERENCIAS</t>
        </is>
      </c>
      <c r="G921" s="4" t="inlineStr">
        <is>
          <t>TRANSFERENCIAS</t>
        </is>
      </c>
      <c r="H921" s="5" t="n">
        <v>10800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Digno Lopez · Transferencia enviada · gasto personal Sol · dinero en cuenta MP screenshot</t>
        </is>
      </c>
      <c r="N921" s="4" t="inlineStr">
        <is>
          <t>CIUDAD / Gasto Personal Sol</t>
        </is>
      </c>
      <c r="O921" s="4" t="n">
        <v>845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COMIDA</t>
        </is>
      </c>
      <c r="G922" s="4" t="inlineStr">
        <is>
          <t>COMIDA · AL PASO</t>
        </is>
      </c>
      <c r="H922" s="5" t="n">
        <v>8700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COMIDA · AL PASO · Mercado Pago · dinero en cuenta MP screenshot</t>
        </is>
      </c>
      <c r="N922" s="4" t="inlineStr">
        <is>
          <t>CIUDAD / Almacen Detalle</t>
        </is>
      </c>
      <c r="O922" s="4" t="n">
        <v>361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TELECOMUNICACIONES</t>
        </is>
      </c>
      <c r="G923" s="4" t="inlineStr">
        <is>
          <t>Servicio - Telefonía</t>
        </is>
      </c>
      <c r="H923" s="5" t="n">
        <v>18300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Servicio - Telefonía · Tuenti · gasto personal Sol · dinero en cuenta MP screenshot</t>
        </is>
      </c>
      <c r="N923" s="4" t="inlineStr">
        <is>
          <t>CIUDAD / Gasto Personal Sol</t>
        </is>
      </c>
      <c r="O923" s="4" t="n">
        <v>848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TRANSPORTE · SUBE</t>
        </is>
      </c>
      <c r="H924" s="5" t="n">
        <v>987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TRANSPORTE · SUBE · gasto personal Sol · dinero en cuenta MP screenshot</t>
        </is>
      </c>
      <c r="N924" s="4" t="inlineStr">
        <is>
          <t>CIUDAD / Gasto Personal Sol</t>
        </is>
      </c>
      <c r="O924" s="4" t="n">
        <v>849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McDonald's</t>
        </is>
      </c>
      <c r="H925" s="5" t="n">
        <v>2040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McDonald's · Mercado Pago · dinero en cuenta MP screenshot</t>
        </is>
      </c>
      <c r="N925" s="4" t="inlineStr">
        <is>
          <t>CIUDAD / Almacen Detalle</t>
        </is>
      </c>
      <c r="O925" s="4" t="n">
        <v>362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COMIDA · OFICINA</t>
        </is>
      </c>
      <c r="G926" s="4" t="inlineStr">
        <is>
          <t>COMIDA · Oficina</t>
        </is>
      </c>
      <c r="H926" s="5" t="n">
        <v>1350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COMIDA · Oficina · Feed · gasto personal Sol · dinero en cuenta MP screenshot</t>
        </is>
      </c>
      <c r="N926" s="4" t="inlineStr">
        <is>
          <t>CIUDAD / Gasto Personal Sol</t>
        </is>
      </c>
      <c r="O926" s="4" t="n">
        <v>851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IMPUESTOS · ARCA</t>
        </is>
      </c>
      <c r="H927" s="5" t="n">
        <v>58118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IMPUESTOS · ARCA / AFIP · MP 2026-09-07 · gasto personal Sol · dinero en cuenta MP screenshot</t>
        </is>
      </c>
      <c r="N927" s="4" t="inlineStr">
        <is>
          <t>CIUDAD / Gasto Personal Sol</t>
        </is>
      </c>
      <c r="O927" s="4" t="n">
        <v>852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43038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853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TRANSPORTE</t>
        </is>
      </c>
      <c r="G929" s="4" t="inlineStr">
        <is>
          <t>TRANSPORTE · Didi</t>
        </is>
      </c>
      <c r="H929" s="5" t="n">
        <v>6700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TRANSPORTE · Didi · gasto personal Sol · dinero en cuenta MP screenshot</t>
        </is>
      </c>
      <c r="N929" s="4" t="inlineStr">
        <is>
          <t>CIUDAD / Gasto Personal Sol</t>
        </is>
      </c>
      <c r="O929" s="4" t="n">
        <v>854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Uber</t>
        </is>
      </c>
      <c r="H930" s="5" t="n">
        <v>6948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Uber · Ebanx (=Uber) · gasto personal Sol · dinero en cuenta MP screenshot</t>
        </is>
      </c>
      <c r="N930" s="4" t="inlineStr">
        <is>
          <t>CIUDAD / Gasto Personal Sol</t>
        </is>
      </c>
      <c r="O930" s="4" t="n">
        <v>850</v>
      </c>
    </row>
    <row r="931">
      <c r="A931" s="4" t="n">
        <v>930</v>
      </c>
      <c r="B931" s="15" t="n">
        <v>46273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ALMACÉN SOL</t>
        </is>
      </c>
      <c r="F931" s="4" t="inlineStr">
        <is>
          <t>ENTRETENIMIENTO SOCIAL</t>
        </is>
      </c>
      <c r="G931" s="4" t="inlineStr">
        <is>
          <t>ENTRETENIMIENTO · Social</t>
        </is>
      </c>
      <c r="H931" s="5" t="n">
        <v>8248</v>
      </c>
      <c r="I931" s="16" t="n"/>
      <c r="J931" s="4" t="inlineStr">
        <is>
          <t>REAL</t>
        </is>
      </c>
      <c r="K931" s="17" t="n"/>
      <c r="L931" s="4" t="inlineStr">
        <is>
          <t>Mercado Pago</t>
        </is>
      </c>
      <c r="M931" s="4" t="inlineStr">
        <is>
          <t>ENTRETENIMIENTO · Social · la monumental · Mercado Pago · dinero en cuenta MP screenshot</t>
        </is>
      </c>
      <c r="N931" s="4" t="inlineStr">
        <is>
          <t>CIUDAD / Almacen Detalle</t>
        </is>
      </c>
      <c r="O931" s="4" t="n">
        <v>363</v>
      </c>
    </row>
    <row r="932">
      <c r="A932" s="4" t="n">
        <v>931</v>
      </c>
      <c r="B932" s="15" t="n">
        <v>46273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ALMACÉN SOL</t>
        </is>
      </c>
      <c r="F932" s="4" t="inlineStr">
        <is>
          <t>REPUESTOS</t>
        </is>
      </c>
      <c r="G932" s="4" t="inlineStr">
        <is>
          <t>REPUESTOS · Sodastream</t>
        </is>
      </c>
      <c r="H932" s="5" t="n">
        <v>88659</v>
      </c>
      <c r="I932" s="16" t="n"/>
      <c r="J932" s="4" t="inlineStr">
        <is>
          <t>REAL</t>
        </is>
      </c>
      <c r="K932" s="17" t="n"/>
      <c r="L932" s="4" t="inlineStr">
        <is>
          <t>Mercado Pago</t>
        </is>
      </c>
      <c r="M932" s="4" t="inlineStr">
        <is>
          <t>REPUESTOS · Sodastream · Mercado Pago · Gmail Pago aprobado · REVISAR vs settlement</t>
        </is>
      </c>
      <c r="N932" s="4" t="inlineStr">
        <is>
          <t>CIUDAD / Almacen Detalle</t>
        </is>
      </c>
      <c r="O932" s="4" t="n">
        <v>357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OTROS PERSONALES</t>
        </is>
      </c>
      <c r="G933" s="4" t="inlineStr">
        <is>
          <t>IMPUESTOS · ARCA</t>
        </is>
      </c>
      <c r="H933" s="5" t="n">
        <v>4866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IMPUESTOS · ARCA / AFIP · MP 2026-09-08 · gasto personal Sol · dinero en cuenta MP screenshot</t>
        </is>
      </c>
      <c r="N933" s="4" t="inlineStr">
        <is>
          <t>CIUDAD / Gasto Personal Sol</t>
        </is>
      </c>
      <c r="O933" s="4" t="n">
        <v>855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VESTIMENTA</t>
        </is>
      </c>
      <c r="G934" s="4" t="inlineStr">
        <is>
          <t>VESTIMENTA</t>
        </is>
      </c>
      <c r="H934" s="5" t="n">
        <v>28199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VESTIMENTA · OZZ · gasto personal Sol · dinero en cuenta MP screenshot</t>
        </is>
      </c>
      <c r="N934" s="4" t="inlineStr">
        <is>
          <t>CIUDAD / Gasto Personal Sol</t>
        </is>
      </c>
      <c r="O934" s="4" t="n">
        <v>856</v>
      </c>
    </row>
    <row r="935">
      <c r="A935" s="4" t="n">
        <v>934</v>
      </c>
      <c r="B935" s="15" t="n">
        <v>46274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ALMACÉN SOL</t>
        </is>
      </c>
      <c r="F935" s="4" t="inlineStr">
        <is>
          <t>COMIDA</t>
        </is>
      </c>
      <c r="G935" s="4" t="inlineStr">
        <is>
          <t>PEDIDOS YA · COMIDA</t>
        </is>
      </c>
      <c r="H935" s="5" t="n">
        <v>39819</v>
      </c>
      <c r="I935" s="16" t="n"/>
      <c r="J935" s="4" t="inlineStr">
        <is>
          <t>REAL</t>
        </is>
      </c>
      <c r="K935" s="17" t="n"/>
      <c r="L935" s="4" t="inlineStr">
        <is>
          <t>Sin identificar</t>
        </is>
      </c>
      <c r="M935" s="4" t="inlineStr">
        <is>
          <t>PEDIDOS YA · COMIDA · screenshot · REVISAR si Market · dinero en cuenta MP screenshot</t>
        </is>
      </c>
      <c r="N935" s="4" t="inlineStr">
        <is>
          <t>CIUDAD / Almacen Detalle</t>
        </is>
      </c>
      <c r="O935" s="4" t="n">
        <v>364</v>
      </c>
    </row>
    <row r="936">
      <c r="A936" s="4" t="n">
        <v>935</v>
      </c>
      <c r="B936" s="15" t="n">
        <v>46274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COMIDA</t>
        </is>
      </c>
      <c r="G936" s="4" t="inlineStr">
        <is>
          <t>PEDIDOS YA · COMIDA · propina</t>
        </is>
      </c>
      <c r="H936" s="5" t="n">
        <v>900</v>
      </c>
      <c r="I936" s="16" t="n"/>
      <c r="J936" s="4" t="inlineStr">
        <is>
          <t>REAL</t>
        </is>
      </c>
      <c r="K936" s="17" t="n"/>
      <c r="L936" s="4" t="inlineStr">
        <is>
          <t>Sin identificar</t>
        </is>
      </c>
      <c r="M936" s="4" t="inlineStr">
        <is>
          <t>PEDIDOS YA · COMIDA · propina · screenshot · REVISAR si Market · dinero en cuenta MP screenshot</t>
        </is>
      </c>
      <c r="N936" s="4" t="inlineStr">
        <is>
          <t>CIUDAD / Almacen Detalle</t>
        </is>
      </c>
      <c r="O936" s="4" t="n">
        <v>365</v>
      </c>
    </row>
    <row r="937">
      <c r="A937" s="4" t="n">
        <v>936</v>
      </c>
      <c r="B937" s="15" t="n">
        <v>46275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GASTO PERSONAL</t>
        </is>
      </c>
      <c r="F937" s="4" t="inlineStr">
        <is>
          <t>COMPRAS</t>
        </is>
      </c>
      <c r="G937" s="4" t="inlineStr">
        <is>
          <t>COMPRAS</t>
        </is>
      </c>
      <c r="H937" s="5" t="n">
        <v>163350</v>
      </c>
      <c r="I937" s="16" t="n"/>
      <c r="J937" s="4" t="inlineStr">
        <is>
          <t>REAL</t>
        </is>
      </c>
      <c r="K937" s="4" t="inlineStr">
        <is>
          <t>Mercado Pago</t>
        </is>
      </c>
      <c r="L937" s="4" t="inlineStr">
        <is>
          <t>Mercado Pago</t>
        </is>
      </c>
      <c r="M937" s="4" t="inlineStr">
        <is>
          <t>COMPRAS · ZILVER SA · gasto personal Sol · REVISAR ítem · dinero en cuenta MP screenshot</t>
        </is>
      </c>
      <c r="N937" s="4" t="inlineStr">
        <is>
          <t>CIUDAD / Gasto Personal Sol</t>
        </is>
      </c>
      <c r="O937" s="4" t="n">
        <v>862</v>
      </c>
    </row>
    <row r="938">
      <c r="A938" s="4" t="n">
        <v>937</v>
      </c>
      <c r="B938" s="15" t="n">
        <v>46275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43083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2026-09-10 · gasto personal Sol · dinero en cuenta MP screenshot</t>
        </is>
      </c>
      <c r="N938" s="4" t="inlineStr">
        <is>
          <t>CIUDAD / Gasto Personal Sol</t>
        </is>
      </c>
      <c r="O938" s="4" t="n">
        <v>857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TRANSFERENCIAS</t>
        </is>
      </c>
      <c r="G939" s="4" t="inlineStr">
        <is>
          <t>TRANSFERENCIAS</t>
        </is>
      </c>
      <c r="H939" s="5" t="n">
        <v>131000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Cova Abreu Gibiana Del Valle · Transferencia enviada · gasto personal Sol · dinero en cuenta MP screenshot</t>
        </is>
      </c>
      <c r="N939" s="4" t="inlineStr">
        <is>
          <t>CIUDAD / Gasto Personal Sol</t>
        </is>
      </c>
      <c r="O939" s="4" t="n">
        <v>861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TRANSPORTE</t>
        </is>
      </c>
      <c r="G940" s="4" t="inlineStr">
        <is>
          <t>TRANSPORTE · Uber</t>
        </is>
      </c>
      <c r="H940" s="5" t="n">
        <v>5612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TRANSPORTE · Uber · Ebanx (=Uber) · gasto personal Sol · dinero en cuenta MP screenshot</t>
        </is>
      </c>
      <c r="N940" s="4" t="inlineStr">
        <is>
          <t>CIUDAD / Gasto Personal Sol</t>
        </is>
      </c>
      <c r="O940" s="4" t="n">
        <v>858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7155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859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81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860</v>
      </c>
    </row>
    <row r="943">
      <c r="A943" s="4" t="n">
        <v>942</v>
      </c>
      <c r="B943" s="15" t="n">
        <v>46276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SUSCRIPCIONES · APPLE</t>
        </is>
      </c>
      <c r="G943" s="4" t="inlineStr">
        <is>
          <t>SUSCRIPCIONES · Apple</t>
        </is>
      </c>
      <c r="H943" s="5" t="n">
        <v>29331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SUSCRIPCIONES · Apple · Mercado Pago · gasto personal Sol · dinero en cuenta MP screenshot</t>
        </is>
      </c>
      <c r="N943" s="4" t="inlineStr">
        <is>
          <t>CIUDAD / Gasto Personal Sol</t>
        </is>
      </c>
      <c r="O943" s="4" t="n">
        <v>863</v>
      </c>
    </row>
    <row r="944">
      <c r="A944" s="4" t="n">
        <v>943</v>
      </c>
      <c r="B944" s="15" t="n">
        <v>46276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TRANSFERENCIAS</t>
        </is>
      </c>
      <c r="G944" s="4" t="inlineStr">
        <is>
          <t>TRANSFERENCIAS</t>
        </is>
      </c>
      <c r="H944" s="5" t="n">
        <v>185288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Sanbras oficial · Transferencia enviada · gasto personal Sol · dinero en cuenta MP screenshot</t>
        </is>
      </c>
      <c r="N944" s="4" t="inlineStr">
        <is>
          <t>CIUDAD / Gasto Personal Sol</t>
        </is>
      </c>
      <c r="O944" s="4" t="n">
        <v>867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TRANSFERENCIAS</t>
        </is>
      </c>
      <c r="G945" s="4" t="inlineStr">
        <is>
          <t>TRANSFERENCIAS</t>
        </is>
      </c>
      <c r="H945" s="5" t="n">
        <v>135000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Paula Carolina Fasanella · Transferencia enviada · gasto personal Sol · dinero en cuenta MP screenshot</t>
        </is>
      </c>
      <c r="N945" s="4" t="inlineStr">
        <is>
          <t>CIUDAD / Gasto Personal Sol</t>
        </is>
      </c>
      <c r="O945" s="4" t="n">
        <v>868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Didi</t>
        </is>
      </c>
      <c r="H946" s="5" t="n">
        <v>5800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Didi · gasto personal Sol · dinero en cuenta MP screenshot</t>
        </is>
      </c>
      <c r="N946" s="4" t="inlineStr">
        <is>
          <t>CIUDAD / Gasto Personal Sol</t>
        </is>
      </c>
      <c r="O946" s="4" t="n">
        <v>864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Didi</t>
        </is>
      </c>
      <c r="H947" s="5" t="n">
        <v>4500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Didi · gasto personal Sol · dinero en cuenta MP screenshot</t>
        </is>
      </c>
      <c r="N947" s="4" t="inlineStr">
        <is>
          <t>CIUDAD / Gasto Personal Sol</t>
        </is>
      </c>
      <c r="O947" s="4" t="n">
        <v>865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Uber</t>
        </is>
      </c>
      <c r="H948" s="5" t="n">
        <v>7758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Uber · Ebanx (=Uber) · gasto personal Sol · dinero en cuenta MP screenshot</t>
        </is>
      </c>
      <c r="N948" s="4" t="inlineStr">
        <is>
          <t>CIUDAD / Gasto Personal Sol</t>
        </is>
      </c>
      <c r="O948" s="4" t="n">
        <v>866</v>
      </c>
    </row>
    <row r="949">
      <c r="A949" s="4" t="n">
        <v>948</v>
      </c>
      <c r="B949" s="15" t="n">
        <v>46277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ALMACÉN SOL</t>
        </is>
      </c>
      <c r="F949" s="4" t="inlineStr">
        <is>
          <t>COMIDA</t>
        </is>
      </c>
      <c r="G949" s="4" t="inlineStr">
        <is>
          <t>COMIDA · McDonald's</t>
        </is>
      </c>
      <c r="H949" s="5" t="n">
        <v>8010</v>
      </c>
      <c r="I949" s="16" t="n"/>
      <c r="J949" s="4" t="inlineStr">
        <is>
          <t>REAL</t>
        </is>
      </c>
      <c r="K949" s="17" t="n"/>
      <c r="L949" s="4" t="inlineStr">
        <is>
          <t>Mercado Pago</t>
        </is>
      </c>
      <c r="M949" s="4" t="inlineStr">
        <is>
          <t>COMIDA · McDonald's · Mercado Pago · dinero en cuenta MP screenshot</t>
        </is>
      </c>
      <c r="N949" s="4" t="inlineStr">
        <is>
          <t>CIUDAD / Almacen Detalle</t>
        </is>
      </c>
      <c r="O949" s="4" t="n">
        <v>367</v>
      </c>
    </row>
    <row r="950">
      <c r="A950" s="4" t="n">
        <v>949</v>
      </c>
      <c r="B950" s="15" t="n">
        <v>46277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ALMACÉN SOL</t>
        </is>
      </c>
      <c r="F950" s="4" t="inlineStr">
        <is>
          <t>COMIDA</t>
        </is>
      </c>
      <c r="G950" s="4" t="inlineStr">
        <is>
          <t>PEDIDOS YA · COMIDA</t>
        </is>
      </c>
      <c r="H950" s="5" t="n">
        <v>38099</v>
      </c>
      <c r="I950" s="16" t="n"/>
      <c r="J950" s="4" t="inlineStr">
        <is>
          <t>REAL</t>
        </is>
      </c>
      <c r="K950" s="17" t="n"/>
      <c r="L950" s="4" t="inlineStr">
        <is>
          <t>Sin identificar</t>
        </is>
      </c>
      <c r="M950" s="4" t="inlineStr">
        <is>
          <t>PEDIDOS YA · COMIDA · screenshot · REVISAR si Market · dinero en cuenta MP screenshot</t>
        </is>
      </c>
      <c r="N950" s="4" t="inlineStr">
        <is>
          <t>CIUDAD / Almacen Detalle</t>
        </is>
      </c>
      <c r="O950" s="4" t="n">
        <v>366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SUSCRIPCIONES · APPLE</t>
        </is>
      </c>
      <c r="G951" s="4" t="inlineStr">
        <is>
          <t>SUSCRIPCIONES · Apple</t>
        </is>
      </c>
      <c r="H951" s="5" t="n">
        <v>19749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SUSCRIPCIONES · Apple · Mercado Pago · gasto personal Sol · dinero en cuenta MP screenshot</t>
        </is>
      </c>
      <c r="N951" s="4" t="inlineStr">
        <is>
          <t>CIUDAD / Gasto Personal Sol</t>
        </is>
      </c>
      <c r="O951" s="4" t="n">
        <v>869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ROPA</t>
        </is>
      </c>
      <c r="G952" s="4" t="inlineStr">
        <is>
          <t>TRANSFERENCIAS</t>
        </is>
      </c>
      <c r="H952" s="5" t="n">
        <v>140000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Eva Graciela Zarate Valdovino · Transferencia enviada · gasto personal Sol · dinero en cuenta MP screenshot</t>
        </is>
      </c>
      <c r="N952" s="4" t="inlineStr">
        <is>
          <t>CIUDAD / Gasto Personal Sol</t>
        </is>
      </c>
      <c r="O952" s="4" t="n">
        <v>870</v>
      </c>
    </row>
    <row r="953">
      <c r="A953" s="4" t="n">
        <v>952</v>
      </c>
      <c r="B953" s="15" t="n">
        <v>46278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ALMACÉN SOL</t>
        </is>
      </c>
      <c r="F953" s="4" t="inlineStr">
        <is>
          <t>COMIDA</t>
        </is>
      </c>
      <c r="G953" s="4" t="inlineStr">
        <is>
          <t>COMIDA · VERDULERÍA</t>
        </is>
      </c>
      <c r="H953" s="5" t="n">
        <v>5900</v>
      </c>
      <c r="I953" s="16" t="n"/>
      <c r="J953" s="4" t="inlineStr">
        <is>
          <t>REAL</t>
        </is>
      </c>
      <c r="K953" s="17" t="n"/>
      <c r="L953" s="4" t="inlineStr">
        <is>
          <t>Mercado Pago</t>
        </is>
      </c>
      <c r="M953" s="4" t="inlineStr">
        <is>
          <t>COMIDA · VERDULERÍA · Noelia Caballero · Mercado Pago · dinero en cuenta MP screenshot</t>
        </is>
      </c>
      <c r="N953" s="4" t="inlineStr">
        <is>
          <t>CIUDAD / Almacen Detalle</t>
        </is>
      </c>
      <c r="O953" s="4" t="n">
        <v>368</v>
      </c>
    </row>
    <row r="954">
      <c r="A954" s="4" t="n">
        <v>953</v>
      </c>
      <c r="B954" s="15" t="n">
        <v>46278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176509</v>
      </c>
      <c r="I954" s="16" t="n"/>
      <c r="J954" s="4" t="inlineStr">
        <is>
          <t>REAL</t>
        </is>
      </c>
      <c r="K954" s="4" t="inlineStr">
        <is>
          <t>Mercado Pago</t>
        </is>
      </c>
      <c r="L954" s="4" t="inlineStr">
        <is>
          <t>Mercado Pago</t>
        </is>
      </c>
      <c r="M954" s="4" t="inlineStr">
        <is>
          <t>COMPRAS · El Bazar Digital · gasto personal Sol · REVISAR ítem · dinero en cuenta MP screenshot</t>
        </is>
      </c>
      <c r="N954" s="4" t="inlineStr">
        <is>
          <t>CIUDAD / Gasto Personal Sol</t>
        </is>
      </c>
      <c r="O954" s="4" t="n">
        <v>871</v>
      </c>
    </row>
    <row r="955">
      <c r="A955" s="4" t="n">
        <v>954</v>
      </c>
      <c r="B955" s="15" t="n">
        <v>46278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71250</v>
      </c>
      <c r="I955" s="16" t="n"/>
      <c r="J955" s="4" t="inlineStr">
        <is>
          <t>REAL</t>
        </is>
      </c>
      <c r="K955" s="4" t="inlineStr">
        <is>
          <t>Mercado Pago</t>
        </is>
      </c>
      <c r="L955" s="4" t="inlineStr">
        <is>
          <t>Mercado Pago</t>
        </is>
      </c>
      <c r="M955" s="4" t="inlineStr">
        <is>
          <t>Pago · Pago · gasto personal Sol · REVISAR ítem · dinero en cuenta MP screenshot</t>
        </is>
      </c>
      <c r="N955" s="4" t="inlineStr">
        <is>
          <t>CIUDAD / Gasto Personal Sol</t>
        </is>
      </c>
      <c r="O955" s="4" t="n">
        <v>873</v>
      </c>
    </row>
    <row r="956">
      <c r="A956" s="4" t="n">
        <v>955</v>
      </c>
      <c r="B956" s="15" t="n">
        <v>46278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76742</v>
      </c>
      <c r="I956" s="16" t="n"/>
      <c r="J956" s="4" t="inlineStr">
        <is>
          <t>REAL</t>
        </is>
      </c>
      <c r="K956" s="4" t="inlineStr">
        <is>
          <t>Mercado Pago</t>
        </is>
      </c>
      <c r="L956" s="4" t="inlineStr">
        <is>
          <t>Mercado Pago</t>
        </is>
      </c>
      <c r="M956" s="4" t="inlineStr">
        <is>
          <t>Pago · Pago · gasto personal Sol · REVISAR ítem · dinero en cuenta MP screenshot</t>
        </is>
      </c>
      <c r="N956" s="4" t="inlineStr">
        <is>
          <t>CIUDAD / Gasto Personal Sol</t>
        </is>
      </c>
      <c r="O956" s="4" t="n">
        <v>874</v>
      </c>
    </row>
    <row r="957">
      <c r="A957" s="4" t="n">
        <v>956</v>
      </c>
      <c r="B957" s="15" t="n">
        <v>46278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PELUQUERÍA</t>
        </is>
      </c>
      <c r="G957" s="4" t="inlineStr">
        <is>
          <t>PELUQUERÍA</t>
        </is>
      </c>
      <c r="H957" s="5" t="n">
        <v>12720</v>
      </c>
      <c r="I957" s="16" t="n"/>
      <c r="J957" s="4" t="inlineStr">
        <is>
          <t>REAL</t>
        </is>
      </c>
      <c r="K957" s="4" t="inlineStr">
        <is>
          <t>Mercado Pago</t>
        </is>
      </c>
      <c r="L957" s="4" t="inlineStr">
        <is>
          <t>Mercado Pago</t>
        </is>
      </c>
      <c r="M957" s="4" t="inlineStr">
        <is>
          <t>PELUQUERÍA · Megapeluquerías CABA · gasto personal Sol · dinero en cuenta MP screenshot</t>
        </is>
      </c>
      <c r="N957" s="4" t="inlineStr">
        <is>
          <t>CIUDAD / Gasto Personal Sol</t>
        </is>
      </c>
      <c r="O957" s="4" t="n">
        <v>872</v>
      </c>
    </row>
    <row r="958">
      <c r="A958" s="4" t="n">
        <v>957</v>
      </c>
      <c r="B958" s="15" t="n">
        <v>46279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TRANSFERENCIAS</t>
        </is>
      </c>
      <c r="G958" s="4" t="inlineStr">
        <is>
          <t>TRANSFERENCIAS</t>
        </is>
      </c>
      <c r="H958" s="5" t="n">
        <v>85000</v>
      </c>
      <c r="I958" s="16" t="n"/>
      <c r="J958" s="4" t="inlineStr">
        <is>
          <t>REAL</t>
        </is>
      </c>
      <c r="K958" s="4" t="inlineStr">
        <is>
          <t>Mercado Pago</t>
        </is>
      </c>
      <c r="L958" s="4" t="inlineStr">
        <is>
          <t>Mercado Pago</t>
        </is>
      </c>
      <c r="M958" s="4" t="inlineStr">
        <is>
          <t>Maria Celeste Gonzalez · Transferencia enviada · gasto personal Sol · dinero en cuenta MP screenshot</t>
        </is>
      </c>
      <c r="N958" s="4" t="inlineStr">
        <is>
          <t>CIUDAD / Gasto Personal Sol</t>
        </is>
      </c>
      <c r="O958" s="4" t="n">
        <v>875</v>
      </c>
    </row>
    <row r="959">
      <c r="A959" s="4" t="n">
        <v>958</v>
      </c>
      <c r="B959" s="15" t="n">
        <v>46279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TRANSFERENCIAS</t>
        </is>
      </c>
      <c r="G959" s="4" t="inlineStr">
        <is>
          <t>TRANSFERENCIAS</t>
        </is>
      </c>
      <c r="H959" s="5" t="n">
        <v>1000</v>
      </c>
      <c r="I959" s="16" t="n"/>
      <c r="J959" s="4" t="inlineStr">
        <is>
          <t>REAL</t>
        </is>
      </c>
      <c r="K959" s="4" t="inlineStr">
        <is>
          <t>Mercado Pago</t>
        </is>
      </c>
      <c r="L959" s="4" t="inlineStr">
        <is>
          <t>Mercado Pago</t>
        </is>
      </c>
      <c r="M959" s="4" t="inlineStr">
        <is>
          <t>Mariano Morales · Transferencia enviada · gasto personal Sol · dinero en cuenta MP screenshot</t>
        </is>
      </c>
      <c r="N959" s="4" t="inlineStr">
        <is>
          <t>CIUDAD / Gasto Personal Sol</t>
        </is>
      </c>
      <c r="O959" s="4" t="n">
        <v>876</v>
      </c>
    </row>
    <row r="960">
      <c r="A960" s="4" t="n">
        <v>959</v>
      </c>
      <c r="B960" s="15" t="n">
        <v>46280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ALMACÉN SOL</t>
        </is>
      </c>
      <c r="F960" s="4" t="inlineStr">
        <is>
          <t>COMIDA</t>
        </is>
      </c>
      <c r="G960" s="4" t="inlineStr">
        <is>
          <t>COMIDA · CASAARISTOBULO017</t>
        </is>
      </c>
      <c r="H960" s="5" t="n">
        <v>43667</v>
      </c>
      <c r="I960" s="16" t="n"/>
      <c r="J960" s="4" t="inlineStr">
        <is>
          <t>REAL</t>
        </is>
      </c>
      <c r="K960" s="17" t="n"/>
      <c r="L960" s="4" t="inlineStr">
        <is>
          <t>Mercado Pago</t>
        </is>
      </c>
      <c r="M960" s="4" t="inlineStr">
        <is>
          <t>COMIDA · CASAARISTOBULO017 · QR · Mercado Pago · dinero en cuenta MP screenshot</t>
        </is>
      </c>
      <c r="N960" s="4" t="inlineStr">
        <is>
          <t>CIUDAD / Almacen Detalle</t>
        </is>
      </c>
      <c r="O960" s="4" t="n">
        <v>371</v>
      </c>
    </row>
    <row r="961">
      <c r="A961" s="4" t="n">
        <v>960</v>
      </c>
      <c r="B961" s="15" t="n">
        <v>46280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ALMACÉN SOL</t>
        </is>
      </c>
      <c r="F961" s="4" t="inlineStr">
        <is>
          <t>COMIDA</t>
        </is>
      </c>
      <c r="G961" s="4" t="inlineStr">
        <is>
          <t>PEDIDOS YA · COMIDA</t>
        </is>
      </c>
      <c r="H961" s="5" t="n">
        <v>26019</v>
      </c>
      <c r="I961" s="16" t="n"/>
      <c r="J961" s="4" t="inlineStr">
        <is>
          <t>REAL</t>
        </is>
      </c>
      <c r="K961" s="17" t="n"/>
      <c r="L961" s="4" t="inlineStr">
        <is>
          <t>Sin identificar</t>
        </is>
      </c>
      <c r="M961" s="4" t="inlineStr">
        <is>
          <t>PEDIDOS YA · COMIDA · screenshot · REVISAR si Market · dinero en cuenta MP screenshot</t>
        </is>
      </c>
      <c r="N961" s="4" t="inlineStr">
        <is>
          <t>CIUDAD / Almacen Detalle</t>
        </is>
      </c>
      <c r="O961" s="4" t="n">
        <v>369</v>
      </c>
    </row>
    <row r="962">
      <c r="A962" s="4" t="n">
        <v>961</v>
      </c>
      <c r="B962" s="15" t="n">
        <v>46280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ALMACÉN SOL</t>
        </is>
      </c>
      <c r="F962" s="4" t="inlineStr">
        <is>
          <t>COMIDA</t>
        </is>
      </c>
      <c r="G962" s="4" t="inlineStr">
        <is>
          <t>PEDIDOS YA · COMIDA · propina</t>
        </is>
      </c>
      <c r="H962" s="5" t="n">
        <v>1050</v>
      </c>
      <c r="I962" s="16" t="n"/>
      <c r="J962" s="4" t="inlineStr">
        <is>
          <t>REAL</t>
        </is>
      </c>
      <c r="K962" s="17" t="n"/>
      <c r="L962" s="4" t="inlineStr">
        <is>
          <t>Sin identificar</t>
        </is>
      </c>
      <c r="M962" s="4" t="inlineStr">
        <is>
          <t>PEDIDOS YA · COMIDA · propina · screenshot · REVISAR si Market · dinero en cuenta MP screenshot</t>
        </is>
      </c>
      <c r="N962" s="4" t="inlineStr">
        <is>
          <t>CIUDAD / Almacen Detalle</t>
        </is>
      </c>
      <c r="O962" s="4" t="n">
        <v>370</v>
      </c>
    </row>
    <row r="963">
      <c r="A963" s="4" t="n">
        <v>962</v>
      </c>
      <c r="B963" s="15" t="n">
        <v>46280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40900</v>
      </c>
      <c r="I963" s="16" t="n"/>
      <c r="J963" s="4" t="inlineStr">
        <is>
          <t>REAL</t>
        </is>
      </c>
      <c r="K963" s="4" t="inlineStr">
        <is>
          <t>Mercado Pago</t>
        </is>
      </c>
      <c r="L963" s="4" t="inlineStr">
        <is>
          <t>Mercado Pago</t>
        </is>
      </c>
      <c r="M963" s="4" t="inlineStr">
        <is>
          <t>COMPRAS · Happy buy · gasto personal Sol · REVISAR ítem · dinero en cuenta MP screenshot</t>
        </is>
      </c>
      <c r="N963" s="4" t="inlineStr">
        <is>
          <t>CIUDAD / Gasto Personal Sol</t>
        </is>
      </c>
      <c r="O963" s="4" t="n">
        <v>878</v>
      </c>
    </row>
    <row r="964">
      <c r="A964" s="4" t="n">
        <v>963</v>
      </c>
      <c r="B964" s="15" t="n">
        <v>46280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OTROS PERSONALES</t>
        </is>
      </c>
      <c r="G964" s="4" t="inlineStr">
        <is>
          <t>IMPUESTOS · Epagos</t>
        </is>
      </c>
      <c r="H964" s="5" t="n">
        <v>10150</v>
      </c>
      <c r="I964" s="16" t="n"/>
      <c r="J964" s="4" t="inlineStr">
        <is>
          <t>REAL</t>
        </is>
      </c>
      <c r="K964" s="4" t="inlineStr">
        <is>
          <t>Mercado Pago</t>
        </is>
      </c>
      <c r="L964" s="4" t="inlineStr">
        <is>
          <t>Mercado Pago</t>
        </is>
      </c>
      <c r="M964" s="4" t="inlineStr">
        <is>
          <t>IMPUESTOS · Epagos · gasto personal Sol · dinero en cuenta MP screenshot</t>
        </is>
      </c>
      <c r="N964" s="4" t="inlineStr">
        <is>
          <t>CIUDAD / Gasto Personal Sol</t>
        </is>
      </c>
      <c r="O964" s="4" t="n">
        <v>880</v>
      </c>
    </row>
    <row r="965">
      <c r="A965" s="4" t="n">
        <v>964</v>
      </c>
      <c r="B965" s="15" t="n">
        <v>46280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TRANSFERENCIAS</t>
        </is>
      </c>
      <c r="G965" s="4" t="inlineStr">
        <is>
          <t>TRANSFERENCIAS</t>
        </is>
      </c>
      <c r="H965" s="5" t="n">
        <v>4000</v>
      </c>
      <c r="I965" s="16" t="n"/>
      <c r="J965" s="4" t="inlineStr">
        <is>
          <t>REAL</t>
        </is>
      </c>
      <c r="K965" s="4" t="inlineStr">
        <is>
          <t>Mercado Pago</t>
        </is>
      </c>
      <c r="L965" s="4" t="inlineStr">
        <is>
          <t>Mercado Pago</t>
        </is>
      </c>
      <c r="M965" s="4" t="inlineStr">
        <is>
          <t>Gaston Osvaldo Roca · Transferencia enviada · gasto personal Sol · dinero en cuenta MP screenshot</t>
        </is>
      </c>
      <c r="N965" s="4" t="inlineStr">
        <is>
          <t>CIUDAD / Gasto Personal Sol</t>
        </is>
      </c>
      <c r="O965" s="4" t="n">
        <v>881</v>
      </c>
    </row>
    <row r="966">
      <c r="A966" s="4" t="n">
        <v>965</v>
      </c>
      <c r="B966" s="15" t="n">
        <v>46280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TRANSPORTE</t>
        </is>
      </c>
      <c r="G966" s="4" t="inlineStr">
        <is>
          <t>TRANSPORTE · Didi</t>
        </is>
      </c>
      <c r="H966" s="5" t="n">
        <v>5500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TRANSPORTE · Didi · gasto personal Sol · dinero en cuenta MP screenshot</t>
        </is>
      </c>
      <c r="N966" s="4" t="inlineStr">
        <is>
          <t>CIUDAD / Gasto Personal Sol</t>
        </is>
      </c>
      <c r="O966" s="4" t="n">
        <v>879</v>
      </c>
    </row>
    <row r="967">
      <c r="A967" s="4" t="n">
        <v>966</v>
      </c>
      <c r="B967" s="15" t="n">
        <v>46280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TRANSPORTE</t>
        </is>
      </c>
      <c r="G967" s="4" t="inlineStr">
        <is>
          <t>TRANSPORTE · Uber</t>
        </is>
      </c>
      <c r="H967" s="5" t="n">
        <v>4980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TRANSPORTE · Uber · Ebanx (=Uber) · gasto personal Sol · dinero en cuenta MP screenshot</t>
        </is>
      </c>
      <c r="N967" s="4" t="inlineStr">
        <is>
          <t>CIUDAD / Gasto Personal Sol</t>
        </is>
      </c>
      <c r="O967" s="4" t="n">
        <v>877</v>
      </c>
    </row>
    <row r="968">
      <c r="A968" s="4" t="n">
        <v>967</v>
      </c>
      <c r="B968" s="15" t="n">
        <v>46282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ALMACÉN SOL</t>
        </is>
      </c>
      <c r="F968" s="4" t="inlineStr">
        <is>
          <t>COMIDA</t>
        </is>
      </c>
      <c r="G968" s="4" t="inlineStr">
        <is>
          <t>COMIDA · McDonald's</t>
        </is>
      </c>
      <c r="H968" s="5" t="n">
        <v>1900</v>
      </c>
      <c r="I968" s="16" t="n"/>
      <c r="J968" s="4" t="inlineStr">
        <is>
          <t>REAL</t>
        </is>
      </c>
      <c r="K968" s="17" t="n"/>
      <c r="L968" s="4" t="inlineStr">
        <is>
          <t>Mercado Pago</t>
        </is>
      </c>
      <c r="M968" s="4" t="inlineStr">
        <is>
          <t>COMIDA · McDonald's · Mercado Pago · dinero en cuenta MP screenshot</t>
        </is>
      </c>
      <c r="N968" s="4" t="inlineStr">
        <is>
          <t>CIUDAD / Almacen Detalle</t>
        </is>
      </c>
      <c r="O968" s="4" t="n">
        <v>372</v>
      </c>
    </row>
    <row r="969">
      <c r="A969" s="4" t="n">
        <v>968</v>
      </c>
      <c r="B969" s="15" t="n">
        <v>46282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TRANSPORTE</t>
        </is>
      </c>
      <c r="G969" s="4" t="inlineStr">
        <is>
          <t>TRANSPORTE · Didi</t>
        </is>
      </c>
      <c r="H969" s="5" t="n">
        <v>6200</v>
      </c>
      <c r="I969" s="16" t="n"/>
      <c r="J969" s="4" t="inlineStr">
        <is>
          <t>REAL</t>
        </is>
      </c>
      <c r="K969" s="4" t="inlineStr">
        <is>
          <t>Mercado Pago</t>
        </is>
      </c>
      <c r="L969" s="4" t="inlineStr">
        <is>
          <t>Mercado Pago</t>
        </is>
      </c>
      <c r="M969" s="4" t="inlineStr">
        <is>
          <t>TRANSPORTE · Didi · gasto personal Sol · dinero en cuenta MP screenshot</t>
        </is>
      </c>
      <c r="N969" s="4" t="inlineStr">
        <is>
          <t>CIUDAD / Gasto Personal Sol</t>
        </is>
      </c>
      <c r="O969" s="4" t="n">
        <v>883</v>
      </c>
    </row>
    <row r="970">
      <c r="A970" s="4" t="n">
        <v>969</v>
      </c>
      <c r="B970" s="15" t="n">
        <v>46282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TRANSPORTE</t>
        </is>
      </c>
      <c r="G970" s="4" t="inlineStr">
        <is>
          <t>TRANSPORTE · Uber</t>
        </is>
      </c>
      <c r="H970" s="5" t="n">
        <v>7257</v>
      </c>
      <c r="I970" s="16" t="n"/>
      <c r="J970" s="4" t="inlineStr">
        <is>
          <t>REAL</t>
        </is>
      </c>
      <c r="K970" s="4" t="inlineStr">
        <is>
          <t>Mercado Pago</t>
        </is>
      </c>
      <c r="L970" s="4" t="inlineStr">
        <is>
          <t>Mercado Pago</t>
        </is>
      </c>
      <c r="M970" s="4" t="inlineStr">
        <is>
          <t>TRANSPORTE · Uber · Ebanx (=Uber) · gasto personal Sol · dinero en cuenta MP screenshot</t>
        </is>
      </c>
      <c r="N970" s="4" t="inlineStr">
        <is>
          <t>CIUDAD / Gasto Personal Sol</t>
        </is>
      </c>
      <c r="O970" s="4" t="n">
        <v>882</v>
      </c>
    </row>
    <row r="971">
      <c r="A971" s="4" t="n">
        <v>970</v>
      </c>
      <c r="B971" s="15" t="n">
        <v>46282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VESTIMENTA</t>
        </is>
      </c>
      <c r="G971" s="4" t="inlineStr">
        <is>
          <t>VESTIMENTA</t>
        </is>
      </c>
      <c r="H971" s="5" t="n">
        <v>719990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VESTIMENTA · Itsclassic · TC Mercado Pago · Gmail Pago aprobado · REVISAR (también alerta BBVA MERPAGO*ITSCLASSIC)</t>
        </is>
      </c>
      <c r="N971" s="4" t="inlineStr">
        <is>
          <t>CIUDAD / Gasto Personal Sol</t>
        </is>
      </c>
      <c r="O971" s="4" t="n">
        <v>831</v>
      </c>
    </row>
    <row r="972">
      <c r="A972" s="4" t="n">
        <v>971</v>
      </c>
      <c r="B972" s="15" t="n">
        <v>46283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TRANSPORTE</t>
        </is>
      </c>
      <c r="G972" s="4" t="inlineStr">
        <is>
          <t>TRANSPORTE · Didi</t>
        </is>
      </c>
      <c r="H972" s="5" t="n">
        <v>4900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TRANSPORTE · Didi · gasto personal Sol · dinero en cuenta MP screenshot</t>
        </is>
      </c>
      <c r="N972" s="4" t="inlineStr">
        <is>
          <t>CIUDAD / Gasto Personal Sol</t>
        </is>
      </c>
      <c r="O972" s="4" t="n">
        <v>885</v>
      </c>
    </row>
    <row r="973">
      <c r="A973" s="4" t="n">
        <v>972</v>
      </c>
      <c r="B973" s="15" t="n">
        <v>46283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TRANSPORTE</t>
        </is>
      </c>
      <c r="G973" s="4" t="inlineStr">
        <is>
          <t>TRANSPORTE · Uber</t>
        </is>
      </c>
      <c r="H973" s="5" t="n">
        <v>6053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TRANSPORTE · Uber · Ebanx (=Uber) · gasto personal Sol · dinero en cuenta MP screenshot</t>
        </is>
      </c>
      <c r="N973" s="4" t="inlineStr">
        <is>
          <t>CIUDAD / Gasto Personal Sol</t>
        </is>
      </c>
      <c r="O973" s="4" t="n">
        <v>884</v>
      </c>
    </row>
    <row r="974">
      <c r="A974" s="4" t="n">
        <v>973</v>
      </c>
      <c r="B974" s="15" t="n">
        <v>46283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TRANSPORTE</t>
        </is>
      </c>
      <c r="G974" s="4" t="inlineStr">
        <is>
          <t>TRANSPORTE · Uber</t>
        </is>
      </c>
      <c r="H974" s="5" t="n">
        <v>6478</v>
      </c>
      <c r="I974" s="16" t="n"/>
      <c r="J974" s="4" t="inlineStr">
        <is>
          <t>REAL</t>
        </is>
      </c>
      <c r="K974" s="4" t="inlineStr">
        <is>
          <t>Mercado Pago</t>
        </is>
      </c>
      <c r="L974" s="4" t="inlineStr">
        <is>
          <t>Mercado Pago</t>
        </is>
      </c>
      <c r="M974" s="4" t="inlineStr">
        <is>
          <t>TRANSPORTE · Uber · Ebanx (=Uber) · gasto personal Sol · dinero en cuenta MP screenshot</t>
        </is>
      </c>
      <c r="N974" s="4" t="inlineStr">
        <is>
          <t>CIUDAD / Gasto Personal Sol</t>
        </is>
      </c>
      <c r="O974" s="4" t="n">
        <v>886</v>
      </c>
    </row>
    <row r="975">
      <c r="A975" s="4" t="n">
        <v>974</v>
      </c>
      <c r="B975" s="15" t="n">
        <v>46284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ALMACÉN SOL</t>
        </is>
      </c>
      <c r="F975" s="4" t="inlineStr">
        <is>
          <t>ENTRETENIMIENTO SOCIAL</t>
        </is>
      </c>
      <c r="G975" s="4" t="inlineStr">
        <is>
          <t>ENTRETENIMIENTO · Social</t>
        </is>
      </c>
      <c r="H975" s="5" t="n">
        <v>33359</v>
      </c>
      <c r="I975" s="16" t="n"/>
      <c r="J975" s="4" t="inlineStr">
        <is>
          <t>REAL</t>
        </is>
      </c>
      <c r="K975" s="17" t="n"/>
      <c r="L975" s="4" t="inlineStr">
        <is>
          <t>Mercado Pago</t>
        </is>
      </c>
      <c r="M975" s="4" t="inlineStr">
        <is>
          <t>ENTRETENIMIENTO · Social · la monumental · Mercado Pago · dinero en cuenta MP screenshot</t>
        </is>
      </c>
      <c r="N975" s="4" t="inlineStr">
        <is>
          <t>CIUDAD / Almacen Detalle</t>
        </is>
      </c>
      <c r="O975" s="4" t="n">
        <v>373</v>
      </c>
    </row>
    <row r="976">
      <c r="A976" s="4" t="n">
        <v>975</v>
      </c>
      <c r="B976" s="15" t="n">
        <v>46284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AUTO</t>
        </is>
      </c>
      <c r="G976" s="4" t="inlineStr">
        <is>
          <t>EDUCACIÓN</t>
        </is>
      </c>
      <c r="H976" s="5" t="n">
        <v>127196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EDUCACIÓN · EducaciónIT · Automatización Claude · TC Mercado Pago · 3 cuotas · Gmail</t>
        </is>
      </c>
      <c r="N976" s="4" t="inlineStr">
        <is>
          <t>CIUDAD / Gasto Personal Sol</t>
        </is>
      </c>
      <c r="O976" s="4" t="n">
        <v>832</v>
      </c>
    </row>
    <row r="977">
      <c r="A977" s="4" t="n">
        <v>976</v>
      </c>
      <c r="B977" s="15" t="n">
        <v>46284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 · Vitaminas</t>
        </is>
      </c>
      <c r="G977" s="4" t="inlineStr">
        <is>
          <t>SALUD · Vitaminas</t>
        </is>
      </c>
      <c r="H977" s="5" t="n">
        <v>530100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Vitaminas · Promarine · TC Mercado Pago · 6 cuotas · Gmail Pago aprobado · REVISAR vs resumen TC MP</t>
        </is>
      </c>
      <c r="N977" s="4" t="inlineStr">
        <is>
          <t>CIUDAD / Gasto Personal Sol</t>
        </is>
      </c>
      <c r="O977" s="4" t="n">
        <v>830</v>
      </c>
    </row>
    <row r="978">
      <c r="A978" s="4" t="n">
        <v>977</v>
      </c>
      <c r="B978" s="15" t="n">
        <v>46284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OTROS PERSONALES</t>
        </is>
      </c>
      <c r="G978" s="4" t="inlineStr">
        <is>
          <t>TRANSPORTE · SUBE</t>
        </is>
      </c>
      <c r="H978" s="5" t="n">
        <v>862</v>
      </c>
      <c r="I978" s="16" t="n"/>
      <c r="J978" s="4" t="inlineStr">
        <is>
          <t>REAL</t>
        </is>
      </c>
      <c r="K978" s="4" t="inlineStr">
        <is>
          <t>Mercado Pago</t>
        </is>
      </c>
      <c r="L978" s="4" t="inlineStr">
        <is>
          <t>Mercado Pago</t>
        </is>
      </c>
      <c r="M978" s="4" t="inlineStr">
        <is>
          <t>TRANSPORTE · SUBE · gasto personal Sol · dinero en cuenta MP screenshot</t>
        </is>
      </c>
      <c r="N978" s="4" t="inlineStr">
        <is>
          <t>CIUDAD / Gasto Personal Sol</t>
        </is>
      </c>
      <c r="O978" s="4" t="n">
        <v>887</v>
      </c>
    </row>
    <row r="979">
      <c r="A979" s="4" t="n">
        <v>978</v>
      </c>
      <c r="B979" s="15" t="n">
        <v>46287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TRANSPORTE</t>
        </is>
      </c>
      <c r="G979" s="4" t="inlineStr">
        <is>
          <t>TRANSPORTE · Didi</t>
        </is>
      </c>
      <c r="H979" s="5" t="n">
        <v>3300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TRANSPORTE · Didi · gasto personal Sol · dinero en cuenta MP screenshot</t>
        </is>
      </c>
      <c r="N979" s="4" t="inlineStr">
        <is>
          <t>CIUDAD / Gasto Personal Sol</t>
        </is>
      </c>
      <c r="O979" s="4" t="n">
        <v>889</v>
      </c>
    </row>
    <row r="980">
      <c r="A980" s="4" t="n">
        <v>979</v>
      </c>
      <c r="B980" s="15" t="n">
        <v>46287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TRANSPORTE</t>
        </is>
      </c>
      <c r="G980" s="4" t="inlineStr">
        <is>
          <t>TRANSPORTE · Uber</t>
        </is>
      </c>
      <c r="H980" s="5" t="n">
        <v>5393</v>
      </c>
      <c r="I980" s="16" t="n"/>
      <c r="J980" s="4" t="inlineStr">
        <is>
          <t>REAL</t>
        </is>
      </c>
      <c r="K980" s="4" t="inlineStr">
        <is>
          <t>Mercado Pago</t>
        </is>
      </c>
      <c r="L980" s="4" t="inlineStr">
        <is>
          <t>Mercado Pago</t>
        </is>
      </c>
      <c r="M980" s="4" t="inlineStr">
        <is>
          <t>TRANSPORTE · Uber · Ebanx (=Uber) · gasto personal Sol · dinero en cuenta MP screenshot</t>
        </is>
      </c>
      <c r="N980" s="4" t="inlineStr">
        <is>
          <t>CIUDAD / Gasto Personal Sol</t>
        </is>
      </c>
      <c r="O980" s="4" t="n">
        <v>888</v>
      </c>
    </row>
    <row r="981">
      <c r="A981" s="4" t="n">
        <v>980</v>
      </c>
      <c r="B981" s="15" t="n">
        <v>46288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ALMACÉN SOL</t>
        </is>
      </c>
      <c r="F981" s="4" t="inlineStr">
        <is>
          <t>ENTRETENIMIENTO · SALIDAS COMIDA</t>
        </is>
      </c>
      <c r="G981" s="4" t="inlineStr">
        <is>
          <t>ENTRETENIMIENTO · Salidas comida</t>
        </is>
      </c>
      <c r="H981" s="5" t="n">
        <v>16598</v>
      </c>
      <c r="I981" s="16" t="n"/>
      <c r="J981" s="4" t="inlineStr">
        <is>
          <t>REAL</t>
        </is>
      </c>
      <c r="K981" s="17" t="n"/>
      <c r="L981" s="4" t="inlineStr">
        <is>
          <t>Mercado Pago</t>
        </is>
      </c>
      <c r="M981" s="4" t="inlineStr">
        <is>
          <t>ENTRETENIMIENTO · Salidas comida · Estancia San Francisco Devoto · Mercado Pago · dinero en cuenta MP screenshot</t>
        </is>
      </c>
      <c r="N981" s="4" t="inlineStr">
        <is>
          <t>CIUDAD / Almacen Detalle</t>
        </is>
      </c>
      <c r="O981" s="4" t="n">
        <v>376</v>
      </c>
    </row>
    <row r="982">
      <c r="A982" s="4" t="n">
        <v>981</v>
      </c>
      <c r="B982" s="15" t="n">
        <v>46288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ALMACÉN SOL</t>
        </is>
      </c>
      <c r="F982" s="4" t="inlineStr">
        <is>
          <t>COMIDA</t>
        </is>
      </c>
      <c r="G982" s="4" t="inlineStr">
        <is>
          <t>PEDIDOS YA · COMIDA</t>
        </is>
      </c>
      <c r="H982" s="5" t="n">
        <v>23964</v>
      </c>
      <c r="I982" s="16" t="n"/>
      <c r="J982" s="4" t="inlineStr">
        <is>
          <t>REAL</t>
        </is>
      </c>
      <c r="K982" s="17" t="n"/>
      <c r="L982" s="4" t="inlineStr">
        <is>
          <t>Sin identificar</t>
        </is>
      </c>
      <c r="M982" s="4" t="inlineStr">
        <is>
          <t>PEDIDOS YA · COMIDA · screenshot · REVISAR si Market · dinero en cuenta MP screenshot</t>
        </is>
      </c>
      <c r="N982" s="4" t="inlineStr">
        <is>
          <t>CIUDAD / Almacen Detalle</t>
        </is>
      </c>
      <c r="O982" s="4" t="n">
        <v>374</v>
      </c>
    </row>
    <row r="983">
      <c r="A983" s="4" t="n">
        <v>982</v>
      </c>
      <c r="B983" s="15" t="n">
        <v>46288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ALMACÉN SOL</t>
        </is>
      </c>
      <c r="F983" s="4" t="inlineStr">
        <is>
          <t>COMIDA</t>
        </is>
      </c>
      <c r="G983" s="4" t="inlineStr">
        <is>
          <t>PEDIDOS YA · COMIDA · propina</t>
        </is>
      </c>
      <c r="H983" s="5" t="n">
        <v>850</v>
      </c>
      <c r="I983" s="16" t="n"/>
      <c r="J983" s="4" t="inlineStr">
        <is>
          <t>REAL</t>
        </is>
      </c>
      <c r="K983" s="17" t="n"/>
      <c r="L983" s="4" t="inlineStr">
        <is>
          <t>Sin identificar</t>
        </is>
      </c>
      <c r="M983" s="4" t="inlineStr">
        <is>
          <t>PEDIDOS YA · COMIDA · propina · screenshot · REVISAR si Market · dinero en cuenta MP screenshot</t>
        </is>
      </c>
      <c r="N983" s="4" t="inlineStr">
        <is>
          <t>CIUDAD / Almacen Detalle</t>
        </is>
      </c>
      <c r="O983" s="4" t="n">
        <v>375</v>
      </c>
    </row>
    <row r="984">
      <c r="A984" s="4" t="n">
        <v>983</v>
      </c>
      <c r="B984" s="15" t="n">
        <v>46288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63514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Randy Kopeles · Pago · gasto personal Sol · dinero en cuenta MP screenshot</t>
        </is>
      </c>
      <c r="N984" s="4" t="inlineStr">
        <is>
          <t>CIUDAD / Gasto Personal Sol</t>
        </is>
      </c>
      <c r="O984" s="4" t="n">
        <v>890</v>
      </c>
    </row>
    <row r="985">
      <c r="A985" s="4" t="n">
        <v>984</v>
      </c>
      <c r="B985" s="15" t="n">
        <v>46288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72999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Tatiana Aylén Gonzalez · Pago · gasto personal Sol · dinero en cuenta MP screenshot</t>
        </is>
      </c>
      <c r="N985" s="4" t="inlineStr">
        <is>
          <t>CIUDAD / Gasto Personal Sol</t>
        </is>
      </c>
      <c r="O985" s="4" t="n">
        <v>895</v>
      </c>
    </row>
    <row r="986">
      <c r="A986" s="4" t="n">
        <v>985</v>
      </c>
      <c r="B986" s="15" t="n">
        <v>46288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SALUD</t>
        </is>
      </c>
      <c r="G986" s="4" t="inlineStr">
        <is>
          <t>SALUD</t>
        </is>
      </c>
      <c r="H986" s="5" t="n">
        <v>50000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SALUD · Clinicas Altamirao · gasto personal Sol · dinero en cuenta MP screenshot</t>
        </is>
      </c>
      <c r="N986" s="4" t="inlineStr">
        <is>
          <t>CIUDAD / Gasto Personal Sol</t>
        </is>
      </c>
      <c r="O986" s="4" t="n">
        <v>893</v>
      </c>
    </row>
    <row r="987">
      <c r="A987" s="4" t="n">
        <v>986</v>
      </c>
      <c r="B987" s="15" t="n">
        <v>46288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TRANSPORTE</t>
        </is>
      </c>
      <c r="G987" s="4" t="inlineStr">
        <is>
          <t>TRANSPORTE · Didi</t>
        </is>
      </c>
      <c r="H987" s="5" t="n">
        <v>3200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TRANSPORTE · Didi · gasto personal Sol · dinero en cuenta MP screenshot</t>
        </is>
      </c>
      <c r="N987" s="4" t="inlineStr">
        <is>
          <t>CIUDAD / Gasto Personal Sol</t>
        </is>
      </c>
      <c r="O987" s="4" t="n">
        <v>894</v>
      </c>
    </row>
    <row r="988">
      <c r="A988" s="4" t="n">
        <v>987</v>
      </c>
      <c r="B988" s="15" t="n">
        <v>46288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TRANSPORTE</t>
        </is>
      </c>
      <c r="G988" s="4" t="inlineStr">
        <is>
          <t>TRANSPORTE · Uber</t>
        </is>
      </c>
      <c r="H988" s="5" t="n">
        <v>7016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TRANSPORTE · Uber · Ebanx (=Uber) · gasto personal Sol · dinero en cuenta MP screenshot</t>
        </is>
      </c>
      <c r="N988" s="4" t="inlineStr">
        <is>
          <t>CIUDAD / Gasto Personal Sol</t>
        </is>
      </c>
      <c r="O988" s="4" t="n">
        <v>891</v>
      </c>
    </row>
    <row r="989">
      <c r="A989" s="4" t="n">
        <v>988</v>
      </c>
      <c r="B989" s="15" t="n">
        <v>46288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TRANSPORTE</t>
        </is>
      </c>
      <c r="G989" s="4" t="inlineStr">
        <is>
          <t>TRANSPORTE · Uber</t>
        </is>
      </c>
      <c r="H989" s="5" t="n">
        <v>153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TRANSPORTE · Uber · Ebanx (=Uber) · gasto personal Sol · dinero en cuenta MP screenshot</t>
        </is>
      </c>
      <c r="N989" s="4" t="inlineStr">
        <is>
          <t>CIUDAD / Gasto Personal Sol</t>
        </is>
      </c>
      <c r="O989" s="4" t="n">
        <v>892</v>
      </c>
    </row>
    <row r="990">
      <c r="A990" s="4" t="n">
        <v>989</v>
      </c>
      <c r="B990" s="15" t="n">
        <v>46290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ALMACÉN SOL</t>
        </is>
      </c>
      <c r="F990" s="4" t="inlineStr">
        <is>
          <t>RAMON · OTROS</t>
        </is>
      </c>
      <c r="G990" s="4" t="inlineStr">
        <is>
          <t>RAMON · Otros</t>
        </is>
      </c>
      <c r="H990" s="5" t="n">
        <v>47900</v>
      </c>
      <c r="I990" s="16" t="n"/>
      <c r="J990" s="4" t="inlineStr">
        <is>
          <t>REAL</t>
        </is>
      </c>
      <c r="K990" s="17" t="n"/>
      <c r="L990" s="4" t="inlineStr">
        <is>
          <t>Mercado Pago</t>
        </is>
      </c>
      <c r="M990" s="4" t="inlineStr">
        <is>
          <t>RAMON · Otros · Paws Pet Market · Mercado Pago · dinero en cuenta MP screenshot</t>
        </is>
      </c>
      <c r="N990" s="4" t="inlineStr">
        <is>
          <t>CIUDAD / Almacen Detalle</t>
        </is>
      </c>
      <c r="O990" s="4" t="n">
        <v>377</v>
      </c>
    </row>
    <row r="991">
      <c r="A991" s="4" t="n">
        <v>990</v>
      </c>
      <c r="B991" s="15" t="n">
        <v>46290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TRANSPORTE</t>
        </is>
      </c>
      <c r="G991" s="4" t="inlineStr">
        <is>
          <t>TRANSPORTE · Didi</t>
        </is>
      </c>
      <c r="H991" s="5" t="n">
        <v>4800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TRANSPORTE · Didi · gasto personal Sol · dinero en cuenta MP screenshot</t>
        </is>
      </c>
      <c r="N991" s="4" t="inlineStr">
        <is>
          <t>CIUDAD / Gasto Personal Sol</t>
        </is>
      </c>
      <c r="O991" s="4" t="n">
        <v>896</v>
      </c>
    </row>
    <row r="992">
      <c r="A992" s="4" t="n">
        <v>991</v>
      </c>
      <c r="B992" s="15" t="n">
        <v>46290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TRANSPORTE</t>
        </is>
      </c>
      <c r="G992" s="4" t="inlineStr">
        <is>
          <t>TRANSPORTE · Didi</t>
        </is>
      </c>
      <c r="H992" s="5" t="n">
        <v>6800</v>
      </c>
      <c r="I992" s="16" t="n"/>
      <c r="J992" s="4" t="inlineStr">
        <is>
          <t>REAL</t>
        </is>
      </c>
      <c r="K992" s="4" t="inlineStr">
        <is>
          <t>Mercado Pago</t>
        </is>
      </c>
      <c r="L992" s="4" t="inlineStr">
        <is>
          <t>Mercado Pago</t>
        </is>
      </c>
      <c r="M992" s="4" t="inlineStr">
        <is>
          <t>TRANSPORTE · Didi · gasto personal Sol · dinero en cuenta MP screenshot</t>
        </is>
      </c>
      <c r="N992" s="4" t="inlineStr">
        <is>
          <t>CIUDAD / Gasto Personal Sol</t>
        </is>
      </c>
      <c r="O992" s="4" t="n">
        <v>897</v>
      </c>
    </row>
    <row r="993">
      <c r="A993" s="4" t="n">
        <v>992</v>
      </c>
      <c r="B993" s="15" t="n">
        <v>46292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COMIDA · Open 25</t>
        </is>
      </c>
      <c r="H993" s="5" t="n">
        <v>6700</v>
      </c>
      <c r="I993" s="16" t="n"/>
      <c r="J993" s="4" t="inlineStr">
        <is>
          <t>REAL</t>
        </is>
      </c>
      <c r="K993" s="17" t="n"/>
      <c r="L993" s="4" t="inlineStr">
        <is>
          <t>Mercado Pago</t>
        </is>
      </c>
      <c r="M993" s="4" t="inlineStr">
        <is>
          <t>COMIDA · Open 25 · Mercado Pago · dinero en cuenta MP screenshot</t>
        </is>
      </c>
      <c r="N993" s="4" t="inlineStr">
        <is>
          <t>CIUDAD / Almacen Detalle</t>
        </is>
      </c>
      <c r="O993" s="4" t="n">
        <v>378</v>
      </c>
    </row>
    <row r="994">
      <c r="A994" s="4" t="n">
        <v>993</v>
      </c>
      <c r="B994" s="15" t="n">
        <v>46292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ENVÍOS</t>
        </is>
      </c>
      <c r="G994" s="4" t="inlineStr">
        <is>
          <t>ENVÍOS</t>
        </is>
      </c>
      <c r="H994" s="5" t="n">
        <v>13288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ENVÍOS · DHL Express · gasto personal Sol · dinero en cuenta MP screenshot</t>
        </is>
      </c>
      <c r="N994" s="4" t="inlineStr">
        <is>
          <t>CIUDAD / Gasto Personal Sol</t>
        </is>
      </c>
      <c r="O994" s="4" t="n">
        <v>898</v>
      </c>
    </row>
  </sheetData>
  <autoFilter ref="A1:O99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46266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SUSCRIPCIONES · APPLE</t>
        </is>
      </c>
      <c r="E718" s="4" t="inlineStr">
        <is>
          <t>SUSCRIPCIONES · Apple</t>
        </is>
      </c>
      <c r="F718" s="5" t="n">
        <v>81961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SUSCRIPCIONES · Apple · Mercado Pago · gasto personal Sol · dinero en cuenta MP screenshot</t>
        </is>
      </c>
      <c r="L718" s="4" t="n">
        <v>835</v>
      </c>
    </row>
    <row r="719">
      <c r="A719" s="15" t="n">
        <v>46266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TRANSFERENCIAS</t>
        </is>
      </c>
      <c r="E719" s="4" t="inlineStr">
        <is>
          <t>TRANSFERENCIAS</t>
        </is>
      </c>
      <c r="F719" s="5" t="n">
        <v>45000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Facundo Lisandro Marin · Transferencia enviada · gasto personal Sol · dinero en cuenta MP screenshot</t>
        </is>
      </c>
      <c r="L719" s="4" t="n">
        <v>834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COMIDA · OFICINA</t>
        </is>
      </c>
      <c r="E720" s="4" t="inlineStr">
        <is>
          <t>COMIDA · Oficina</t>
        </is>
      </c>
      <c r="F720" s="5" t="n">
        <v>4080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COMIDA · Oficina · Copetin Catering · Gmail Pago aprobado · REVISAR vs settlement</t>
        </is>
      </c>
      <c r="L720" s="4" t="n">
        <v>833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COMPRAS</t>
        </is>
      </c>
      <c r="E721" s="4" t="inlineStr">
        <is>
          <t>COMPRAS</t>
        </is>
      </c>
      <c r="F721" s="5" t="n">
        <v>4000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COMPRAS · Kiosk Store · gasto personal Sol · REVISAR ítem · dinero en cuenta MP screenshot</t>
        </is>
      </c>
      <c r="L721" s="4" t="n">
        <v>841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ENVÍOS</t>
        </is>
      </c>
      <c r="E722" s="4" t="inlineStr">
        <is>
          <t>ENVÍOS</t>
        </is>
      </c>
      <c r="F722" s="5" t="n">
        <v>24000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ENVÍOS · Correo Oficial · gasto personal Sol · dinero en cuenta MP screenshot</t>
        </is>
      </c>
      <c r="L722" s="4" t="n">
        <v>842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TRANSFERENCIAS</t>
        </is>
      </c>
      <c r="E723" s="4" t="inlineStr">
        <is>
          <t>TRANSFERENCIAS</t>
        </is>
      </c>
      <c r="F723" s="5" t="n">
        <v>863600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Neira Martina · Transferencia enviada · gasto personal Sol · dinero en cuenta MP screenshot</t>
        </is>
      </c>
      <c r="L723" s="4" t="n">
        <v>838</v>
      </c>
    </row>
    <row r="724">
      <c r="A724" s="15" t="n">
        <v>46267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7600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837</v>
      </c>
    </row>
    <row r="725">
      <c r="A725" s="15" t="n">
        <v>46267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6094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836</v>
      </c>
    </row>
    <row r="726">
      <c r="A726" s="15" t="n">
        <v>46267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TRANSPORTE</t>
        </is>
      </c>
      <c r="E726" s="4" t="inlineStr">
        <is>
          <t>TRANSPORTE · Uber</t>
        </is>
      </c>
      <c r="F726" s="5" t="n">
        <v>6607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TRANSPORTE · Uber · Ebanx (=Uber) · gasto personal Sol · dinero en cuenta MP screenshot</t>
        </is>
      </c>
      <c r="L726" s="4" t="n">
        <v>839</v>
      </c>
    </row>
    <row r="727">
      <c r="A727" s="15" t="n">
        <v>46267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TRANSPORTE</t>
        </is>
      </c>
      <c r="E727" s="4" t="inlineStr">
        <is>
          <t>TRANSPORTE · Uber</t>
        </is>
      </c>
      <c r="F727" s="5" t="n">
        <v>6607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TRANSPORTE · Uber · Ebanx (=Uber) · gasto personal Sol · dinero en cuenta MP screenshot</t>
        </is>
      </c>
      <c r="L727" s="4" t="n">
        <v>840</v>
      </c>
    </row>
    <row r="728">
      <c r="A728" s="15" t="n">
        <v>46268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TRANSPORTE</t>
        </is>
      </c>
      <c r="E728" s="4" t="inlineStr">
        <is>
          <t>TRANSPORTE · Didi</t>
        </is>
      </c>
      <c r="F728" s="5" t="n">
        <v>4900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Didi · gasto personal Sol · dinero en cuenta MP screenshot</t>
        </is>
      </c>
      <c r="L728" s="4" t="n">
        <v>844</v>
      </c>
    </row>
    <row r="729">
      <c r="A729" s="15" t="n">
        <v>46268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Uber</t>
        </is>
      </c>
      <c r="F729" s="5" t="n">
        <v>7520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Uber · Ebanx (=Uber) · gasto personal Sol · dinero en cuenta MP screenshot</t>
        </is>
      </c>
      <c r="L729" s="4" t="n">
        <v>843</v>
      </c>
    </row>
    <row r="730">
      <c r="A730" s="15" t="n">
        <v>46269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AVA FIDEICOMISO</t>
        </is>
      </c>
      <c r="E730" s="4" t="inlineStr">
        <is>
          <t>AVA Fideicomiso</t>
        </is>
      </c>
      <c r="F730" s="5" t="n">
        <v>3134720</v>
      </c>
      <c r="G730" s="16" t="n"/>
      <c r="H730" s="4" t="inlineStr">
        <is>
          <t>REAL</t>
        </is>
      </c>
      <c r="I730" s="4" t="inlineStr">
        <is>
          <t>Mercado Pago / Transferencia</t>
        </is>
      </c>
      <c r="J730" s="4" t="inlineStr">
        <is>
          <t>Mercado Pago</t>
        </is>
      </c>
      <c r="K730" s="4" t="inlineStr">
        <is>
          <t>AVA Fideicomiso · cuota 10 · vto 2026-09-04 · total 6269440 · TC MEP venta 1525.39 · USD 4110.06 · 50% Sol · Gmail factura/recibo 07/09</t>
        </is>
      </c>
      <c r="L730" s="4" t="n">
        <v>829</v>
      </c>
    </row>
    <row r="731">
      <c r="A731" s="15" t="n">
        <v>46270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10000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2026-09-05 · gasto personal Sol · dinero en cuenta MP screenshot</t>
        </is>
      </c>
      <c r="L731" s="4" t="n">
        <v>846</v>
      </c>
    </row>
    <row r="732">
      <c r="A732" s="15" t="n">
        <v>46270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10000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2026-09-05 · gasto personal Sol · dinero en cuenta MP screenshot</t>
        </is>
      </c>
      <c r="L732" s="4" t="n">
        <v>847</v>
      </c>
    </row>
    <row r="733">
      <c r="A733" s="15" t="n">
        <v>46270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TRANSFERENCIAS</t>
        </is>
      </c>
      <c r="E733" s="4" t="inlineStr">
        <is>
          <t>TRANSFERENCIAS</t>
        </is>
      </c>
      <c r="F733" s="5" t="n">
        <v>10800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Digno Lopez · Transferencia enviada · gasto personal Sol · dinero en cuenta MP screenshot</t>
        </is>
      </c>
      <c r="L733" s="4" t="n">
        <v>845</v>
      </c>
    </row>
    <row r="734">
      <c r="A734" s="15" t="n">
        <v>46271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TELECOMUNICACIONES</t>
        </is>
      </c>
      <c r="E734" s="4" t="inlineStr">
        <is>
          <t>Servicio - Telefonía</t>
        </is>
      </c>
      <c r="F734" s="5" t="n">
        <v>18300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Servicio - Telefonía · Tuenti · gasto personal Sol · dinero en cuenta MP screenshot</t>
        </is>
      </c>
      <c r="L734" s="4" t="n">
        <v>848</v>
      </c>
    </row>
    <row r="735">
      <c r="A735" s="15" t="n">
        <v>46271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TRANSPORTE · SUBE</t>
        </is>
      </c>
      <c r="F735" s="5" t="n">
        <v>987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TRANSPORTE · SUBE · gasto personal Sol · dinero en cuenta MP screenshot</t>
        </is>
      </c>
      <c r="L735" s="4" t="n">
        <v>849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COMIDA · OFICINA</t>
        </is>
      </c>
      <c r="E736" s="4" t="inlineStr">
        <is>
          <t>COMIDA · Oficina</t>
        </is>
      </c>
      <c r="F736" s="5" t="n">
        <v>1350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COMIDA · Oficina · Feed · gasto personal Sol · dinero en cuenta MP screenshot</t>
        </is>
      </c>
      <c r="L736" s="4" t="n">
        <v>851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58118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2026-09-07 · gasto personal Sol · dinero en cuenta MP screenshot</t>
        </is>
      </c>
      <c r="L737" s="4" t="n">
        <v>852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OTROS PERSONALES</t>
        </is>
      </c>
      <c r="E738" s="4" t="inlineStr">
        <is>
          <t>IMPUESTOS · ARCA</t>
        </is>
      </c>
      <c r="F738" s="5" t="n">
        <v>43038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IMPUESTOS · ARCA / AFIP · MP 2026-09-07 · gasto personal Sol · dinero en cuenta MP screenshot</t>
        </is>
      </c>
      <c r="L738" s="4" t="n">
        <v>853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Didi</t>
        </is>
      </c>
      <c r="F739" s="5" t="n">
        <v>6700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Didi · gasto personal Sol · dinero en cuenta MP screenshot</t>
        </is>
      </c>
      <c r="L739" s="4" t="n">
        <v>854</v>
      </c>
    </row>
    <row r="740">
      <c r="A740" s="15" t="n">
        <v>46272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6948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850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OTROS PERSONALES</t>
        </is>
      </c>
      <c r="E741" s="4" t="inlineStr">
        <is>
          <t>IMPUESTOS · ARCA</t>
        </is>
      </c>
      <c r="F741" s="5" t="n">
        <v>4866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IMPUESTOS · ARCA / AFIP · MP 2026-09-08 · gasto personal Sol · dinero en cuenta MP screenshot</t>
        </is>
      </c>
      <c r="L741" s="4" t="n">
        <v>855</v>
      </c>
    </row>
    <row r="742">
      <c r="A742" s="15" t="n">
        <v>46273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VESTIMENTA</t>
        </is>
      </c>
      <c r="E742" s="4" t="inlineStr">
        <is>
          <t>VESTIMENTA</t>
        </is>
      </c>
      <c r="F742" s="5" t="n">
        <v>28199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VESTIMENTA · OZZ · gasto personal Sol · dinero en cuenta MP screenshot</t>
        </is>
      </c>
      <c r="L742" s="4" t="n">
        <v>856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COMPRAS</t>
        </is>
      </c>
      <c r="E743" s="4" t="inlineStr">
        <is>
          <t>COMPRAS</t>
        </is>
      </c>
      <c r="F743" s="5" t="n">
        <v>163350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COMPRAS · ZILVER SA · gasto personal Sol · REVISAR ítem · dinero en cuenta MP screenshot</t>
        </is>
      </c>
      <c r="L743" s="4" t="n">
        <v>862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OTROS PERSONALES</t>
        </is>
      </c>
      <c r="E744" s="4" t="inlineStr">
        <is>
          <t>IMPUESTOS · ARCA</t>
        </is>
      </c>
      <c r="F744" s="5" t="n">
        <v>43083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IMPUESTOS · ARCA / AFIP · MP 2026-09-10 · gasto personal Sol · dinero en cuenta MP screenshot</t>
        </is>
      </c>
      <c r="L744" s="4" t="n">
        <v>857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131000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Cova Abreu Gibiana Del Valle · Transferencia enviada · gasto personal Sol · dinero en cuenta MP screenshot</t>
        </is>
      </c>
      <c r="L745" s="4" t="n">
        <v>861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5612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858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7155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859</v>
      </c>
    </row>
    <row r="748">
      <c r="A748" s="15" t="n">
        <v>46275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81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860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SUSCRIPCIONES · APPLE</t>
        </is>
      </c>
      <c r="E749" s="4" t="inlineStr">
        <is>
          <t>SUSCRIPCIONES · Apple</t>
        </is>
      </c>
      <c r="F749" s="5" t="n">
        <v>29331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SUSCRIPCIONES · Apple · Mercado Pago · gasto personal Sol · dinero en cuenta MP screenshot</t>
        </is>
      </c>
      <c r="L749" s="4" t="n">
        <v>863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185288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Sanbras oficial · Transferencia enviada · gasto personal Sol · dinero en cuenta MP screenshot</t>
        </is>
      </c>
      <c r="L750" s="4" t="n">
        <v>867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TRANSFERENCIAS</t>
        </is>
      </c>
      <c r="E751" s="4" t="inlineStr">
        <is>
          <t>TRANSFERENCIAS</t>
        </is>
      </c>
      <c r="F751" s="5" t="n">
        <v>135000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Paula Carolina Fasanella · Transferencia enviada · gasto personal Sol · dinero en cuenta MP screenshot</t>
        </is>
      </c>
      <c r="L751" s="4" t="n">
        <v>868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5800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864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Didi</t>
        </is>
      </c>
      <c r="F753" s="5" t="n">
        <v>4500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Didi · gasto personal Sol · dinero en cuenta MP screenshot</t>
        </is>
      </c>
      <c r="L753" s="4" t="n">
        <v>865</v>
      </c>
    </row>
    <row r="754">
      <c r="A754" s="15" t="n">
        <v>46276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TRANSPORTE</t>
        </is>
      </c>
      <c r="E754" s="4" t="inlineStr">
        <is>
          <t>TRANSPORTE · Uber</t>
        </is>
      </c>
      <c r="F754" s="5" t="n">
        <v>7758</v>
      </c>
      <c r="G754" s="16" t="n"/>
      <c r="H754" s="4" t="inlineStr">
        <is>
          <t>REAL</t>
        </is>
      </c>
      <c r="I754" s="4" t="inlineStr">
        <is>
          <t>Mercado Pago</t>
        </is>
      </c>
      <c r="J754" s="4" t="inlineStr">
        <is>
          <t>Mercado Pago</t>
        </is>
      </c>
      <c r="K754" s="4" t="inlineStr">
        <is>
          <t>TRANSPORTE · Uber · Ebanx (=Uber) · gasto personal Sol · dinero en cuenta MP screenshot</t>
        </is>
      </c>
      <c r="L754" s="4" t="n">
        <v>866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SUSCRIPCIONES · APPLE</t>
        </is>
      </c>
      <c r="E755" s="4" t="inlineStr">
        <is>
          <t>SUSCRIPCIONES · Apple</t>
        </is>
      </c>
      <c r="F755" s="5" t="n">
        <v>19749</v>
      </c>
      <c r="G755" s="16" t="n"/>
      <c r="H755" s="4" t="inlineStr">
        <is>
          <t>REAL</t>
        </is>
      </c>
      <c r="I755" s="4" t="inlineStr">
        <is>
          <t>Mercado Pago</t>
        </is>
      </c>
      <c r="J755" s="4" t="inlineStr">
        <is>
          <t>Mercado Pago</t>
        </is>
      </c>
      <c r="K755" s="4" t="inlineStr">
        <is>
          <t>SUSCRIPCIONES · Apple · Mercado Pago · gasto personal Sol · dinero en cuenta MP screenshot</t>
        </is>
      </c>
      <c r="L755" s="4" t="n">
        <v>869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ROPA</t>
        </is>
      </c>
      <c r="E756" s="4" t="inlineStr">
        <is>
          <t>TRANSFERENCIAS</t>
        </is>
      </c>
      <c r="F756" s="5" t="n">
        <v>140000</v>
      </c>
      <c r="G756" s="16" t="n"/>
      <c r="H756" s="4" t="inlineStr">
        <is>
          <t>REAL</t>
        </is>
      </c>
      <c r="I756" s="4" t="inlineStr">
        <is>
          <t>Mercado Pago</t>
        </is>
      </c>
      <c r="J756" s="4" t="inlineStr">
        <is>
          <t>Mercado Pago</t>
        </is>
      </c>
      <c r="K756" s="4" t="inlineStr">
        <is>
          <t>Eva Graciela Zarate Valdovino · Transferencia enviada · gasto personal Sol · dinero en cuenta MP screenshot</t>
        </is>
      </c>
      <c r="L756" s="4" t="n">
        <v>870</v>
      </c>
    </row>
    <row r="757">
      <c r="A757" s="15" t="n">
        <v>46278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176509</v>
      </c>
      <c r="G757" s="16" t="n"/>
      <c r="H757" s="4" t="inlineStr">
        <is>
          <t>REAL</t>
        </is>
      </c>
      <c r="I757" s="4" t="inlineStr">
        <is>
          <t>Mercado Pago</t>
        </is>
      </c>
      <c r="J757" s="4" t="inlineStr">
        <is>
          <t>Mercado Pago</t>
        </is>
      </c>
      <c r="K757" s="4" t="inlineStr">
        <is>
          <t>COMPRAS · El Bazar Digital · gasto personal Sol · REVISAR ítem · dinero en cuenta MP screenshot</t>
        </is>
      </c>
      <c r="L757" s="4" t="n">
        <v>871</v>
      </c>
    </row>
    <row r="758">
      <c r="A758" s="15" t="n">
        <v>46278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71250</v>
      </c>
      <c r="G758" s="16" t="n"/>
      <c r="H758" s="4" t="inlineStr">
        <is>
          <t>REAL</t>
        </is>
      </c>
      <c r="I758" s="4" t="inlineStr">
        <is>
          <t>Mercado Pago</t>
        </is>
      </c>
      <c r="J758" s="4" t="inlineStr">
        <is>
          <t>Mercado Pago</t>
        </is>
      </c>
      <c r="K758" s="4" t="inlineStr">
        <is>
          <t>Pago · Pago · gasto personal Sol · REVISAR ítem · dinero en cuenta MP screenshot</t>
        </is>
      </c>
      <c r="L758" s="4" t="n">
        <v>873</v>
      </c>
    </row>
    <row r="759">
      <c r="A759" s="15" t="n">
        <v>46278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76742</v>
      </c>
      <c r="G759" s="16" t="n"/>
      <c r="H759" s="4" t="inlineStr">
        <is>
          <t>REAL</t>
        </is>
      </c>
      <c r="I759" s="4" t="inlineStr">
        <is>
          <t>Mercado Pago</t>
        </is>
      </c>
      <c r="J759" s="4" t="inlineStr">
        <is>
          <t>Mercado Pago</t>
        </is>
      </c>
      <c r="K759" s="4" t="inlineStr">
        <is>
          <t>Pago · Pago · gasto personal Sol · REVISAR ítem · dinero en cuenta MP screenshot</t>
        </is>
      </c>
      <c r="L759" s="4" t="n">
        <v>874</v>
      </c>
    </row>
    <row r="760">
      <c r="A760" s="15" t="n">
        <v>46278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PELUQUERÍA</t>
        </is>
      </c>
      <c r="E760" s="4" t="inlineStr">
        <is>
          <t>PELUQUERÍA</t>
        </is>
      </c>
      <c r="F760" s="5" t="n">
        <v>12720</v>
      </c>
      <c r="G760" s="16" t="n"/>
      <c r="H760" s="4" t="inlineStr">
        <is>
          <t>REAL</t>
        </is>
      </c>
      <c r="I760" s="4" t="inlineStr">
        <is>
          <t>Mercado Pago</t>
        </is>
      </c>
      <c r="J760" s="4" t="inlineStr">
        <is>
          <t>Mercado Pago</t>
        </is>
      </c>
      <c r="K760" s="4" t="inlineStr">
        <is>
          <t>PELUQUERÍA · Megapeluquerías CABA · gasto personal Sol · dinero en cuenta MP screenshot</t>
        </is>
      </c>
      <c r="L760" s="4" t="n">
        <v>872</v>
      </c>
    </row>
    <row r="761">
      <c r="A761" s="15" t="n">
        <v>46279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TRANSFERENCIAS</t>
        </is>
      </c>
      <c r="E761" s="4" t="inlineStr">
        <is>
          <t>TRANSFERENCIAS</t>
        </is>
      </c>
      <c r="F761" s="5" t="n">
        <v>85000</v>
      </c>
      <c r="G761" s="16" t="n"/>
      <c r="H761" s="4" t="inlineStr">
        <is>
          <t>REAL</t>
        </is>
      </c>
      <c r="I761" s="4" t="inlineStr">
        <is>
          <t>Mercado Pago</t>
        </is>
      </c>
      <c r="J761" s="4" t="inlineStr">
        <is>
          <t>Mercado Pago</t>
        </is>
      </c>
      <c r="K761" s="4" t="inlineStr">
        <is>
          <t>Maria Celeste Gonzalez · Transferencia enviada · gasto personal Sol · dinero en cuenta MP screenshot</t>
        </is>
      </c>
      <c r="L761" s="4" t="n">
        <v>875</v>
      </c>
    </row>
    <row r="762">
      <c r="A762" s="15" t="n">
        <v>46279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TRANSFERENCIAS</t>
        </is>
      </c>
      <c r="E762" s="4" t="inlineStr">
        <is>
          <t>TRANSFERENCIAS</t>
        </is>
      </c>
      <c r="F762" s="5" t="n">
        <v>1000</v>
      </c>
      <c r="G762" s="16" t="n"/>
      <c r="H762" s="4" t="inlineStr">
        <is>
          <t>REAL</t>
        </is>
      </c>
      <c r="I762" s="4" t="inlineStr">
        <is>
          <t>Mercado Pago</t>
        </is>
      </c>
      <c r="J762" s="4" t="inlineStr">
        <is>
          <t>Mercado Pago</t>
        </is>
      </c>
      <c r="K762" s="4" t="inlineStr">
        <is>
          <t>Mariano Morales · Transferencia enviada · gasto personal Sol · dinero en cuenta MP screenshot</t>
        </is>
      </c>
      <c r="L762" s="4" t="n">
        <v>876</v>
      </c>
    </row>
    <row r="763">
      <c r="A763" s="15" t="n">
        <v>46280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COMPRAS</t>
        </is>
      </c>
      <c r="E763" s="4" t="inlineStr">
        <is>
          <t>COMPRAS</t>
        </is>
      </c>
      <c r="F763" s="5" t="n">
        <v>40900</v>
      </c>
      <c r="G763" s="16" t="n"/>
      <c r="H763" s="4" t="inlineStr">
        <is>
          <t>REAL</t>
        </is>
      </c>
      <c r="I763" s="4" t="inlineStr">
        <is>
          <t>Mercado Pago</t>
        </is>
      </c>
      <c r="J763" s="4" t="inlineStr">
        <is>
          <t>Mercado Pago</t>
        </is>
      </c>
      <c r="K763" s="4" t="inlineStr">
        <is>
          <t>COMPRAS · Happy buy · gasto personal Sol · REVISAR ítem · dinero en cuenta MP screenshot</t>
        </is>
      </c>
      <c r="L763" s="4" t="n">
        <v>878</v>
      </c>
    </row>
    <row r="764">
      <c r="A764" s="15" t="n">
        <v>46280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OTROS PERSONALES</t>
        </is>
      </c>
      <c r="E764" s="4" t="inlineStr">
        <is>
          <t>IMPUESTOS · Epagos</t>
        </is>
      </c>
      <c r="F764" s="5" t="n">
        <v>10150</v>
      </c>
      <c r="G764" s="16" t="n"/>
      <c r="H764" s="4" t="inlineStr">
        <is>
          <t>REAL</t>
        </is>
      </c>
      <c r="I764" s="4" t="inlineStr">
        <is>
          <t>Mercado Pago</t>
        </is>
      </c>
      <c r="J764" s="4" t="inlineStr">
        <is>
          <t>Mercado Pago</t>
        </is>
      </c>
      <c r="K764" s="4" t="inlineStr">
        <is>
          <t>IMPUESTOS · Epagos · gasto personal Sol · dinero en cuenta MP screenshot</t>
        </is>
      </c>
      <c r="L764" s="4" t="n">
        <v>880</v>
      </c>
    </row>
    <row r="765">
      <c r="A765" s="15" t="n">
        <v>46280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TRANSFERENCIAS</t>
        </is>
      </c>
      <c r="E765" s="4" t="inlineStr">
        <is>
          <t>TRANSFERENCIAS</t>
        </is>
      </c>
      <c r="F765" s="5" t="n">
        <v>4000</v>
      </c>
      <c r="G765" s="16" t="n"/>
      <c r="H765" s="4" t="inlineStr">
        <is>
          <t>REAL</t>
        </is>
      </c>
      <c r="I765" s="4" t="inlineStr">
        <is>
          <t>Mercado Pago</t>
        </is>
      </c>
      <c r="J765" s="4" t="inlineStr">
        <is>
          <t>Mercado Pago</t>
        </is>
      </c>
      <c r="K765" s="4" t="inlineStr">
        <is>
          <t>Gaston Osvaldo Roca · Transferencia enviada · gasto personal Sol · dinero en cuenta MP screenshot</t>
        </is>
      </c>
      <c r="L765" s="4" t="n">
        <v>881</v>
      </c>
    </row>
    <row r="766">
      <c r="A766" s="15" t="n">
        <v>46280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TRANSPORTE</t>
        </is>
      </c>
      <c r="E766" s="4" t="inlineStr">
        <is>
          <t>TRANSPORTE · Didi</t>
        </is>
      </c>
      <c r="F766" s="5" t="n">
        <v>5500</v>
      </c>
      <c r="G766" s="16" t="n"/>
      <c r="H766" s="4" t="inlineStr">
        <is>
          <t>REAL</t>
        </is>
      </c>
      <c r="I766" s="4" t="inlineStr">
        <is>
          <t>Mercado Pago</t>
        </is>
      </c>
      <c r="J766" s="4" t="inlineStr">
        <is>
          <t>Mercado Pago</t>
        </is>
      </c>
      <c r="K766" s="4" t="inlineStr">
        <is>
          <t>TRANSPORTE · Didi · gasto personal Sol · dinero en cuenta MP screenshot</t>
        </is>
      </c>
      <c r="L766" s="4" t="n">
        <v>879</v>
      </c>
    </row>
    <row r="767">
      <c r="A767" s="15" t="n">
        <v>46280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TRANSPORTE</t>
        </is>
      </c>
      <c r="E767" s="4" t="inlineStr">
        <is>
          <t>TRANSPORTE · Uber</t>
        </is>
      </c>
      <c r="F767" s="5" t="n">
        <v>4980</v>
      </c>
      <c r="G767" s="16" t="n"/>
      <c r="H767" s="4" t="inlineStr">
        <is>
          <t>REAL</t>
        </is>
      </c>
      <c r="I767" s="4" t="inlineStr">
        <is>
          <t>Mercado Pago</t>
        </is>
      </c>
      <c r="J767" s="4" t="inlineStr">
        <is>
          <t>Mercado Pago</t>
        </is>
      </c>
      <c r="K767" s="4" t="inlineStr">
        <is>
          <t>TRANSPORTE · Uber · Ebanx (=Uber) · gasto personal Sol · dinero en cuenta MP screenshot</t>
        </is>
      </c>
      <c r="L767" s="4" t="n">
        <v>877</v>
      </c>
    </row>
    <row r="768">
      <c r="A768" s="15" t="n">
        <v>46282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TRANSPORTE</t>
        </is>
      </c>
      <c r="E768" s="4" t="inlineStr">
        <is>
          <t>TRANSPORTE · Didi</t>
        </is>
      </c>
      <c r="F768" s="5" t="n">
        <v>6200</v>
      </c>
      <c r="G768" s="16" t="n"/>
      <c r="H768" s="4" t="inlineStr">
        <is>
          <t>REAL</t>
        </is>
      </c>
      <c r="I768" s="4" t="inlineStr">
        <is>
          <t>Mercado Pago</t>
        </is>
      </c>
      <c r="J768" s="4" t="inlineStr">
        <is>
          <t>Mercado Pago</t>
        </is>
      </c>
      <c r="K768" s="4" t="inlineStr">
        <is>
          <t>TRANSPORTE · Didi · gasto personal Sol · dinero en cuenta MP screenshot</t>
        </is>
      </c>
      <c r="L768" s="4" t="n">
        <v>883</v>
      </c>
    </row>
    <row r="769">
      <c r="A769" s="15" t="n">
        <v>46282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TRANSPORTE</t>
        </is>
      </c>
      <c r="E769" s="4" t="inlineStr">
        <is>
          <t>TRANSPORTE · Uber</t>
        </is>
      </c>
      <c r="F769" s="5" t="n">
        <v>7257</v>
      </c>
      <c r="G769" s="16" t="n"/>
      <c r="H769" s="4" t="inlineStr">
        <is>
          <t>REAL</t>
        </is>
      </c>
      <c r="I769" s="4" t="inlineStr">
        <is>
          <t>Mercado Pago</t>
        </is>
      </c>
      <c r="J769" s="4" t="inlineStr">
        <is>
          <t>Mercado Pago</t>
        </is>
      </c>
      <c r="K769" s="4" t="inlineStr">
        <is>
          <t>TRANSPORTE · Uber · Ebanx (=Uber) · gasto personal Sol · dinero en cuenta MP screenshot</t>
        </is>
      </c>
      <c r="L769" s="4" t="n">
        <v>882</v>
      </c>
    </row>
    <row r="770">
      <c r="A770" s="15" t="n">
        <v>46282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VESTIMENTA</t>
        </is>
      </c>
      <c r="E770" s="4" t="inlineStr">
        <is>
          <t>VESTIMENTA</t>
        </is>
      </c>
      <c r="F770" s="5" t="n">
        <v>719990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VESTIMENTA · Itsclassic · TC Mercado Pago · Gmail Pago aprobado · REVISAR (también alerta BBVA MERPAGO*ITSCLASSIC)</t>
        </is>
      </c>
      <c r="L770" s="4" t="n">
        <v>831</v>
      </c>
    </row>
    <row r="771">
      <c r="A771" s="15" t="n">
        <v>46283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TRANSPORTE</t>
        </is>
      </c>
      <c r="E771" s="4" t="inlineStr">
        <is>
          <t>TRANSPORTE · Didi</t>
        </is>
      </c>
      <c r="F771" s="5" t="n">
        <v>4900</v>
      </c>
      <c r="G771" s="16" t="n"/>
      <c r="H771" s="4" t="inlineStr">
        <is>
          <t>REAL</t>
        </is>
      </c>
      <c r="I771" s="4" t="inlineStr">
        <is>
          <t>Mercado Pago</t>
        </is>
      </c>
      <c r="J771" s="4" t="inlineStr">
        <is>
          <t>Mercado Pago</t>
        </is>
      </c>
      <c r="K771" s="4" t="inlineStr">
        <is>
          <t>TRANSPORTE · Didi · gasto personal Sol · dinero en cuenta MP screenshot</t>
        </is>
      </c>
      <c r="L771" s="4" t="n">
        <v>885</v>
      </c>
    </row>
    <row r="772">
      <c r="A772" s="15" t="n">
        <v>46283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TRANSPORTE</t>
        </is>
      </c>
      <c r="E772" s="4" t="inlineStr">
        <is>
          <t>TRANSPORTE · Uber</t>
        </is>
      </c>
      <c r="F772" s="5" t="n">
        <v>6053</v>
      </c>
      <c r="G772" s="16" t="n"/>
      <c r="H772" s="4" t="inlineStr">
        <is>
          <t>REAL</t>
        </is>
      </c>
      <c r="I772" s="4" t="inlineStr">
        <is>
          <t>Mercado Pago</t>
        </is>
      </c>
      <c r="J772" s="4" t="inlineStr">
        <is>
          <t>Mercado Pago</t>
        </is>
      </c>
      <c r="K772" s="4" t="inlineStr">
        <is>
          <t>TRANSPORTE · Uber · Ebanx (=Uber) · gasto personal Sol · dinero en cuenta MP screenshot</t>
        </is>
      </c>
      <c r="L772" s="4" t="n">
        <v>884</v>
      </c>
    </row>
    <row r="773">
      <c r="A773" s="15" t="n">
        <v>46283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TRANSPORTE</t>
        </is>
      </c>
      <c r="E773" s="4" t="inlineStr">
        <is>
          <t>TRANSPORTE · Uber</t>
        </is>
      </c>
      <c r="F773" s="5" t="n">
        <v>6478</v>
      </c>
      <c r="G773" s="16" t="n"/>
      <c r="H773" s="4" t="inlineStr">
        <is>
          <t>REAL</t>
        </is>
      </c>
      <c r="I773" s="4" t="inlineStr">
        <is>
          <t>Mercado Pago</t>
        </is>
      </c>
      <c r="J773" s="4" t="inlineStr">
        <is>
          <t>Mercado Pago</t>
        </is>
      </c>
      <c r="K773" s="4" t="inlineStr">
        <is>
          <t>TRANSPORTE · Uber · Ebanx (=Uber) · gasto personal Sol · dinero en cuenta MP screenshot</t>
        </is>
      </c>
      <c r="L773" s="4" t="n">
        <v>886</v>
      </c>
    </row>
    <row r="774">
      <c r="A774" s="15" t="n">
        <v>46284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AUTO</t>
        </is>
      </c>
      <c r="E774" s="4" t="inlineStr">
        <is>
          <t>EDUCACIÓN</t>
        </is>
      </c>
      <c r="F774" s="5" t="n">
        <v>127196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EDUCACIÓN · EducaciónIT · Automatización Claude · TC Mercado Pago · 3 cuotas · Gmail</t>
        </is>
      </c>
      <c r="L774" s="4" t="n">
        <v>832</v>
      </c>
    </row>
    <row r="775">
      <c r="A775" s="15" t="n">
        <v>46284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SALUD · Vitaminas</t>
        </is>
      </c>
      <c r="E775" s="4" t="inlineStr">
        <is>
          <t>SALUD · Vitaminas</t>
        </is>
      </c>
      <c r="F775" s="5" t="n">
        <v>530100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SALUD · Vitaminas · Promarine · TC Mercado Pago · 6 cuotas · Gmail Pago aprobado · REVISAR vs resumen TC MP</t>
        </is>
      </c>
      <c r="L775" s="4" t="n">
        <v>830</v>
      </c>
    </row>
    <row r="776">
      <c r="A776" s="15" t="n">
        <v>46284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OTROS PERSONALES</t>
        </is>
      </c>
      <c r="E776" s="4" t="inlineStr">
        <is>
          <t>TRANSPORTE · SUBE</t>
        </is>
      </c>
      <c r="F776" s="5" t="n">
        <v>862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TRANSPORTE · SUBE · gasto personal Sol · dinero en cuenta MP screenshot</t>
        </is>
      </c>
      <c r="L776" s="4" t="n">
        <v>887</v>
      </c>
    </row>
    <row r="777">
      <c r="A777" s="15" t="n">
        <v>46287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TRANSPORTE</t>
        </is>
      </c>
      <c r="E777" s="4" t="inlineStr">
        <is>
          <t>TRANSPORTE · Didi</t>
        </is>
      </c>
      <c r="F777" s="5" t="n">
        <v>3300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TRANSPORTE · Didi · gasto personal Sol · dinero en cuenta MP screenshot</t>
        </is>
      </c>
      <c r="L777" s="4" t="n">
        <v>889</v>
      </c>
    </row>
    <row r="778">
      <c r="A778" s="15" t="n">
        <v>46287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TRANSPORTE</t>
        </is>
      </c>
      <c r="E778" s="4" t="inlineStr">
        <is>
          <t>TRANSPORTE · Uber</t>
        </is>
      </c>
      <c r="F778" s="5" t="n">
        <v>5393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TRANSPORTE · Uber · Ebanx (=Uber) · gasto personal Sol · dinero en cuenta MP screenshot</t>
        </is>
      </c>
      <c r="L778" s="4" t="n">
        <v>888</v>
      </c>
    </row>
    <row r="779">
      <c r="A779" s="15" t="n">
        <v>46288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63514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Randy Kopeles · Pago · gasto personal Sol · dinero en cuenta MP screenshot</t>
        </is>
      </c>
      <c r="L779" s="4" t="n">
        <v>890</v>
      </c>
    </row>
    <row r="780">
      <c r="A780" s="15" t="n">
        <v>46288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72999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Tatiana Aylén Gonzalez · Pago · gasto personal Sol · dinero en cuenta MP screenshot</t>
        </is>
      </c>
      <c r="L780" s="4" t="n">
        <v>895</v>
      </c>
    </row>
    <row r="781">
      <c r="A781" s="15" t="n">
        <v>46288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SALUD</t>
        </is>
      </c>
      <c r="E781" s="4" t="inlineStr">
        <is>
          <t>SALUD</t>
        </is>
      </c>
      <c r="F781" s="5" t="n">
        <v>50000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SALUD · Clinicas Altamirao · gasto personal Sol · dinero en cuenta MP screenshot</t>
        </is>
      </c>
      <c r="L781" s="4" t="n">
        <v>893</v>
      </c>
    </row>
    <row r="782">
      <c r="A782" s="15" t="n">
        <v>46288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TRANSPORTE</t>
        </is>
      </c>
      <c r="E782" s="4" t="inlineStr">
        <is>
          <t>TRANSPORTE · Didi</t>
        </is>
      </c>
      <c r="F782" s="5" t="n">
        <v>3200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TRANSPORTE · Didi · gasto personal Sol · dinero en cuenta MP screenshot</t>
        </is>
      </c>
      <c r="L782" s="4" t="n">
        <v>894</v>
      </c>
    </row>
    <row r="783">
      <c r="A783" s="15" t="n">
        <v>46288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TRANSPORTE</t>
        </is>
      </c>
      <c r="E783" s="4" t="inlineStr">
        <is>
          <t>TRANSPORTE · Uber</t>
        </is>
      </c>
      <c r="F783" s="5" t="n">
        <v>7016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TRANSPORTE · Uber · Ebanx (=Uber) · gasto personal Sol · dinero en cuenta MP screenshot</t>
        </is>
      </c>
      <c r="L783" s="4" t="n">
        <v>891</v>
      </c>
    </row>
    <row r="784">
      <c r="A784" s="15" t="n">
        <v>46288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TRANSPORTE</t>
        </is>
      </c>
      <c r="E784" s="4" t="inlineStr">
        <is>
          <t>TRANSPORTE · Uber</t>
        </is>
      </c>
      <c r="F784" s="5" t="n">
        <v>153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TRANSPORTE · Uber · Ebanx (=Uber) · gasto personal Sol · dinero en cuenta MP screenshot</t>
        </is>
      </c>
      <c r="L784" s="4" t="n">
        <v>892</v>
      </c>
    </row>
    <row r="785">
      <c r="A785" s="15" t="n">
        <v>46290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TRANSPORTE</t>
        </is>
      </c>
      <c r="E785" s="4" t="inlineStr">
        <is>
          <t>TRANSPORTE · Didi</t>
        </is>
      </c>
      <c r="F785" s="5" t="n">
        <v>4800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TRANSPORTE · Didi · gasto personal Sol · dinero en cuenta MP screenshot</t>
        </is>
      </c>
      <c r="L785" s="4" t="n">
        <v>896</v>
      </c>
    </row>
    <row r="786">
      <c r="A786" s="15" t="n">
        <v>46290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6800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897</v>
      </c>
    </row>
    <row r="787">
      <c r="A787" s="15" t="n">
        <v>46292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ENVÍOS</t>
        </is>
      </c>
      <c r="E787" s="4" t="inlineStr">
        <is>
          <t>ENVÍOS</t>
        </is>
      </c>
      <c r="F787" s="5" t="n">
        <v>13288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ENVÍOS · DHL Express · gasto personal Sol · dinero en cuenta MP screenshot</t>
        </is>
      </c>
      <c r="L787" s="4" t="n">
        <v>898</v>
      </c>
    </row>
    <row r="788">
      <c r="A788" s="15" t="n">
        <v>46293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EVENTOS DEPORTIVOS - RIVER</t>
        </is>
      </c>
      <c r="E788" s="4" t="inlineStr">
        <is>
          <t>Eventos deportivos - River</t>
        </is>
      </c>
      <c r="F788" s="5" t="n">
        <v>169667</v>
      </c>
      <c r="G788" s="16" t="n"/>
      <c r="H788" s="18" t="inlineStr">
        <is>
          <t>PROYECTADO</t>
        </is>
      </c>
      <c r="I788" s="4" t="inlineStr">
        <is>
          <t>BBVA VISA · proyectado</t>
        </is>
      </c>
      <c r="J788" s="4" t="inlineStr">
        <is>
          <t>BBVA</t>
        </is>
      </c>
      <c r="K788" s="4" t="inlineStr">
        <is>
          <t>PROYECTADO · C.03/06 · cashflow cuotas BBVA · gasto personal Sol · Eventos deportivos - River</t>
        </is>
      </c>
      <c r="L788" s="4" t="n">
        <v>572</v>
      </c>
    </row>
    <row r="789">
      <c r="A789" s="15" t="n">
        <v>46293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HOGAR</t>
        </is>
      </c>
      <c r="E789" s="4" t="inlineStr">
        <is>
          <t>HOGAR</t>
        </is>
      </c>
      <c r="F789" s="5" t="n">
        <v>18334</v>
      </c>
      <c r="G789" s="16" t="n"/>
      <c r="H789" s="18" t="inlineStr">
        <is>
          <t>PROYECTADO</t>
        </is>
      </c>
      <c r="I789" s="4" t="inlineStr">
        <is>
          <t>BBVA MASTERCARD · proyectado</t>
        </is>
      </c>
      <c r="J789" s="4" t="inlineStr">
        <is>
          <t>BBVA</t>
        </is>
      </c>
      <c r="K789" s="4" t="inlineStr">
        <is>
          <t>HOGAR · Stanley · PROYECTADO · C.06/06 · cashflow cuotas BBVA · gasto personal Sol</t>
        </is>
      </c>
      <c r="L789" s="4" t="n">
        <v>571</v>
      </c>
    </row>
    <row r="790">
      <c r="A790" s="15" t="n">
        <v>46293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MERCADO LIBRE</t>
        </is>
      </c>
      <c r="E790" s="4" t="inlineStr">
        <is>
          <t>MERCADO LIBRE</t>
        </is>
      </c>
      <c r="F790" s="5" t="n">
        <v>12084</v>
      </c>
      <c r="G790" s="16" t="n"/>
      <c r="H790" s="18" t="inlineStr">
        <is>
          <t>PROYECTADO</t>
        </is>
      </c>
      <c r="I790" s="4" t="inlineStr">
        <is>
          <t>BBVA VISA · proyectado</t>
        </is>
      </c>
      <c r="J790" s="4" t="inlineStr">
        <is>
          <t>BBVA</t>
        </is>
      </c>
      <c r="K790" s="4" t="inlineStr">
        <is>
          <t>PROYECTADO · C.03/06 · cashflow cuotas BBVA · gasto personal Sol · ex `Mercado Libre · MERCADOLIBRE`</t>
        </is>
      </c>
      <c r="L790" s="4" t="n">
        <v>562</v>
      </c>
    </row>
    <row r="791">
      <c r="A791" s="15" t="n">
        <v>46293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MERCADO LIBRE</t>
        </is>
      </c>
      <c r="E791" s="4" t="inlineStr">
        <is>
          <t>MERCADO LIBRE</t>
        </is>
      </c>
      <c r="F791" s="5" t="n">
        <v>275000</v>
      </c>
      <c r="G791" s="16" t="n"/>
      <c r="H791" s="18" t="inlineStr">
        <is>
          <t>PROYECTADO</t>
        </is>
      </c>
      <c r="I791" s="4" t="inlineStr">
        <is>
          <t>BBVA MASTERCARD · proyectado</t>
        </is>
      </c>
      <c r="J791" s="4" t="inlineStr">
        <is>
          <t>BBVA</t>
        </is>
      </c>
      <c r="K791" s="4" t="inlineStr">
        <is>
          <t>PROYECTADO · C.07/12 · cashflow cuotas BBVA · gasto personal Sol · ex `Mercado Libre · MERCADOLIBRE`</t>
        </is>
      </c>
      <c r="L791" s="4" t="n">
        <v>563</v>
      </c>
    </row>
    <row r="792">
      <c r="A792" s="15" t="n">
        <v>46293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MERCADO LIBRE</t>
        </is>
      </c>
      <c r="E792" s="4" t="inlineStr">
        <is>
          <t>MERCADO LIBRE</t>
        </is>
      </c>
      <c r="F792" s="5" t="n">
        <v>17360</v>
      </c>
      <c r="G792" s="16" t="n"/>
      <c r="H792" s="18" t="inlineStr">
        <is>
          <t>PROYECTADO</t>
        </is>
      </c>
      <c r="I792" s="4" t="inlineStr">
        <is>
          <t>BBVA MASTERCARD · proyectado</t>
        </is>
      </c>
      <c r="J792" s="4" t="inlineStr">
        <is>
          <t>BBVA</t>
        </is>
      </c>
      <c r="K792" s="4" t="inlineStr">
        <is>
          <t>PROYECTADO · C.08/09 · cashflow cuotas BBVA · gasto personal Sol · ex `Mercado Libre · MERCADOLIBRE`</t>
        </is>
      </c>
      <c r="L792" s="4" t="n">
        <v>564</v>
      </c>
    </row>
    <row r="793">
      <c r="A793" s="15" t="n">
        <v>46293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MERCADO LIBRE</t>
        </is>
      </c>
      <c r="E793" s="4" t="inlineStr">
        <is>
          <t>MERCADO LIBRE</t>
        </is>
      </c>
      <c r="F793" s="5" t="n">
        <v>16950</v>
      </c>
      <c r="G793" s="16" t="n"/>
      <c r="H793" s="18" t="inlineStr">
        <is>
          <t>PROYECTADO</t>
        </is>
      </c>
      <c r="I793" s="4" t="inlineStr">
        <is>
          <t>BBVA MASTERCARD · proyectado</t>
        </is>
      </c>
      <c r="J793" s="4" t="inlineStr">
        <is>
          <t>BBVA</t>
        </is>
      </c>
      <c r="K793" s="4" t="inlineStr">
        <is>
          <t>PROYECTADO · C.08/09 · cashflow cuotas BBVA · gasto personal Sol · ex `Mercado Libre · MERCADOLIBRE`</t>
        </is>
      </c>
      <c r="L793" s="4" t="n">
        <v>565</v>
      </c>
    </row>
    <row r="794">
      <c r="A794" s="15" t="n">
        <v>46293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ROPA</t>
        </is>
      </c>
      <c r="E794" s="4" t="inlineStr">
        <is>
          <t>ROPA</t>
        </is>
      </c>
      <c r="F794" s="5" t="n">
        <v>124667</v>
      </c>
      <c r="G794" s="16" t="n"/>
      <c r="H794" s="18" t="inlineStr">
        <is>
          <t>PROYECTADO</t>
        </is>
      </c>
      <c r="I794" s="4" t="inlineStr">
        <is>
          <t>BBVA VISA · proyectado</t>
        </is>
      </c>
      <c r="J794" s="4" t="inlineStr">
        <is>
          <t>BBVA</t>
        </is>
      </c>
      <c r="K794" s="4" t="inlineStr">
        <is>
          <t>PROYECTADO · C.05/06 · cashflow cuotas BBVA · gasto personal Sol</t>
        </is>
      </c>
      <c r="L794" s="4" t="n">
        <v>557</v>
      </c>
    </row>
    <row r="795">
      <c r="A795" s="15" t="n">
        <v>46293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ROPA</t>
        </is>
      </c>
      <c r="E795" s="4" t="inlineStr">
        <is>
          <t>ROPA</t>
        </is>
      </c>
      <c r="F795" s="5" t="n">
        <v>31700</v>
      </c>
      <c r="G795" s="16" t="n"/>
      <c r="H795" s="18" t="inlineStr">
        <is>
          <t>PROYECTADO</t>
        </is>
      </c>
      <c r="I795" s="4" t="inlineStr">
        <is>
          <t>BBVA VISA · proyectado</t>
        </is>
      </c>
      <c r="J795" s="4" t="inlineStr">
        <is>
          <t>BBVA</t>
        </is>
      </c>
      <c r="K795" s="4" t="inlineStr">
        <is>
          <t>ROPA · Frivilli · PROYECTADO · C.03/03 · cashflow cuotas BBVA · gasto personal Sol</t>
        </is>
      </c>
      <c r="L795" s="4" t="n">
        <v>559</v>
      </c>
    </row>
    <row r="796">
      <c r="A796" s="15" t="n">
        <v>46293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ROPA</t>
        </is>
      </c>
      <c r="E796" s="4" t="inlineStr">
        <is>
          <t>ROPA</t>
        </is>
      </c>
      <c r="F796" s="5" t="n">
        <v>80834</v>
      </c>
      <c r="G796" s="16" t="n"/>
      <c r="H796" s="18" t="inlineStr">
        <is>
          <t>PROYECTADO</t>
        </is>
      </c>
      <c r="I796" s="4" t="inlineStr">
        <is>
          <t>BBVA MASTERCARD · proyectado</t>
        </is>
      </c>
      <c r="J796" s="4" t="inlineStr">
        <is>
          <t>BBVA</t>
        </is>
      </c>
      <c r="K796" s="4" t="inlineStr">
        <is>
          <t>PROYECTADO · C.05/06 · cashflow cuotas BBVA · gasto personal Sol</t>
        </is>
      </c>
      <c r="L796" s="4" t="n">
        <v>560</v>
      </c>
    </row>
    <row r="797">
      <c r="A797" s="15" t="n">
        <v>46293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ROPA</t>
        </is>
      </c>
      <c r="E797" s="4" t="inlineStr">
        <is>
          <t>ROPA</t>
        </is>
      </c>
      <c r="F797" s="5" t="n">
        <v>95984</v>
      </c>
      <c r="G797" s="16" t="n"/>
      <c r="H797" s="18" t="inlineStr">
        <is>
          <t>PROYECTADO</t>
        </is>
      </c>
      <c r="I797" s="4" t="inlineStr">
        <is>
          <t>BBVA MASTERCARD · proyectado</t>
        </is>
      </c>
      <c r="J797" s="4" t="inlineStr">
        <is>
          <t>BBVA</t>
        </is>
      </c>
      <c r="K797" s="4" t="inlineStr">
        <is>
          <t>ROPA · Monofuk · PROYECTADO · C.06/06 · cashflow cuotas BBVA · gasto personal Sol</t>
        </is>
      </c>
      <c r="L797" s="4" t="n">
        <v>566</v>
      </c>
    </row>
    <row r="798">
      <c r="A798" s="15" t="n">
        <v>46293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ROPA</t>
        </is>
      </c>
      <c r="E798" s="4" t="inlineStr">
        <is>
          <t>ROPA</t>
        </is>
      </c>
      <c r="F798" s="5" t="n">
        <v>284794</v>
      </c>
      <c r="G798" s="16" t="n"/>
      <c r="H798" s="18" t="inlineStr">
        <is>
          <t>PROYECTADO</t>
        </is>
      </c>
      <c r="I798" s="4" t="inlineStr">
        <is>
          <t>BBVA VISA · proyectado</t>
        </is>
      </c>
      <c r="J798" s="4" t="inlineStr">
        <is>
          <t>BBVA</t>
        </is>
      </c>
      <c r="K798" s="4" t="inlineStr">
        <is>
          <t>PROYECTADO · C.03/06 · cashflow cuotas BBVA · gasto personal Sol</t>
        </is>
      </c>
      <c r="L798" s="4" t="n">
        <v>567</v>
      </c>
    </row>
    <row r="799">
      <c r="A799" s="15" t="n">
        <v>46293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ROPA</t>
        </is>
      </c>
      <c r="E799" s="4" t="inlineStr">
        <is>
          <t>ROPA</t>
        </is>
      </c>
      <c r="F799" s="5" t="n">
        <v>73600</v>
      </c>
      <c r="G799" s="16" t="n"/>
      <c r="H799" s="18" t="inlineStr">
        <is>
          <t>PROYECTADO</t>
        </is>
      </c>
      <c r="I799" s="4" t="inlineStr">
        <is>
          <t>BBVA MASTERCARD · proyectado</t>
        </is>
      </c>
      <c r="J799" s="4" t="inlineStr">
        <is>
          <t>BBVA</t>
        </is>
      </c>
      <c r="K799" s="4" t="inlineStr">
        <is>
          <t>PROYECTADO · C.03/06 · cashflow cuotas BBVA · gasto personal Sol</t>
        </is>
      </c>
      <c r="L799" s="4" t="n">
        <v>568</v>
      </c>
    </row>
    <row r="800">
      <c r="A800" s="15" t="n">
        <v>46293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ROPA</t>
        </is>
      </c>
      <c r="E800" s="4" t="inlineStr">
        <is>
          <t>ROPA</t>
        </is>
      </c>
      <c r="F800" s="5" t="n">
        <v>36667</v>
      </c>
      <c r="G800" s="16" t="n"/>
      <c r="H800" s="18" t="inlineStr">
        <is>
          <t>PROYECTADO</t>
        </is>
      </c>
      <c r="I800" s="4" t="inlineStr">
        <is>
          <t>BBVA MASTERCARD · proyectado</t>
        </is>
      </c>
      <c r="J800" s="4" t="inlineStr">
        <is>
          <t>BBVA</t>
        </is>
      </c>
      <c r="K800" s="4" t="inlineStr">
        <is>
          <t>PROYECTADO · C.05/06 · cashflow cuotas BBVA · gasto personal Sol</t>
        </is>
      </c>
      <c r="L800" s="4" t="n">
        <v>570</v>
      </c>
    </row>
    <row r="801">
      <c r="A801" s="15" t="n">
        <v>46293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ROPA</t>
        </is>
      </c>
      <c r="E801" s="4" t="inlineStr">
        <is>
          <t>ROPA</t>
        </is>
      </c>
      <c r="F801" s="5" t="n">
        <v>60917</v>
      </c>
      <c r="G801" s="16" t="n"/>
      <c r="H801" s="18" t="inlineStr">
        <is>
          <t>PROYECTADO</t>
        </is>
      </c>
      <c r="I801" s="4" t="inlineStr">
        <is>
          <t>BBVA VISA · proyectado</t>
        </is>
      </c>
      <c r="J801" s="4" t="inlineStr">
        <is>
          <t>BBVA</t>
        </is>
      </c>
      <c r="K801" s="4" t="inlineStr">
        <is>
          <t>PROYECTADO · C.05/12 · cashflow cuotas BBVA · gasto personal Sol</t>
        </is>
      </c>
      <c r="L801" s="4" t="n">
        <v>573</v>
      </c>
    </row>
    <row r="802">
      <c r="A802" s="15" t="n">
        <v>46293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ROPA</t>
        </is>
      </c>
      <c r="E802" s="4" t="inlineStr">
        <is>
          <t>ROPA</t>
        </is>
      </c>
      <c r="F802" s="5" t="n">
        <v>69750</v>
      </c>
      <c r="G802" s="16" t="n"/>
      <c r="H802" s="18" t="inlineStr">
        <is>
          <t>PROYECTADO</t>
        </is>
      </c>
      <c r="I802" s="4" t="inlineStr">
        <is>
          <t>BBVA VISA · proyectado</t>
        </is>
      </c>
      <c r="J802" s="4" t="inlineStr">
        <is>
          <t>BBVA</t>
        </is>
      </c>
      <c r="K802" s="4" t="inlineStr">
        <is>
          <t>PROYECTADO · C.05/12 · cashflow cuotas BBVA · gasto personal Sol</t>
        </is>
      </c>
      <c r="L802" s="4" t="n">
        <v>574</v>
      </c>
    </row>
    <row r="803">
      <c r="A803" s="15" t="n">
        <v>46293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SALUD</t>
        </is>
      </c>
      <c r="E803" s="4" t="inlineStr">
        <is>
          <t>SALUD</t>
        </is>
      </c>
      <c r="F803" s="5" t="n">
        <v>54033</v>
      </c>
      <c r="G803" s="16" t="n"/>
      <c r="H803" s="18" t="inlineStr">
        <is>
          <t>PROYECTADO</t>
        </is>
      </c>
      <c r="I803" s="4" t="inlineStr">
        <is>
          <t>BBVA MASTERCARD · proyectado</t>
        </is>
      </c>
      <c r="J803" s="4" t="inlineStr">
        <is>
          <t>BBVA</t>
        </is>
      </c>
      <c r="K803" s="4" t="inlineStr">
        <is>
          <t>SALUD · Laboratorio · PROYECTADO · C.06/06 · cashflow cuotas BBVA · gasto personal Sol</t>
        </is>
      </c>
      <c r="L803" s="4" t="n">
        <v>561</v>
      </c>
    </row>
    <row r="804">
      <c r="A804" s="15" t="n">
        <v>46293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SALUD · Vitaminas</t>
        </is>
      </c>
      <c r="E804" s="4" t="inlineStr">
        <is>
          <t>SALUD · Vitaminas</t>
        </is>
      </c>
      <c r="F804" s="5" t="n">
        <v>87900</v>
      </c>
      <c r="G804" s="16" t="n"/>
      <c r="H804" s="18" t="inlineStr">
        <is>
          <t>PROYECTADO</t>
        </is>
      </c>
      <c r="I804" s="4" t="inlineStr">
        <is>
          <t>BBVA VISA · proyectado</t>
        </is>
      </c>
      <c r="J804" s="4" t="inlineStr">
        <is>
          <t>BBVA</t>
        </is>
      </c>
      <c r="K804" s="4" t="inlineStr">
        <is>
          <t>PROYECTADO · SALUD · Vitaminas · Promarine · BBVA · C.06/06 · gasto personal Sol</t>
        </is>
      </c>
      <c r="L804" s="4" t="n">
        <v>569</v>
      </c>
    </row>
    <row r="805">
      <c r="A805" s="15" t="n">
        <v>46293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ROPA</t>
        </is>
      </c>
      <c r="E805" s="4" t="inlineStr">
        <is>
          <t>VESTIMENTA</t>
        </is>
      </c>
      <c r="F805" s="5" t="n">
        <v>98334</v>
      </c>
      <c r="G805" s="16" t="n"/>
      <c r="H805" s="18" t="inlineStr">
        <is>
          <t>PROYECTADO</t>
        </is>
      </c>
      <c r="I805" s="4" t="inlineStr">
        <is>
          <t>BBVA VISA · proyectado</t>
        </is>
      </c>
      <c r="J805" s="4" t="inlineStr">
        <is>
          <t>BBVA</t>
        </is>
      </c>
      <c r="K805" s="4" t="inlineStr">
        <is>
          <t>ROPA · Bokenvoreno · PROYECTADO · C.05/06 · cashflow cuotas BBVA · gasto personal Sol</t>
        </is>
      </c>
      <c r="L805" s="4" t="n">
        <v>558</v>
      </c>
    </row>
    <row r="806">
      <c r="A806" s="15" t="n">
        <v>46323</v>
      </c>
      <c r="B806" s="4" t="inlineStr">
        <is>
          <t>2026-10</t>
        </is>
      </c>
      <c r="C806" s="4" t="inlineStr">
        <is>
          <t>Octubre</t>
        </is>
      </c>
      <c r="D806" s="4" t="inlineStr">
        <is>
          <t>EVENTOS DEPORTIVOS - RIVER</t>
        </is>
      </c>
      <c r="E806" s="4" t="inlineStr">
        <is>
          <t>Eventos deportivos - River</t>
        </is>
      </c>
      <c r="F806" s="5" t="n">
        <v>169667</v>
      </c>
      <c r="G806" s="16" t="n"/>
      <c r="H806" s="18" t="inlineStr">
        <is>
          <t>PROYECTADO</t>
        </is>
      </c>
      <c r="I806" s="4" t="inlineStr">
        <is>
          <t>BBVA VISA · proyectado</t>
        </is>
      </c>
      <c r="J806" s="4" t="inlineStr">
        <is>
          <t>BBVA</t>
        </is>
      </c>
      <c r="K806" s="4" t="inlineStr">
        <is>
          <t>PROYECTADO · C.04/06 · cashflow cuotas BBVA · gasto personal Sol · Eventos deportivos - River</t>
        </is>
      </c>
      <c r="L806" s="4" t="n">
        <v>585</v>
      </c>
    </row>
    <row r="807">
      <c r="A807" s="15" t="n">
        <v>46323</v>
      </c>
      <c r="B807" s="4" t="inlineStr">
        <is>
          <t>2026-10</t>
        </is>
      </c>
      <c r="C807" s="4" t="inlineStr">
        <is>
          <t>Octubre</t>
        </is>
      </c>
      <c r="D807" s="4" t="inlineStr">
        <is>
          <t>MERCADO LIBRE</t>
        </is>
      </c>
      <c r="E807" s="4" t="inlineStr">
        <is>
          <t>MERCADO LIBRE</t>
        </is>
      </c>
      <c r="F807" s="5" t="n">
        <v>12084</v>
      </c>
      <c r="G807" s="16" t="n"/>
      <c r="H807" s="18" t="inlineStr">
        <is>
          <t>PROYECTADO</t>
        </is>
      </c>
      <c r="I807" s="4" t="inlineStr">
        <is>
          <t>BBVA VISA · proyectado</t>
        </is>
      </c>
      <c r="J807" s="4" t="inlineStr">
        <is>
          <t>BBVA</t>
        </is>
      </c>
      <c r="K807" s="4" t="inlineStr">
        <is>
          <t>PROYECTADO · C.04/06 · cashflow cuotas BBVA · gasto personal Sol · ex `Mercado Libre · MERCADOLIBRE`</t>
        </is>
      </c>
      <c r="L807" s="4" t="n">
        <v>578</v>
      </c>
    </row>
    <row r="808">
      <c r="A808" s="15" t="n">
        <v>46323</v>
      </c>
      <c r="B808" s="4" t="inlineStr">
        <is>
          <t>2026-10</t>
        </is>
      </c>
      <c r="C808" s="4" t="inlineStr">
        <is>
          <t>Octubre</t>
        </is>
      </c>
      <c r="D808" s="4" t="inlineStr">
        <is>
          <t>MERCADO LIBRE</t>
        </is>
      </c>
      <c r="E808" s="4" t="inlineStr">
        <is>
          <t>MERCADO LIBRE</t>
        </is>
      </c>
      <c r="F808" s="5" t="n">
        <v>275000</v>
      </c>
      <c r="G808" s="16" t="n"/>
      <c r="H808" s="18" t="inlineStr">
        <is>
          <t>PROYECTADO</t>
        </is>
      </c>
      <c r="I808" s="4" t="inlineStr">
        <is>
          <t>BBVA MASTERCARD · proyectado</t>
        </is>
      </c>
      <c r="J808" s="4" t="inlineStr">
        <is>
          <t>BBVA</t>
        </is>
      </c>
      <c r="K808" s="4" t="inlineStr">
        <is>
          <t>PROYECTADO · C.08/12 · cashflow cuotas BBVA · gasto personal Sol · ex `Mercado Libre · MERCADOLIBRE`</t>
        </is>
      </c>
      <c r="L808" s="4" t="n">
        <v>579</v>
      </c>
    </row>
    <row r="809">
      <c r="A809" s="15" t="n">
        <v>46323</v>
      </c>
      <c r="B809" s="4" t="inlineStr">
        <is>
          <t>2026-10</t>
        </is>
      </c>
      <c r="C809" s="4" t="inlineStr">
        <is>
          <t>Octubre</t>
        </is>
      </c>
      <c r="D809" s="4" t="inlineStr">
        <is>
          <t>MERCADO LIBRE</t>
        </is>
      </c>
      <c r="E809" s="4" t="inlineStr">
        <is>
          <t>MERCADO LIBRE</t>
        </is>
      </c>
      <c r="F809" s="5" t="n">
        <v>17360</v>
      </c>
      <c r="G809" s="16" t="n"/>
      <c r="H809" s="18" t="inlineStr">
        <is>
          <t>PROYECTADO</t>
        </is>
      </c>
      <c r="I809" s="4" t="inlineStr">
        <is>
          <t>BBVA MASTERCARD · proyectado</t>
        </is>
      </c>
      <c r="J809" s="4" t="inlineStr">
        <is>
          <t>BBVA</t>
        </is>
      </c>
      <c r="K809" s="4" t="inlineStr">
        <is>
          <t>PROYECTADO · C.09/09 · cashflow cuotas BBVA · gasto personal Sol · ex `Mercado Libre · MERCADOLIBRE`</t>
        </is>
      </c>
      <c r="L809" s="4" t="n">
        <v>580</v>
      </c>
    </row>
    <row r="810">
      <c r="A810" s="15" t="n">
        <v>46323</v>
      </c>
      <c r="B810" s="4" t="inlineStr">
        <is>
          <t>2026-10</t>
        </is>
      </c>
      <c r="C810" s="4" t="inlineStr">
        <is>
          <t>Octubre</t>
        </is>
      </c>
      <c r="D810" s="4" t="inlineStr">
        <is>
          <t>MERCADO LIBRE</t>
        </is>
      </c>
      <c r="E810" s="4" t="inlineStr">
        <is>
          <t>MERCADO LIBRE</t>
        </is>
      </c>
      <c r="F810" s="5" t="n">
        <v>16950</v>
      </c>
      <c r="G810" s="16" t="n"/>
      <c r="H810" s="18" t="inlineStr">
        <is>
          <t>PROYECTADO</t>
        </is>
      </c>
      <c r="I810" s="4" t="inlineStr">
        <is>
          <t>BBVA MASTERCARD · proyectado</t>
        </is>
      </c>
      <c r="J810" s="4" t="inlineStr">
        <is>
          <t>BBVA</t>
        </is>
      </c>
      <c r="K810" s="4" t="inlineStr">
        <is>
          <t>PROYECTADO · C.09/09 · cashflow cuotas BBVA · gasto personal Sol · ex `Mercado Libre · MERCADOLIBRE`</t>
        </is>
      </c>
      <c r="L810" s="4" t="n">
        <v>581</v>
      </c>
    </row>
    <row r="811">
      <c r="A811" s="15" t="n">
        <v>46323</v>
      </c>
      <c r="B811" s="4" t="inlineStr">
        <is>
          <t>2026-10</t>
        </is>
      </c>
      <c r="C811" s="4" t="inlineStr">
        <is>
          <t>Octubre</t>
        </is>
      </c>
      <c r="D811" s="4" t="inlineStr">
        <is>
          <t>ROPA</t>
        </is>
      </c>
      <c r="E811" s="4" t="inlineStr">
        <is>
          <t>ROPA</t>
        </is>
      </c>
      <c r="F811" s="5" t="n">
        <v>124667</v>
      </c>
      <c r="G811" s="16" t="n"/>
      <c r="H811" s="18" t="inlineStr">
        <is>
          <t>PROYECTADO</t>
        </is>
      </c>
      <c r="I811" s="4" t="inlineStr">
        <is>
          <t>BBVA VISA · proyectado</t>
        </is>
      </c>
      <c r="J811" s="4" t="inlineStr">
        <is>
          <t>BBVA</t>
        </is>
      </c>
      <c r="K811" s="4" t="inlineStr">
        <is>
          <t>PROYECTADO · C.06/06 · cashflow cuotas BBVA · gasto personal Sol</t>
        </is>
      </c>
      <c r="L811" s="4" t="n">
        <v>575</v>
      </c>
    </row>
    <row r="812">
      <c r="A812" s="15" t="n">
        <v>46323</v>
      </c>
      <c r="B812" s="4" t="inlineStr">
        <is>
          <t>2026-10</t>
        </is>
      </c>
      <c r="C812" s="4" t="inlineStr">
        <is>
          <t>Octubre</t>
        </is>
      </c>
      <c r="D812" s="4" t="inlineStr">
        <is>
          <t>ROPA</t>
        </is>
      </c>
      <c r="E812" s="4" t="inlineStr">
        <is>
          <t>ROPA</t>
        </is>
      </c>
      <c r="F812" s="5" t="n">
        <v>80834</v>
      </c>
      <c r="G812" s="16" t="n"/>
      <c r="H812" s="18" t="inlineStr">
        <is>
          <t>PROYECTADO</t>
        </is>
      </c>
      <c r="I812" s="4" t="inlineStr">
        <is>
          <t>BBVA MASTERCARD · proyectado</t>
        </is>
      </c>
      <c r="J812" s="4" t="inlineStr">
        <is>
          <t>BBVA</t>
        </is>
      </c>
      <c r="K812" s="4" t="inlineStr">
        <is>
          <t>PROYECTADO · C.06/06 · cashflow cuotas BBVA · gasto personal Sol</t>
        </is>
      </c>
      <c r="L812" s="4" t="n">
        <v>577</v>
      </c>
    </row>
    <row r="813">
      <c r="A813" s="15" t="n">
        <v>46323</v>
      </c>
      <c r="B813" s="4" t="inlineStr">
        <is>
          <t>2026-10</t>
        </is>
      </c>
      <c r="C813" s="4" t="inlineStr">
        <is>
          <t>Octubre</t>
        </is>
      </c>
      <c r="D813" s="4" t="inlineStr">
        <is>
          <t>ROPA</t>
        </is>
      </c>
      <c r="E813" s="4" t="inlineStr">
        <is>
          <t>ROPA</t>
        </is>
      </c>
      <c r="F813" s="5" t="n">
        <v>284794</v>
      </c>
      <c r="G813" s="16" t="n"/>
      <c r="H813" s="18" t="inlineStr">
        <is>
          <t>PROYECTADO</t>
        </is>
      </c>
      <c r="I813" s="4" t="inlineStr">
        <is>
          <t>BBVA VISA · proyectado</t>
        </is>
      </c>
      <c r="J813" s="4" t="inlineStr">
        <is>
          <t>BBVA</t>
        </is>
      </c>
      <c r="K813" s="4" t="inlineStr">
        <is>
          <t>PROYECTADO · C.04/06 · cashflow cuotas BBVA · gasto personal Sol</t>
        </is>
      </c>
      <c r="L813" s="4" t="n">
        <v>582</v>
      </c>
    </row>
    <row r="814">
      <c r="A814" s="15" t="n">
        <v>46323</v>
      </c>
      <c r="B814" s="4" t="inlineStr">
        <is>
          <t>2026-10</t>
        </is>
      </c>
      <c r="C814" s="4" t="inlineStr">
        <is>
          <t>Octubre</t>
        </is>
      </c>
      <c r="D814" s="4" t="inlineStr">
        <is>
          <t>ROPA</t>
        </is>
      </c>
      <c r="E814" s="4" t="inlineStr">
        <is>
          <t>ROPA</t>
        </is>
      </c>
      <c r="F814" s="5" t="n">
        <v>73600</v>
      </c>
      <c r="G814" s="16" t="n"/>
      <c r="H814" s="18" t="inlineStr">
        <is>
          <t>PROYECTADO</t>
        </is>
      </c>
      <c r="I814" s="4" t="inlineStr">
        <is>
          <t>BBVA MASTERCARD · proyectado</t>
        </is>
      </c>
      <c r="J814" s="4" t="inlineStr">
        <is>
          <t>BBVA</t>
        </is>
      </c>
      <c r="K814" s="4" t="inlineStr">
        <is>
          <t>PROYECTADO · C.04/06 · cashflow cuotas BBVA · gasto personal Sol</t>
        </is>
      </c>
      <c r="L814" s="4" t="n">
        <v>583</v>
      </c>
    </row>
    <row r="815">
      <c r="A815" s="15" t="n">
        <v>46323</v>
      </c>
      <c r="B815" s="4" t="inlineStr">
        <is>
          <t>2026-10</t>
        </is>
      </c>
      <c r="C815" s="4" t="inlineStr">
        <is>
          <t>Octubre</t>
        </is>
      </c>
      <c r="D815" s="4" t="inlineStr">
        <is>
          <t>ROPA</t>
        </is>
      </c>
      <c r="E815" s="4" t="inlineStr">
        <is>
          <t>ROPA</t>
        </is>
      </c>
      <c r="F815" s="5" t="n">
        <v>36667</v>
      </c>
      <c r="G815" s="16" t="n"/>
      <c r="H815" s="18" t="inlineStr">
        <is>
          <t>PROYECTADO</t>
        </is>
      </c>
      <c r="I815" s="4" t="inlineStr">
        <is>
          <t>BBVA MASTERCARD · proyectado</t>
        </is>
      </c>
      <c r="J815" s="4" t="inlineStr">
        <is>
          <t>BBVA</t>
        </is>
      </c>
      <c r="K815" s="4" t="inlineStr">
        <is>
          <t>PROYECTADO · C.06/06 · cashflow cuotas BBVA · gasto personal Sol</t>
        </is>
      </c>
      <c r="L815" s="4" t="n">
        <v>584</v>
      </c>
    </row>
    <row r="816">
      <c r="A816" s="15" t="n">
        <v>46323</v>
      </c>
      <c r="B816" s="4" t="inlineStr">
        <is>
          <t>2026-10</t>
        </is>
      </c>
      <c r="C816" s="4" t="inlineStr">
        <is>
          <t>Octubre</t>
        </is>
      </c>
      <c r="D816" s="4" t="inlineStr">
        <is>
          <t>ROPA</t>
        </is>
      </c>
      <c r="E816" s="4" t="inlineStr">
        <is>
          <t>ROPA</t>
        </is>
      </c>
      <c r="F816" s="5" t="n">
        <v>60917</v>
      </c>
      <c r="G816" s="16" t="n"/>
      <c r="H816" s="18" t="inlineStr">
        <is>
          <t>PROYECTADO</t>
        </is>
      </c>
      <c r="I816" s="4" t="inlineStr">
        <is>
          <t>BBVA VISA · proyectado</t>
        </is>
      </c>
      <c r="J816" s="4" t="inlineStr">
        <is>
          <t>BBVA</t>
        </is>
      </c>
      <c r="K816" s="4" t="inlineStr">
        <is>
          <t>PROYECTADO · C.06/12 · cashflow cuotas BBVA · gasto personal Sol</t>
        </is>
      </c>
      <c r="L816" s="4" t="n">
        <v>586</v>
      </c>
    </row>
    <row r="817">
      <c r="A817" s="15" t="n">
        <v>46323</v>
      </c>
      <c r="B817" s="4" t="inlineStr">
        <is>
          <t>2026-10</t>
        </is>
      </c>
      <c r="C817" s="4" t="inlineStr">
        <is>
          <t>Octubre</t>
        </is>
      </c>
      <c r="D817" s="4" t="inlineStr">
        <is>
          <t>ROPA</t>
        </is>
      </c>
      <c r="E817" s="4" t="inlineStr">
        <is>
          <t>ROPA</t>
        </is>
      </c>
      <c r="F817" s="5" t="n">
        <v>69750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C.06/12 · cashflow cuotas BBVA · gasto personal Sol</t>
        </is>
      </c>
      <c r="L817" s="4" t="n">
        <v>587</v>
      </c>
    </row>
    <row r="818">
      <c r="A818" s="15" t="n">
        <v>46323</v>
      </c>
      <c r="B818" s="4" t="inlineStr">
        <is>
          <t>2026-10</t>
        </is>
      </c>
      <c r="C818" s="4" t="inlineStr">
        <is>
          <t>Octubre</t>
        </is>
      </c>
      <c r="D818" s="4" t="inlineStr">
        <is>
          <t>ROPA</t>
        </is>
      </c>
      <c r="E818" s="4" t="inlineStr">
        <is>
          <t>VESTIMENTA</t>
        </is>
      </c>
      <c r="F818" s="5" t="n">
        <v>98334</v>
      </c>
      <c r="G818" s="16" t="n"/>
      <c r="H818" s="18" t="inlineStr">
        <is>
          <t>PROYECTADO</t>
        </is>
      </c>
      <c r="I818" s="4" t="inlineStr">
        <is>
          <t>BBVA VISA · proyectado</t>
        </is>
      </c>
      <c r="J818" s="4" t="inlineStr">
        <is>
          <t>BBVA</t>
        </is>
      </c>
      <c r="K818" s="4" t="inlineStr">
        <is>
          <t>ROPA · Bokenvoreno · PROYECTADO · C.06/06 · cashflow cuotas BBVA · gasto personal Sol</t>
        </is>
      </c>
      <c r="L818" s="4" t="n">
        <v>576</v>
      </c>
    </row>
    <row r="819">
      <c r="A819" s="15" t="n">
        <v>46354</v>
      </c>
      <c r="B819" s="4" t="inlineStr">
        <is>
          <t>2026-11</t>
        </is>
      </c>
      <c r="C819" s="4" t="inlineStr">
        <is>
          <t>Noviembre</t>
        </is>
      </c>
      <c r="D819" s="4" t="inlineStr">
        <is>
          <t>EVENTOS DEPORTIVOS - RIVER</t>
        </is>
      </c>
      <c r="E819" s="4" t="inlineStr">
        <is>
          <t>Eventos deportivos - River</t>
        </is>
      </c>
      <c r="F819" s="5" t="n">
        <v>169667</v>
      </c>
      <c r="G819" s="16" t="n"/>
      <c r="H819" s="18" t="inlineStr">
        <is>
          <t>PROYECTADO</t>
        </is>
      </c>
      <c r="I819" s="4" t="inlineStr">
        <is>
          <t>BBVA VISA · proyectado</t>
        </is>
      </c>
      <c r="J819" s="4" t="inlineStr">
        <is>
          <t>BBVA</t>
        </is>
      </c>
      <c r="K819" s="4" t="inlineStr">
        <is>
          <t>PROYECTADO · C.05/06 · cashflow cuotas BBVA · gasto personal Sol · Eventos deportivos - River</t>
        </is>
      </c>
      <c r="L819" s="4" t="n">
        <v>592</v>
      </c>
    </row>
    <row r="820">
      <c r="A820" s="15" t="n">
        <v>46354</v>
      </c>
      <c r="B820" s="4" t="inlineStr">
        <is>
          <t>2026-11</t>
        </is>
      </c>
      <c r="C820" s="4" t="inlineStr">
        <is>
          <t>Noviembre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12084</v>
      </c>
      <c r="G820" s="16" t="n"/>
      <c r="H820" s="18" t="inlineStr">
        <is>
          <t>PROYECTADO</t>
        </is>
      </c>
      <c r="I820" s="4" t="inlineStr">
        <is>
          <t>BBVA VISA · proyectado</t>
        </is>
      </c>
      <c r="J820" s="4" t="inlineStr">
        <is>
          <t>BBVA</t>
        </is>
      </c>
      <c r="K820" s="4" t="inlineStr">
        <is>
          <t>PROYECTADO · C.05/06 · cashflow cuotas BBVA · gasto personal Sol · ex `Mercado Libre · MERCADOLIBRE`</t>
        </is>
      </c>
      <c r="L820" s="4" t="n">
        <v>588</v>
      </c>
    </row>
    <row r="821">
      <c r="A821" s="15" t="n">
        <v>46354</v>
      </c>
      <c r="B821" s="4" t="inlineStr">
        <is>
          <t>2026-11</t>
        </is>
      </c>
      <c r="C821" s="4" t="inlineStr">
        <is>
          <t>Noviembre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275000</v>
      </c>
      <c r="G821" s="16" t="n"/>
      <c r="H821" s="18" t="inlineStr">
        <is>
          <t>PROYECTADO</t>
        </is>
      </c>
      <c r="I821" s="4" t="inlineStr">
        <is>
          <t>BBVA MASTERCARD · proyectado</t>
        </is>
      </c>
      <c r="J821" s="4" t="inlineStr">
        <is>
          <t>BBVA</t>
        </is>
      </c>
      <c r="K821" s="4" t="inlineStr">
        <is>
          <t>PROYECTADO · C.09/12 · cashflow cuotas BBVA · gasto personal Sol · ex `Mercado Libre · MERCADOLIBRE`</t>
        </is>
      </c>
      <c r="L821" s="4" t="n">
        <v>589</v>
      </c>
    </row>
    <row r="822">
      <c r="A822" s="15" t="n">
        <v>46354</v>
      </c>
      <c r="B822" s="4" t="inlineStr">
        <is>
          <t>2026-11</t>
        </is>
      </c>
      <c r="C822" s="4" t="inlineStr">
        <is>
          <t>Noviembre</t>
        </is>
      </c>
      <c r="D822" s="4" t="inlineStr">
        <is>
          <t>ROPA</t>
        </is>
      </c>
      <c r="E822" s="4" t="inlineStr">
        <is>
          <t>ROPA</t>
        </is>
      </c>
      <c r="F822" s="5" t="n">
        <v>284794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PROYECTADO · C.05/06 · cashflow cuotas BBVA · gasto personal Sol</t>
        </is>
      </c>
      <c r="L822" s="4" t="n">
        <v>590</v>
      </c>
    </row>
    <row r="823">
      <c r="A823" s="15" t="n">
        <v>46354</v>
      </c>
      <c r="B823" s="4" t="inlineStr">
        <is>
          <t>2026-11</t>
        </is>
      </c>
      <c r="C823" s="4" t="inlineStr">
        <is>
          <t>Noviembre</t>
        </is>
      </c>
      <c r="D823" s="4" t="inlineStr">
        <is>
          <t>ROPA</t>
        </is>
      </c>
      <c r="E823" s="4" t="inlineStr">
        <is>
          <t>ROPA</t>
        </is>
      </c>
      <c r="F823" s="5" t="n">
        <v>73600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591</v>
      </c>
    </row>
    <row r="824">
      <c r="A824" s="15" t="n">
        <v>46354</v>
      </c>
      <c r="B824" s="4" t="inlineStr">
        <is>
          <t>2026-11</t>
        </is>
      </c>
      <c r="C824" s="4" t="inlineStr">
        <is>
          <t>Noviembre</t>
        </is>
      </c>
      <c r="D824" s="4" t="inlineStr">
        <is>
          <t>ROPA</t>
        </is>
      </c>
      <c r="E824" s="4" t="inlineStr">
        <is>
          <t>ROPA</t>
        </is>
      </c>
      <c r="F824" s="5" t="n">
        <v>60917</v>
      </c>
      <c r="G824" s="16" t="n"/>
      <c r="H824" s="18" t="inlineStr">
        <is>
          <t>PROYECTADO</t>
        </is>
      </c>
      <c r="I824" s="4" t="inlineStr">
        <is>
          <t>BBVA VISA · proyectado</t>
        </is>
      </c>
      <c r="J824" s="4" t="inlineStr">
        <is>
          <t>BBVA</t>
        </is>
      </c>
      <c r="K824" s="4" t="inlineStr">
        <is>
          <t>PROYECTADO · C.07/12 · cashflow cuotas BBVA · gasto personal Sol</t>
        </is>
      </c>
      <c r="L824" s="4" t="n">
        <v>593</v>
      </c>
    </row>
    <row r="825">
      <c r="A825" s="15" t="n">
        <v>46354</v>
      </c>
      <c r="B825" s="4" t="inlineStr">
        <is>
          <t>2026-11</t>
        </is>
      </c>
      <c r="C825" s="4" t="inlineStr">
        <is>
          <t>Noviembre</t>
        </is>
      </c>
      <c r="D825" s="4" t="inlineStr">
        <is>
          <t>ROPA</t>
        </is>
      </c>
      <c r="E825" s="4" t="inlineStr">
        <is>
          <t>ROPA</t>
        </is>
      </c>
      <c r="F825" s="5" t="n">
        <v>69750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C.07/12 · cashflow cuotas BBVA · gasto personal Sol</t>
        </is>
      </c>
      <c r="L825" s="4" t="n">
        <v>594</v>
      </c>
    </row>
    <row r="826">
      <c r="A826" s="15" t="n">
        <v>46384</v>
      </c>
      <c r="B826" s="4" t="inlineStr">
        <is>
          <t>2026-12</t>
        </is>
      </c>
      <c r="C826" s="4" t="inlineStr">
        <is>
          <t>Diciembre</t>
        </is>
      </c>
      <c r="D826" s="4" t="inlineStr">
        <is>
          <t>EVENTOS DEPORTIVOS - RIVER</t>
        </is>
      </c>
      <c r="E826" s="4" t="inlineStr">
        <is>
          <t>Eventos deportivos - River</t>
        </is>
      </c>
      <c r="F826" s="5" t="n">
        <v>169667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PROYECTADO · C.06/06 · cashflow cuotas BBVA · gasto personal Sol · Eventos deportivos - River</t>
        </is>
      </c>
      <c r="L826" s="4" t="n">
        <v>599</v>
      </c>
    </row>
    <row r="827">
      <c r="A827" s="15" t="n">
        <v>46384</v>
      </c>
      <c r="B827" s="4" t="inlineStr">
        <is>
          <t>2026-12</t>
        </is>
      </c>
      <c r="C827" s="4" t="inlineStr">
        <is>
          <t>Diciembre</t>
        </is>
      </c>
      <c r="D827" s="4" t="inlineStr">
        <is>
          <t>MERCADO LIBRE</t>
        </is>
      </c>
      <c r="E827" s="4" t="inlineStr">
        <is>
          <t>MERCADO LIBRE</t>
        </is>
      </c>
      <c r="F827" s="5" t="n">
        <v>12084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C.06/06 · cashflow cuotas BBVA · gasto personal Sol · ex `Mercado Libre · MERCADOLIBRE`</t>
        </is>
      </c>
      <c r="L827" s="4" t="n">
        <v>595</v>
      </c>
    </row>
    <row r="828">
      <c r="A828" s="15" t="n">
        <v>46384</v>
      </c>
      <c r="B828" s="4" t="inlineStr">
        <is>
          <t>2026-12</t>
        </is>
      </c>
      <c r="C828" s="4" t="inlineStr">
        <is>
          <t>Diciembre</t>
        </is>
      </c>
      <c r="D828" s="4" t="inlineStr">
        <is>
          <t>MERCADO LIBRE</t>
        </is>
      </c>
      <c r="E828" s="4" t="inlineStr">
        <is>
          <t>MERCADO LIBRE</t>
        </is>
      </c>
      <c r="F828" s="5" t="n">
        <v>275000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PROYECTADO · C.10/12 · cashflow cuotas BBVA · gasto personal Sol · ex `Mercado Libre · MERCADOLIBRE`</t>
        </is>
      </c>
      <c r="L828" s="4" t="n">
        <v>596</v>
      </c>
    </row>
    <row r="829">
      <c r="A829" s="15" t="n">
        <v>46384</v>
      </c>
      <c r="B829" s="4" t="inlineStr">
        <is>
          <t>2026-12</t>
        </is>
      </c>
      <c r="C829" s="4" t="inlineStr">
        <is>
          <t>Diciembre</t>
        </is>
      </c>
      <c r="D829" s="4" t="inlineStr">
        <is>
          <t>ROPA</t>
        </is>
      </c>
      <c r="E829" s="4" t="inlineStr">
        <is>
          <t>ROPA</t>
        </is>
      </c>
      <c r="F829" s="5" t="n">
        <v>284794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C.06/06 · cashflow cuotas BBVA · gasto personal Sol</t>
        </is>
      </c>
      <c r="L829" s="4" t="n">
        <v>597</v>
      </c>
    </row>
    <row r="830">
      <c r="A830" s="15" t="n">
        <v>46384</v>
      </c>
      <c r="B830" s="4" t="inlineStr">
        <is>
          <t>2026-12</t>
        </is>
      </c>
      <c r="C830" s="4" t="inlineStr">
        <is>
          <t>Diciembre</t>
        </is>
      </c>
      <c r="D830" s="4" t="inlineStr">
        <is>
          <t>ROPA</t>
        </is>
      </c>
      <c r="E830" s="4" t="inlineStr">
        <is>
          <t>ROPA</t>
        </is>
      </c>
      <c r="F830" s="5" t="n">
        <v>73600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PROYECTADO · C.06/06 · cashflow cuotas BBVA · gasto personal Sol</t>
        </is>
      </c>
      <c r="L830" s="4" t="n">
        <v>598</v>
      </c>
    </row>
    <row r="831">
      <c r="A831" s="15" t="n">
        <v>46384</v>
      </c>
      <c r="B831" s="4" t="inlineStr">
        <is>
          <t>2026-12</t>
        </is>
      </c>
      <c r="C831" s="4" t="inlineStr">
        <is>
          <t>Diciembre</t>
        </is>
      </c>
      <c r="D831" s="4" t="inlineStr">
        <is>
          <t>ROPA</t>
        </is>
      </c>
      <c r="E831" s="4" t="inlineStr">
        <is>
          <t>ROPA</t>
        </is>
      </c>
      <c r="F831" s="5" t="n">
        <v>60917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C.08/12 · cashflow cuotas BBVA · gasto personal Sol</t>
        </is>
      </c>
      <c r="L831" s="4" t="n">
        <v>600</v>
      </c>
    </row>
    <row r="832">
      <c r="A832" s="15" t="n">
        <v>46384</v>
      </c>
      <c r="B832" s="4" t="inlineStr">
        <is>
          <t>2026-12</t>
        </is>
      </c>
      <c r="C832" s="4" t="inlineStr">
        <is>
          <t>Diciembre</t>
        </is>
      </c>
      <c r="D832" s="4" t="inlineStr">
        <is>
          <t>ROPA</t>
        </is>
      </c>
      <c r="E832" s="4" t="inlineStr">
        <is>
          <t>ROPA</t>
        </is>
      </c>
      <c r="F832" s="5" t="n">
        <v>69750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PROYECTADO · C.08/12 · cashflow cuotas BBVA · gasto personal Sol</t>
        </is>
      </c>
      <c r="L832" s="4" t="n">
        <v>601</v>
      </c>
    </row>
    <row r="833">
      <c r="A833" s="15" t="n">
        <v>46415</v>
      </c>
      <c r="B833" s="4" t="inlineStr">
        <is>
          <t>2027-01</t>
        </is>
      </c>
      <c r="C833" s="4" t="inlineStr">
        <is>
          <t>Enero 2027</t>
        </is>
      </c>
      <c r="D833" s="4" t="inlineStr">
        <is>
          <t>MERCADO LIBRE</t>
        </is>
      </c>
      <c r="E833" s="4" t="inlineStr">
        <is>
          <t>MERCADO LIBRE</t>
        </is>
      </c>
      <c r="F833" s="5" t="n">
        <v>275000</v>
      </c>
      <c r="G833" s="16" t="n"/>
      <c r="H833" s="18" t="inlineStr">
        <is>
          <t>PROYECTADO</t>
        </is>
      </c>
      <c r="I833" s="4" t="inlineStr">
        <is>
          <t>BBVA MASTERCARD · proyectado</t>
        </is>
      </c>
      <c r="J833" s="4" t="inlineStr">
        <is>
          <t>BBVA</t>
        </is>
      </c>
      <c r="K833" s="4" t="inlineStr">
        <is>
          <t>PROYECTADO · C.11/12 · cashflow cuotas BBVA · gasto personal Sol · ex `Mercado Libre · MERCADOLIBRE`</t>
        </is>
      </c>
      <c r="L833" s="4" t="n">
        <v>602</v>
      </c>
    </row>
    <row r="834">
      <c r="A834" s="15" t="n">
        <v>46415</v>
      </c>
      <c r="B834" s="4" t="inlineStr">
        <is>
          <t>2027-01</t>
        </is>
      </c>
      <c r="C834" s="4" t="inlineStr">
        <is>
          <t>Enero 2027</t>
        </is>
      </c>
      <c r="D834" s="4" t="inlineStr">
        <is>
          <t>ROPA</t>
        </is>
      </c>
      <c r="E834" s="4" t="inlineStr">
        <is>
          <t>ROPA</t>
        </is>
      </c>
      <c r="F834" s="5" t="n">
        <v>60917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C.09/12 · cashflow cuotas BBVA · gasto personal Sol</t>
        </is>
      </c>
      <c r="L834" s="4" t="n">
        <v>603</v>
      </c>
    </row>
    <row r="835">
      <c r="A835" s="15" t="n">
        <v>46415</v>
      </c>
      <c r="B835" s="4" t="inlineStr">
        <is>
          <t>2027-01</t>
        </is>
      </c>
      <c r="C835" s="4" t="inlineStr">
        <is>
          <t>Enero 2027</t>
        </is>
      </c>
      <c r="D835" s="4" t="inlineStr">
        <is>
          <t>ROPA</t>
        </is>
      </c>
      <c r="E835" s="4" t="inlineStr">
        <is>
          <t>ROPA</t>
        </is>
      </c>
      <c r="F835" s="5" t="n">
        <v>69750</v>
      </c>
      <c r="G835" s="16" t="n"/>
      <c r="H835" s="18" t="inlineStr">
        <is>
          <t>PROYECTADO</t>
        </is>
      </c>
      <c r="I835" s="4" t="inlineStr">
        <is>
          <t>BBVA VISA · proyectado</t>
        </is>
      </c>
      <c r="J835" s="4" t="inlineStr">
        <is>
          <t>BBVA</t>
        </is>
      </c>
      <c r="K835" s="4" t="inlineStr">
        <is>
          <t>PROYECTADO · C.09/12 · cashflow cuotas BBVA · gasto personal Sol</t>
        </is>
      </c>
      <c r="L835" s="4" t="n">
        <v>604</v>
      </c>
    </row>
    <row r="836">
      <c r="A836" s="15" t="n">
        <v>46446</v>
      </c>
      <c r="B836" s="4" t="inlineStr">
        <is>
          <t>2027-02</t>
        </is>
      </c>
      <c r="C836" s="4" t="inlineStr">
        <is>
          <t>Febrero 2027</t>
        </is>
      </c>
      <c r="D836" s="4" t="inlineStr">
        <is>
          <t>MERCADO LIBRE</t>
        </is>
      </c>
      <c r="E836" s="4" t="inlineStr">
        <is>
          <t>MERCADO LIBRE</t>
        </is>
      </c>
      <c r="F836" s="5" t="n">
        <v>275000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PROYECTADO · C.12/12 · cashflow cuotas BBVA · gasto personal Sol · ex `Mercado Libre · MERCADOLIBRE`</t>
        </is>
      </c>
      <c r="L836" s="4" t="n">
        <v>605</v>
      </c>
    </row>
    <row r="837">
      <c r="A837" s="15" t="n">
        <v>46446</v>
      </c>
      <c r="B837" s="4" t="inlineStr">
        <is>
          <t>2027-02</t>
        </is>
      </c>
      <c r="C837" s="4" t="inlineStr">
        <is>
          <t>Febrero 2027</t>
        </is>
      </c>
      <c r="D837" s="4" t="inlineStr">
        <is>
          <t>ROPA</t>
        </is>
      </c>
      <c r="E837" s="4" t="inlineStr">
        <is>
          <t>ROPA</t>
        </is>
      </c>
      <c r="F837" s="5" t="n">
        <v>60917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C.10/12 · cashflow cuotas BBVA · gasto personal Sol</t>
        </is>
      </c>
      <c r="L837" s="4" t="n">
        <v>606</v>
      </c>
    </row>
    <row r="838">
      <c r="A838" s="15" t="n">
        <v>46446</v>
      </c>
      <c r="B838" s="4" t="inlineStr">
        <is>
          <t>2027-02</t>
        </is>
      </c>
      <c r="C838" s="4" t="inlineStr">
        <is>
          <t>Febrero 2027</t>
        </is>
      </c>
      <c r="D838" s="4" t="inlineStr">
        <is>
          <t>ROPA</t>
        </is>
      </c>
      <c r="E838" s="4" t="inlineStr">
        <is>
          <t>ROPA</t>
        </is>
      </c>
      <c r="F838" s="5" t="n">
        <v>69750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PROYECTADO · C.10/12 · cashflow cuotas BBVA · gasto personal Sol</t>
        </is>
      </c>
      <c r="L838" s="4" t="n">
        <v>607</v>
      </c>
    </row>
    <row r="839">
      <c r="A839" s="15" t="n">
        <v>46474</v>
      </c>
      <c r="B839" s="4" t="inlineStr">
        <is>
          <t>2027-03</t>
        </is>
      </c>
      <c r="C839" s="4" t="inlineStr">
        <is>
          <t>Marzo 2027</t>
        </is>
      </c>
      <c r="D839" s="4" t="inlineStr">
        <is>
          <t>ROPA</t>
        </is>
      </c>
      <c r="E839" s="4" t="inlineStr">
        <is>
          <t>ROPA</t>
        </is>
      </c>
      <c r="F839" s="5" t="n">
        <v>60917</v>
      </c>
      <c r="G839" s="16" t="n"/>
      <c r="H839" s="18" t="inlineStr">
        <is>
          <t>PROYECTADO</t>
        </is>
      </c>
      <c r="I839" s="4" t="inlineStr">
        <is>
          <t>BBVA VISA · proyectado</t>
        </is>
      </c>
      <c r="J839" s="4" t="inlineStr">
        <is>
          <t>BBVA</t>
        </is>
      </c>
      <c r="K839" s="4" t="inlineStr">
        <is>
          <t>PROYECTADO · C.11/12 · cashflow cuotas BBVA · gasto personal Sol</t>
        </is>
      </c>
      <c r="L839" s="4" t="n">
        <v>608</v>
      </c>
    </row>
    <row r="840">
      <c r="A840" s="15" t="n">
        <v>46474</v>
      </c>
      <c r="B840" s="4" t="inlineStr">
        <is>
          <t>2027-03</t>
        </is>
      </c>
      <c r="C840" s="4" t="inlineStr">
        <is>
          <t>Marzo 2027</t>
        </is>
      </c>
      <c r="D840" s="4" t="inlineStr">
        <is>
          <t>ROPA</t>
        </is>
      </c>
      <c r="E840" s="4" t="inlineStr">
        <is>
          <t>ROPA</t>
        </is>
      </c>
      <c r="F840" s="5" t="n">
        <v>69750</v>
      </c>
      <c r="G840" s="16" t="n"/>
      <c r="H840" s="18" t="inlineStr">
        <is>
          <t>PROYECTADO</t>
        </is>
      </c>
      <c r="I840" s="4" t="inlineStr">
        <is>
          <t>BBVA VISA · proyectado</t>
        </is>
      </c>
      <c r="J840" s="4" t="inlineStr">
        <is>
          <t>BBVA</t>
        </is>
      </c>
      <c r="K840" s="4" t="inlineStr">
        <is>
          <t>PROYECTADO · C.11/12 · cashflow cuotas BBVA · gasto personal Sol</t>
        </is>
      </c>
      <c r="L840" s="4" t="n">
        <v>609</v>
      </c>
    </row>
    <row r="841">
      <c r="A841" s="15" t="n">
        <v>46505</v>
      </c>
      <c r="B841" s="4" t="inlineStr">
        <is>
          <t>2027-04</t>
        </is>
      </c>
      <c r="C841" s="4" t="inlineStr">
        <is>
          <t>Abril 2027</t>
        </is>
      </c>
      <c r="D841" s="4" t="inlineStr">
        <is>
          <t>ROPA</t>
        </is>
      </c>
      <c r="E841" s="4" t="inlineStr">
        <is>
          <t>ROPA</t>
        </is>
      </c>
      <c r="F841" s="5" t="n">
        <v>60917</v>
      </c>
      <c r="G841" s="16" t="n"/>
      <c r="H841" s="18" t="inlineStr">
        <is>
          <t>PROYECTADO</t>
        </is>
      </c>
      <c r="I841" s="4" t="inlineStr">
        <is>
          <t>BBVA VISA · proyectado</t>
        </is>
      </c>
      <c r="J841" s="4" t="inlineStr">
        <is>
          <t>BBVA</t>
        </is>
      </c>
      <c r="K841" s="4" t="inlineStr">
        <is>
          <t>PROYECTADO · C.12/12 · cashflow cuotas BBVA · gasto personal Sol</t>
        </is>
      </c>
      <c r="L841" s="4" t="n">
        <v>610</v>
      </c>
    </row>
    <row r="842">
      <c r="A842" s="15" t="n">
        <v>46505</v>
      </c>
      <c r="B842" s="4" t="inlineStr">
        <is>
          <t>2027-04</t>
        </is>
      </c>
      <c r="C842" s="4" t="inlineStr">
        <is>
          <t>Abril 2027</t>
        </is>
      </c>
      <c r="D842" s="4" t="inlineStr">
        <is>
          <t>ROPA</t>
        </is>
      </c>
      <c r="E842" s="4" t="inlineStr">
        <is>
          <t>ROPA</t>
        </is>
      </c>
      <c r="F842" s="5" t="n">
        <v>69750</v>
      </c>
      <c r="G842" s="16" t="n"/>
      <c r="H842" s="18" t="inlineStr">
        <is>
          <t>PROYECTADO</t>
        </is>
      </c>
      <c r="I842" s="4" t="inlineStr">
        <is>
          <t>BBVA VISA · proyectado</t>
        </is>
      </c>
      <c r="J842" s="4" t="inlineStr">
        <is>
          <t>BBVA</t>
        </is>
      </c>
      <c r="K842" s="4" t="inlineStr">
        <is>
          <t>PROYECTADO · C.12/12 · cashflow cuotas BBVA · gasto personal Sol</t>
        </is>
      </c>
      <c r="L842" s="4" t="n">
        <v>611</v>
      </c>
    </row>
  </sheetData>
  <autoFilter ref="A1:L8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16149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 · screenshot · REVISAR si Market · dinero en cuenta MP screenshot</t>
        </is>
      </c>
      <c r="K223" s="4" t="n">
        <v>359</v>
      </c>
    </row>
    <row r="224">
      <c r="A224" s="15" t="n">
        <v>46268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PEDIDOS YA · COMIDA · propina</t>
        </is>
      </c>
      <c r="F224" s="5" t="n">
        <v>800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PEDIDOS YA · COMIDA · propina · screenshot · REVISAR si Market · dinero en cuenta MP screenshot</t>
        </is>
      </c>
      <c r="K224" s="4" t="n">
        <v>360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SUPERMERCADO</t>
        </is>
      </c>
      <c r="E225" s="4" t="inlineStr">
        <is>
          <t>SUPERMERCADO · Día</t>
        </is>
      </c>
      <c r="F225" s="5" t="n">
        <v>41139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SUPERMERCADO · Día · BBVA VISA · MERPAGO*SUPERDIA · Gmail Compra aprobada · REVISAR vs settlement</t>
        </is>
      </c>
      <c r="K225" s="4" t="n">
        <v>356</v>
      </c>
    </row>
    <row r="226">
      <c r="A226" s="15" t="n">
        <v>46269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COMIDA · Pescadería Belgrano</t>
        </is>
      </c>
      <c r="F226" s="5" t="n">
        <v>6213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COMIDA · Pescadería Belgrano · Mercado Pago · Gmail Pago aprobado · REVISAR vs settlement</t>
        </is>
      </c>
      <c r="K226" s="4" t="n">
        <v>358</v>
      </c>
    </row>
    <row r="227">
      <c r="A227" s="15" t="n">
        <v>46271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COMIDA · AL PASO</t>
        </is>
      </c>
      <c r="F227" s="5" t="n">
        <v>8700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COMIDA · AL PASO · Mercado Pago · dinero en cuenta MP screenshot</t>
        </is>
      </c>
      <c r="K227" s="4" t="n">
        <v>361</v>
      </c>
    </row>
    <row r="228">
      <c r="A228" s="15" t="n">
        <v>46272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McDonald's</t>
        </is>
      </c>
      <c r="F228" s="5" t="n">
        <v>2040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McDonald's · Mercado Pago · dinero en cuenta MP screenshot</t>
        </is>
      </c>
      <c r="K228" s="4" t="n">
        <v>362</v>
      </c>
    </row>
    <row r="229">
      <c r="A229" s="15" t="n">
        <v>46273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ENTRETENIMIENTO SOCIAL</t>
        </is>
      </c>
      <c r="E229" s="4" t="inlineStr">
        <is>
          <t>ENTRETENIMIENTO · Social</t>
        </is>
      </c>
      <c r="F229" s="5" t="n">
        <v>8248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ENTRETENIMIENTO · Social · la monumental · Mercado Pago · dinero en cuenta MP screenshot</t>
        </is>
      </c>
      <c r="K229" s="4" t="n">
        <v>363</v>
      </c>
    </row>
    <row r="230">
      <c r="A230" s="15" t="n">
        <v>46273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REPUESTOS</t>
        </is>
      </c>
      <c r="E230" s="4" t="inlineStr">
        <is>
          <t>REPUESTOS · Sodastream</t>
        </is>
      </c>
      <c r="F230" s="5" t="n">
        <v>88659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REPUESTOS · Sodastream · Mercado Pago · Gmail Pago aprobado · REVISAR vs settlement</t>
        </is>
      </c>
      <c r="K230" s="4" t="n">
        <v>357</v>
      </c>
    </row>
    <row r="231">
      <c r="A231" s="15" t="n">
        <v>46274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PEDIDOS YA · COMIDA</t>
        </is>
      </c>
      <c r="F231" s="5" t="n">
        <v>39819</v>
      </c>
      <c r="G231" s="16" t="n"/>
      <c r="H231" s="4" t="inlineStr">
        <is>
          <t>REAL</t>
        </is>
      </c>
      <c r="I231" s="4" t="inlineStr">
        <is>
          <t>Sin identificar</t>
        </is>
      </c>
      <c r="J231" s="4" t="inlineStr">
        <is>
          <t>PEDIDOS YA · COMIDA · screenshot · REVISAR si Market · dinero en cuenta MP screenshot</t>
        </is>
      </c>
      <c r="K231" s="4" t="n">
        <v>364</v>
      </c>
    </row>
    <row r="232">
      <c r="A232" s="15" t="n">
        <v>46274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COMIDA</t>
        </is>
      </c>
      <c r="E232" s="4" t="inlineStr">
        <is>
          <t>PEDIDOS YA · COMIDA · propina</t>
        </is>
      </c>
      <c r="F232" s="5" t="n">
        <v>900</v>
      </c>
      <c r="G232" s="16" t="n"/>
      <c r="H232" s="4" t="inlineStr">
        <is>
          <t>REAL</t>
        </is>
      </c>
      <c r="I232" s="4" t="inlineStr">
        <is>
          <t>Sin identificar</t>
        </is>
      </c>
      <c r="J232" s="4" t="inlineStr">
        <is>
          <t>PEDIDOS YA · COMIDA · propina · screenshot · REVISAR si Market · dinero en cuenta MP screenshot</t>
        </is>
      </c>
      <c r="K232" s="4" t="n">
        <v>365</v>
      </c>
    </row>
    <row r="233">
      <c r="A233" s="15" t="n">
        <v>46277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COMIDA · McDonald's</t>
        </is>
      </c>
      <c r="F233" s="5" t="n">
        <v>8010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COMIDA · McDonald's · Mercado Pago · dinero en cuenta MP screenshot</t>
        </is>
      </c>
      <c r="K233" s="4" t="n">
        <v>367</v>
      </c>
    </row>
    <row r="234">
      <c r="A234" s="15" t="n">
        <v>46277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</t>
        </is>
      </c>
      <c r="F234" s="5" t="n">
        <v>38099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screenshot · REVISAR si Market · dinero en cuenta MP screenshot</t>
        </is>
      </c>
      <c r="K234" s="4" t="n">
        <v>366</v>
      </c>
    </row>
    <row r="235">
      <c r="A235" s="15" t="n">
        <v>46278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COMIDA · VERDULERÍA</t>
        </is>
      </c>
      <c r="F235" s="5" t="n">
        <v>5900</v>
      </c>
      <c r="G235" s="16" t="n"/>
      <c r="H235" s="4" t="inlineStr">
        <is>
          <t>REAL</t>
        </is>
      </c>
      <c r="I235" s="4" t="inlineStr">
        <is>
          <t>Mercado Pago</t>
        </is>
      </c>
      <c r="J235" s="4" t="inlineStr">
        <is>
          <t>COMIDA · VERDULERÍA · Noelia Caballero · Mercado Pago · dinero en cuenta MP screenshot</t>
        </is>
      </c>
      <c r="K235" s="4" t="n">
        <v>368</v>
      </c>
    </row>
    <row r="236">
      <c r="A236" s="15" t="n">
        <v>46280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CASAARISTOBULO017</t>
        </is>
      </c>
      <c r="F236" s="5" t="n">
        <v>43667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CASAARISTOBULO017 · QR · Mercado Pago · dinero en cuenta MP screenshot</t>
        </is>
      </c>
      <c r="K236" s="4" t="n">
        <v>371</v>
      </c>
    </row>
    <row r="237">
      <c r="A237" s="15" t="n">
        <v>46280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PEDIDOS YA · COMIDA</t>
        </is>
      </c>
      <c r="F237" s="5" t="n">
        <v>26019</v>
      </c>
      <c r="G237" s="16" t="n"/>
      <c r="H237" s="4" t="inlineStr">
        <is>
          <t>REAL</t>
        </is>
      </c>
      <c r="I237" s="4" t="inlineStr">
        <is>
          <t>Sin identificar</t>
        </is>
      </c>
      <c r="J237" s="4" t="inlineStr">
        <is>
          <t>PEDIDOS YA · COMIDA · screenshot · REVISAR si Market · dinero en cuenta MP screenshot</t>
        </is>
      </c>
      <c r="K237" s="4" t="n">
        <v>369</v>
      </c>
    </row>
    <row r="238">
      <c r="A238" s="15" t="n">
        <v>46280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PEDIDOS YA · COMIDA · propina</t>
        </is>
      </c>
      <c r="F238" s="5" t="n">
        <v>1050</v>
      </c>
      <c r="G238" s="16" t="n"/>
      <c r="H238" s="4" t="inlineStr">
        <is>
          <t>REAL</t>
        </is>
      </c>
      <c r="I238" s="4" t="inlineStr">
        <is>
          <t>Sin identificar</t>
        </is>
      </c>
      <c r="J238" s="4" t="inlineStr">
        <is>
          <t>PEDIDOS YA · COMIDA · propina · screenshot · REVISAR si Market · dinero en cuenta MP screenshot</t>
        </is>
      </c>
      <c r="K238" s="4" t="n">
        <v>370</v>
      </c>
    </row>
    <row r="239">
      <c r="A239" s="15" t="n">
        <v>46282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McDonald's</t>
        </is>
      </c>
      <c r="F239" s="5" t="n">
        <v>1900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McDonald's · Mercado Pago · dinero en cuenta MP screenshot</t>
        </is>
      </c>
      <c r="K239" s="4" t="n">
        <v>372</v>
      </c>
    </row>
    <row r="240">
      <c r="A240" s="15" t="n">
        <v>46284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ENTRETENIMIENTO SOCIAL</t>
        </is>
      </c>
      <c r="E240" s="4" t="inlineStr">
        <is>
          <t>ENTRETENIMIENTO · Social</t>
        </is>
      </c>
      <c r="F240" s="5" t="n">
        <v>33359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ENTRETENIMIENTO · Social · la monumental · Mercado Pago · dinero en cuenta MP screenshot</t>
        </is>
      </c>
      <c r="K240" s="4" t="n">
        <v>373</v>
      </c>
    </row>
    <row r="241">
      <c r="A241" s="15" t="n">
        <v>46288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ENTRETENIMIENTO · SALIDAS COMIDA</t>
        </is>
      </c>
      <c r="E241" s="4" t="inlineStr">
        <is>
          <t>ENTRETENIMIENTO · Salidas comida</t>
        </is>
      </c>
      <c r="F241" s="5" t="n">
        <v>16598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ENTRETENIMIENTO · Salidas comida · Estancia San Francisco Devoto · Mercado Pago · dinero en cuenta MP screenshot</t>
        </is>
      </c>
      <c r="K241" s="4" t="n">
        <v>376</v>
      </c>
    </row>
    <row r="242">
      <c r="A242" s="15" t="n">
        <v>46288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</t>
        </is>
      </c>
      <c r="F242" s="5" t="n">
        <v>23964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screenshot · REVISAR si Market · dinero en cuenta MP screenshot</t>
        </is>
      </c>
      <c r="K242" s="4" t="n">
        <v>374</v>
      </c>
    </row>
    <row r="243">
      <c r="A243" s="15" t="n">
        <v>46288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 · propina</t>
        </is>
      </c>
      <c r="F243" s="5" t="n">
        <v>850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propina · screenshot · REVISAR si Market · dinero en cuenta MP screenshot</t>
        </is>
      </c>
      <c r="K243" s="4" t="n">
        <v>375</v>
      </c>
    </row>
    <row r="244">
      <c r="A244" s="15" t="n">
        <v>46290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RAMON · OTROS</t>
        </is>
      </c>
      <c r="E244" s="4" t="inlineStr">
        <is>
          <t>RAMON · Otros</t>
        </is>
      </c>
      <c r="F244" s="5" t="n">
        <v>47900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RAMON · Otros · Paws Pet Market · Mercado Pago · dinero en cuenta MP screenshot</t>
        </is>
      </c>
      <c r="K244" s="4" t="n">
        <v>377</v>
      </c>
    </row>
    <row r="245">
      <c r="A245" s="15" t="n">
        <v>46292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Open 25</t>
        </is>
      </c>
      <c r="F245" s="5" t="n">
        <v>6700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Open 25 · Mercado Pago · dinero en cuenta MP screenshot</t>
        </is>
      </c>
      <c r="K245" s="4" t="n">
        <v>378</v>
      </c>
    </row>
  </sheetData>
  <autoFilter ref="A1:K2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0.0020895390023252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0.2530485715089507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0.001670397680159824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1875529</v>
      </c>
      <c r="F8" s="20" t="n">
        <v>0.02088001553346713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0.005184453854760324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0.005377174921136716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0.0124695127819734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0.006004534261003996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0.002764368888494192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0.000692464348022161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0.00519904904383198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0.002071915673339362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0.002119697939926357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0.003964603315508165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0.002661278537004076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0.008415590471864244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0.04453146932618399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0.0006252329622069547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0.06728197356436082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11</v>
      </c>
      <c r="E26" s="5" t="n">
        <v>301257</v>
      </c>
      <c r="F26" s="20" t="n">
        <v>0.003353854213699552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0.00939224352425878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0.0329062286711657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0.004440088079238495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0.002252179061171755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0.008936063152481351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0.001577482769410742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54</v>
      </c>
      <c r="E33" s="5" t="n">
        <v>6797015</v>
      </c>
      <c r="F33" s="20" t="n">
        <v>0.07567026624552811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17</v>
      </c>
      <c r="E34" s="5" t="n">
        <v>1809684</v>
      </c>
      <c r="F34" s="20" t="n">
        <v>0.02014697188402148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16</v>
      </c>
      <c r="E35" s="5" t="n">
        <v>1318004</v>
      </c>
      <c r="F35" s="20" t="n">
        <v>0.01467316367444695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0.02292727190566712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0.0001436139885769434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0.03027471942140618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0.001767342688882927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1039132</v>
      </c>
      <c r="F41" s="20" t="n">
        <v>0.01156851869596405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0.00730976275982178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0.01080160886409584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16</v>
      </c>
      <c r="E44" s="5" t="n">
        <v>5901985</v>
      </c>
      <c r="F44" s="20" t="n">
        <v>0.06570601599777449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749</v>
      </c>
      <c r="C7" s="4" t="inlineStr">
        <is>
          <t>ARS 86,869,985</t>
        </is>
      </c>
    </row>
    <row r="8">
      <c r="A8" s="4" t="inlineStr">
        <is>
          <t>Movimientos Almacén Sol</t>
        </is>
      </c>
      <c r="B8" s="4" t="n">
        <v>244</v>
      </c>
      <c r="C8" s="4" t="inlineStr">
        <is>
          <t>ARS 8,701,471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2026-10-04T15:47:26Z</dcterms:created>
  <dcterms:modified xsi:type="dcterms:W3CDTF">2026-10-04T15:47:26Z</dcterms:modified>
</cp:coreProperties>
</file>
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Sol'!$A$1:$O$902</definedName>
    <definedName name="_xlnm._FilterDatabase" localSheetId="2" hidden="1">'Gastos Personales'!$A$1:$L$773</definedName>
    <definedName name="_xlnm._FilterDatabase" localSheetId="3" hidden="1">'Almacén Sol'!$A$1:$K$222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2" headerRowCount="1">
  <autoFilter ref="A1:O902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3" headerRowCount="1">
  <autoFilter ref="A1:L773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2" headerRowCount="1">
  <autoFilter ref="A1:K222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76809957</v>
      </c>
      <c r="C5" s="4" t="inlineStr">
        <is>
          <t>666 movimientos</t>
        </is>
      </c>
    </row>
    <row r="6">
      <c r="A6" s="4" t="inlineStr">
        <is>
          <t>Almacén Sol real 2026</t>
        </is>
      </c>
      <c r="B6" s="5" t="n">
        <v>8234788</v>
      </c>
      <c r="C6" s="4" t="inlineStr">
        <is>
          <t>221 movimientos</t>
        </is>
      </c>
    </row>
    <row r="7">
      <c r="A7" s="6" t="inlineStr">
        <is>
          <t>Total real Sol 2026</t>
        </is>
      </c>
      <c r="B7" s="7" t="n">
        <v>85044745</v>
      </c>
      <c r="C7" s="4" t="inlineStr">
        <is>
          <t>887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27813992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3089261</v>
      </c>
      <c r="C22" s="5" t="n">
        <v>0</v>
      </c>
      <c r="D22" s="5" t="n">
        <v>3089261</v>
      </c>
      <c r="E22" s="5" t="n">
        <v>1608575</v>
      </c>
      <c r="F22" s="5" t="n">
        <v>4697836</v>
      </c>
    </row>
    <row r="23">
      <c r="A23" s="4" t="inlineStr">
        <is>
          <t>Septiembre</t>
        </is>
      </c>
      <c r="B23" s="5" t="n">
        <v>0</v>
      </c>
      <c r="C23" s="5" t="n">
        <v>0</v>
      </c>
      <c r="D23" s="5" t="n">
        <v>0</v>
      </c>
      <c r="E23" s="5" t="n">
        <v>1608575</v>
      </c>
      <c r="F23" s="5" t="n">
        <v>1608575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766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820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772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773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771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790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353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791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613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762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647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648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650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655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651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654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649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653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792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509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485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510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825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511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793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359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360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361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794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362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363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512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795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364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810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513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780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486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514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515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365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516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782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783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796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616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619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614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617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615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618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484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367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366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500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501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368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369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767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370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371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372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373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786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797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374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774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785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798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375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376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354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746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377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378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380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379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381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784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799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809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382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383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384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656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657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659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663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665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666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667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668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660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669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662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658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664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661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385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386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821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502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800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503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504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387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388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505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763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506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507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801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508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389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390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391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811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622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620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621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392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393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492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775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493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494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495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496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355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497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394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395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396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673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670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672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674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671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397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398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781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399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400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498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499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401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770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402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403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404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406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407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408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409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405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747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410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352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748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822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625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628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623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626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624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627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802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412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411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768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413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414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776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803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764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416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415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812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356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804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417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418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749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421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419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420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685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682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686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687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695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693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694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680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681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683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684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688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689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690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676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691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678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679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826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827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677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675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422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423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424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425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426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427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428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429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813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750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751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752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430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787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805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490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431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432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433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434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435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753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436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437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339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814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438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439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440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631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636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629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632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633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630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634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635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777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340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441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442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443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444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357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445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446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769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447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341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342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754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448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449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702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709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703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704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711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712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714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699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700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701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705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706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707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713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697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708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710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698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450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451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452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696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755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488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453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454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455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815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343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344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345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489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456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457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458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459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823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518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460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461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346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347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464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462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463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637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640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638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639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491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517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465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466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778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806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336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348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337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358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725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727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730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720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731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717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718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719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721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722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723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726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715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724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716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728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729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828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520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467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487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756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757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788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789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349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350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468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469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816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519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470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471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351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759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779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472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473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824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641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646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642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643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644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645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475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474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476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807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817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818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477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760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761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736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738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739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744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740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742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732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733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734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735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737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745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743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829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741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808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478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819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765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479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480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481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482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483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46239</v>
      </c>
      <c r="C902" s="4" t="inlineStr">
        <is>
          <t>2026-08</t>
        </is>
      </c>
      <c r="D902" s="4" t="inlineStr">
        <is>
          <t>Agosto</t>
        </is>
      </c>
      <c r="E902" s="4" t="inlineStr">
        <is>
          <t>GASTO PERSONAL</t>
        </is>
      </c>
      <c r="F902" s="4" t="inlineStr">
        <is>
          <t>AVA FIDEICOMISO</t>
        </is>
      </c>
      <c r="G902" s="4" t="inlineStr">
        <is>
          <t>AVA FIDEICOMISO</t>
        </is>
      </c>
      <c r="H902" s="5" t="n">
        <v>3089261</v>
      </c>
      <c r="I902" s="16" t="n"/>
      <c r="J902" s="4" t="inlineStr">
        <is>
          <t>REAL</t>
        </is>
      </c>
      <c r="K902" s="4" t="inlineStr">
        <is>
          <t>Mercado Pago / TC MEP</t>
        </is>
      </c>
      <c r="L902" s="4" t="inlineStr">
        <is>
          <t>Mercado Pago</t>
        </is>
      </c>
      <c r="M902" s="4" t="inlineStr">
        <is>
          <t>50% Sol de $6,178,522 · AVA Palpa (Chris el otro 50%) · ex `AVA Fideicomiso · cuota 10 · agosto 2026` · abonada 2026-08-05 · comprobante Cuota Ava Palpa - Bs As - 202 Y Cochera/S 49 · TC MEP venta 1524.5 (cierre 2026-08-04)</t>
        </is>
      </c>
      <c r="N902" s="4" t="inlineStr">
        <is>
          <t>CIUDAD / Gasto Personal Sol</t>
        </is>
      </c>
      <c r="O902" s="4" t="n">
        <v>335</v>
      </c>
    </row>
  </sheetData>
  <autoFilter ref="A1:O90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766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820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772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773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771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790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353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791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613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762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647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648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650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655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651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654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649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653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792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509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485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510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825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511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793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359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360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361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794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362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363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512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795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364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810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513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780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486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514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515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365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516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782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783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796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616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619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614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617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615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618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484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367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366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500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501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368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369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767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370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371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372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373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786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797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374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774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785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798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375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376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354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746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377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378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380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379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381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784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799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809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382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383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384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656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657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659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663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665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666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667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668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660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669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662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658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664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661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385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386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821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502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800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503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504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387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388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505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763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506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507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801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508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389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390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391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811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622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620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621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392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393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492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775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493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494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495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496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355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497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394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395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396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673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670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672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674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671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397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398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781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399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400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498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499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401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770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402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403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404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406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407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408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409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405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747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410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352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748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822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625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628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623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626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624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627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802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412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411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768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413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414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776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803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764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416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415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812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356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804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417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418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749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421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419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420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685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682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686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687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695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693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694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680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681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683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684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688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689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690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676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691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678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679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826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827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677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675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422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423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424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425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426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427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428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429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813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750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751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752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430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787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805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490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431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432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433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434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435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753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436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437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339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814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438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439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440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631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636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629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632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633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630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634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635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777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340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441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442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443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444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357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445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446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769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447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341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342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754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448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449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702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709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703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704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711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712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714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699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700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701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705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706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707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713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697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708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710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698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450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451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452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696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755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488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453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454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455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815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343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344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345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489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456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457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458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459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823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518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460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461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346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347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464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462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463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637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640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638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639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491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517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465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466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778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806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336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348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337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358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725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727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730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720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731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717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718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719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721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722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723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726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715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724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716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728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729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828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520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467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487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756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757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788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789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349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350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468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469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816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519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470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471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351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521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522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759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779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472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473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824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641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646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642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643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644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645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475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474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476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807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817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818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477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760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761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736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738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739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744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740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742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732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733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734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735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737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745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743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829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741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808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478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819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765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479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480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481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482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483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525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535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528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529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530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523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526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531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532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534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536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537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538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539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527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533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524</v>
      </c>
    </row>
    <row r="700">
      <c r="A700" s="15" t="n">
        <v>46239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AVA FIDEICOMISO</t>
        </is>
      </c>
      <c r="E700" s="4" t="inlineStr">
        <is>
          <t>AVA FIDEICOMISO</t>
        </is>
      </c>
      <c r="F700" s="5" t="n">
        <v>3089261</v>
      </c>
      <c r="G700" s="16" t="n"/>
      <c r="H700" s="4" t="inlineStr">
        <is>
          <t>REAL</t>
        </is>
      </c>
      <c r="I700" s="4" t="inlineStr">
        <is>
          <t>Mercado Pago / TC MEP</t>
        </is>
      </c>
      <c r="J700" s="4" t="inlineStr">
        <is>
          <t>Mercado Pago</t>
        </is>
      </c>
      <c r="K700" s="4" t="inlineStr">
        <is>
          <t>50% Sol de $6,178,522 · AVA Palpa (Chris el otro 50%) · ex `AVA Fideicomiso · cuota 10 · agosto 2026` · abonada 2026-08-05 · comprobante Cuota Ava Palpa - Bs As - 202 Y Cochera/S 49 · TC MEP venta 1524.5 (cierre 2026-08-04)</t>
        </is>
      </c>
      <c r="L700" s="4" t="n">
        <v>335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EVENTOS DEPORTIVOS - RIVER</t>
        </is>
      </c>
      <c r="E701" s="4" t="inlineStr">
        <is>
          <t>Eventos deportivos - River</t>
        </is>
      </c>
      <c r="F701" s="5" t="n">
        <v>169667</v>
      </c>
      <c r="G701" s="16" t="n"/>
      <c r="H701" s="18" t="inlineStr">
        <is>
          <t>PROYECTADO</t>
        </is>
      </c>
      <c r="I701" s="4" t="inlineStr">
        <is>
          <t>BBVA VISA · proyectado</t>
        </is>
      </c>
      <c r="J701" s="4" t="inlineStr">
        <is>
          <t>BBVA</t>
        </is>
      </c>
      <c r="K701" s="4" t="inlineStr">
        <is>
          <t>PROYECTADO · C.02/06 · cashflow cuotas BBVA · gasto personal Sol · Eventos deportivos - River</t>
        </is>
      </c>
      <c r="L701" s="4" t="n">
        <v>555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HOGAR</t>
        </is>
      </c>
      <c r="E702" s="4" t="inlineStr">
        <is>
          <t>HOGAR</t>
        </is>
      </c>
      <c r="F702" s="5" t="n">
        <v>18334</v>
      </c>
      <c r="G702" s="16" t="n"/>
      <c r="H702" s="18" t="inlineStr">
        <is>
          <t>PROYECTADO</t>
        </is>
      </c>
      <c r="I702" s="4" t="inlineStr">
        <is>
          <t>BBVA MASTERCARD · proyectado</t>
        </is>
      </c>
      <c r="J702" s="4" t="inlineStr">
        <is>
          <t>BBVA</t>
        </is>
      </c>
      <c r="K702" s="4" t="inlineStr">
        <is>
          <t>HOGAR · Stanley · PROYECTADO · C.05/06 · cashflow cuotas BBVA · gasto personal Sol</t>
        </is>
      </c>
      <c r="L702" s="4" t="n">
        <v>554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12084</v>
      </c>
      <c r="G703" s="16" t="n"/>
      <c r="H703" s="18" t="inlineStr">
        <is>
          <t>PROYECTADO</t>
        </is>
      </c>
      <c r="I703" s="4" t="inlineStr">
        <is>
          <t>BBVA VISA · proyectado</t>
        </is>
      </c>
      <c r="J703" s="4" t="inlineStr">
        <is>
          <t>BBVA</t>
        </is>
      </c>
      <c r="K703" s="4" t="inlineStr">
        <is>
          <t>PROYECTADO · C.02/06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275000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C.06/12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17360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MERCADO LIBRE</t>
        </is>
      </c>
      <c r="E706" s="4" t="inlineStr">
        <is>
          <t>MERCADO LIBRE</t>
        </is>
      </c>
      <c r="F706" s="5" t="n">
        <v>16950</v>
      </c>
      <c r="G706" s="16" t="n"/>
      <c r="H706" s="18" t="inlineStr">
        <is>
          <t>PROYECTADO</t>
        </is>
      </c>
      <c r="I706" s="4" t="inlineStr">
        <is>
          <t>BBVA MASTERCARD · proyectado</t>
        </is>
      </c>
      <c r="J706" s="4" t="inlineStr">
        <is>
          <t>BBVA</t>
        </is>
      </c>
      <c r="K706" s="4" t="inlineStr">
        <is>
          <t>PROYECTADO · C.07/09 · cashflow cuotas BBVA · gasto personal Sol · ex `Mercado Libre · MERCADOLIBRE`</t>
        </is>
      </c>
      <c r="L706" s="4" t="n">
        <v>548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124667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PROYECTADO · C.04/06 · cashflow cuotas BBVA · gasto personal Sol</t>
        </is>
      </c>
      <c r="L707" s="4" t="n">
        <v>540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31700</v>
      </c>
      <c r="G708" s="16" t="n"/>
      <c r="H708" s="18" t="inlineStr">
        <is>
          <t>PROYECTADO</t>
        </is>
      </c>
      <c r="I708" s="4" t="inlineStr">
        <is>
          <t>BBVA VISA · proyectado</t>
        </is>
      </c>
      <c r="J708" s="4" t="inlineStr">
        <is>
          <t>BBVA</t>
        </is>
      </c>
      <c r="K708" s="4" t="inlineStr">
        <is>
          <t>ROPA · Frivilli · PROYECTADO · C.02/03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80834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PROYECTADO · C.04/06 · cashflow cuotas BBVA · gasto personal Sol</t>
        </is>
      </c>
      <c r="L709" s="4" t="n">
        <v>543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95984</v>
      </c>
      <c r="G710" s="16" t="n"/>
      <c r="H710" s="18" t="inlineStr">
        <is>
          <t>PROYECTADO</t>
        </is>
      </c>
      <c r="I710" s="4" t="inlineStr">
        <is>
          <t>BBVA MASTERCARD · proyectado</t>
        </is>
      </c>
      <c r="J710" s="4" t="inlineStr">
        <is>
          <t>BBVA</t>
        </is>
      </c>
      <c r="K710" s="4" t="inlineStr">
        <is>
          <t>ROPA · Monofuk · PROYECTADO · C.05/06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284794</v>
      </c>
      <c r="G711" s="16" t="n"/>
      <c r="H711" s="18" t="inlineStr">
        <is>
          <t>PROYECTADO</t>
        </is>
      </c>
      <c r="I711" s="4" t="inlineStr">
        <is>
          <t>BBVA VISA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73600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C.02/06 · cashflow cuotas BBVA · gasto personal Sol</t>
        </is>
      </c>
      <c r="L712" s="4" t="n">
        <v>551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36667</v>
      </c>
      <c r="G713" s="16" t="n"/>
      <c r="H713" s="18" t="inlineStr">
        <is>
          <t>PROYECTADO</t>
        </is>
      </c>
      <c r="I713" s="4" t="inlineStr">
        <is>
          <t>BBVA MASTERCARD · proyectado</t>
        </is>
      </c>
      <c r="J713" s="4" t="inlineStr">
        <is>
          <t>BBVA</t>
        </is>
      </c>
      <c r="K713" s="4" t="inlineStr">
        <is>
          <t>PROYECTADO · C.04/06 · cashflow cuotas BBVA · gasto personal Sol</t>
        </is>
      </c>
      <c r="L713" s="4" t="n">
        <v>553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60917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ROPA</t>
        </is>
      </c>
      <c r="E715" s="4" t="inlineStr">
        <is>
          <t>ROPA</t>
        </is>
      </c>
      <c r="F715" s="5" t="n">
        <v>69750</v>
      </c>
      <c r="G715" s="16" t="n"/>
      <c r="H715" s="18" t="inlineStr">
        <is>
          <t>PROYECTADO</t>
        </is>
      </c>
      <c r="I715" s="4" t="inlineStr">
        <is>
          <t>BBVA VISA · proyectado</t>
        </is>
      </c>
      <c r="J715" s="4" t="inlineStr">
        <is>
          <t>BBVA</t>
        </is>
      </c>
      <c r="K715" s="4" t="inlineStr">
        <is>
          <t>PROYECTADO · C.04/12 · cashflow cuotas BBVA · gasto personal Sol</t>
        </is>
      </c>
      <c r="L715" s="4" t="n">
        <v>557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</t>
        </is>
      </c>
      <c r="E716" s="4" t="inlineStr">
        <is>
          <t>SALUD</t>
        </is>
      </c>
      <c r="F716" s="5" t="n">
        <v>54033</v>
      </c>
      <c r="G716" s="16" t="n"/>
      <c r="H716" s="18" t="inlineStr">
        <is>
          <t>PROYECTADO</t>
        </is>
      </c>
      <c r="I716" s="4" t="inlineStr">
        <is>
          <t>BBVA MASTERCARD · proyectado</t>
        </is>
      </c>
      <c r="J716" s="4" t="inlineStr">
        <is>
          <t>BBVA</t>
        </is>
      </c>
      <c r="K716" s="4" t="inlineStr">
        <is>
          <t>SALUD · Laboratorio · PROYECTADO · C.05/06 · cashflow cuotas BBVA · gasto personal Sol</t>
        </is>
      </c>
      <c r="L716" s="4" t="n">
        <v>544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SALUD · Vitaminas</t>
        </is>
      </c>
      <c r="E717" s="4" t="inlineStr">
        <is>
          <t>SALUD · Vitaminas</t>
        </is>
      </c>
      <c r="F717" s="5" t="n">
        <v>87900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PROYECTADO · SALUD · Vitaminas · Promarine · BBVA · C.05/06 · gasto personal Sol</t>
        </is>
      </c>
      <c r="L717" s="4" t="n">
        <v>552</v>
      </c>
    </row>
    <row r="718">
      <c r="A718" s="15" t="n">
        <v>46262</v>
      </c>
      <c r="B718" s="4" t="inlineStr">
        <is>
          <t>2026-08</t>
        </is>
      </c>
      <c r="C718" s="4" t="inlineStr">
        <is>
          <t>Agosto</t>
        </is>
      </c>
      <c r="D718" s="4" t="inlineStr">
        <is>
          <t>ROPA</t>
        </is>
      </c>
      <c r="E718" s="4" t="inlineStr">
        <is>
          <t>VESTIMENTA</t>
        </is>
      </c>
      <c r="F718" s="5" t="n">
        <v>98334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ROPA · Bokenvoreno · PROYECTADO · C.04/06 · cashflow cuotas BBVA · gasto personal Sol</t>
        </is>
      </c>
      <c r="L718" s="4" t="n">
        <v>541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EVENTOS DEPORTIVOS - RIVER</t>
        </is>
      </c>
      <c r="E719" s="4" t="inlineStr">
        <is>
          <t>Eventos deportivos - River</t>
        </is>
      </c>
      <c r="F719" s="5" t="n">
        <v>169667</v>
      </c>
      <c r="G719" s="16" t="n"/>
      <c r="H719" s="18" t="inlineStr">
        <is>
          <t>PROYECTADO</t>
        </is>
      </c>
      <c r="I719" s="4" t="inlineStr">
        <is>
          <t>BBVA VISA · proyectado</t>
        </is>
      </c>
      <c r="J719" s="4" t="inlineStr">
        <is>
          <t>BBVA</t>
        </is>
      </c>
      <c r="K719" s="4" t="inlineStr">
        <is>
          <t>PROYECTADO · C.03/06 · cashflow cuotas BBVA · gasto personal Sol · Eventos deportivos - River</t>
        </is>
      </c>
      <c r="L719" s="4" t="n">
        <v>573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HOGAR</t>
        </is>
      </c>
      <c r="E720" s="4" t="inlineStr">
        <is>
          <t>HOGAR</t>
        </is>
      </c>
      <c r="F720" s="5" t="n">
        <v>18334</v>
      </c>
      <c r="G720" s="16" t="n"/>
      <c r="H720" s="18" t="inlineStr">
        <is>
          <t>PROYECTADO</t>
        </is>
      </c>
      <c r="I720" s="4" t="inlineStr">
        <is>
          <t>BBVA MASTERCARD · proyectado</t>
        </is>
      </c>
      <c r="J720" s="4" t="inlineStr">
        <is>
          <t>BBVA</t>
        </is>
      </c>
      <c r="K720" s="4" t="inlineStr">
        <is>
          <t>HOGAR · Stanley · PROYECTADO · C.06/06 · cashflow cuotas BBVA · gasto personal Sol</t>
        </is>
      </c>
      <c r="L720" s="4" t="n">
        <v>572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12084</v>
      </c>
      <c r="G721" s="16" t="n"/>
      <c r="H721" s="18" t="inlineStr">
        <is>
          <t>PROYECTADO</t>
        </is>
      </c>
      <c r="I721" s="4" t="inlineStr">
        <is>
          <t>BBVA VISA · proyectado</t>
        </is>
      </c>
      <c r="J721" s="4" t="inlineStr">
        <is>
          <t>BBVA</t>
        </is>
      </c>
      <c r="K721" s="4" t="inlineStr">
        <is>
          <t>PROYECTADO · C.03/06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275000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C.07/12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17360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MERCADO LIBRE</t>
        </is>
      </c>
      <c r="E724" s="4" t="inlineStr">
        <is>
          <t>MERCADO LIBRE</t>
        </is>
      </c>
      <c r="F724" s="5" t="n">
        <v>16950</v>
      </c>
      <c r="G724" s="16" t="n"/>
      <c r="H724" s="18" t="inlineStr">
        <is>
          <t>PROYECTADO</t>
        </is>
      </c>
      <c r="I724" s="4" t="inlineStr">
        <is>
          <t>BBVA MASTERCARD · proyectado</t>
        </is>
      </c>
      <c r="J724" s="4" t="inlineStr">
        <is>
          <t>BBVA</t>
        </is>
      </c>
      <c r="K724" s="4" t="inlineStr">
        <is>
          <t>PROYECTADO · C.08/09 · cashflow cuotas BBVA · gasto personal Sol · ex `Mercado Libre · MERCADOLIBRE`</t>
        </is>
      </c>
      <c r="L724" s="4" t="n">
        <v>566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124667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PROYECTADO · C.05/06 · cashflow cuotas BBVA · gasto personal Sol</t>
        </is>
      </c>
      <c r="L725" s="4" t="n">
        <v>558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31700</v>
      </c>
      <c r="G726" s="16" t="n"/>
      <c r="H726" s="18" t="inlineStr">
        <is>
          <t>PROYECTADO</t>
        </is>
      </c>
      <c r="I726" s="4" t="inlineStr">
        <is>
          <t>BBVA VISA · proyectado</t>
        </is>
      </c>
      <c r="J726" s="4" t="inlineStr">
        <is>
          <t>BBVA</t>
        </is>
      </c>
      <c r="K726" s="4" t="inlineStr">
        <is>
          <t>ROPA · Frivilli · PROYECTADO · C.03/03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80834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PROYECTADO · C.05/06 · cashflow cuotas BBVA · gasto personal Sol</t>
        </is>
      </c>
      <c r="L727" s="4" t="n">
        <v>561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95984</v>
      </c>
      <c r="G728" s="16" t="n"/>
      <c r="H728" s="18" t="inlineStr">
        <is>
          <t>PROYECTADO</t>
        </is>
      </c>
      <c r="I728" s="4" t="inlineStr">
        <is>
          <t>BBVA MASTERCARD · proyectado</t>
        </is>
      </c>
      <c r="J728" s="4" t="inlineStr">
        <is>
          <t>BBVA</t>
        </is>
      </c>
      <c r="K728" s="4" t="inlineStr">
        <is>
          <t>ROPA · Monofuk · PROYECTADO · C.06/06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284794</v>
      </c>
      <c r="G729" s="16" t="n"/>
      <c r="H729" s="18" t="inlineStr">
        <is>
          <t>PROYECTADO</t>
        </is>
      </c>
      <c r="I729" s="4" t="inlineStr">
        <is>
          <t>BBVA VISA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73600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C.03/06 · cashflow cuotas BBVA · gasto personal Sol</t>
        </is>
      </c>
      <c r="L730" s="4" t="n">
        <v>569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36667</v>
      </c>
      <c r="G731" s="16" t="n"/>
      <c r="H731" s="18" t="inlineStr">
        <is>
          <t>PROYECTADO</t>
        </is>
      </c>
      <c r="I731" s="4" t="inlineStr">
        <is>
          <t>BBVA MASTERCARD · proyectado</t>
        </is>
      </c>
      <c r="J731" s="4" t="inlineStr">
        <is>
          <t>BBVA</t>
        </is>
      </c>
      <c r="K731" s="4" t="inlineStr">
        <is>
          <t>PROYECTADO · C.05/06 · cashflow cuotas BBVA · gasto personal Sol</t>
        </is>
      </c>
      <c r="L731" s="4" t="n">
        <v>571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60917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ROPA</t>
        </is>
      </c>
      <c r="E733" s="4" t="inlineStr">
        <is>
          <t>ROPA</t>
        </is>
      </c>
      <c r="F733" s="5" t="n">
        <v>69750</v>
      </c>
      <c r="G733" s="16" t="n"/>
      <c r="H733" s="18" t="inlineStr">
        <is>
          <t>PROYECTADO</t>
        </is>
      </c>
      <c r="I733" s="4" t="inlineStr">
        <is>
          <t>BBVA VISA · proyectado</t>
        </is>
      </c>
      <c r="J733" s="4" t="inlineStr">
        <is>
          <t>BBVA</t>
        </is>
      </c>
      <c r="K733" s="4" t="inlineStr">
        <is>
          <t>PROYECTADO · C.05/12 · cashflow cuotas BBVA · gasto personal Sol</t>
        </is>
      </c>
      <c r="L733" s="4" t="n">
        <v>575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</t>
        </is>
      </c>
      <c r="E734" s="4" t="inlineStr">
        <is>
          <t>SALUD</t>
        </is>
      </c>
      <c r="F734" s="5" t="n">
        <v>54033</v>
      </c>
      <c r="G734" s="16" t="n"/>
      <c r="H734" s="18" t="inlineStr">
        <is>
          <t>PROYECTADO</t>
        </is>
      </c>
      <c r="I734" s="4" t="inlineStr">
        <is>
          <t>BBVA MASTERCARD · proyectado</t>
        </is>
      </c>
      <c r="J734" s="4" t="inlineStr">
        <is>
          <t>BBVA</t>
        </is>
      </c>
      <c r="K734" s="4" t="inlineStr">
        <is>
          <t>SALUD · Laboratorio · PROYECTADO · C.06/06 · cashflow cuotas BBVA · gasto personal Sol</t>
        </is>
      </c>
      <c r="L734" s="4" t="n">
        <v>562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SALUD · Vitaminas</t>
        </is>
      </c>
      <c r="E735" s="4" t="inlineStr">
        <is>
          <t>SALUD · Vitaminas</t>
        </is>
      </c>
      <c r="F735" s="5" t="n">
        <v>87900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PROYECTADO · SALUD · Vitaminas · Promarine · BBVA · C.06/06 · gasto personal Sol</t>
        </is>
      </c>
      <c r="L735" s="4" t="n">
        <v>570</v>
      </c>
    </row>
    <row r="736">
      <c r="A736" s="15" t="n">
        <v>46293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ROPA</t>
        </is>
      </c>
      <c r="E736" s="4" t="inlineStr">
        <is>
          <t>VESTIMENTA</t>
        </is>
      </c>
      <c r="F736" s="5" t="n">
        <v>98334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ROPA · Bokenvoreno · PROYECTADO · C.05/06 · cashflow cuotas BBVA · gasto personal Sol</t>
        </is>
      </c>
      <c r="L736" s="4" t="n">
        <v>559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EVENTOS DEPORTIVOS - RIVER</t>
        </is>
      </c>
      <c r="E737" s="4" t="inlineStr">
        <is>
          <t>Eventos deportivos - River</t>
        </is>
      </c>
      <c r="F737" s="5" t="n">
        <v>169667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Eventos deportivos - River</t>
        </is>
      </c>
      <c r="L737" s="4" t="n">
        <v>586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12084</v>
      </c>
      <c r="G738" s="16" t="n"/>
      <c r="H738" s="18" t="inlineStr">
        <is>
          <t>PROYECTADO</t>
        </is>
      </c>
      <c r="I738" s="4" t="inlineStr">
        <is>
          <t>BBVA VISA · proyectado</t>
        </is>
      </c>
      <c r="J738" s="4" t="inlineStr">
        <is>
          <t>BBVA</t>
        </is>
      </c>
      <c r="K738" s="4" t="inlineStr">
        <is>
          <t>PROYECTADO · C.04/06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275000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C.08/12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17360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MERCADO LIBRE</t>
        </is>
      </c>
      <c r="E741" s="4" t="inlineStr">
        <is>
          <t>MERCADO LIBRE</t>
        </is>
      </c>
      <c r="F741" s="5" t="n">
        <v>16950</v>
      </c>
      <c r="G741" s="16" t="n"/>
      <c r="H741" s="18" t="inlineStr">
        <is>
          <t>PROYECTADO</t>
        </is>
      </c>
      <c r="I741" s="4" t="inlineStr">
        <is>
          <t>BBVA MASTERCARD · proyectado</t>
        </is>
      </c>
      <c r="J741" s="4" t="inlineStr">
        <is>
          <t>BBVA</t>
        </is>
      </c>
      <c r="K741" s="4" t="inlineStr">
        <is>
          <t>PROYECTADO · C.09/09 · cashflow cuotas BBVA · gasto personal Sol · ex `Mercado Libre · MERCADOLIBRE`</t>
        </is>
      </c>
      <c r="L741" s="4" t="n">
        <v>582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124667</v>
      </c>
      <c r="G742" s="16" t="n"/>
      <c r="H742" s="18" t="inlineStr">
        <is>
          <t>PROYECTADO</t>
        </is>
      </c>
      <c r="I742" s="4" t="inlineStr">
        <is>
          <t>BBVA VISA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576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80834</v>
      </c>
      <c r="G743" s="16" t="n"/>
      <c r="H743" s="18" t="inlineStr">
        <is>
          <t>PROYECTADO</t>
        </is>
      </c>
      <c r="I743" s="4" t="inlineStr">
        <is>
          <t>BBVA MASTERCARD · proyectado</t>
        </is>
      </c>
      <c r="J743" s="4" t="inlineStr">
        <is>
          <t>BBVA</t>
        </is>
      </c>
      <c r="K743" s="4" t="inlineStr">
        <is>
          <t>PROYECTADO · C.06/06 · cashflow cuotas BBVA · gasto personal Sol</t>
        </is>
      </c>
      <c r="L743" s="4" t="n">
        <v>578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284794</v>
      </c>
      <c r="G744" s="16" t="n"/>
      <c r="H744" s="18" t="inlineStr">
        <is>
          <t>PROYECTADO</t>
        </is>
      </c>
      <c r="I744" s="4" t="inlineStr">
        <is>
          <t>BBVA VISA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73600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C.04/06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36667</v>
      </c>
      <c r="G746" s="16" t="n"/>
      <c r="H746" s="18" t="inlineStr">
        <is>
          <t>PROYECTADO</t>
        </is>
      </c>
      <c r="I746" s="4" t="inlineStr">
        <is>
          <t>BBVA MASTERCARD · proyectado</t>
        </is>
      </c>
      <c r="J746" s="4" t="inlineStr">
        <is>
          <t>BBVA</t>
        </is>
      </c>
      <c r="K746" s="4" t="inlineStr">
        <is>
          <t>PROYECTADO · C.06/06 · cashflow cuotas BBVA · gasto personal Sol</t>
        </is>
      </c>
      <c r="L746" s="4" t="n">
        <v>585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60917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ROPA</t>
        </is>
      </c>
      <c r="F748" s="5" t="n">
        <v>69750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PROYECTADO · C.06/12 · cashflow cuotas BBVA · gasto personal Sol</t>
        </is>
      </c>
      <c r="L748" s="4" t="n">
        <v>588</v>
      </c>
    </row>
    <row r="749">
      <c r="A749" s="15" t="n">
        <v>46323</v>
      </c>
      <c r="B749" s="4" t="inlineStr">
        <is>
          <t>2026-10</t>
        </is>
      </c>
      <c r="C749" s="4" t="inlineStr">
        <is>
          <t>Octubre</t>
        </is>
      </c>
      <c r="D749" s="4" t="inlineStr">
        <is>
          <t>ROPA</t>
        </is>
      </c>
      <c r="E749" s="4" t="inlineStr">
        <is>
          <t>VESTIMENTA</t>
        </is>
      </c>
      <c r="F749" s="5" t="n">
        <v>98334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ROPA · Bokenvoreno · PROYECTADO · C.06/06 · cashflow cuotas BBVA · gasto personal Sol</t>
        </is>
      </c>
      <c r="L749" s="4" t="n">
        <v>577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EVENTOS DEPORTIVOS - RIVER</t>
        </is>
      </c>
      <c r="E750" s="4" t="inlineStr">
        <is>
          <t>Eventos deportivos - River</t>
        </is>
      </c>
      <c r="F750" s="5" t="n">
        <v>169667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Eventos deportivos - River</t>
        </is>
      </c>
      <c r="L750" s="4" t="n">
        <v>593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12084</v>
      </c>
      <c r="G751" s="16" t="n"/>
      <c r="H751" s="18" t="inlineStr">
        <is>
          <t>PROYECTADO</t>
        </is>
      </c>
      <c r="I751" s="4" t="inlineStr">
        <is>
          <t>BBVA VISA · proyectado</t>
        </is>
      </c>
      <c r="J751" s="4" t="inlineStr">
        <is>
          <t>BBVA</t>
        </is>
      </c>
      <c r="K751" s="4" t="inlineStr">
        <is>
          <t>PROYECTADO · C.05/06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MERCADO LIBRE</t>
        </is>
      </c>
      <c r="E752" s="4" t="inlineStr">
        <is>
          <t>MERCADO LIBRE</t>
        </is>
      </c>
      <c r="F752" s="5" t="n">
        <v>275000</v>
      </c>
      <c r="G752" s="16" t="n"/>
      <c r="H752" s="18" t="inlineStr">
        <is>
          <t>PROYECTADO</t>
        </is>
      </c>
      <c r="I752" s="4" t="inlineStr">
        <is>
          <t>BBVA MASTERCARD · proyectado</t>
        </is>
      </c>
      <c r="J752" s="4" t="inlineStr">
        <is>
          <t>BBVA</t>
        </is>
      </c>
      <c r="K752" s="4" t="inlineStr">
        <is>
          <t>PROYECTADO · C.09/12 · cashflow cuotas BBVA · gasto personal Sol · ex `Mercado Libre · MERCADOLIBRE`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284794</v>
      </c>
      <c r="G753" s="16" t="n"/>
      <c r="H753" s="18" t="inlineStr">
        <is>
          <t>PROYECTADO</t>
        </is>
      </c>
      <c r="I753" s="4" t="inlineStr">
        <is>
          <t>BBVA VISA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73600</v>
      </c>
      <c r="G754" s="16" t="n"/>
      <c r="H754" s="18" t="inlineStr">
        <is>
          <t>PROYECTADO</t>
        </is>
      </c>
      <c r="I754" s="4" t="inlineStr">
        <is>
          <t>BBVA MASTERCARD · proyectado</t>
        </is>
      </c>
      <c r="J754" s="4" t="inlineStr">
        <is>
          <t>BBVA</t>
        </is>
      </c>
      <c r="K754" s="4" t="inlineStr">
        <is>
          <t>PROYECTADO · C.05/06 · cashflow cuotas BBVA · gasto personal Sol</t>
        </is>
      </c>
      <c r="L754" s="4" t="n">
        <v>592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60917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46354</v>
      </c>
      <c r="B756" s="4" t="inlineStr">
        <is>
          <t>2026-11</t>
        </is>
      </c>
      <c r="C756" s="4" t="inlineStr">
        <is>
          <t>Noviembre</t>
        </is>
      </c>
      <c r="D756" s="4" t="inlineStr">
        <is>
          <t>ROPA</t>
        </is>
      </c>
      <c r="E756" s="4" t="inlineStr">
        <is>
          <t>ROPA</t>
        </is>
      </c>
      <c r="F756" s="5" t="n">
        <v>69750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C.07/12 · cashflow cuotas BBVA · gasto personal Sol</t>
        </is>
      </c>
      <c r="L756" s="4" t="n">
        <v>595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EVENTOS DEPORTIVOS - RIVER</t>
        </is>
      </c>
      <c r="E757" s="4" t="inlineStr">
        <is>
          <t>Eventos deportivos - River</t>
        </is>
      </c>
      <c r="F757" s="5" t="n">
        <v>169667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Eventos deportivos - River</t>
        </is>
      </c>
      <c r="L757" s="4" t="n">
        <v>600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12084</v>
      </c>
      <c r="G758" s="16" t="n"/>
      <c r="H758" s="18" t="inlineStr">
        <is>
          <t>PROYECTADO</t>
        </is>
      </c>
      <c r="I758" s="4" t="inlineStr">
        <is>
          <t>BBVA VISA · proyectado</t>
        </is>
      </c>
      <c r="J758" s="4" t="inlineStr">
        <is>
          <t>BBVA</t>
        </is>
      </c>
      <c r="K758" s="4" t="inlineStr">
        <is>
          <t>PROYECTADO · C.06/06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MERCADO LIBRE</t>
        </is>
      </c>
      <c r="E759" s="4" t="inlineStr">
        <is>
          <t>MERCADO LIBRE</t>
        </is>
      </c>
      <c r="F759" s="5" t="n">
        <v>275000</v>
      </c>
      <c r="G759" s="16" t="n"/>
      <c r="H759" s="18" t="inlineStr">
        <is>
          <t>PROYECTADO</t>
        </is>
      </c>
      <c r="I759" s="4" t="inlineStr">
        <is>
          <t>BBVA MASTERCARD · proyectado</t>
        </is>
      </c>
      <c r="J759" s="4" t="inlineStr">
        <is>
          <t>BBVA</t>
        </is>
      </c>
      <c r="K759" s="4" t="inlineStr">
        <is>
          <t>PROYECTADO · C.10/12 · cashflow cuotas BBVA · gasto personal Sol · ex `Mercado Libre · MERCADOLIBRE`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284794</v>
      </c>
      <c r="G760" s="16" t="n"/>
      <c r="H760" s="18" t="inlineStr">
        <is>
          <t>PROYECTADO</t>
        </is>
      </c>
      <c r="I760" s="4" t="inlineStr">
        <is>
          <t>BBVA VISA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73600</v>
      </c>
      <c r="G761" s="16" t="n"/>
      <c r="H761" s="18" t="inlineStr">
        <is>
          <t>PROYECTADO</t>
        </is>
      </c>
      <c r="I761" s="4" t="inlineStr">
        <is>
          <t>BBVA MASTERCARD · proyectado</t>
        </is>
      </c>
      <c r="J761" s="4" t="inlineStr">
        <is>
          <t>BBVA</t>
        </is>
      </c>
      <c r="K761" s="4" t="inlineStr">
        <is>
          <t>PROYECTADO · C.06/06 · cashflow cuotas BBVA · gasto personal Sol</t>
        </is>
      </c>
      <c r="L761" s="4" t="n">
        <v>599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60917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46384</v>
      </c>
      <c r="B763" s="4" t="inlineStr">
        <is>
          <t>2026-12</t>
        </is>
      </c>
      <c r="C763" s="4" t="inlineStr">
        <is>
          <t>Diciembre</t>
        </is>
      </c>
      <c r="D763" s="4" t="inlineStr">
        <is>
          <t>ROPA</t>
        </is>
      </c>
      <c r="E763" s="4" t="inlineStr">
        <is>
          <t>ROPA</t>
        </is>
      </c>
      <c r="F763" s="5" t="n">
        <v>69750</v>
      </c>
      <c r="G763" s="16" t="n"/>
      <c r="H763" s="18" t="inlineStr">
        <is>
          <t>PROYECTADO</t>
        </is>
      </c>
      <c r="I763" s="4" t="inlineStr">
        <is>
          <t>BBVA VISA · proyectado</t>
        </is>
      </c>
      <c r="J763" s="4" t="inlineStr">
        <is>
          <t>BBVA</t>
        </is>
      </c>
      <c r="K763" s="4" t="inlineStr">
        <is>
          <t>PROYECTADO · C.08/12 · cashflow cuotas BBVA · gasto personal Sol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MERCADO LIBRE</t>
        </is>
      </c>
      <c r="E764" s="4" t="inlineStr">
        <is>
          <t>MERCADO LIBRE</t>
        </is>
      </c>
      <c r="F764" s="5" t="n">
        <v>275000</v>
      </c>
      <c r="G764" s="16" t="n"/>
      <c r="H764" s="18" t="inlineStr">
        <is>
          <t>PROYECTADO</t>
        </is>
      </c>
      <c r="I764" s="4" t="inlineStr">
        <is>
          <t>BBVA MASTERCARD · proyectado</t>
        </is>
      </c>
      <c r="J764" s="4" t="inlineStr">
        <is>
          <t>BBVA</t>
        </is>
      </c>
      <c r="K764" s="4" t="inlineStr">
        <is>
          <t>PROYECTADO · C.11/12 · cashflow cuotas BBVA · gasto personal Sol · ex `Mercado Libre · MERCADOLIBRE`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60917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46415</v>
      </c>
      <c r="B766" s="4" t="inlineStr">
        <is>
          <t>2027-01</t>
        </is>
      </c>
      <c r="C766" s="4" t="inlineStr">
        <is>
          <t>Enero 2027</t>
        </is>
      </c>
      <c r="D766" s="4" t="inlineStr">
        <is>
          <t>ROPA</t>
        </is>
      </c>
      <c r="E766" s="4" t="inlineStr">
        <is>
          <t>ROPA</t>
        </is>
      </c>
      <c r="F766" s="5" t="n">
        <v>69750</v>
      </c>
      <c r="G766" s="16" t="n"/>
      <c r="H766" s="18" t="inlineStr">
        <is>
          <t>PROYECTADO</t>
        </is>
      </c>
      <c r="I766" s="4" t="inlineStr">
        <is>
          <t>BBVA VISA · proyectado</t>
        </is>
      </c>
      <c r="J766" s="4" t="inlineStr">
        <is>
          <t>BBVA</t>
        </is>
      </c>
      <c r="K766" s="4" t="inlineStr">
        <is>
          <t>PROYECTADO · C.09/12 · cashflow cuotas BBVA · gasto personal Sol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MERCADO LIBRE</t>
        </is>
      </c>
      <c r="E767" s="4" t="inlineStr">
        <is>
          <t>MERCADO LIBRE</t>
        </is>
      </c>
      <c r="F767" s="5" t="n">
        <v>275000</v>
      </c>
      <c r="G767" s="16" t="n"/>
      <c r="H767" s="18" t="inlineStr">
        <is>
          <t>PROYECTADO</t>
        </is>
      </c>
      <c r="I767" s="4" t="inlineStr">
        <is>
          <t>BBVA MASTERCARD · proyectado</t>
        </is>
      </c>
      <c r="J767" s="4" t="inlineStr">
        <is>
          <t>BBVA</t>
        </is>
      </c>
      <c r="K767" s="4" t="inlineStr">
        <is>
          <t>PROYECTADO · C.12/12 · cashflow cuotas BBVA · gasto personal Sol · ex `Mercado Libre · MERCADOLIBRE`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60917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46446</v>
      </c>
      <c r="B769" s="4" t="inlineStr">
        <is>
          <t>2027-02</t>
        </is>
      </c>
      <c r="C769" s="4" t="inlineStr">
        <is>
          <t>Febrero 2027</t>
        </is>
      </c>
      <c r="D769" s="4" t="inlineStr">
        <is>
          <t>ROPA</t>
        </is>
      </c>
      <c r="E769" s="4" t="inlineStr">
        <is>
          <t>ROPA</t>
        </is>
      </c>
      <c r="F769" s="5" t="n">
        <v>69750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C.10/12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60917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46474</v>
      </c>
      <c r="B771" s="4" t="inlineStr">
        <is>
          <t>2027-03</t>
        </is>
      </c>
      <c r="C771" s="4" t="inlineStr">
        <is>
          <t>Marzo 2027</t>
        </is>
      </c>
      <c r="D771" s="4" t="inlineStr">
        <is>
          <t>ROPA</t>
        </is>
      </c>
      <c r="E771" s="4" t="inlineStr">
        <is>
          <t>ROPA</t>
        </is>
      </c>
      <c r="F771" s="5" t="n">
        <v>69750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C.11/12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60917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  <row r="773">
      <c r="A773" s="15" t="n">
        <v>46505</v>
      </c>
      <c r="B773" s="4" t="inlineStr">
        <is>
          <t>2027-04</t>
        </is>
      </c>
      <c r="C773" s="4" t="inlineStr">
        <is>
          <t>Abril 2027</t>
        </is>
      </c>
      <c r="D773" s="4" t="inlineStr">
        <is>
          <t>ROPA</t>
        </is>
      </c>
      <c r="E773" s="4" t="inlineStr">
        <is>
          <t>ROPA</t>
        </is>
      </c>
      <c r="F773" s="5" t="n">
        <v>69750</v>
      </c>
      <c r="G773" s="16" t="n"/>
      <c r="H773" s="18" t="inlineStr">
        <is>
          <t>PROYECTADO</t>
        </is>
      </c>
      <c r="I773" s="4" t="inlineStr">
        <is>
          <t>BBVA VISA · proyectado</t>
        </is>
      </c>
      <c r="J773" s="4" t="inlineStr">
        <is>
          <t>BBVA</t>
        </is>
      </c>
      <c r="K773" s="4" t="inlineStr">
        <is>
          <t>PROYECTADO · C.12/12 · cashflow cuotas BBVA · gasto personal Sol</t>
        </is>
      </c>
      <c r="L773" s="4" t="n">
        <v>612</v>
      </c>
    </row>
  </sheetData>
  <autoFilter ref="A1:L77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</sheetData>
  <autoFilter ref="A1:K2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agosto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3089261</v>
      </c>
      <c r="H252" s="4" t="inlineStr">
        <is>
          <t>Agosto 2026</t>
        </is>
      </c>
      <c r="I252" s="4" t="inlineStr">
        <is>
          <t>2026-08</t>
        </is>
      </c>
      <c r="J252" s="19" t="inlineStr">
        <is>
          <t>PAGADO</t>
        </is>
      </c>
      <c r="K252" s="4" t="inlineStr">
        <is>
          <t>50% Sol de $6,178,522 · TC MEP venta 1524.5 (cierre 2026-08-04) · abonada 2026-08-05 · ya en Gasto Personal Sol</t>
        </is>
      </c>
      <c r="L252" s="4" t="inlineStr">
        <is>
          <t>Sol 50%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0.0007113314291200474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22684406</v>
      </c>
      <c r="F6" s="20" t="n">
        <v>0.2667349522889392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0.001764271266848998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80</v>
      </c>
      <c r="E8" s="5" t="n">
        <v>1644749</v>
      </c>
      <c r="F8" s="20" t="n">
        <v>0.01933980753308156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0.005475811586006872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0.005679363257541662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0.01317027877501426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0.006341979154620312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0.002430485269842364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0.00073137969900433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0.005491227000563056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0.001993186057527717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0.002238821458045409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0.004187407464153135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0.002810837988872799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0.008888532736502414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0.04703406424465145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0.0006603700205109675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0.07106310919034445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0.001412820980296901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0.009770503750702058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0.03475550429365153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0.0046896136851254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0.001815514879843546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0.009438255120877839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0.0006236364163358947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0.07827661779690209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0.02069127257657131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0.009264581838654463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0.02421574666371214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0.0001516848571890009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0.03149237498448611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0.001651483580790324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0.01038535655554026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0.007720559336147107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0.01140864141576296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0.06060099304195692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680</v>
      </c>
      <c r="C7" s="4" t="inlineStr">
        <is>
          <t>ARS 82,557,294</t>
        </is>
      </c>
    </row>
    <row r="8">
      <c r="A8" s="4" t="inlineStr">
        <is>
          <t>Movimientos Almacén Sol</t>
        </is>
      </c>
      <c r="B8" s="4" t="n">
        <v>221</v>
      </c>
      <c r="C8" s="4" t="inlineStr">
        <is>
          <t>ARS 8,234,788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27,813,992 · AVA PENDIENTE 22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2026-08-05T15:22:51Z</dcterms:created>
  <dcterms:modified xsi:type="dcterms:W3CDTF">2026-08-05T15:22:52Z</dcterms:modified>
</cp:coreProperties>
</file>
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Sol'!$A$1:$O$903</definedName>
    <definedName name="_xlnm._FilterDatabase" localSheetId="2" hidden="1">'Gastos Personales'!$A$1:$L$772</definedName>
    <definedName name="_xlnm._FilterDatabase" localSheetId="3" hidden="1">'Almacén Sol'!$A$1:$K$224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3" headerRowCount="1">
  <autoFilter ref="A1:O903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2" headerRowCount="1">
  <autoFilter ref="A1:L77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4" headerRowCount="1">
  <autoFilter ref="A1:K224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29" headerRowCount="1">
  <autoFilter ref="A1:I29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73720696</v>
      </c>
      <c r="C5" s="4" t="inlineStr">
        <is>
          <t>665 movimientos</t>
        </is>
      </c>
    </row>
    <row r="6">
      <c r="A6" s="4" t="inlineStr">
        <is>
          <t>Almacén Sol real 2026</t>
        </is>
      </c>
      <c r="B6" s="5" t="n">
        <v>8336788</v>
      </c>
      <c r="C6" s="4" t="inlineStr">
        <is>
          <t>223 movimientos</t>
        </is>
      </c>
    </row>
    <row r="7">
      <c r="A7" s="6" t="inlineStr">
        <is>
          <t>Total real Sol 2026</t>
        </is>
      </c>
      <c r="B7" s="7" t="n">
        <v>82057484</v>
      </c>
      <c r="C7" s="4" t="inlineStr">
        <is>
          <t>888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4560133</v>
      </c>
      <c r="C12" s="4" t="inlineStr">
        <is>
          <t>28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0</v>
      </c>
      <c r="C23" s="5" t="n">
        <v>102000</v>
      </c>
      <c r="D23" s="5" t="n">
        <v>102000</v>
      </c>
      <c r="E23" s="5" t="n">
        <v>1608575</v>
      </c>
      <c r="F23" s="5" t="n">
        <v>1710575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  <row r="902">
      <c r="A902" s="4" t="n">
        <v>901</v>
      </c>
      <c r="B902" s="15" t="n">
        <v>46273</v>
      </c>
      <c r="C902" s="4" t="inlineStr">
        <is>
          <t>2026-09</t>
        </is>
      </c>
      <c r="D902" s="4" t="inlineStr">
        <is>
          <t>Septiembre</t>
        </is>
      </c>
      <c r="E902" s="4" t="inlineStr">
        <is>
          <t>ALMACÉN SOL</t>
        </is>
      </c>
      <c r="F902" s="4" t="inlineStr">
        <is>
          <t>COMIDA</t>
        </is>
      </c>
      <c r="G902" s="4" t="inlineStr">
        <is>
          <t>COMIDA · cerdo</t>
        </is>
      </c>
      <c r="H902" s="5" t="n">
        <v>13000</v>
      </c>
      <c r="I902" s="16" t="n"/>
      <c r="J902" s="4" t="inlineStr">
        <is>
          <t>REAL</t>
        </is>
      </c>
      <c r="K902" s="17" t="n"/>
      <c r="L902" s="4" t="inlineStr">
        <is>
          <t>Sin identificar</t>
        </is>
      </c>
      <c r="M902" s="4" t="inlineStr">
        <is>
          <t>COMIDA · cerdo</t>
        </is>
      </c>
      <c r="N902" s="4" t="inlineStr">
        <is>
          <t>CIUDAD / Almacen Detalle</t>
        </is>
      </c>
      <c r="O902" s="4" t="n">
        <v>357</v>
      </c>
    </row>
    <row r="903">
      <c r="A903" s="4" t="n">
        <v>902</v>
      </c>
      <c r="B903" s="15" t="n">
        <v>46273</v>
      </c>
      <c r="C903" s="4" t="inlineStr">
        <is>
          <t>2026-09</t>
        </is>
      </c>
      <c r="D903" s="4" t="inlineStr">
        <is>
          <t>Septiembre</t>
        </is>
      </c>
      <c r="E903" s="4" t="inlineStr">
        <is>
          <t>ALMACÉN SOL</t>
        </is>
      </c>
      <c r="F903" s="4" t="inlineStr">
        <is>
          <t>REPUESTOS</t>
        </is>
      </c>
      <c r="G903" s="4" t="inlineStr">
        <is>
          <t>REPUESTOS · Sodastream</t>
        </is>
      </c>
      <c r="H903" s="5" t="n">
        <v>89000</v>
      </c>
      <c r="I903" s="16" t="n"/>
      <c r="J903" s="4" t="inlineStr">
        <is>
          <t>REAL</t>
        </is>
      </c>
      <c r="K903" s="17" t="n"/>
      <c r="L903" s="4" t="inlineStr">
        <is>
          <t>Sin identificar</t>
        </is>
      </c>
      <c r="M903" s="4" t="inlineStr">
        <is>
          <t>Recambio de tres tubos de Soda Stream</t>
        </is>
      </c>
      <c r="N903" s="4" t="inlineStr">
        <is>
          <t>CIUDAD / Almacen Detalle</t>
        </is>
      </c>
      <c r="O903" s="4" t="n">
        <v>356</v>
      </c>
    </row>
  </sheetData>
  <autoFilter ref="A1:O90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524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527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528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529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522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525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530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531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533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535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536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537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538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532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EVENTOS DEPORTIVOS - RIVER</t>
        </is>
      </c>
      <c r="E700" s="4" t="inlineStr">
        <is>
          <t>Eventos deportivos - River</t>
        </is>
      </c>
      <c r="F700" s="5" t="n">
        <v>169667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Eventos deportivos - River</t>
        </is>
      </c>
      <c r="L700" s="4" t="n">
        <v>554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HOGAR</t>
        </is>
      </c>
      <c r="E701" s="4" t="inlineStr">
        <is>
          <t>HOGAR</t>
        </is>
      </c>
      <c r="F701" s="5" t="n">
        <v>18334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HOGAR · Stanley · PROYECTADO · C.05/06 · cashflow cuotas BBVA · gasto personal Sol</t>
        </is>
      </c>
      <c r="L701" s="4" t="n">
        <v>553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12084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C.02/06 · cashflow cuotas BBVA · gasto personal Sol · ex `Mercado Libre · MERCADOLIBRE`</t>
        </is>
      </c>
      <c r="L702" s="4" t="n">
        <v>544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275000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C.06/12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17360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C.07/09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16950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124667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539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31700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ROPA · Frivilli · PROYECTADO · C.02/03 · cashflow cuotas BBVA · gasto personal Sol</t>
        </is>
      </c>
      <c r="L707" s="4" t="n">
        <v>541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80834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C.04/06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95984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ROPA · Monofuk · PROYECTADO · C.05/06 · cashflow cuotas BBVA · gasto personal Sol</t>
        </is>
      </c>
      <c r="L709" s="4" t="n">
        <v>548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284794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C.02/06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73600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36667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C.04/06 · cashflow cuotas BBVA · gasto personal Sol</t>
        </is>
      </c>
      <c r="L712" s="4" t="n">
        <v>552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60917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C.04/12 · cashflow cuotas BBVA · gasto personal Sol</t>
        </is>
      </c>
      <c r="L713" s="4" t="n">
        <v>555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69750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SALUD</t>
        </is>
      </c>
      <c r="E715" s="4" t="inlineStr">
        <is>
          <t>SALUD</t>
        </is>
      </c>
      <c r="F715" s="5" t="n">
        <v>54033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SALUD · Laboratorio · PROYECTADO · C.05/06 · cashflow cuotas BBVA · gasto personal Sol</t>
        </is>
      </c>
      <c r="L715" s="4" t="n">
        <v>543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 · Vitaminas</t>
        </is>
      </c>
      <c r="E716" s="4" t="inlineStr">
        <is>
          <t>SALUD · Vitaminas</t>
        </is>
      </c>
      <c r="F716" s="5" t="n">
        <v>87900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SALUD · Vitaminas · Promarine · BBVA · C.05/06 · gasto personal Sol</t>
        </is>
      </c>
      <c r="L716" s="4" t="n">
        <v>551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VESTIMENTA</t>
        </is>
      </c>
      <c r="F717" s="5" t="n">
        <v>98334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ROPA · Bokenvoreno · PROYECTADO · C.04/06 · cashflow cuotas BBVA · gasto personal Sol</t>
        </is>
      </c>
      <c r="L717" s="4" t="n">
        <v>540</v>
      </c>
    </row>
    <row r="718">
      <c r="A718" s="15" t="n">
        <v>46293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EVENTOS DEPORTIVOS - RIVER</t>
        </is>
      </c>
      <c r="E718" s="4" t="inlineStr">
        <is>
          <t>Eventos deportivos - River</t>
        </is>
      </c>
      <c r="F718" s="5" t="n">
        <v>169667</v>
      </c>
      <c r="G718" s="16" t="n"/>
      <c r="H718" s="18" t="inlineStr">
        <is>
          <t>PROYECTADO</t>
        </is>
      </c>
      <c r="I718" s="4" t="inlineStr">
        <is>
          <t>BBVA VISA · proyectado</t>
        </is>
      </c>
      <c r="J718" s="4" t="inlineStr">
        <is>
          <t>BBVA</t>
        </is>
      </c>
      <c r="K718" s="4" t="inlineStr">
        <is>
          <t>PROYECTADO · C.03/06 · cashflow cuotas BBVA · gasto personal Sol · Eventos deportivos - River</t>
        </is>
      </c>
      <c r="L718" s="4" t="n">
        <v>572</v>
      </c>
    </row>
    <row r="719">
      <c r="A719" s="15" t="n">
        <v>46293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HOGAR</t>
        </is>
      </c>
      <c r="E719" s="4" t="inlineStr">
        <is>
          <t>HOGAR</t>
        </is>
      </c>
      <c r="F719" s="5" t="n">
        <v>18334</v>
      </c>
      <c r="G719" s="16" t="n"/>
      <c r="H719" s="18" t="inlineStr">
        <is>
          <t>PROYECTADO</t>
        </is>
      </c>
      <c r="I719" s="4" t="inlineStr">
        <is>
          <t>BBVA MASTERCARD · proyectado</t>
        </is>
      </c>
      <c r="J719" s="4" t="inlineStr">
        <is>
          <t>BBVA</t>
        </is>
      </c>
      <c r="K719" s="4" t="inlineStr">
        <is>
          <t>HOGAR · Stanley · PROYECTADO · C.06/06 · cashflow cuotas BBVA · gasto personal Sol</t>
        </is>
      </c>
      <c r="L719" s="4" t="n">
        <v>571</v>
      </c>
    </row>
    <row r="720">
      <c r="A720" s="15" t="n">
        <v>46293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MERCADO LIBRE</t>
        </is>
      </c>
      <c r="E720" s="4" t="inlineStr">
        <is>
          <t>MERCADO LIBRE</t>
        </is>
      </c>
      <c r="F720" s="5" t="n">
        <v>12084</v>
      </c>
      <c r="G720" s="16" t="n"/>
      <c r="H720" s="18" t="inlineStr">
        <is>
          <t>PROYECTADO</t>
        </is>
      </c>
      <c r="I720" s="4" t="inlineStr">
        <is>
          <t>BBVA VISA · proyectado</t>
        </is>
      </c>
      <c r="J720" s="4" t="inlineStr">
        <is>
          <t>BBVA</t>
        </is>
      </c>
      <c r="K720" s="4" t="inlineStr">
        <is>
          <t>PROYECTADO · C.03/06 · cashflow cuotas BBVA · gasto personal Sol · ex `Mercado Libre · MERCADOLIBRE`</t>
        </is>
      </c>
      <c r="L720" s="4" t="n">
        <v>562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MERCADO LIBRE</t>
        </is>
      </c>
      <c r="E721" s="4" t="inlineStr">
        <is>
          <t>MERCADO LIBRE</t>
        </is>
      </c>
      <c r="F721" s="5" t="n">
        <v>275000</v>
      </c>
      <c r="G721" s="16" t="n"/>
      <c r="H721" s="18" t="inlineStr">
        <is>
          <t>PROYECTADO</t>
        </is>
      </c>
      <c r="I721" s="4" t="inlineStr">
        <is>
          <t>BBVA MASTERCARD · proyectado</t>
        </is>
      </c>
      <c r="J721" s="4" t="inlineStr">
        <is>
          <t>BBVA</t>
        </is>
      </c>
      <c r="K721" s="4" t="inlineStr">
        <is>
          <t>PROYECTADO · C.07/12 · cashflow cuotas BBVA · gasto personal Sol · ex `Mercado Libre · MERCADOLIBRE`</t>
        </is>
      </c>
      <c r="L721" s="4" t="n">
        <v>563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MERCADO LIBRE</t>
        </is>
      </c>
      <c r="E722" s="4" t="inlineStr">
        <is>
          <t>MERCADO LIBRE</t>
        </is>
      </c>
      <c r="F722" s="5" t="n">
        <v>17360</v>
      </c>
      <c r="G722" s="16" t="n"/>
      <c r="H722" s="18" t="inlineStr">
        <is>
          <t>PROYECTADO</t>
        </is>
      </c>
      <c r="I722" s="4" t="inlineStr">
        <is>
          <t>BBVA MASTERCARD · proyectado</t>
        </is>
      </c>
      <c r="J722" s="4" t="inlineStr">
        <is>
          <t>BBVA</t>
        </is>
      </c>
      <c r="K722" s="4" t="inlineStr">
        <is>
          <t>PROYECTADO · C.08/09 · cashflow cuotas BBVA · gasto personal Sol · ex `Mercado Libre · MERCADOLIBRE`</t>
        </is>
      </c>
      <c r="L722" s="4" t="n">
        <v>564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MERCADO LIBRE</t>
        </is>
      </c>
      <c r="E723" s="4" t="inlineStr">
        <is>
          <t>MERCADO LIBRE</t>
        </is>
      </c>
      <c r="F723" s="5" t="n">
        <v>16950</v>
      </c>
      <c r="G723" s="16" t="n"/>
      <c r="H723" s="18" t="inlineStr">
        <is>
          <t>PROYECTADO</t>
        </is>
      </c>
      <c r="I723" s="4" t="inlineStr">
        <is>
          <t>BBVA MASTERCARD · proyectado</t>
        </is>
      </c>
      <c r="J723" s="4" t="inlineStr">
        <is>
          <t>BBVA</t>
        </is>
      </c>
      <c r="K723" s="4" t="inlineStr">
        <is>
          <t>PROYECTADO · C.08/09 · cashflow cuotas BBVA · gasto personal Sol · ex `Mercado Libre · MERCADOLIBRE`</t>
        </is>
      </c>
      <c r="L723" s="4" t="n">
        <v>565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ROPA</t>
        </is>
      </c>
      <c r="E724" s="4" t="inlineStr">
        <is>
          <t>ROPA</t>
        </is>
      </c>
      <c r="F724" s="5" t="n">
        <v>124667</v>
      </c>
      <c r="G724" s="16" t="n"/>
      <c r="H724" s="18" t="inlineStr">
        <is>
          <t>PROYECTADO</t>
        </is>
      </c>
      <c r="I724" s="4" t="inlineStr">
        <is>
          <t>BBVA VISA · proyectado</t>
        </is>
      </c>
      <c r="J724" s="4" t="inlineStr">
        <is>
          <t>BBVA</t>
        </is>
      </c>
      <c r="K724" s="4" t="inlineStr">
        <is>
          <t>PROYECTADO · C.05/06 · cashflow cuotas BBVA · gasto personal Sol</t>
        </is>
      </c>
      <c r="L724" s="4" t="n">
        <v>557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ROPA</t>
        </is>
      </c>
      <c r="E725" s="4" t="inlineStr">
        <is>
          <t>ROPA</t>
        </is>
      </c>
      <c r="F725" s="5" t="n">
        <v>31700</v>
      </c>
      <c r="G725" s="16" t="n"/>
      <c r="H725" s="18" t="inlineStr">
        <is>
          <t>PROYECTADO</t>
        </is>
      </c>
      <c r="I725" s="4" t="inlineStr">
        <is>
          <t>BBVA VISA · proyectado</t>
        </is>
      </c>
      <c r="J725" s="4" t="inlineStr">
        <is>
          <t>BBVA</t>
        </is>
      </c>
      <c r="K725" s="4" t="inlineStr">
        <is>
          <t>ROPA · Frivilli · PROYECTADO · C.03/03 · cashflow cuotas BBVA · gasto personal Sol</t>
        </is>
      </c>
      <c r="L725" s="4" t="n">
        <v>559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ROPA</t>
        </is>
      </c>
      <c r="E726" s="4" t="inlineStr">
        <is>
          <t>ROPA</t>
        </is>
      </c>
      <c r="F726" s="5" t="n">
        <v>80834</v>
      </c>
      <c r="G726" s="16" t="n"/>
      <c r="H726" s="18" t="inlineStr">
        <is>
          <t>PROYECTADO</t>
        </is>
      </c>
      <c r="I726" s="4" t="inlineStr">
        <is>
          <t>BBVA MASTERCARD · proyectado</t>
        </is>
      </c>
      <c r="J726" s="4" t="inlineStr">
        <is>
          <t>BBVA</t>
        </is>
      </c>
      <c r="K726" s="4" t="inlineStr">
        <is>
          <t>PROYECTADO · C.05/06 · cashflow cuotas BBVA · gasto personal Sol</t>
        </is>
      </c>
      <c r="L726" s="4" t="n">
        <v>560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95984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ROPA · Monofuk · PROYECTADO · C.06/06 · cashflow cuotas BBVA · gasto personal Sol</t>
        </is>
      </c>
      <c r="L727" s="4" t="n">
        <v>566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284794</v>
      </c>
      <c r="G728" s="16" t="n"/>
      <c r="H728" s="18" t="inlineStr">
        <is>
          <t>PROYECTADO</t>
        </is>
      </c>
      <c r="I728" s="4" t="inlineStr">
        <is>
          <t>BBVA VISA · proyectado</t>
        </is>
      </c>
      <c r="J728" s="4" t="inlineStr">
        <is>
          <t>BBVA</t>
        </is>
      </c>
      <c r="K728" s="4" t="inlineStr">
        <is>
          <t>PROYECTADO · C.03/06 · cashflow cuotas BBVA · gasto personal Sol</t>
        </is>
      </c>
      <c r="L728" s="4" t="n">
        <v>567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73600</v>
      </c>
      <c r="G729" s="16" t="n"/>
      <c r="H729" s="18" t="inlineStr">
        <is>
          <t>PROYECTADO</t>
        </is>
      </c>
      <c r="I729" s="4" t="inlineStr">
        <is>
          <t>BBVA MASTERCARD · proyectado</t>
        </is>
      </c>
      <c r="J729" s="4" t="inlineStr">
        <is>
          <t>BBVA</t>
        </is>
      </c>
      <c r="K729" s="4" t="inlineStr">
        <is>
          <t>PROYECTADO · C.03/06 · cashflow cuotas BBVA · gasto personal Sol</t>
        </is>
      </c>
      <c r="L729" s="4" t="n">
        <v>568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36667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PROYECTADO · C.05/06 · cashflow cuotas BBVA · gasto personal Sol</t>
        </is>
      </c>
      <c r="L730" s="4" t="n">
        <v>570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60917</v>
      </c>
      <c r="G731" s="16" t="n"/>
      <c r="H731" s="18" t="inlineStr">
        <is>
          <t>PROYECTADO</t>
        </is>
      </c>
      <c r="I731" s="4" t="inlineStr">
        <is>
          <t>BBVA VISA · proyectado</t>
        </is>
      </c>
      <c r="J731" s="4" t="inlineStr">
        <is>
          <t>BBVA</t>
        </is>
      </c>
      <c r="K731" s="4" t="inlineStr">
        <is>
          <t>PROYECTADO · C.05/12 · cashflow cuotas BBVA · gasto personal Sol</t>
        </is>
      </c>
      <c r="L731" s="4" t="n">
        <v>573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69750</v>
      </c>
      <c r="G732" s="16" t="n"/>
      <c r="H732" s="18" t="inlineStr">
        <is>
          <t>PROYECTADO</t>
        </is>
      </c>
      <c r="I732" s="4" t="inlineStr">
        <is>
          <t>BBVA VISA · proyectado</t>
        </is>
      </c>
      <c r="J732" s="4" t="inlineStr">
        <is>
          <t>BBVA</t>
        </is>
      </c>
      <c r="K732" s="4" t="inlineStr">
        <is>
          <t>PROYECTADO · C.05/12 · cashflow cuotas BBVA · gasto personal Sol</t>
        </is>
      </c>
      <c r="L732" s="4" t="n">
        <v>574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SALUD</t>
        </is>
      </c>
      <c r="E733" s="4" t="inlineStr">
        <is>
          <t>SALUD</t>
        </is>
      </c>
      <c r="F733" s="5" t="n">
        <v>54033</v>
      </c>
      <c r="G733" s="16" t="n"/>
      <c r="H733" s="18" t="inlineStr">
        <is>
          <t>PROYECTADO</t>
        </is>
      </c>
      <c r="I733" s="4" t="inlineStr">
        <is>
          <t>BBVA MASTERCARD · proyectado</t>
        </is>
      </c>
      <c r="J733" s="4" t="inlineStr">
        <is>
          <t>BBVA</t>
        </is>
      </c>
      <c r="K733" s="4" t="inlineStr">
        <is>
          <t>SALUD · Laboratorio · PROYECTADO · C.06/06 · cashflow cuotas BBVA · gasto personal Sol</t>
        </is>
      </c>
      <c r="L733" s="4" t="n">
        <v>561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SALUD · Vitaminas</t>
        </is>
      </c>
      <c r="E734" s="4" t="inlineStr">
        <is>
          <t>SALUD · Vitaminas</t>
        </is>
      </c>
      <c r="F734" s="5" t="n">
        <v>87900</v>
      </c>
      <c r="G734" s="16" t="n"/>
      <c r="H734" s="18" t="inlineStr">
        <is>
          <t>PROYECTADO</t>
        </is>
      </c>
      <c r="I734" s="4" t="inlineStr">
        <is>
          <t>BBVA VISA · proyectado</t>
        </is>
      </c>
      <c r="J734" s="4" t="inlineStr">
        <is>
          <t>BBVA</t>
        </is>
      </c>
      <c r="K734" s="4" t="inlineStr">
        <is>
          <t>PROYECTADO · SALUD · Vitaminas · Promarine · BBVA · C.06/06 · gasto personal Sol</t>
        </is>
      </c>
      <c r="L734" s="4" t="n">
        <v>569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ROPA</t>
        </is>
      </c>
      <c r="E735" s="4" t="inlineStr">
        <is>
          <t>VESTIMENTA</t>
        </is>
      </c>
      <c r="F735" s="5" t="n">
        <v>98334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ROPA · Bokenvoreno · PROYECTADO · C.05/06 · cashflow cuotas BBVA · gasto personal Sol</t>
        </is>
      </c>
      <c r="L735" s="4" t="n">
        <v>558</v>
      </c>
    </row>
    <row r="736">
      <c r="A736" s="15" t="n">
        <v>46323</v>
      </c>
      <c r="B736" s="4" t="inlineStr">
        <is>
          <t>2026-10</t>
        </is>
      </c>
      <c r="C736" s="4" t="inlineStr">
        <is>
          <t>Octubre</t>
        </is>
      </c>
      <c r="D736" s="4" t="inlineStr">
        <is>
          <t>EVENTOS DEPORTIVOS - RIVER</t>
        </is>
      </c>
      <c r="E736" s="4" t="inlineStr">
        <is>
          <t>Eventos deportivos - River</t>
        </is>
      </c>
      <c r="F736" s="5" t="n">
        <v>169667</v>
      </c>
      <c r="G736" s="16" t="n"/>
      <c r="H736" s="18" t="inlineStr">
        <is>
          <t>PROYECTADO</t>
        </is>
      </c>
      <c r="I736" s="4" t="inlineStr">
        <is>
          <t>BBVA VISA · proyectado</t>
        </is>
      </c>
      <c r="J736" s="4" t="inlineStr">
        <is>
          <t>BBVA</t>
        </is>
      </c>
      <c r="K736" s="4" t="inlineStr">
        <is>
          <t>PROYECTADO · C.04/06 · cashflow cuotas BBVA · gasto personal Sol · Eventos deportivos - River</t>
        </is>
      </c>
      <c r="L736" s="4" t="n">
        <v>585</v>
      </c>
    </row>
    <row r="737">
      <c r="A737" s="15" t="n">
        <v>46323</v>
      </c>
      <c r="B737" s="4" t="inlineStr">
        <is>
          <t>2026-10</t>
        </is>
      </c>
      <c r="C737" s="4" t="inlineStr">
        <is>
          <t>Octubre</t>
        </is>
      </c>
      <c r="D737" s="4" t="inlineStr">
        <is>
          <t>MERCADO LIBRE</t>
        </is>
      </c>
      <c r="E737" s="4" t="inlineStr">
        <is>
          <t>MERCADO LIBRE</t>
        </is>
      </c>
      <c r="F737" s="5" t="n">
        <v>12084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C.04/06 · cashflow cuotas BBVA · gasto personal Sol · ex `Mercado Libre · MERCADOLIBRE`</t>
        </is>
      </c>
      <c r="L737" s="4" t="n">
        <v>578</v>
      </c>
    </row>
    <row r="738">
      <c r="A738" s="15" t="n">
        <v>46323</v>
      </c>
      <c r="B738" s="4" t="inlineStr">
        <is>
          <t>2026-10</t>
        </is>
      </c>
      <c r="C738" s="4" t="inlineStr">
        <is>
          <t>Octubre</t>
        </is>
      </c>
      <c r="D738" s="4" t="inlineStr">
        <is>
          <t>MERCADO LIBRE</t>
        </is>
      </c>
      <c r="E738" s="4" t="inlineStr">
        <is>
          <t>MERCADO LIBRE</t>
        </is>
      </c>
      <c r="F738" s="5" t="n">
        <v>275000</v>
      </c>
      <c r="G738" s="16" t="n"/>
      <c r="H738" s="18" t="inlineStr">
        <is>
          <t>PROYECTADO</t>
        </is>
      </c>
      <c r="I738" s="4" t="inlineStr">
        <is>
          <t>BBVA MASTERCARD · proyectado</t>
        </is>
      </c>
      <c r="J738" s="4" t="inlineStr">
        <is>
          <t>BBVA</t>
        </is>
      </c>
      <c r="K738" s="4" t="inlineStr">
        <is>
          <t>PROYECTADO · C.08/12 · cashflow cuotas BBVA · gasto personal Sol · ex `Mercado Libre · MERCADOLIBRE`</t>
        </is>
      </c>
      <c r="L738" s="4" t="n">
        <v>579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MERCADO LIBRE</t>
        </is>
      </c>
      <c r="E739" s="4" t="inlineStr">
        <is>
          <t>MERCADO LIBRE</t>
        </is>
      </c>
      <c r="F739" s="5" t="n">
        <v>17360</v>
      </c>
      <c r="G739" s="16" t="n"/>
      <c r="H739" s="18" t="inlineStr">
        <is>
          <t>PROYECTADO</t>
        </is>
      </c>
      <c r="I739" s="4" t="inlineStr">
        <is>
          <t>BBVA MASTERCARD · proyectado</t>
        </is>
      </c>
      <c r="J739" s="4" t="inlineStr">
        <is>
          <t>BBVA</t>
        </is>
      </c>
      <c r="K739" s="4" t="inlineStr">
        <is>
          <t>PROYECTADO · C.09/09 · cashflow cuotas BBVA · gasto personal Sol · ex `Mercado Libre · MERCADOLIBRE`</t>
        </is>
      </c>
      <c r="L739" s="4" t="n">
        <v>580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16950</v>
      </c>
      <c r="G740" s="16" t="n"/>
      <c r="H740" s="18" t="inlineStr">
        <is>
          <t>PROYECTADO</t>
        </is>
      </c>
      <c r="I740" s="4" t="inlineStr">
        <is>
          <t>BBVA MASTERCARD · proyectado</t>
        </is>
      </c>
      <c r="J740" s="4" t="inlineStr">
        <is>
          <t>BBVA</t>
        </is>
      </c>
      <c r="K740" s="4" t="inlineStr">
        <is>
          <t>PROYECTADO · C.09/09 · cashflow cuotas BBVA · gasto personal Sol · ex `Mercado Libre · MERCADOLIBRE`</t>
        </is>
      </c>
      <c r="L740" s="4" t="n">
        <v>581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ROPA</t>
        </is>
      </c>
      <c r="E741" s="4" t="inlineStr">
        <is>
          <t>ROPA</t>
        </is>
      </c>
      <c r="F741" s="5" t="n">
        <v>124667</v>
      </c>
      <c r="G741" s="16" t="n"/>
      <c r="H741" s="18" t="inlineStr">
        <is>
          <t>PROYECTADO</t>
        </is>
      </c>
      <c r="I741" s="4" t="inlineStr">
        <is>
          <t>BBVA VISA · proyectado</t>
        </is>
      </c>
      <c r="J741" s="4" t="inlineStr">
        <is>
          <t>BBVA</t>
        </is>
      </c>
      <c r="K741" s="4" t="inlineStr">
        <is>
          <t>PROYECTADO · C.06/06 · cashflow cuotas BBVA · gasto personal Sol</t>
        </is>
      </c>
      <c r="L741" s="4" t="n">
        <v>575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ROPA</t>
        </is>
      </c>
      <c r="E742" s="4" t="inlineStr">
        <is>
          <t>ROPA</t>
        </is>
      </c>
      <c r="F742" s="5" t="n">
        <v>80834</v>
      </c>
      <c r="G742" s="16" t="n"/>
      <c r="H742" s="18" t="inlineStr">
        <is>
          <t>PROYECTADO</t>
        </is>
      </c>
      <c r="I742" s="4" t="inlineStr">
        <is>
          <t>BBVA MASTERCARD · proyectado</t>
        </is>
      </c>
      <c r="J742" s="4" t="inlineStr">
        <is>
          <t>BBVA</t>
        </is>
      </c>
      <c r="K742" s="4" t="inlineStr">
        <is>
          <t>PROYECTADO · C.06/06 · cashflow cuotas BBVA · gasto personal Sol</t>
        </is>
      </c>
      <c r="L742" s="4" t="n">
        <v>577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ROPA</t>
        </is>
      </c>
      <c r="E743" s="4" t="inlineStr">
        <is>
          <t>ROPA</t>
        </is>
      </c>
      <c r="F743" s="5" t="n">
        <v>284794</v>
      </c>
      <c r="G743" s="16" t="n"/>
      <c r="H743" s="18" t="inlineStr">
        <is>
          <t>PROYECTADO</t>
        </is>
      </c>
      <c r="I743" s="4" t="inlineStr">
        <is>
          <t>BBVA VISA · proyectado</t>
        </is>
      </c>
      <c r="J743" s="4" t="inlineStr">
        <is>
          <t>BBVA</t>
        </is>
      </c>
      <c r="K743" s="4" t="inlineStr">
        <is>
          <t>PROYECTADO · C.04/06 · cashflow cuotas BBVA · gasto personal Sol</t>
        </is>
      </c>
      <c r="L743" s="4" t="n">
        <v>582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73600</v>
      </c>
      <c r="G744" s="16" t="n"/>
      <c r="H744" s="18" t="inlineStr">
        <is>
          <t>PROYECTADO</t>
        </is>
      </c>
      <c r="I744" s="4" t="inlineStr">
        <is>
          <t>BBVA MASTERCARD · proyectado</t>
        </is>
      </c>
      <c r="J744" s="4" t="inlineStr">
        <is>
          <t>BBVA</t>
        </is>
      </c>
      <c r="K744" s="4" t="inlineStr">
        <is>
          <t>PROYECTADO · C.04/06 · cashflow cuotas BBVA · gasto personal Sol</t>
        </is>
      </c>
      <c r="L744" s="4" t="n">
        <v>583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36667</v>
      </c>
      <c r="G745" s="16" t="n"/>
      <c r="H745" s="18" t="inlineStr">
        <is>
          <t>PROYECTADO</t>
        </is>
      </c>
      <c r="I745" s="4" t="inlineStr">
        <is>
          <t>BBVA MASTERCARD · proyectado</t>
        </is>
      </c>
      <c r="J745" s="4" t="inlineStr">
        <is>
          <t>BBVA</t>
        </is>
      </c>
      <c r="K745" s="4" t="inlineStr">
        <is>
          <t>PROYECTADO · C.06/06 · cashflow cuotas BBVA · gasto personal Sol</t>
        </is>
      </c>
      <c r="L745" s="4" t="n">
        <v>584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60917</v>
      </c>
      <c r="G746" s="16" t="n"/>
      <c r="H746" s="18" t="inlineStr">
        <is>
          <t>PROYECTADO</t>
        </is>
      </c>
      <c r="I746" s="4" t="inlineStr">
        <is>
          <t>BBVA VISA · proyectado</t>
        </is>
      </c>
      <c r="J746" s="4" t="inlineStr">
        <is>
          <t>BBVA</t>
        </is>
      </c>
      <c r="K746" s="4" t="inlineStr">
        <is>
          <t>PROYECTADO · C.06/12 · cashflow cuotas BBVA · gasto personal Sol</t>
        </is>
      </c>
      <c r="L746" s="4" t="n">
        <v>586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69750</v>
      </c>
      <c r="G747" s="16" t="n"/>
      <c r="H747" s="18" t="inlineStr">
        <is>
          <t>PROYECTADO</t>
        </is>
      </c>
      <c r="I747" s="4" t="inlineStr">
        <is>
          <t>BBVA VISA · proyectado</t>
        </is>
      </c>
      <c r="J747" s="4" t="inlineStr">
        <is>
          <t>BBVA</t>
        </is>
      </c>
      <c r="K747" s="4" t="inlineStr">
        <is>
          <t>PROYECTADO · C.06/12 · cashflow cuotas BBVA · gasto personal Sol</t>
        </is>
      </c>
      <c r="L747" s="4" t="n">
        <v>587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VESTIMENTA</t>
        </is>
      </c>
      <c r="F748" s="5" t="n">
        <v>98334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ROPA · Bokenvoreno · PROYECTADO · C.06/06 · cashflow cuotas BBVA · gasto personal Sol</t>
        </is>
      </c>
      <c r="L748" s="4" t="n">
        <v>576</v>
      </c>
    </row>
    <row r="749">
      <c r="A749" s="15" t="n">
        <v>46354</v>
      </c>
      <c r="B749" s="4" t="inlineStr">
        <is>
          <t>2026-11</t>
        </is>
      </c>
      <c r="C749" s="4" t="inlineStr">
        <is>
          <t>Noviembre</t>
        </is>
      </c>
      <c r="D749" s="4" t="inlineStr">
        <is>
          <t>EVENTOS DEPORTIVOS - RIVER</t>
        </is>
      </c>
      <c r="E749" s="4" t="inlineStr">
        <is>
          <t>Eventos deportivos - River</t>
        </is>
      </c>
      <c r="F749" s="5" t="n">
        <v>169667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PROYECTADO · C.05/06 · cashflow cuotas BBVA · gasto personal Sol · Eventos deportivos - River</t>
        </is>
      </c>
      <c r="L749" s="4" t="n">
        <v>592</v>
      </c>
    </row>
    <row r="750">
      <c r="A750" s="15" t="n">
        <v>46354</v>
      </c>
      <c r="B750" s="4" t="inlineStr">
        <is>
          <t>2026-11</t>
        </is>
      </c>
      <c r="C750" s="4" t="inlineStr">
        <is>
          <t>Noviembre</t>
        </is>
      </c>
      <c r="D750" s="4" t="inlineStr">
        <is>
          <t>MERCADO LIBRE</t>
        </is>
      </c>
      <c r="E750" s="4" t="inlineStr">
        <is>
          <t>MERCADO LIBRE</t>
        </is>
      </c>
      <c r="F750" s="5" t="n">
        <v>12084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C.05/06 · cashflow cuotas BBVA · gasto personal Sol · ex `Mercado Libre · MERCADOLIBRE`</t>
        </is>
      </c>
      <c r="L750" s="4" t="n">
        <v>588</v>
      </c>
    </row>
    <row r="751">
      <c r="A751" s="15" t="n">
        <v>46354</v>
      </c>
      <c r="B751" s="4" t="inlineStr">
        <is>
          <t>2026-11</t>
        </is>
      </c>
      <c r="C751" s="4" t="inlineStr">
        <is>
          <t>Noviembre</t>
        </is>
      </c>
      <c r="D751" s="4" t="inlineStr">
        <is>
          <t>MERCADO LIBRE</t>
        </is>
      </c>
      <c r="E751" s="4" t="inlineStr">
        <is>
          <t>MERCADO LIBRE</t>
        </is>
      </c>
      <c r="F751" s="5" t="n">
        <v>275000</v>
      </c>
      <c r="G751" s="16" t="n"/>
      <c r="H751" s="18" t="inlineStr">
        <is>
          <t>PROYECTADO</t>
        </is>
      </c>
      <c r="I751" s="4" t="inlineStr">
        <is>
          <t>BBVA MASTERCARD · proyectado</t>
        </is>
      </c>
      <c r="J751" s="4" t="inlineStr">
        <is>
          <t>BBVA</t>
        </is>
      </c>
      <c r="K751" s="4" t="inlineStr">
        <is>
          <t>PROYECTADO · C.09/12 · cashflow cuotas BBVA · gasto personal Sol · ex `Mercado Libre · MERCADOLIBRE`</t>
        </is>
      </c>
      <c r="L751" s="4" t="n">
        <v>589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ROPA</t>
        </is>
      </c>
      <c r="E752" s="4" t="inlineStr">
        <is>
          <t>ROPA</t>
        </is>
      </c>
      <c r="F752" s="5" t="n">
        <v>284794</v>
      </c>
      <c r="G752" s="16" t="n"/>
      <c r="H752" s="18" t="inlineStr">
        <is>
          <t>PROYECTADO</t>
        </is>
      </c>
      <c r="I752" s="4" t="inlineStr">
        <is>
          <t>BBVA VISA · proyectado</t>
        </is>
      </c>
      <c r="J752" s="4" t="inlineStr">
        <is>
          <t>BBVA</t>
        </is>
      </c>
      <c r="K752" s="4" t="inlineStr">
        <is>
          <t>PROYECTADO · C.05/06 · cashflow cuotas BBVA · gasto personal Sol</t>
        </is>
      </c>
      <c r="L752" s="4" t="n">
        <v>590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ROPA</t>
        </is>
      </c>
      <c r="E753" s="4" t="inlineStr">
        <is>
          <t>ROPA</t>
        </is>
      </c>
      <c r="F753" s="5" t="n">
        <v>73600</v>
      </c>
      <c r="G753" s="16" t="n"/>
      <c r="H753" s="18" t="inlineStr">
        <is>
          <t>PROYECTADO</t>
        </is>
      </c>
      <c r="I753" s="4" t="inlineStr">
        <is>
          <t>BBVA MASTERCARD · proyectado</t>
        </is>
      </c>
      <c r="J753" s="4" t="inlineStr">
        <is>
          <t>BBVA</t>
        </is>
      </c>
      <c r="K753" s="4" t="inlineStr">
        <is>
          <t>PROYECTADO · C.05/06 · cashflow cuotas BBVA · gasto personal Sol</t>
        </is>
      </c>
      <c r="L753" s="4" t="n">
        <v>591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ROPA</t>
        </is>
      </c>
      <c r="E754" s="4" t="inlineStr">
        <is>
          <t>ROPA</t>
        </is>
      </c>
      <c r="F754" s="5" t="n">
        <v>60917</v>
      </c>
      <c r="G754" s="16" t="n"/>
      <c r="H754" s="18" t="inlineStr">
        <is>
          <t>PROYECTADO</t>
        </is>
      </c>
      <c r="I754" s="4" t="inlineStr">
        <is>
          <t>BBVA VISA · proyectado</t>
        </is>
      </c>
      <c r="J754" s="4" t="inlineStr">
        <is>
          <t>BBVA</t>
        </is>
      </c>
      <c r="K754" s="4" t="inlineStr">
        <is>
          <t>PROYECTADO · C.07/12 · cashflow cuotas BBVA · gasto personal Sol</t>
        </is>
      </c>
      <c r="L754" s="4" t="n">
        <v>593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ROPA</t>
        </is>
      </c>
      <c r="E755" s="4" t="inlineStr">
        <is>
          <t>ROPA</t>
        </is>
      </c>
      <c r="F755" s="5" t="n">
        <v>69750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C.07/12 · cashflow cuotas BBVA · gasto personal Sol</t>
        </is>
      </c>
      <c r="L755" s="4" t="n">
        <v>594</v>
      </c>
    </row>
    <row r="756">
      <c r="A756" s="15" t="n">
        <v>46384</v>
      </c>
      <c r="B756" s="4" t="inlineStr">
        <is>
          <t>2026-12</t>
        </is>
      </c>
      <c r="C756" s="4" t="inlineStr">
        <is>
          <t>Diciembre</t>
        </is>
      </c>
      <c r="D756" s="4" t="inlineStr">
        <is>
          <t>EVENTOS DEPORTIVOS - RIVER</t>
        </is>
      </c>
      <c r="E756" s="4" t="inlineStr">
        <is>
          <t>Eventos deportivos - River</t>
        </is>
      </c>
      <c r="F756" s="5" t="n">
        <v>169667</v>
      </c>
      <c r="G756" s="16" t="n"/>
      <c r="H756" s="18" t="inlineStr">
        <is>
          <t>PROYECTADO</t>
        </is>
      </c>
      <c r="I756" s="4" t="inlineStr">
        <is>
          <t>BBVA VISA · proyectado</t>
        </is>
      </c>
      <c r="J756" s="4" t="inlineStr">
        <is>
          <t>BBVA</t>
        </is>
      </c>
      <c r="K756" s="4" t="inlineStr">
        <is>
          <t>PROYECTADO · C.06/06 · cashflow cuotas BBVA · gasto personal Sol · Eventos deportivos - River</t>
        </is>
      </c>
      <c r="L756" s="4" t="n">
        <v>599</v>
      </c>
    </row>
    <row r="757">
      <c r="A757" s="15" t="n">
        <v>46384</v>
      </c>
      <c r="B757" s="4" t="inlineStr">
        <is>
          <t>2026-12</t>
        </is>
      </c>
      <c r="C757" s="4" t="inlineStr">
        <is>
          <t>Diciembre</t>
        </is>
      </c>
      <c r="D757" s="4" t="inlineStr">
        <is>
          <t>MERCADO LIBRE</t>
        </is>
      </c>
      <c r="E757" s="4" t="inlineStr">
        <is>
          <t>MERCADO LIBRE</t>
        </is>
      </c>
      <c r="F757" s="5" t="n">
        <v>12084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C.06/06 · cashflow cuotas BBVA · gasto personal Sol · ex `Mercado Libre · MERCADOLIBRE`</t>
        </is>
      </c>
      <c r="L757" s="4" t="n">
        <v>595</v>
      </c>
    </row>
    <row r="758">
      <c r="A758" s="15" t="n">
        <v>46384</v>
      </c>
      <c r="B758" s="4" t="inlineStr">
        <is>
          <t>2026-12</t>
        </is>
      </c>
      <c r="C758" s="4" t="inlineStr">
        <is>
          <t>Diciembre</t>
        </is>
      </c>
      <c r="D758" s="4" t="inlineStr">
        <is>
          <t>MERCADO LIBRE</t>
        </is>
      </c>
      <c r="E758" s="4" t="inlineStr">
        <is>
          <t>MERCADO LIBRE</t>
        </is>
      </c>
      <c r="F758" s="5" t="n">
        <v>275000</v>
      </c>
      <c r="G758" s="16" t="n"/>
      <c r="H758" s="18" t="inlineStr">
        <is>
          <t>PROYECTADO</t>
        </is>
      </c>
      <c r="I758" s="4" t="inlineStr">
        <is>
          <t>BBVA MASTERCARD · proyectado</t>
        </is>
      </c>
      <c r="J758" s="4" t="inlineStr">
        <is>
          <t>BBVA</t>
        </is>
      </c>
      <c r="K758" s="4" t="inlineStr">
        <is>
          <t>PROYECTADO · C.10/12 · cashflow cuotas BBVA · gasto personal Sol · ex `Mercado Libre · MERCADOLIBRE`</t>
        </is>
      </c>
      <c r="L758" s="4" t="n">
        <v>596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ROPA</t>
        </is>
      </c>
      <c r="E759" s="4" t="inlineStr">
        <is>
          <t>ROPA</t>
        </is>
      </c>
      <c r="F759" s="5" t="n">
        <v>284794</v>
      </c>
      <c r="G759" s="16" t="n"/>
      <c r="H759" s="18" t="inlineStr">
        <is>
          <t>PROYECTADO</t>
        </is>
      </c>
      <c r="I759" s="4" t="inlineStr">
        <is>
          <t>BBVA VISA · proyectado</t>
        </is>
      </c>
      <c r="J759" s="4" t="inlineStr">
        <is>
          <t>BBVA</t>
        </is>
      </c>
      <c r="K759" s="4" t="inlineStr">
        <is>
          <t>PROYECTADO · C.06/06 · cashflow cuotas BBVA · gasto personal Sol</t>
        </is>
      </c>
      <c r="L759" s="4" t="n">
        <v>597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ROPA</t>
        </is>
      </c>
      <c r="E760" s="4" t="inlineStr">
        <is>
          <t>ROPA</t>
        </is>
      </c>
      <c r="F760" s="5" t="n">
        <v>73600</v>
      </c>
      <c r="G760" s="16" t="n"/>
      <c r="H760" s="18" t="inlineStr">
        <is>
          <t>PROYECTADO</t>
        </is>
      </c>
      <c r="I760" s="4" t="inlineStr">
        <is>
          <t>BBVA MASTERCARD · proyectado</t>
        </is>
      </c>
      <c r="J760" s="4" t="inlineStr">
        <is>
          <t>BBVA</t>
        </is>
      </c>
      <c r="K760" s="4" t="inlineStr">
        <is>
          <t>PROYECTADO · C.06/06 · cashflow cuotas BBVA · gasto personal Sol</t>
        </is>
      </c>
      <c r="L760" s="4" t="n">
        <v>598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ROPA</t>
        </is>
      </c>
      <c r="E761" s="4" t="inlineStr">
        <is>
          <t>ROPA</t>
        </is>
      </c>
      <c r="F761" s="5" t="n">
        <v>60917</v>
      </c>
      <c r="G761" s="16" t="n"/>
      <c r="H761" s="18" t="inlineStr">
        <is>
          <t>PROYECTADO</t>
        </is>
      </c>
      <c r="I761" s="4" t="inlineStr">
        <is>
          <t>BBVA VISA · proyectado</t>
        </is>
      </c>
      <c r="J761" s="4" t="inlineStr">
        <is>
          <t>BBVA</t>
        </is>
      </c>
      <c r="K761" s="4" t="inlineStr">
        <is>
          <t>PROYECTADO · C.08/12 · cashflow cuotas BBVA · gasto personal Sol</t>
        </is>
      </c>
      <c r="L761" s="4" t="n">
        <v>600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ROPA</t>
        </is>
      </c>
      <c r="E762" s="4" t="inlineStr">
        <is>
          <t>ROPA</t>
        </is>
      </c>
      <c r="F762" s="5" t="n">
        <v>69750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C.08/12 · cashflow cuotas BBVA · gasto personal Sol</t>
        </is>
      </c>
      <c r="L762" s="4" t="n">
        <v>601</v>
      </c>
    </row>
    <row r="763">
      <c r="A763" s="15" t="n">
        <v>46415</v>
      </c>
      <c r="B763" s="4" t="inlineStr">
        <is>
          <t>2027-01</t>
        </is>
      </c>
      <c r="C763" s="4" t="inlineStr">
        <is>
          <t>Enero 2027</t>
        </is>
      </c>
      <c r="D763" s="4" t="inlineStr">
        <is>
          <t>MERCADO LIBRE</t>
        </is>
      </c>
      <c r="E763" s="4" t="inlineStr">
        <is>
          <t>MERCADO LIBRE</t>
        </is>
      </c>
      <c r="F763" s="5" t="n">
        <v>275000</v>
      </c>
      <c r="G763" s="16" t="n"/>
      <c r="H763" s="18" t="inlineStr">
        <is>
          <t>PROYECTADO</t>
        </is>
      </c>
      <c r="I763" s="4" t="inlineStr">
        <is>
          <t>BBVA MASTERCARD · proyectado</t>
        </is>
      </c>
      <c r="J763" s="4" t="inlineStr">
        <is>
          <t>BBVA</t>
        </is>
      </c>
      <c r="K763" s="4" t="inlineStr">
        <is>
          <t>PROYECTADO · C.11/12 · cashflow cuotas BBVA · gasto personal Sol · ex `Mercado Libre · MERCADOLIBRE`</t>
        </is>
      </c>
      <c r="L763" s="4" t="n">
        <v>602</v>
      </c>
    </row>
    <row r="764">
      <c r="A764" s="15" t="n">
        <v>46415</v>
      </c>
      <c r="B764" s="4" t="inlineStr">
        <is>
          <t>2027-01</t>
        </is>
      </c>
      <c r="C764" s="4" t="inlineStr">
        <is>
          <t>Enero 2027</t>
        </is>
      </c>
      <c r="D764" s="4" t="inlineStr">
        <is>
          <t>ROPA</t>
        </is>
      </c>
      <c r="E764" s="4" t="inlineStr">
        <is>
          <t>ROPA</t>
        </is>
      </c>
      <c r="F764" s="5" t="n">
        <v>60917</v>
      </c>
      <c r="G764" s="16" t="n"/>
      <c r="H764" s="18" t="inlineStr">
        <is>
          <t>PROYECTADO</t>
        </is>
      </c>
      <c r="I764" s="4" t="inlineStr">
        <is>
          <t>BBVA VISA · proyectado</t>
        </is>
      </c>
      <c r="J764" s="4" t="inlineStr">
        <is>
          <t>BBVA</t>
        </is>
      </c>
      <c r="K764" s="4" t="inlineStr">
        <is>
          <t>PROYECTADO · C.09/12 · cashflow cuotas BBVA · gasto personal Sol</t>
        </is>
      </c>
      <c r="L764" s="4" t="n">
        <v>603</v>
      </c>
    </row>
    <row r="765">
      <c r="A765" s="15" t="n">
        <v>46415</v>
      </c>
      <c r="B765" s="4" t="inlineStr">
        <is>
          <t>2027-01</t>
        </is>
      </c>
      <c r="C765" s="4" t="inlineStr">
        <is>
          <t>Enero 2027</t>
        </is>
      </c>
      <c r="D765" s="4" t="inlineStr">
        <is>
          <t>ROPA</t>
        </is>
      </c>
      <c r="E765" s="4" t="inlineStr">
        <is>
          <t>ROPA</t>
        </is>
      </c>
      <c r="F765" s="5" t="n">
        <v>69750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C.09/12 · cashflow cuotas BBVA · gasto personal Sol</t>
        </is>
      </c>
      <c r="L765" s="4" t="n">
        <v>604</v>
      </c>
    </row>
    <row r="766">
      <c r="A766" s="15" t="n">
        <v>46446</v>
      </c>
      <c r="B766" s="4" t="inlineStr">
        <is>
          <t>2027-02</t>
        </is>
      </c>
      <c r="C766" s="4" t="inlineStr">
        <is>
          <t>Febrero 2027</t>
        </is>
      </c>
      <c r="D766" s="4" t="inlineStr">
        <is>
          <t>MERCADO LIBRE</t>
        </is>
      </c>
      <c r="E766" s="4" t="inlineStr">
        <is>
          <t>MERCADO LIBRE</t>
        </is>
      </c>
      <c r="F766" s="5" t="n">
        <v>275000</v>
      </c>
      <c r="G766" s="16" t="n"/>
      <c r="H766" s="18" t="inlineStr">
        <is>
          <t>PROYECTADO</t>
        </is>
      </c>
      <c r="I766" s="4" t="inlineStr">
        <is>
          <t>BBVA MASTERCARD · proyectado</t>
        </is>
      </c>
      <c r="J766" s="4" t="inlineStr">
        <is>
          <t>BBVA</t>
        </is>
      </c>
      <c r="K766" s="4" t="inlineStr">
        <is>
          <t>PROYECTADO · C.12/12 · cashflow cuotas BBVA · gasto personal Sol · ex `Mercado Libre · MERCADOLIBRE`</t>
        </is>
      </c>
      <c r="L766" s="4" t="n">
        <v>605</v>
      </c>
    </row>
    <row r="767">
      <c r="A767" s="15" t="n">
        <v>46446</v>
      </c>
      <c r="B767" s="4" t="inlineStr">
        <is>
          <t>2027-02</t>
        </is>
      </c>
      <c r="C767" s="4" t="inlineStr">
        <is>
          <t>Febrero 2027</t>
        </is>
      </c>
      <c r="D767" s="4" t="inlineStr">
        <is>
          <t>ROPA</t>
        </is>
      </c>
      <c r="E767" s="4" t="inlineStr">
        <is>
          <t>ROPA</t>
        </is>
      </c>
      <c r="F767" s="5" t="n">
        <v>60917</v>
      </c>
      <c r="G767" s="16" t="n"/>
      <c r="H767" s="18" t="inlineStr">
        <is>
          <t>PROYECTADO</t>
        </is>
      </c>
      <c r="I767" s="4" t="inlineStr">
        <is>
          <t>BBVA VISA · proyectado</t>
        </is>
      </c>
      <c r="J767" s="4" t="inlineStr">
        <is>
          <t>BBVA</t>
        </is>
      </c>
      <c r="K767" s="4" t="inlineStr">
        <is>
          <t>PROYECTADO · C.10/12 · cashflow cuotas BBVA · gasto personal Sol</t>
        </is>
      </c>
      <c r="L767" s="4" t="n">
        <v>606</v>
      </c>
    </row>
    <row r="768">
      <c r="A768" s="15" t="n">
        <v>46446</v>
      </c>
      <c r="B768" s="4" t="inlineStr">
        <is>
          <t>2027-02</t>
        </is>
      </c>
      <c r="C768" s="4" t="inlineStr">
        <is>
          <t>Febrero 2027</t>
        </is>
      </c>
      <c r="D768" s="4" t="inlineStr">
        <is>
          <t>ROPA</t>
        </is>
      </c>
      <c r="E768" s="4" t="inlineStr">
        <is>
          <t>ROPA</t>
        </is>
      </c>
      <c r="F768" s="5" t="n">
        <v>69750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C.10/12 · cashflow cuotas BBVA · gasto personal Sol</t>
        </is>
      </c>
      <c r="L768" s="4" t="n">
        <v>607</v>
      </c>
    </row>
    <row r="769">
      <c r="A769" s="15" t="n">
        <v>46474</v>
      </c>
      <c r="B769" s="4" t="inlineStr">
        <is>
          <t>2027-03</t>
        </is>
      </c>
      <c r="C769" s="4" t="inlineStr">
        <is>
          <t>Marzo 2027</t>
        </is>
      </c>
      <c r="D769" s="4" t="inlineStr">
        <is>
          <t>ROPA</t>
        </is>
      </c>
      <c r="E769" s="4" t="inlineStr">
        <is>
          <t>ROPA</t>
        </is>
      </c>
      <c r="F769" s="5" t="n">
        <v>60917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C.11/12 · cashflow cuotas BBVA · gasto personal Sol</t>
        </is>
      </c>
      <c r="L769" s="4" t="n">
        <v>608</v>
      </c>
    </row>
    <row r="770">
      <c r="A770" s="15" t="n">
        <v>46474</v>
      </c>
      <c r="B770" s="4" t="inlineStr">
        <is>
          <t>2027-03</t>
        </is>
      </c>
      <c r="C770" s="4" t="inlineStr">
        <is>
          <t>Marzo 2027</t>
        </is>
      </c>
      <c r="D770" s="4" t="inlineStr">
        <is>
          <t>ROPA</t>
        </is>
      </c>
      <c r="E770" s="4" t="inlineStr">
        <is>
          <t>ROPA</t>
        </is>
      </c>
      <c r="F770" s="5" t="n">
        <v>69750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C.11/12 · cashflow cuotas BBVA · gasto personal Sol</t>
        </is>
      </c>
      <c r="L770" s="4" t="n">
        <v>609</v>
      </c>
    </row>
    <row r="771">
      <c r="A771" s="15" t="n">
        <v>46505</v>
      </c>
      <c r="B771" s="4" t="inlineStr">
        <is>
          <t>2027-04</t>
        </is>
      </c>
      <c r="C771" s="4" t="inlineStr">
        <is>
          <t>Abril 2027</t>
        </is>
      </c>
      <c r="D771" s="4" t="inlineStr">
        <is>
          <t>ROPA</t>
        </is>
      </c>
      <c r="E771" s="4" t="inlineStr">
        <is>
          <t>ROPA</t>
        </is>
      </c>
      <c r="F771" s="5" t="n">
        <v>60917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C.12/12 · cashflow cuotas BBVA · gasto personal Sol</t>
        </is>
      </c>
      <c r="L771" s="4" t="n">
        <v>610</v>
      </c>
    </row>
    <row r="772">
      <c r="A772" s="15" t="n">
        <v>46505</v>
      </c>
      <c r="B772" s="4" t="inlineStr">
        <is>
          <t>2027-04</t>
        </is>
      </c>
      <c r="C772" s="4" t="inlineStr">
        <is>
          <t>Abril 2027</t>
        </is>
      </c>
      <c r="D772" s="4" t="inlineStr">
        <is>
          <t>ROPA</t>
        </is>
      </c>
      <c r="E772" s="4" t="inlineStr">
        <is>
          <t>ROPA</t>
        </is>
      </c>
      <c r="F772" s="5" t="n">
        <v>69750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C.12/12 · cashflow cuotas BBVA · gasto personal Sol</t>
        </is>
      </c>
      <c r="L772" s="4" t="n">
        <v>611</v>
      </c>
    </row>
  </sheetData>
  <autoFilter ref="A1:L77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46273</v>
      </c>
      <c r="B223" s="4" t="inlineStr">
        <is>
          <t>2026-09</t>
        </is>
      </c>
      <c r="C223" s="4" t="inlineStr">
        <is>
          <t>Septiembre</t>
        </is>
      </c>
      <c r="D223" s="4" t="inlineStr">
        <is>
          <t>COMIDA</t>
        </is>
      </c>
      <c r="E223" s="4" t="inlineStr">
        <is>
          <t>COMIDA · cerdo</t>
        </is>
      </c>
      <c r="F223" s="5" t="n">
        <v>13000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COMIDA · cerdo</t>
        </is>
      </c>
      <c r="K223" s="4" t="n">
        <v>357</v>
      </c>
    </row>
    <row r="224">
      <c r="A224" s="15" t="n">
        <v>46273</v>
      </c>
      <c r="B224" s="4" t="inlineStr">
        <is>
          <t>2026-09</t>
        </is>
      </c>
      <c r="C224" s="4" t="inlineStr">
        <is>
          <t>Septiembre</t>
        </is>
      </c>
      <c r="D224" s="4" t="inlineStr">
        <is>
          <t>REPUESTOS</t>
        </is>
      </c>
      <c r="E224" s="4" t="inlineStr">
        <is>
          <t>REPUESTOS · Sodastream</t>
        </is>
      </c>
      <c r="F224" s="5" t="n">
        <v>89000</v>
      </c>
      <c r="G224" s="16" t="n"/>
      <c r="H224" s="4" t="inlineStr">
        <is>
          <t>REAL</t>
        </is>
      </c>
      <c r="I224" s="4" t="inlineStr">
        <is>
          <t>Sin identificar</t>
        </is>
      </c>
      <c r="J224" s="4" t="inlineStr">
        <is>
          <t>Recambio de tres tubos de Soda Stream</t>
        </is>
      </c>
      <c r="K224" s="4" t="n">
        <v>356</v>
      </c>
    </row>
  </sheetData>
  <autoFilter ref="A1:K22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pendiente factura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17" t="n"/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Compromiso AVA · monto a confirmar · 50% Sol / 50% Chris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0.0007372270882689993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7</v>
      </c>
      <c r="E6" s="5" t="n">
        <v>19595145</v>
      </c>
      <c r="F6" s="20" t="n">
        <v>0.2387977798588121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0.001828498665642734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81</v>
      </c>
      <c r="E8" s="5" t="n">
        <v>1657749</v>
      </c>
      <c r="F8" s="20" t="n">
        <v>0.02020228892223895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0.005675155723760675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0.005886117590444279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0.01364973608013621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0.00657285568248717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0.002518965850817459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0.0007580052052290563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0.005691132328649024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0.002065746982932111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0.002320324615363542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0.004339847904671315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0.002913165117273154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0.009212115253253439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0.04874631544881391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0.0006844104554802094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0.07365012556319665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0.001464254010030334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0.01012619397397073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0.03602076076327176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0.004860336687876026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0.001881607776324217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0.009781850001640313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2</v>
      </c>
      <c r="E32" s="5" t="n">
        <v>142037</v>
      </c>
      <c r="F32" s="20" t="n">
        <v>0.001730945101850795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0.08112623828437147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0.02144452783855766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0.009601854231845569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0.02509730861355681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0.0001572068673224249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0.03263883889006394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0.001711605001196478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0.01076343018267535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0.008001622374870768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0.01182396720815861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14</v>
      </c>
      <c r="E44" s="5" t="n">
        <v>5153796</v>
      </c>
      <c r="F44" s="20" t="n">
        <v>0.06280714139370883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679</v>
      </c>
      <c r="C7" s="4" t="inlineStr">
        <is>
          <t>ARS 79,468,033</t>
        </is>
      </c>
    </row>
    <row r="8">
      <c r="A8" s="4" t="inlineStr">
        <is>
          <t>Movimientos Almacén Sol</t>
        </is>
      </c>
      <c r="B8" s="4" t="n">
        <v>223</v>
      </c>
      <c r="C8" s="4" t="inlineStr">
        <is>
          <t>ARS 8,336,788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2026-09-08T22:34:19Z</dcterms:created>
  <dcterms:modified xsi:type="dcterms:W3CDTF">2026-09-08T22:34:20Z</dcterms:modified>
</cp:coreProperties>
</file>
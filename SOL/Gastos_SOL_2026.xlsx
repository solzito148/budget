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Personales'!$A$1:$L$773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3" headerRowCount="1">
  <autoFilter ref="A1:L773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73728174</v>
      </c>
      <c r="C5" s="4" t="inlineStr">
        <is>
          <t>666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81962962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11332806</v>
      </c>
      <c r="C21" s="5" t="n">
        <v>585071</v>
      </c>
      <c r="D21" s="5" t="n">
        <v>11917877</v>
      </c>
      <c r="E21" s="5" t="n">
        <v>1564269</v>
      </c>
      <c r="F21" s="5" t="n">
        <v>13482146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46227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GASTO PERSONAL</t>
        </is>
      </c>
      <c r="F902" s="4" t="inlineStr">
        <is>
          <t>TRANSPORTE</t>
        </is>
      </c>
      <c r="G902" s="4" t="inlineStr">
        <is>
          <t>TRANSPORTE · Cabify</t>
        </is>
      </c>
      <c r="H902" s="5" t="n">
        <v>7478</v>
      </c>
      <c r="I902" s="16" t="n"/>
      <c r="J902" s="4" t="inlineStr">
        <is>
          <t>REAL</t>
        </is>
      </c>
      <c r="K902" s="4" t="inlineStr">
        <is>
          <t>BBVA Visa *3200</t>
        </is>
      </c>
      <c r="L902" s="4" t="inlineStr">
        <is>
          <t>BBVA</t>
        </is>
      </c>
      <c r="M902" s="4" t="inlineStr">
        <is>
          <t>Cabify · BBVA Visa *3200 · Cabify2630LsoIZ6dR · ceil $7.477,77 · gasto personal Sol</t>
        </is>
      </c>
      <c r="N902" s="4" t="inlineStr">
        <is>
          <t>CIUDAD / Gasto Personal Sol</t>
        </is>
      </c>
      <c r="O902" s="4" t="n">
        <v>829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46227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TRANSPORTE</t>
        </is>
      </c>
      <c r="E683" s="4" t="inlineStr">
        <is>
          <t>TRANSPORTE · Cabify</t>
        </is>
      </c>
      <c r="F683" s="5" t="n">
        <v>7478</v>
      </c>
      <c r="G683" s="16" t="n"/>
      <c r="H683" s="4" t="inlineStr">
        <is>
          <t>REAL</t>
        </is>
      </c>
      <c r="I683" s="4" t="inlineStr">
        <is>
          <t>BBVA Visa *3200</t>
        </is>
      </c>
      <c r="J683" s="4" t="inlineStr">
        <is>
          <t>BBVA</t>
        </is>
      </c>
      <c r="K683" s="4" t="inlineStr">
        <is>
          <t>Cabify · BBVA Visa *3200 · Cabify2630LsoIZ6dR · ceil $7.477,77 · gasto personal Sol</t>
        </is>
      </c>
      <c r="L683" s="4" t="n">
        <v>829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329986</v>
      </c>
      <c r="G684" s="16" t="n"/>
      <c r="H684" s="18" t="inlineStr">
        <is>
          <t>PROYECTADO</t>
        </is>
      </c>
      <c r="I684" s="4" t="inlineStr">
        <is>
          <t>BBVA VISA · proyectado</t>
        </is>
      </c>
      <c r="J684" s="4" t="inlineStr">
        <is>
          <t>BBVA</t>
        </is>
      </c>
      <c r="K684" s="4" t="inlineStr">
        <is>
          <t>PROYECTADO · C.03/03 · cashflow cuotas BBVA · gasto personal Sol · ex `CAMBIODEAIRES`</t>
        </is>
      </c>
      <c r="L684" s="4" t="n">
        <v>524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HOGAR</t>
        </is>
      </c>
      <c r="E685" s="4" t="inlineStr">
        <is>
          <t>HOGAR</t>
        </is>
      </c>
      <c r="F685" s="5" t="n">
        <v>18334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HOGAR · Stanley · PROYECTADO · C.04/06 · cashflow cuotas BBVA · gasto personal Sol</t>
        </is>
      </c>
      <c r="L685" s="4" t="n">
        <v>534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275000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C.05/12 · cashflow cuotas BBVA · gasto personal Sol · ex `Mercado Libre · MERCADOLIBRE`</t>
        </is>
      </c>
      <c r="L686" s="4" t="n">
        <v>527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17360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528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MERCADO LIBRE</t>
        </is>
      </c>
      <c r="E688" s="4" t="inlineStr">
        <is>
          <t>MERCADO LIBRE</t>
        </is>
      </c>
      <c r="F688" s="5" t="n">
        <v>16950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PROYECTADO · C.06/09 · cashflow cuotas BBVA · gasto personal Sol · ex `Mercado Libre · MERCADOLIBRE`</t>
        </is>
      </c>
      <c r="L688" s="4" t="n">
        <v>529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124667</v>
      </c>
      <c r="G689" s="16" t="n"/>
      <c r="H689" s="18" t="inlineStr">
        <is>
          <t>PROYECTADO</t>
        </is>
      </c>
      <c r="I689" s="4" t="inlineStr">
        <is>
          <t>BBVA VISA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522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80834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C.03/06 · cashflow cuotas BBVA · gasto personal Sol</t>
        </is>
      </c>
      <c r="L690" s="4" t="n">
        <v>525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95984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ROPA · Monofuk · PROYECTADO · C.04/06 · cashflow cuotas BBVA · gasto personal Sol</t>
        </is>
      </c>
      <c r="L691" s="4" t="n">
        <v>530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73333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C.03/03 · cashflow cuotas BBVA · gasto personal Sol</t>
        </is>
      </c>
      <c r="L692" s="4" t="n">
        <v>531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36667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C.03/06 · cashflow cuotas BBVA · gasto personal Sol</t>
        </is>
      </c>
      <c r="L693" s="4" t="n">
        <v>533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84216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535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60917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536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69750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C.03/12 · cashflow cuotas BBVA · gasto personal Sol</t>
        </is>
      </c>
      <c r="L696" s="4" t="n">
        <v>537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ROPA</t>
        </is>
      </c>
      <c r="F697" s="5" t="n">
        <v>40004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C.03/03 · cashflow cuotas BBVA · gasto personal Sol</t>
        </is>
      </c>
      <c r="L697" s="4" t="n">
        <v>538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</t>
        </is>
      </c>
      <c r="E698" s="4" t="inlineStr">
        <is>
          <t>SALUD</t>
        </is>
      </c>
      <c r="F698" s="5" t="n">
        <v>54033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SALUD · Laboratorio · PROYECTADO · C.04/06 · cashflow cuotas BBVA · gasto personal Sol</t>
        </is>
      </c>
      <c r="L698" s="4" t="n">
        <v>526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SALUD · Vitaminas</t>
        </is>
      </c>
      <c r="E699" s="4" t="inlineStr">
        <is>
          <t>SALUD · Vitaminas</t>
        </is>
      </c>
      <c r="F699" s="5" t="n">
        <v>87900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SALUD · Vitaminas · Promarine · BBVA · C.04/06 · gasto personal Sol</t>
        </is>
      </c>
      <c r="L699" s="4" t="n">
        <v>532</v>
      </c>
    </row>
    <row r="700">
      <c r="A700" s="15" t="n">
        <v>46231</v>
      </c>
      <c r="B700" s="4" t="inlineStr">
        <is>
          <t>2026-07</t>
        </is>
      </c>
      <c r="C700" s="4" t="inlineStr">
        <is>
          <t>Julio</t>
        </is>
      </c>
      <c r="D700" s="4" t="inlineStr">
        <is>
          <t>ROPA</t>
        </is>
      </c>
      <c r="E700" s="4" t="inlineStr">
        <is>
          <t>VESTIMENTA</t>
        </is>
      </c>
      <c r="F700" s="5" t="n">
        <v>98334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Bokenvoreno · PROYECTADO · C.03/06 · cashflow cuotas BBVA · gasto personal Sol</t>
        </is>
      </c>
      <c r="L700" s="4" t="n">
        <v>523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EVENTOS DEPORTIVOS - RIVER</t>
        </is>
      </c>
      <c r="E701" s="4" t="inlineStr">
        <is>
          <t>Eventos deportivos - River</t>
        </is>
      </c>
      <c r="F701" s="5" t="n">
        <v>169667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C.02/06 · cashflow cuotas BBVA · gasto personal Sol · Eventos deportivos - River</t>
        </is>
      </c>
      <c r="L701" s="4" t="n">
        <v>554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HOGAR</t>
        </is>
      </c>
      <c r="E702" s="4" t="inlineStr">
        <is>
          <t>HOGAR</t>
        </is>
      </c>
      <c r="F702" s="5" t="n">
        <v>18334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HOGAR · Stanley · PROYECTADO · C.05/06 · cashflow cuotas BBVA · gasto personal Sol</t>
        </is>
      </c>
      <c r="L702" s="4" t="n">
        <v>553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12084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ex `Mercado Libre · MERCADOLIBRE`</t>
        </is>
      </c>
      <c r="L703" s="4" t="n">
        <v>544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275000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C.06/12 · cashflow cuotas BBVA · gasto personal Sol · ex `Mercado Libre · MERCADOLIBRE`</t>
        </is>
      </c>
      <c r="L704" s="4" t="n">
        <v>545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17360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546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16950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C.07/09 · cashflow cuotas BBVA · gasto personal Sol · ex `Mercado Libre · MERCADOLIBRE`</t>
        </is>
      </c>
      <c r="L706" s="4" t="n">
        <v>547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124667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539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31700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ROPA · Frivilli · PROYECTADO · C.02/03 · cashflow cuotas BBVA · gasto personal Sol</t>
        </is>
      </c>
      <c r="L708" s="4" t="n">
        <v>541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80834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542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95984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ROPA · Monofuk · PROYECTADO · C.05/06 · cashflow cuotas BBVA · gasto personal Sol</t>
        </is>
      </c>
      <c r="L710" s="4" t="n">
        <v>548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284794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549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73600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C.02/06 · cashflow cuotas BBVA · gasto personal Sol</t>
        </is>
      </c>
      <c r="L712" s="4" t="n">
        <v>550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36667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PROYECTADO · C.04/06 · cashflow cuotas BBVA · gasto personal Sol</t>
        </is>
      </c>
      <c r="L713" s="4" t="n">
        <v>552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60917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555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69750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PROYECTADO · C.04/12 · cashflow cuotas BBVA · gasto personal Sol</t>
        </is>
      </c>
      <c r="L715" s="4" t="n">
        <v>556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</t>
        </is>
      </c>
      <c r="E716" s="4" t="inlineStr">
        <is>
          <t>SALUD</t>
        </is>
      </c>
      <c r="F716" s="5" t="n">
        <v>54033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SALUD · Laboratorio · PROYECTADO · C.05/06 · cashflow cuotas BBVA · gasto personal Sol</t>
        </is>
      </c>
      <c r="L716" s="4" t="n">
        <v>543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SALUD · Vitaminas</t>
        </is>
      </c>
      <c r="E717" s="4" t="inlineStr">
        <is>
          <t>SALUD · Vitaminas</t>
        </is>
      </c>
      <c r="F717" s="5" t="n">
        <v>87900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SALUD · Vitaminas · Promarine · BBVA · C.05/06 · gasto personal Sol</t>
        </is>
      </c>
      <c r="L717" s="4" t="n">
        <v>551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VESTIMENTA</t>
        </is>
      </c>
      <c r="F718" s="5" t="n">
        <v>98334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ROPA · Bokenvoreno · PROYECTADO · C.04/06 · cashflow cuotas BBVA · gasto personal Sol</t>
        </is>
      </c>
      <c r="L718" s="4" t="n">
        <v>540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EVENTOS DEPORTIVOS - RIVER</t>
        </is>
      </c>
      <c r="E719" s="4" t="inlineStr">
        <is>
          <t>Eventos deportivos - River</t>
        </is>
      </c>
      <c r="F719" s="5" t="n">
        <v>169667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C.03/06 · cashflow cuotas BBVA · gasto personal Sol · Eventos deportivos - River</t>
        </is>
      </c>
      <c r="L719" s="4" t="n">
        <v>572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HOGAR</t>
        </is>
      </c>
      <c r="E720" s="4" t="inlineStr">
        <is>
          <t>HOGAR</t>
        </is>
      </c>
      <c r="F720" s="5" t="n">
        <v>18334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HOGAR · Stanley · PROYECTADO · C.06/06 · cashflow cuotas BBVA · gasto personal Sol</t>
        </is>
      </c>
      <c r="L720" s="4" t="n">
        <v>571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12084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ex `Mercado Libre · MERCADOLIBRE`</t>
        </is>
      </c>
      <c r="L721" s="4" t="n">
        <v>562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275000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C.07/12 · cashflow cuotas BBVA · gasto personal Sol · ex `Mercado Libre · MERCADOLIBRE`</t>
        </is>
      </c>
      <c r="L722" s="4" t="n">
        <v>563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17360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564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16950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C.08/09 · cashflow cuotas BBVA · gasto personal Sol · ex `Mercado Libre · MERCADOLIBRE`</t>
        </is>
      </c>
      <c r="L724" s="4" t="n">
        <v>565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124667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C.05/06 · cashflow cuotas BBVA · gasto personal Sol</t>
        </is>
      </c>
      <c r="L725" s="4" t="n">
        <v>557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31700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ROPA · Frivilli · PROYECTADO · C.03/03 · cashflow cuotas BBVA · gasto personal Sol</t>
        </is>
      </c>
      <c r="L726" s="4" t="n">
        <v>559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80834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560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95984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ROPA · Monofuk · PROYECTADO · C.06/06 · cashflow cuotas BBVA · gasto personal Sol</t>
        </is>
      </c>
      <c r="L728" s="4" t="n">
        <v>566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284794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567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73600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C.03/06 · cashflow cuotas BBVA · gasto personal Sol</t>
        </is>
      </c>
      <c r="L730" s="4" t="n">
        <v>568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36667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570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60917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573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69750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C.05/12 · cashflow cuotas BBVA · gasto personal Sol</t>
        </is>
      </c>
      <c r="L733" s="4" t="n">
        <v>574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</t>
        </is>
      </c>
      <c r="E734" s="4" t="inlineStr">
        <is>
          <t>SALUD</t>
        </is>
      </c>
      <c r="F734" s="5" t="n">
        <v>54033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SALUD · Laboratorio · PROYECTADO · C.06/06 · cashflow cuotas BBVA · gasto personal Sol</t>
        </is>
      </c>
      <c r="L734" s="4" t="n">
        <v>561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SALUD · Vitaminas</t>
        </is>
      </c>
      <c r="E735" s="4" t="inlineStr">
        <is>
          <t>SALUD · Vitaminas</t>
        </is>
      </c>
      <c r="F735" s="5" t="n">
        <v>87900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SALUD · Vitaminas · Promarine · BBVA · C.06/06 · gasto personal Sol</t>
        </is>
      </c>
      <c r="L735" s="4" t="n">
        <v>569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VESTIMENTA</t>
        </is>
      </c>
      <c r="F736" s="5" t="n">
        <v>98334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ROPA · Bokenvoreno · PROYECTADO · C.05/06 · cashflow cuotas BBVA · gasto personal Sol</t>
        </is>
      </c>
      <c r="L736" s="4" t="n">
        <v>558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EVENTOS DEPORTIVOS - RIVER</t>
        </is>
      </c>
      <c r="E737" s="4" t="inlineStr">
        <is>
          <t>Eventos deportivos - River</t>
        </is>
      </c>
      <c r="F737" s="5" t="n">
        <v>169667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Eventos deportivos - River</t>
        </is>
      </c>
      <c r="L737" s="4" t="n">
        <v>585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12084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PROYECTADO · C.04/06 · cashflow cuotas BBVA · gasto personal Sol · ex `Mercado Libre · MERCADOLIBRE`</t>
        </is>
      </c>
      <c r="L738" s="4" t="n">
        <v>578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275000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C.08/12 · cashflow cuotas BBVA · gasto personal Sol · ex `Mercado Libre · MERCADOLIBRE`</t>
        </is>
      </c>
      <c r="L739" s="4" t="n">
        <v>579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17360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580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16950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C.09/09 · cashflow cuotas BBVA · gasto personal Sol · ex `Mercado Libre · MERCADOLIBRE`</t>
        </is>
      </c>
      <c r="L741" s="4" t="n">
        <v>581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124667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575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80834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577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284794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582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73600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C.04/06 · cashflow cuotas BBVA · gasto personal Sol</t>
        </is>
      </c>
      <c r="L745" s="4" t="n">
        <v>583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36667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C.06/06 · cashflow cuotas BBVA · gasto personal Sol</t>
        </is>
      </c>
      <c r="L746" s="4" t="n">
        <v>584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60917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586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69750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C.06/12 · cashflow cuotas BBVA · gasto personal Sol</t>
        </is>
      </c>
      <c r="L748" s="4" t="n">
        <v>587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VESTIMENTA</t>
        </is>
      </c>
      <c r="F749" s="5" t="n">
        <v>98334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ROPA · Bokenvoreno · PROYECTADO · C.06/06 · cashflow cuotas BBVA · gasto personal Sol</t>
        </is>
      </c>
      <c r="L749" s="4" t="n">
        <v>576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EVENTOS DEPORTIVOS - RIVER</t>
        </is>
      </c>
      <c r="E750" s="4" t="inlineStr">
        <is>
          <t>Eventos deportivos - River</t>
        </is>
      </c>
      <c r="F750" s="5" t="n">
        <v>169667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Eventos deportivos - River</t>
        </is>
      </c>
      <c r="L750" s="4" t="n">
        <v>592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12084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C.05/06 · cashflow cuotas BBVA · gasto personal Sol · ex `Mercado Libre · MERCADOLIBRE`</t>
        </is>
      </c>
      <c r="L751" s="4" t="n">
        <v>588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MERCADO LIBRE</t>
        </is>
      </c>
      <c r="E752" s="4" t="inlineStr">
        <is>
          <t>MERCADO LIBRE</t>
        </is>
      </c>
      <c r="F752" s="5" t="n">
        <v>275000</v>
      </c>
      <c r="G752" s="16" t="n"/>
      <c r="H752" s="18" t="inlineStr">
        <is>
          <t>PROYECTADO</t>
        </is>
      </c>
      <c r="I752" s="4" t="inlineStr">
        <is>
          <t>BBVA MASTERCARD · proyectado</t>
        </is>
      </c>
      <c r="J752" s="4" t="inlineStr">
        <is>
          <t>BBVA</t>
        </is>
      </c>
      <c r="K752" s="4" t="inlineStr">
        <is>
          <t>PROYECTADO · C.09/12 · cashflow cuotas BBVA · gasto personal Sol · ex `Mercado Libre · MERCADOLIBRE`</t>
        </is>
      </c>
      <c r="L752" s="4" t="n">
        <v>589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284794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590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73600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C.05/06 · cashflow cuotas BBVA · gasto personal Sol</t>
        </is>
      </c>
      <c r="L754" s="4" t="n">
        <v>591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60917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593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69750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C.07/12 · cashflow cuotas BBVA · gasto personal Sol</t>
        </is>
      </c>
      <c r="L756" s="4" t="n">
        <v>594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EVENTOS DEPORTIVOS - RIVER</t>
        </is>
      </c>
      <c r="E757" s="4" t="inlineStr">
        <is>
          <t>Eventos deportivos - River</t>
        </is>
      </c>
      <c r="F757" s="5" t="n">
        <v>169667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Eventos deportivos - River</t>
        </is>
      </c>
      <c r="L757" s="4" t="n">
        <v>599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12084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C.06/06 · cashflow cuotas BBVA · gasto personal Sol · ex `Mercado Libre · MERCADOLIBRE`</t>
        </is>
      </c>
      <c r="L758" s="4" t="n">
        <v>595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275000</v>
      </c>
      <c r="G759" s="16" t="n"/>
      <c r="H759" s="18" t="inlineStr">
        <is>
          <t>PROYECTADO</t>
        </is>
      </c>
      <c r="I759" s="4" t="inlineStr">
        <is>
          <t>BBVA MASTERCARD · proyectado</t>
        </is>
      </c>
      <c r="J759" s="4" t="inlineStr">
        <is>
          <t>BBVA</t>
        </is>
      </c>
      <c r="K759" s="4" t="inlineStr">
        <is>
          <t>PROYECTADO · C.10/12 · cashflow cuotas BBVA · gasto personal Sol · ex `Mercado Libre · MERCADOLIBRE`</t>
        </is>
      </c>
      <c r="L759" s="4" t="n">
        <v>596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284794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597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73600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C.06/06 · cashflow cuotas BBVA · gasto personal Sol</t>
        </is>
      </c>
      <c r="L761" s="4" t="n">
        <v>598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60917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600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69750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C.08/12 · cashflow cuotas BBVA · gasto personal Sol</t>
        </is>
      </c>
      <c r="L763" s="4" t="n">
        <v>601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275000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C.11/12 · cashflow cuotas BBVA · gasto personal Sol · ex `Mercado Libre · MERCADOLIBRE`</t>
        </is>
      </c>
      <c r="L764" s="4" t="n">
        <v>602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60917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603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ROPA</t>
        </is>
      </c>
      <c r="E766" s="4" t="inlineStr">
        <is>
          <t>ROPA</t>
        </is>
      </c>
      <c r="F766" s="5" t="n">
        <v>69750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C.09/12 · cashflow cuotas BBVA · gasto personal Sol</t>
        </is>
      </c>
      <c r="L766" s="4" t="n">
        <v>604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MERCADO LIBRE</t>
        </is>
      </c>
      <c r="E767" s="4" t="inlineStr">
        <is>
          <t>MERCADO LIBRE</t>
        </is>
      </c>
      <c r="F767" s="5" t="n">
        <v>275000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C.12/12 · cashflow cuotas BBVA · gasto personal Sol · ex `Mercado Libre · MERCADOLIBRE`</t>
        </is>
      </c>
      <c r="L767" s="4" t="n">
        <v>605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60917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606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ROPA</t>
        </is>
      </c>
      <c r="E769" s="4" t="inlineStr">
        <is>
          <t>ROPA</t>
        </is>
      </c>
      <c r="F769" s="5" t="n">
        <v>69750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C.10/12 · cashflow cuotas BBVA · gasto personal Sol</t>
        </is>
      </c>
      <c r="L769" s="4" t="n">
        <v>607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608</v>
      </c>
    </row>
    <row r="771">
      <c r="A771" s="15" t="n">
        <v>46474</v>
      </c>
      <c r="B771" s="4" t="inlineStr">
        <is>
          <t>2027-03</t>
        </is>
      </c>
      <c r="C771" s="4" t="inlineStr">
        <is>
          <t>Marzo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C.11/12 · cashflow cuotas BBVA · gasto personal Sol</t>
        </is>
      </c>
      <c r="L771" s="4" t="n">
        <v>609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610</v>
      </c>
    </row>
    <row r="773">
      <c r="A773" s="15" t="n">
        <v>46505</v>
      </c>
      <c r="B773" s="4" t="inlineStr">
        <is>
          <t>2027-04</t>
        </is>
      </c>
      <c r="C773" s="4" t="inlineStr">
        <is>
          <t>Abril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C.12/12 · cashflow cuotas BBVA · gasto personal Sol</t>
        </is>
      </c>
      <c r="L773" s="4" t="n">
        <v>611</v>
      </c>
    </row>
  </sheetData>
  <autoFilter ref="A1:L77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0.000738077279344785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0.239073168195166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0.001830607341886937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0.0200669785457485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0.005681700473440674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0.005892905627300292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0.01366547734085062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0.006580435685084197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0.002521870793298076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0.0007588793582154827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0.005697695503000489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0.002068129260628721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0.002323000479167651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0.004344852739704551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0.002916524661468433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0.009222738924442482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0.04880253107495066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0.000685199736925076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0.07373506096570791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0.001465942629062137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0.01013787178652719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0.03606230092075003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0.004865941765257337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0.001883777699493095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0.009793130707013736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0.0006470849601555395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0.08121979535097816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0.02146925827302337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0.00961292736101948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0.02512625153785926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0.0001573881627167159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0.03267647891983211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0.001713578872369205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171</v>
      </c>
      <c r="E41" s="5" t="n">
        <v>890698</v>
      </c>
      <c r="F41" s="20" t="n">
        <v>0.0108670792058491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0.008010850071523769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0.01183760294070388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0.06287957236098911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680</v>
      </c>
      <c r="C7" s="4" t="inlineStr">
        <is>
          <t>ARS 79,475,511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2026-07-24T15:54:24Z</dcterms:created>
  <dcterms:modified xsi:type="dcterms:W3CDTF">2026-07-24T15:54:25Z</dcterms:modified>
</cp:coreProperties>
</file>
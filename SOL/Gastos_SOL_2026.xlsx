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Sol'!$A$1:$O$1035</definedName>
    <definedName name="_xlnm._FilterDatabase" localSheetId="2" hidden="1">'Gastos Personales'!$A$1:$L$881</definedName>
    <definedName name="_xlnm._FilterDatabase" localSheetId="3" hidden="1">'Almacén Sol'!$A$1:$K$247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1035" headerRowCount="1">
  <autoFilter ref="A1:O1035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1" headerRowCount="1">
  <autoFilter ref="A1:L8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47" headerRowCount="1">
  <autoFilter ref="A1:K247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1" headerRowCount="1">
  <autoFilter ref="A1:I3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87824446</v>
      </c>
      <c r="C5" s="4" t="inlineStr">
        <is>
          <t>774 movimientos</t>
        </is>
      </c>
    </row>
    <row r="6">
      <c r="A6" s="4" t="inlineStr">
        <is>
          <t>Almacén Sol real 2026</t>
        </is>
      </c>
      <c r="B6" s="5" t="n">
        <v>8865391</v>
      </c>
      <c r="C6" s="4" t="inlineStr">
        <is>
          <t>246 movimientos</t>
        </is>
      </c>
    </row>
    <row r="7">
      <c r="A7" s="6" t="inlineStr">
        <is>
          <t>Total real Sol 2026</t>
        </is>
      </c>
      <c r="B7" s="7" t="n">
        <v>96689837</v>
      </c>
      <c r="C7" s="4" t="inlineStr">
        <is>
          <t>1020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6985616</v>
      </c>
      <c r="C12" s="4" t="inlineStr">
        <is>
          <t>30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14103750</v>
      </c>
      <c r="C23" s="5" t="n">
        <v>630603</v>
      </c>
      <c r="D23" s="5" t="n">
        <v>14734353</v>
      </c>
      <c r="E23" s="5" t="n">
        <v>1608575</v>
      </c>
      <c r="F23" s="5" t="n">
        <v>16342928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Didi</t>
        </is>
      </c>
      <c r="H908" s="5" t="n">
        <v>7600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Didi · gasto personal Sol · dinero en cuenta MP screenshot</t>
        </is>
      </c>
      <c r="N908" s="4" t="inlineStr">
        <is>
          <t>CIUDAD / Gasto Personal Sol</t>
        </is>
      </c>
      <c r="O908" s="4" t="n">
        <v>837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839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TRANSPORTE</t>
        </is>
      </c>
      <c r="G911" s="4" t="inlineStr">
        <is>
          <t>TRANSPORTE · Uber</t>
        </is>
      </c>
      <c r="H911" s="5" t="n">
        <v>6607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Uber · Ebanx (=Uber) · gasto personal Sol · dinero en cuenta MP screenshot</t>
        </is>
      </c>
      <c r="N911" s="4" t="inlineStr">
        <is>
          <t>CIUDAD / Gasto Personal Sol</t>
        </is>
      </c>
      <c r="O911" s="4" t="n">
        <v>840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</t>
        </is>
      </c>
      <c r="H912" s="5" t="n">
        <v>16149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screenshot · REVISAR si Market · dinero en cuenta MP screenshot</t>
        </is>
      </c>
      <c r="N912" s="4" t="inlineStr">
        <is>
          <t>CIUDAD / Almacen Detalle</t>
        </is>
      </c>
      <c r="O912" s="4" t="n">
        <v>359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COMIDA</t>
        </is>
      </c>
      <c r="G913" s="4" t="inlineStr">
        <is>
          <t>PEDIDOS YA · COMIDA · propina</t>
        </is>
      </c>
      <c r="H913" s="5" t="n">
        <v>800</v>
      </c>
      <c r="I913" s="16" t="n"/>
      <c r="J913" s="4" t="inlineStr">
        <is>
          <t>REAL</t>
        </is>
      </c>
      <c r="K913" s="17" t="n"/>
      <c r="L913" s="4" t="inlineStr">
        <is>
          <t>Sin identificar</t>
        </is>
      </c>
      <c r="M913" s="4" t="inlineStr">
        <is>
          <t>PEDIDOS YA · COMIDA · propina · screenshot · REVISAR si Market · dinero en cuenta MP screenshot</t>
        </is>
      </c>
      <c r="N913" s="4" t="inlineStr">
        <is>
          <t>CIUDAD / Almacen Detalle</t>
        </is>
      </c>
      <c r="O913" s="4" t="n">
        <v>360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SUPERMERCADO</t>
        </is>
      </c>
      <c r="G914" s="4" t="inlineStr">
        <is>
          <t>SUPERMERCADO · Día</t>
        </is>
      </c>
      <c r="H914" s="5" t="n">
        <v>41139</v>
      </c>
      <c r="I914" s="16" t="n"/>
      <c r="J914" s="4" t="inlineStr">
        <is>
          <t>REAL</t>
        </is>
      </c>
      <c r="K914" s="17" t="n"/>
      <c r="L914" s="4" t="inlineStr">
        <is>
          <t>BBVA</t>
        </is>
      </c>
      <c r="M914" s="4" t="inlineStr">
        <is>
          <t>SUPERMERCADO · Día · BBVA VISA · MERPAGO*SUPERDIA · Gmail Compra aprobada · REVISAR vs settlement</t>
        </is>
      </c>
      <c r="N914" s="4" t="inlineStr">
        <is>
          <t>CIUDAD / Almacen Detalle</t>
        </is>
      </c>
      <c r="O914" s="4" t="n">
        <v>356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Didi</t>
        </is>
      </c>
      <c r="H915" s="5" t="n">
        <v>4900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Didi · gasto personal Sol · dinero en cuenta MP screenshot</t>
        </is>
      </c>
      <c r="N915" s="4" t="inlineStr">
        <is>
          <t>CIUDAD / Gasto Personal Sol</t>
        </is>
      </c>
      <c r="O915" s="4" t="n">
        <v>844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TRANSPORTE</t>
        </is>
      </c>
      <c r="G916" s="4" t="inlineStr">
        <is>
          <t>TRANSPORTE · Uber</t>
        </is>
      </c>
      <c r="H916" s="5" t="n">
        <v>7520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TRANSPORTE · Uber · Ebanx (=Uber) · gasto personal Sol · dinero en cuenta MP screenshot</t>
        </is>
      </c>
      <c r="N916" s="4" t="inlineStr">
        <is>
          <t>CIUDAD / Gasto Personal Sol</t>
        </is>
      </c>
      <c r="O916" s="4" t="n">
        <v>843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ALMACÉN SOL</t>
        </is>
      </c>
      <c r="F917" s="4" t="inlineStr">
        <is>
          <t>COMIDA</t>
        </is>
      </c>
      <c r="G917" s="4" t="inlineStr">
        <is>
          <t>COMIDA · Pescadería Belgrano</t>
        </is>
      </c>
      <c r="H917" s="5" t="n">
        <v>6213</v>
      </c>
      <c r="I917" s="16" t="n"/>
      <c r="J917" s="4" t="inlineStr">
        <is>
          <t>REAL</t>
        </is>
      </c>
      <c r="K917" s="17" t="n"/>
      <c r="L917" s="4" t="inlineStr">
        <is>
          <t>Mercado Pago</t>
        </is>
      </c>
      <c r="M917" s="4" t="inlineStr">
        <is>
          <t>COMIDA · Pescadería Belgrano · Mercado Pago · Gmail Pago aprobado · REVISAR vs settlement</t>
        </is>
      </c>
      <c r="N917" s="4" t="inlineStr">
        <is>
          <t>CIUDAD / Almacen Detalle</t>
        </is>
      </c>
      <c r="O917" s="4" t="n">
        <v>358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AVA FIDEICOMISO</t>
        </is>
      </c>
      <c r="G918" s="4" t="inlineStr">
        <is>
          <t>AVA Fideicomiso</t>
        </is>
      </c>
      <c r="H918" s="5" t="n">
        <v>3134720</v>
      </c>
      <c r="I918" s="16" t="n"/>
      <c r="J918" s="4" t="inlineStr">
        <is>
          <t>REAL</t>
        </is>
      </c>
      <c r="K918" s="4" t="inlineStr">
        <is>
          <t>Mercado Pago / Transferencia</t>
        </is>
      </c>
      <c r="L918" s="4" t="inlineStr">
        <is>
          <t>Mercado Pago</t>
        </is>
      </c>
      <c r="M918" s="4" t="inlineStr">
        <is>
          <t>AVA Fideicomiso · cuota 10 · vto 2026-09-04 · total 6269440 · TC MEP venta 1525.39 · USD 4110.06 · 50% Sol · Gmail factura/recibo 07/09</t>
        </is>
      </c>
      <c r="N918" s="4" t="inlineStr">
        <is>
          <t>CIUDAD / Gasto Personal Sol</t>
        </is>
      </c>
      <c r="O918" s="4" t="n">
        <v>829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COMPRAS</t>
        </is>
      </c>
      <c r="G919" s="4" t="inlineStr">
        <is>
          <t>COMPRAS</t>
        </is>
      </c>
      <c r="H919" s="5" t="n">
        <v>580320</v>
      </c>
      <c r="I919" s="16" t="n"/>
      <c r="J919" s="4" t="inlineStr">
        <is>
          <t>REAL</t>
        </is>
      </c>
      <c r="K919" s="4" t="inlineStr">
        <is>
          <t>BBVA VISA</t>
        </is>
      </c>
      <c r="L919" s="4" t="inlineStr">
        <is>
          <t>BBVA</t>
        </is>
      </c>
      <c r="M919" s="4" t="inlineStr">
        <is>
          <t>COMPRAS · dhgate.com · BBVA VISA · USD 380.44 × TC MEP 1525.39 · importación · alerta Gmail Compra aprobada · REVISAR vs resumen BBVA</t>
        </is>
      </c>
      <c r="N919" s="4" t="inlineStr">
        <is>
          <t>CIUDAD / Gasto Personal Sol</t>
        </is>
      </c>
      <c r="O919" s="4" t="n">
        <v>926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846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OTROS PERSONALES</t>
        </is>
      </c>
      <c r="G921" s="4" t="inlineStr">
        <is>
          <t>IMPUESTOS · ARCA</t>
        </is>
      </c>
      <c r="H921" s="5" t="n">
        <v>10000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IMPUESTOS · ARCA / AFIP · MP 2026-09-05 · gasto personal Sol · dinero en cuenta MP screenshot</t>
        </is>
      </c>
      <c r="N921" s="4" t="inlineStr">
        <is>
          <t>CIUDAD / Gasto Personal Sol</t>
        </is>
      </c>
      <c r="O921" s="4" t="n">
        <v>847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TRANSFERENCIAS</t>
        </is>
      </c>
      <c r="G922" s="4" t="inlineStr">
        <is>
          <t>TRANSFERENCIAS</t>
        </is>
      </c>
      <c r="H922" s="5" t="n">
        <v>10800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Digno Lopez · Transferencia enviada · gasto personal Sol · dinero en cuenta MP screenshot</t>
        </is>
      </c>
      <c r="N922" s="4" t="inlineStr">
        <is>
          <t>CIUDAD / Gasto Personal Sol</t>
        </is>
      </c>
      <c r="O922" s="4" t="n">
        <v>845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ALMACÉN SOL</t>
        </is>
      </c>
      <c r="F923" s="4" t="inlineStr">
        <is>
          <t>COMIDA</t>
        </is>
      </c>
      <c r="G923" s="4" t="inlineStr">
        <is>
          <t>COMIDA · AL PASO</t>
        </is>
      </c>
      <c r="H923" s="5" t="n">
        <v>8700</v>
      </c>
      <c r="I923" s="16" t="n"/>
      <c r="J923" s="4" t="inlineStr">
        <is>
          <t>REAL</t>
        </is>
      </c>
      <c r="K923" s="17" t="n"/>
      <c r="L923" s="4" t="inlineStr">
        <is>
          <t>Mercado Pago</t>
        </is>
      </c>
      <c r="M923" s="4" t="inlineStr">
        <is>
          <t>COMIDA · AL PASO · Mercado Pago · dinero en cuenta MP screenshot</t>
        </is>
      </c>
      <c r="N923" s="4" t="inlineStr">
        <is>
          <t>CIUDAD / Almacen Detalle</t>
        </is>
      </c>
      <c r="O923" s="4" t="n">
        <v>361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TELECOMUNICACIONES</t>
        </is>
      </c>
      <c r="G924" s="4" t="inlineStr">
        <is>
          <t>Servicio - Telefonía</t>
        </is>
      </c>
      <c r="H924" s="5" t="n">
        <v>18300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Servicio - Telefonía · Tuenti · gasto personal Sol · dinero en cuenta MP screenshot</t>
        </is>
      </c>
      <c r="N924" s="4" t="inlineStr">
        <is>
          <t>CIUDAD / Gasto Personal Sol</t>
        </is>
      </c>
      <c r="O924" s="4" t="n">
        <v>848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GASTO PERSONAL</t>
        </is>
      </c>
      <c r="F925" s="4" t="inlineStr">
        <is>
          <t>OTROS PERSONALES</t>
        </is>
      </c>
      <c r="G925" s="4" t="inlineStr">
        <is>
          <t>TRANSPORTE · SUBE</t>
        </is>
      </c>
      <c r="H925" s="5" t="n">
        <v>987</v>
      </c>
      <c r="I925" s="16" t="n"/>
      <c r="J925" s="4" t="inlineStr">
        <is>
          <t>REAL</t>
        </is>
      </c>
      <c r="K925" s="4" t="inlineStr">
        <is>
          <t>Mercado Pago</t>
        </is>
      </c>
      <c r="L925" s="4" t="inlineStr">
        <is>
          <t>Mercado Pago</t>
        </is>
      </c>
      <c r="M925" s="4" t="inlineStr">
        <is>
          <t>TRANSPORTE · SUBE · gasto personal Sol · dinero en cuenta MP screenshot</t>
        </is>
      </c>
      <c r="N925" s="4" t="inlineStr">
        <is>
          <t>CIUDAD / Gasto Personal Sol</t>
        </is>
      </c>
      <c r="O925" s="4" t="n">
        <v>849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ALMACÉN SOL</t>
        </is>
      </c>
      <c r="F926" s="4" t="inlineStr">
        <is>
          <t>COMIDA</t>
        </is>
      </c>
      <c r="G926" s="4" t="inlineStr">
        <is>
          <t>COMIDA · McDonald's</t>
        </is>
      </c>
      <c r="H926" s="5" t="n">
        <v>2040</v>
      </c>
      <c r="I926" s="16" t="n"/>
      <c r="J926" s="4" t="inlineStr">
        <is>
          <t>REAL</t>
        </is>
      </c>
      <c r="K926" s="17" t="n"/>
      <c r="L926" s="4" t="inlineStr">
        <is>
          <t>Mercado Pago</t>
        </is>
      </c>
      <c r="M926" s="4" t="inlineStr">
        <is>
          <t>COMIDA · McDonald's · Mercado Pago · dinero en cuenta MP screenshot</t>
        </is>
      </c>
      <c r="N926" s="4" t="inlineStr">
        <is>
          <t>CIUDAD / Almacen Detalle</t>
        </is>
      </c>
      <c r="O926" s="4" t="n">
        <v>362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COMIDA · OFICINA</t>
        </is>
      </c>
      <c r="G927" s="4" t="inlineStr">
        <is>
          <t>COMIDA · Oficina</t>
        </is>
      </c>
      <c r="H927" s="5" t="n">
        <v>1350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COMIDA · Oficina · Feed · gasto personal Sol · dinero en cuenta MP screenshot</t>
        </is>
      </c>
      <c r="N927" s="4" t="inlineStr">
        <is>
          <t>CIUDAD / Gasto Personal Sol</t>
        </is>
      </c>
      <c r="O927" s="4" t="n">
        <v>851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HOGAR</t>
        </is>
      </c>
      <c r="G928" s="4" t="inlineStr">
        <is>
          <t>HOGAR</t>
        </is>
      </c>
      <c r="H928" s="5" t="n">
        <v>186300</v>
      </c>
      <c r="I928" s="16" t="n"/>
      <c r="J928" s="4" t="inlineStr">
        <is>
          <t>REAL</t>
        </is>
      </c>
      <c r="K928" s="4" t="inlineStr">
        <is>
          <t>BBVA VISA</t>
        </is>
      </c>
      <c r="L928" s="4" t="inlineStr">
        <is>
          <t>BBVA</t>
        </is>
      </c>
      <c r="M928" s="4" t="inlineStr">
        <is>
          <t>HOGAR · Luna Hogar · BBVA VISA · MERPAGO*LUNAHOGAR · alerta Gmail</t>
        </is>
      </c>
      <c r="N928" s="4" t="inlineStr">
        <is>
          <t>CIUDAD / Gasto Personal Sol</t>
        </is>
      </c>
      <c r="O928" s="4" t="n">
        <v>932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OTROS PERSONALES</t>
        </is>
      </c>
      <c r="G929" s="4" t="inlineStr">
        <is>
          <t>IMPUESTOS · ARCA</t>
        </is>
      </c>
      <c r="H929" s="5" t="n">
        <v>58118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IMPUESTOS · ARCA / AFIP · MP 2026-09-07 · gasto personal Sol · dinero en cuenta MP screenshot</t>
        </is>
      </c>
      <c r="N929" s="4" t="inlineStr">
        <is>
          <t>CIUDAD / Gasto Personal Sol</t>
        </is>
      </c>
      <c r="O929" s="4" t="n">
        <v>852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OTROS PERSONALES</t>
        </is>
      </c>
      <c r="G930" s="4" t="inlineStr">
        <is>
          <t>IMPUESTOS · ARCA</t>
        </is>
      </c>
      <c r="H930" s="5" t="n">
        <v>43038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IMPUESTOS · ARCA / AFIP · MP 2026-09-07 · gasto personal Sol · dinero en cuenta MP screenshot</t>
        </is>
      </c>
      <c r="N930" s="4" t="inlineStr">
        <is>
          <t>CIUDAD / Gasto Personal Sol</t>
        </is>
      </c>
      <c r="O930" s="4" t="n">
        <v>853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Didi</t>
        </is>
      </c>
      <c r="H931" s="5" t="n">
        <v>6700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Didi · gasto personal Sol · dinero en cuenta MP screenshot</t>
        </is>
      </c>
      <c r="N931" s="4" t="inlineStr">
        <is>
          <t>CIUDAD / Gasto Personal Sol</t>
        </is>
      </c>
      <c r="O931" s="4" t="n">
        <v>854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TRANSPORTE</t>
        </is>
      </c>
      <c r="G932" s="4" t="inlineStr">
        <is>
          <t>TRANSPORTE · Uber</t>
        </is>
      </c>
      <c r="H932" s="5" t="n">
        <v>6948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TRANSPORTE · Uber · Ebanx (=Uber) · gasto personal Sol · dinero en cuenta MP screenshot</t>
        </is>
      </c>
      <c r="N932" s="4" t="inlineStr">
        <is>
          <t>CIUDAD / Gasto Personal Sol</t>
        </is>
      </c>
      <c r="O932" s="4" t="n">
        <v>850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VESTIMENTA</t>
        </is>
      </c>
      <c r="G933" s="4" t="inlineStr">
        <is>
          <t>VESTIMENTA</t>
        </is>
      </c>
      <c r="H933" s="5" t="n">
        <v>809200</v>
      </c>
      <c r="I933" s="16" t="n"/>
      <c r="J933" s="4" t="inlineStr">
        <is>
          <t>REAL</t>
        </is>
      </c>
      <c r="K933" s="4" t="inlineStr">
        <is>
          <t>BBVA VISA</t>
        </is>
      </c>
      <c r="L933" s="4" t="inlineStr">
        <is>
          <t>BBVA</t>
        </is>
      </c>
      <c r="M933" s="4" t="inlineStr">
        <is>
          <t>VESTIMENTA · Markova · BBVA VISA · MERPAGO*MARKOVA · alerta Gmail · REVISAR ítem</t>
        </is>
      </c>
      <c r="N933" s="4" t="inlineStr">
        <is>
          <t>CIUDAD / Gasto Personal Sol</t>
        </is>
      </c>
      <c r="O933" s="4" t="n">
        <v>931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ALMACÉN SOL</t>
        </is>
      </c>
      <c r="F934" s="4" t="inlineStr">
        <is>
          <t>ENTRETENIMIENTO SOCIAL</t>
        </is>
      </c>
      <c r="G934" s="4" t="inlineStr">
        <is>
          <t>ENTRETENIMIENTO · Social</t>
        </is>
      </c>
      <c r="H934" s="5" t="n">
        <v>8248</v>
      </c>
      <c r="I934" s="16" t="n"/>
      <c r="J934" s="4" t="inlineStr">
        <is>
          <t>REAL</t>
        </is>
      </c>
      <c r="K934" s="17" t="n"/>
      <c r="L934" s="4" t="inlineStr">
        <is>
          <t>Mercado Pago</t>
        </is>
      </c>
      <c r="M934" s="4" t="inlineStr">
        <is>
          <t>ENTRETENIMIENTO · Social · la monumental · Mercado Pago · dinero en cuenta MP screenshot</t>
        </is>
      </c>
      <c r="N934" s="4" t="inlineStr">
        <is>
          <t>CIUDAD / Almacen Detalle</t>
        </is>
      </c>
      <c r="O934" s="4" t="n">
        <v>363</v>
      </c>
    </row>
    <row r="935">
      <c r="A935" s="4" t="n">
        <v>934</v>
      </c>
      <c r="B935" s="15" t="n">
        <v>46273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ALMACÉN SOL</t>
        </is>
      </c>
      <c r="F935" s="4" t="inlineStr">
        <is>
          <t>REPUESTOS</t>
        </is>
      </c>
      <c r="G935" s="4" t="inlineStr">
        <is>
          <t>REPUESTOS · Sodastream</t>
        </is>
      </c>
      <c r="H935" s="5" t="n">
        <v>88659</v>
      </c>
      <c r="I935" s="16" t="n"/>
      <c r="J935" s="4" t="inlineStr">
        <is>
          <t>REAL</t>
        </is>
      </c>
      <c r="K935" s="17" t="n"/>
      <c r="L935" s="4" t="inlineStr">
        <is>
          <t>Mercado Pago</t>
        </is>
      </c>
      <c r="M935" s="4" t="inlineStr">
        <is>
          <t>REPUESTOS · Sodastream · Mercado Pago · Gmail Pago aprobado · REVISAR vs settlement</t>
        </is>
      </c>
      <c r="N935" s="4" t="inlineStr">
        <is>
          <t>CIUDAD / Almacen Detalle</t>
        </is>
      </c>
      <c r="O935" s="4" t="n">
        <v>357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OTROS PERSONALES</t>
        </is>
      </c>
      <c r="G936" s="4" t="inlineStr">
        <is>
          <t>IMPUESTOS · ARCA</t>
        </is>
      </c>
      <c r="H936" s="5" t="n">
        <v>4866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IMPUESTOS · ARCA / AFIP · MP 2026-09-08 · gasto personal Sol · dinero en cuenta MP screenshot</t>
        </is>
      </c>
      <c r="N936" s="4" t="inlineStr">
        <is>
          <t>CIUDAD / Gasto Personal Sol</t>
        </is>
      </c>
      <c r="O936" s="4" t="n">
        <v>855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VESTIMENTA</t>
        </is>
      </c>
      <c r="G937" s="4" t="inlineStr">
        <is>
          <t>VESTIMENTA</t>
        </is>
      </c>
      <c r="H937" s="5" t="n">
        <v>28199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VESTIMENTA · OZZ · gasto personal Sol · dinero en cuenta MP screenshot</t>
        </is>
      </c>
      <c r="N937" s="4" t="inlineStr">
        <is>
          <t>CIUDAD / Gasto Personal Sol</t>
        </is>
      </c>
      <c r="O937" s="4" t="n">
        <v>856</v>
      </c>
    </row>
    <row r="938">
      <c r="A938" s="4" t="n">
        <v>937</v>
      </c>
      <c r="B938" s="15" t="n">
        <v>46274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</t>
        </is>
      </c>
      <c r="G938" s="4" t="inlineStr">
        <is>
          <t>PEDIDOS YA · COMIDA</t>
        </is>
      </c>
      <c r="H938" s="5" t="n">
        <v>39819</v>
      </c>
      <c r="I938" s="16" t="n"/>
      <c r="J938" s="4" t="inlineStr">
        <is>
          <t>REAL</t>
        </is>
      </c>
      <c r="K938" s="17" t="n"/>
      <c r="L938" s="4" t="inlineStr">
        <is>
          <t>Sin identificar</t>
        </is>
      </c>
      <c r="M938" s="4" t="inlineStr">
        <is>
          <t>PEDIDOS YA · COMIDA · screenshot · REVISAR si Market · dinero en cuenta MP screenshot</t>
        </is>
      </c>
      <c r="N938" s="4" t="inlineStr">
        <is>
          <t>CIUDAD / Almacen Detalle</t>
        </is>
      </c>
      <c r="O938" s="4" t="n">
        <v>364</v>
      </c>
    </row>
    <row r="939">
      <c r="A939" s="4" t="n">
        <v>938</v>
      </c>
      <c r="B939" s="15" t="n">
        <v>46274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COMIDA</t>
        </is>
      </c>
      <c r="G939" s="4" t="inlineStr">
        <is>
          <t>PEDIDOS YA · COMIDA · propina</t>
        </is>
      </c>
      <c r="H939" s="5" t="n">
        <v>900</v>
      </c>
      <c r="I939" s="16" t="n"/>
      <c r="J939" s="4" t="inlineStr">
        <is>
          <t>REAL</t>
        </is>
      </c>
      <c r="K939" s="17" t="n"/>
      <c r="L939" s="4" t="inlineStr">
        <is>
          <t>Sin identificar</t>
        </is>
      </c>
      <c r="M939" s="4" t="inlineStr">
        <is>
          <t>PEDIDOS YA · COMIDA · propina · screenshot · REVISAR si Market · dinero en cuenta MP screenshot</t>
        </is>
      </c>
      <c r="N939" s="4" t="inlineStr">
        <is>
          <t>CIUDAD / Almacen Detalle</t>
        </is>
      </c>
      <c r="O939" s="4" t="n">
        <v>365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COMPRAS</t>
        </is>
      </c>
      <c r="G940" s="4" t="inlineStr">
        <is>
          <t>COMPRAS</t>
        </is>
      </c>
      <c r="H940" s="5" t="n">
        <v>163350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COMPRAS · ZILVER SA · gasto personal Sol · REVISAR ítem · dinero en cuenta MP screenshot</t>
        </is>
      </c>
      <c r="N940" s="4" t="inlineStr">
        <is>
          <t>CIUDAD / Gasto Personal Sol</t>
        </is>
      </c>
      <c r="O940" s="4" t="n">
        <v>862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OTROS PERSONALES</t>
        </is>
      </c>
      <c r="G941" s="4" t="inlineStr">
        <is>
          <t>IMPUESTOS · ARCA</t>
        </is>
      </c>
      <c r="H941" s="5" t="n">
        <v>43083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IMPUESTOS · ARCA / AFIP · MP 2026-09-10 · gasto personal Sol · dinero en cuenta MP screenshot</t>
        </is>
      </c>
      <c r="N941" s="4" t="inlineStr">
        <is>
          <t>CIUDAD / Gasto Personal Sol</t>
        </is>
      </c>
      <c r="O941" s="4" t="n">
        <v>857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TRANSFERENCIAS</t>
        </is>
      </c>
      <c r="G942" s="4" t="inlineStr">
        <is>
          <t>TRANSFERENCIAS</t>
        </is>
      </c>
      <c r="H942" s="5" t="n">
        <v>131000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Cova Abreu Gibiana Del Valle · Transferencia enviada · gasto personal Sol · dinero en cuenta MP screenshot</t>
        </is>
      </c>
      <c r="N942" s="4" t="inlineStr">
        <is>
          <t>CIUDAD / Gasto Personal Sol</t>
        </is>
      </c>
      <c r="O942" s="4" t="n">
        <v>861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TRANSPORTE</t>
        </is>
      </c>
      <c r="G943" s="4" t="inlineStr">
        <is>
          <t>TRANSPORTE · Uber</t>
        </is>
      </c>
      <c r="H943" s="5" t="n">
        <v>5612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TRANSPORTE · Uber · Ebanx (=Uber) · gasto personal Sol · dinero en cuenta MP screenshot</t>
        </is>
      </c>
      <c r="N943" s="4" t="inlineStr">
        <is>
          <t>CIUDAD / Gasto Personal Sol</t>
        </is>
      </c>
      <c r="O943" s="4" t="n">
        <v>858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TRANSPORTE</t>
        </is>
      </c>
      <c r="G944" s="4" t="inlineStr">
        <is>
          <t>TRANSPORTE · Uber</t>
        </is>
      </c>
      <c r="H944" s="5" t="n">
        <v>7155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TRANSPORTE · Uber · Ebanx (=Uber) · gasto personal Sol · dinero en cuenta MP screenshot</t>
        </is>
      </c>
      <c r="N944" s="4" t="inlineStr">
        <is>
          <t>CIUDAD / Gasto Personal Sol</t>
        </is>
      </c>
      <c r="O944" s="4" t="n">
        <v>859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81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860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SUSCRIPCIONES · APPLE</t>
        </is>
      </c>
      <c r="G946" s="4" t="inlineStr">
        <is>
          <t>SUSCRIPCIONES · Apple</t>
        </is>
      </c>
      <c r="H946" s="5" t="n">
        <v>29331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SUSCRIPCIONES · Apple · Mercado Pago · gasto personal Sol · dinero en cuenta MP screenshot</t>
        </is>
      </c>
      <c r="N946" s="4" t="inlineStr">
        <is>
          <t>CIUDAD / Gasto Personal Sol</t>
        </is>
      </c>
      <c r="O946" s="4" t="n">
        <v>863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TRANSFERENCIAS</t>
        </is>
      </c>
      <c r="G947" s="4" t="inlineStr">
        <is>
          <t>TRANSFERENCIAS</t>
        </is>
      </c>
      <c r="H947" s="5" t="n">
        <v>185288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Sanbras oficial · Transferencia enviada · gasto personal Sol · dinero en cuenta MP screenshot</t>
        </is>
      </c>
      <c r="N947" s="4" t="inlineStr">
        <is>
          <t>CIUDAD / Gasto Personal Sol</t>
        </is>
      </c>
      <c r="O947" s="4" t="n">
        <v>867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TRANSFERENCIAS</t>
        </is>
      </c>
      <c r="G948" s="4" t="inlineStr">
        <is>
          <t>TRANSFERENCIAS</t>
        </is>
      </c>
      <c r="H948" s="5" t="n">
        <v>135000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Paula Carolina Fasanella · Transferencia enviada · gasto personal Sol · dinero en cuenta MP screenshot</t>
        </is>
      </c>
      <c r="N948" s="4" t="inlineStr">
        <is>
          <t>CIUDAD / Gasto Personal Sol</t>
        </is>
      </c>
      <c r="O948" s="4" t="n">
        <v>868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TRANSPORTE</t>
        </is>
      </c>
      <c r="G949" s="4" t="inlineStr">
        <is>
          <t>TRANSPORTE · Didi</t>
        </is>
      </c>
      <c r="H949" s="5" t="n">
        <v>5800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TRANSPORTE · Didi · gasto personal Sol · dinero en cuenta MP screenshot</t>
        </is>
      </c>
      <c r="N949" s="4" t="inlineStr">
        <is>
          <t>CIUDAD / Gasto Personal Sol</t>
        </is>
      </c>
      <c r="O949" s="4" t="n">
        <v>864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TRANSPORTE</t>
        </is>
      </c>
      <c r="G950" s="4" t="inlineStr">
        <is>
          <t>TRANSPORTE · Didi</t>
        </is>
      </c>
      <c r="H950" s="5" t="n">
        <v>4500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TRANSPORTE · Didi · gasto personal Sol · dinero en cuenta MP screenshot</t>
        </is>
      </c>
      <c r="N950" s="4" t="inlineStr">
        <is>
          <t>CIUDAD / Gasto Personal Sol</t>
        </is>
      </c>
      <c r="O950" s="4" t="n">
        <v>865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Uber</t>
        </is>
      </c>
      <c r="H951" s="5" t="n">
        <v>7758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Uber · Ebanx (=Uber) · gasto personal Sol · dinero en cuenta MP screenshot</t>
        </is>
      </c>
      <c r="N951" s="4" t="inlineStr">
        <is>
          <t>CIUDAD / Gasto Personal Sol</t>
        </is>
      </c>
      <c r="O951" s="4" t="n">
        <v>866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COMIDA · BARRITAS PROTEICAS</t>
        </is>
      </c>
      <c r="G952" s="4" t="inlineStr">
        <is>
          <t>COMIDA · Barritas proteicas</t>
        </is>
      </c>
      <c r="H952" s="5" t="n">
        <v>66527</v>
      </c>
      <c r="I952" s="16" t="n"/>
      <c r="J952" s="4" t="inlineStr">
        <is>
          <t>REAL</t>
        </is>
      </c>
      <c r="K952" s="17" t="n"/>
      <c r="L952" s="4" t="inlineStr">
        <is>
          <t>TC Mercado Pago</t>
        </is>
      </c>
      <c r="M952" s="4" t="inlineStr">
        <is>
          <t>COMIDA · Barritas proteicas · Enerfit · TC Mercado Pago · C.10/12 · compra 2025-11-26 · cierre 2026-09-12</t>
        </is>
      </c>
      <c r="N952" s="4" t="inlineStr">
        <is>
          <t>CIUDAD / Almacen Detalle</t>
        </is>
      </c>
      <c r="O952" s="4" t="n">
        <v>379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ALMACÉN SOL</t>
        </is>
      </c>
      <c r="F953" s="4" t="inlineStr">
        <is>
          <t>COMIDA</t>
        </is>
      </c>
      <c r="G953" s="4" t="inlineStr">
        <is>
          <t>COMIDA · McDonald's</t>
        </is>
      </c>
      <c r="H953" s="5" t="n">
        <v>8010</v>
      </c>
      <c r="I953" s="16" t="n"/>
      <c r="J953" s="4" t="inlineStr">
        <is>
          <t>REAL</t>
        </is>
      </c>
      <c r="K953" s="17" t="n"/>
      <c r="L953" s="4" t="inlineStr">
        <is>
          <t>Mercado Pago</t>
        </is>
      </c>
      <c r="M953" s="4" t="inlineStr">
        <is>
          <t>COMIDA · McDonald's · Mercado Pago · dinero en cuenta MP screenshot</t>
        </is>
      </c>
      <c r="N953" s="4" t="inlineStr">
        <is>
          <t>CIUDAD / Almacen Detalle</t>
        </is>
      </c>
      <c r="O953" s="4" t="n">
        <v>367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</t>
        </is>
      </c>
      <c r="G954" s="4" t="inlineStr">
        <is>
          <t>PEDIDOS YA · COMIDA</t>
        </is>
      </c>
      <c r="H954" s="5" t="n">
        <v>38099</v>
      </c>
      <c r="I954" s="16" t="n"/>
      <c r="J954" s="4" t="inlineStr">
        <is>
          <t>REAL</t>
        </is>
      </c>
      <c r="K954" s="17" t="n"/>
      <c r="L954" s="4" t="inlineStr">
        <is>
          <t>Sin identificar</t>
        </is>
      </c>
      <c r="M954" s="4" t="inlineStr">
        <is>
          <t>PEDIDOS YA · COMIDA · screenshot · REVISAR si Market · dinero en cuenta MP screenshot</t>
        </is>
      </c>
      <c r="N954" s="4" t="inlineStr">
        <is>
          <t>CIUDAD / Almacen Detalle</t>
        </is>
      </c>
      <c r="O954" s="4" t="n">
        <v>366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STREAMING TV</t>
        </is>
      </c>
      <c r="G955" s="4" t="inlineStr">
        <is>
          <t>STREAMING TV</t>
        </is>
      </c>
      <c r="H955" s="5" t="n">
        <v>97393</v>
      </c>
      <c r="I955" s="16" t="n"/>
      <c r="J955" s="4" t="inlineStr">
        <is>
          <t>REAL</t>
        </is>
      </c>
      <c r="K955" s="17" t="n"/>
      <c r="L955" s="4" t="inlineStr">
        <is>
          <t>TC Mercado Pago</t>
        </is>
      </c>
      <c r="M955" s="4" t="inlineStr">
        <is>
          <t>STREAMING TV · HBO Max · TC Mercado Pago · compra 2026-09-05 · cierre 2026-09-12</t>
        </is>
      </c>
      <c r="N955" s="4" t="inlineStr">
        <is>
          <t>CIUDAD / Almacen Detalle</t>
        </is>
      </c>
      <c r="O955" s="4" t="n">
        <v>380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31450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PPNL · TC Mercado Pago · C.2/2 · REVISAR ítem · compra 2026-07-16 · cierre 2026-09-12</t>
        </is>
      </c>
      <c r="N956" s="4" t="inlineStr">
        <is>
          <t>CIUDAD / Gasto Personal Sol</t>
        </is>
      </c>
      <c r="O956" s="4" t="n">
        <v>907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126325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LG Distribuidor · TC Mercado Pago · C.2/3 · REVISAR ítem · compra 2026-07-29 · cierre 2026-09-12</t>
        </is>
      </c>
      <c r="N957" s="4" t="inlineStr">
        <is>
          <t>CIUDAD / Gasto Personal Sol</t>
        </is>
      </c>
      <c r="O957" s="4" t="n">
        <v>908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58430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Central Store · TC Mercado Pago · C.2/6 · compra 2026-08-01 · cierre 2026-09-12</t>
        </is>
      </c>
      <c r="N958" s="4" t="inlineStr">
        <is>
          <t>CIUDAD / Gasto Personal Sol</t>
        </is>
      </c>
      <c r="O958" s="4" t="n">
        <v>912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290000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Mac Station · TC Mercado Pago · C.1/2 · compra 2026-08-13 · cierre 2026-09-12</t>
        </is>
      </c>
      <c r="N959" s="4" t="inlineStr">
        <is>
          <t>CIUDAD / Gasto Personal Sol</t>
        </is>
      </c>
      <c r="O959" s="4" t="n">
        <v>914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52624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915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40000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Celugadgets · TC Mercado Pago · compra 2026-08-22 · cierre 2026-09-12</t>
        </is>
      </c>
      <c r="N961" s="4" t="inlineStr">
        <is>
          <t>CIUDAD / Gasto Personal Sol</t>
        </is>
      </c>
      <c r="O961" s="4" t="n">
        <v>919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57725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Juan Cornacchi · TC Mercado Pago · REVISAR ítem · compra 2026-08-27 · cierre 2026-09-12</t>
        </is>
      </c>
      <c r="N962" s="4" t="inlineStr">
        <is>
          <t>CIUDAD / Gasto Personal Sol</t>
        </is>
      </c>
      <c r="O962" s="4" t="n">
        <v>921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39000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Megaventas HM · TC Mercado Pago · compra 2026-08-27 · cierre 2026-09-12</t>
        </is>
      </c>
      <c r="N963" s="4" t="inlineStr">
        <is>
          <t>CIUDAD / Gasto Personal Sol</t>
        </is>
      </c>
      <c r="O963" s="4" t="n">
        <v>922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-39000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REEMBOLSO · 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925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HOGAR</t>
        </is>
      </c>
      <c r="G965" s="4" t="inlineStr">
        <is>
          <t>HOGAR</t>
        </is>
      </c>
      <c r="H965" s="5" t="n">
        <v>256862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HOGAR · Banchero Sanitarios · TC Mercado Pago · C.1/3 · compra 2026-08-18 · cierre 2026-09-12</t>
        </is>
      </c>
      <c r="N965" s="4" t="inlineStr">
        <is>
          <t>CIUDAD / Gasto Personal Sol</t>
        </is>
      </c>
      <c r="O965" s="4" t="n">
        <v>916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MERCADO LIBRE</t>
        </is>
      </c>
      <c r="G966" s="4" t="inlineStr">
        <is>
          <t>MERCADO LIBRE</t>
        </is>
      </c>
      <c r="H966" s="5" t="n">
        <v>107500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Mercado Libre · TC Mercado Pago · C.1/2 · compra 2026-08-22 · cierre 2026-09-12</t>
        </is>
      </c>
      <c r="N966" s="4" t="inlineStr">
        <is>
          <t>CIUDAD / Gasto Personal Sol</t>
        </is>
      </c>
      <c r="O966" s="4" t="n">
        <v>918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REGALOS</t>
        </is>
      </c>
      <c r="G967" s="4" t="inlineStr">
        <is>
          <t>REGALOS</t>
        </is>
      </c>
      <c r="H967" s="5" t="n">
        <v>33500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REGALOS · Regalos Dalila · TC Mercado Pago · C.2/2 · compra 2026-07-31 · cierre 2026-09-12</t>
        </is>
      </c>
      <c r="N967" s="4" t="inlineStr">
        <is>
          <t>CIUDAD / Gasto Personal Sol</t>
        </is>
      </c>
      <c r="O967" s="4" t="n">
        <v>909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546850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910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62500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911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41715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Loccitane · TC Mercado Pago · C.6/6 · compra 2026-03-20 · cierre 2026-09-12</t>
        </is>
      </c>
      <c r="N970" s="4" t="inlineStr">
        <is>
          <t>CIUDAD / Gasto Personal Sol</t>
        </is>
      </c>
      <c r="O970" s="4" t="n">
        <v>899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23000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Adidas · TC Mercado Pago · C.6/6 · compra 2026-03-23 · cierre 2026-09-12</t>
        </is>
      </c>
      <c r="N971" s="4" t="inlineStr">
        <is>
          <t>CIUDAD / Gasto Personal Sol</t>
        </is>
      </c>
      <c r="O971" s="4" t="n">
        <v>900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67112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Awada · TC Mercado Pago · C.6/9 · compra 2026-03-23 · cierre 2026-09-12</t>
        </is>
      </c>
      <c r="N972" s="4" t="inlineStr">
        <is>
          <t>CIUDAD / Gasto Personal Sol</t>
        </is>
      </c>
      <c r="O972" s="4" t="n">
        <v>901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41345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Laparfumerie · TC Mercado Pago · C.6/6 · compra 2026-03-30 · cierre 2026-09-12</t>
        </is>
      </c>
      <c r="N973" s="4" t="inlineStr">
        <is>
          <t>CIUDAD / Gasto Personal Sol</t>
        </is>
      </c>
      <c r="O973" s="4" t="n">
        <v>902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297891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Pandora · TC Mercado Pago · C.3/6 · compra 2026-07-09 · cierre 2026-09-12</t>
        </is>
      </c>
      <c r="N974" s="4" t="inlineStr">
        <is>
          <t>CIUDAD / Gasto Personal Sol</t>
        </is>
      </c>
      <c r="O974" s="4" t="n">
        <v>906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82742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Monofuk · TC Mercado Pago · C.2/12 · compra 2026-08-04 · cierre 2026-09-12</t>
        </is>
      </c>
      <c r="N975" s="4" t="inlineStr">
        <is>
          <t>CIUDAD / Gasto Personal Sol</t>
        </is>
      </c>
      <c r="O975" s="4" t="n">
        <v>913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418000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Galeon Joyas · TC Mercado Pago · C.1/3 · compra 2026-09-10 · cierre 2026-09-12</t>
        </is>
      </c>
      <c r="N976" s="4" t="inlineStr">
        <is>
          <t>CIUDAD / Gasto Personal Sol</t>
        </is>
      </c>
      <c r="O976" s="4" t="n">
        <v>923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-795614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REEMBOLSO · ROPA · Zara · TC Mercado Pago · compra 2026-08-19 · cierre 2026-09-12</t>
        </is>
      </c>
      <c r="N977" s="4" t="inlineStr">
        <is>
          <t>CIUDAD / Gasto Personal Sol</t>
        </is>
      </c>
      <c r="O977" s="4" t="n">
        <v>924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SALUD</t>
        </is>
      </c>
      <c r="G978" s="4" t="inlineStr">
        <is>
          <t>SALUD</t>
        </is>
      </c>
      <c r="H978" s="5" t="n">
        <v>55707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SALUD · Laboratorio · TC Mercado Pago · C.3/9 · compra 2026-06-23 · cierre 2026-09-12</t>
        </is>
      </c>
      <c r="N978" s="4" t="inlineStr">
        <is>
          <t>CIUDAD / Gasto Personal Sol</t>
        </is>
      </c>
      <c r="O978" s="4" t="n">
        <v>904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58334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Biodepot · TC Mercado Pago · C.3/3 · compra 2026-06-25 · cierre 2026-09-12</t>
        </is>
      </c>
      <c r="N979" s="4" t="inlineStr">
        <is>
          <t>CIUDAD / Gasto Personal Sol</t>
        </is>
      </c>
      <c r="O979" s="4" t="n">
        <v>905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 · Vitaminas</t>
        </is>
      </c>
      <c r="G980" s="4" t="inlineStr">
        <is>
          <t>SALUD · Vitaminas</t>
        </is>
      </c>
      <c r="H980" s="5" t="n">
        <v>87900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Vitaminas · Promarine · TC Mercado Pago · C.6/6 · compra 2026-04-04 · cierre 2026-09-12</t>
        </is>
      </c>
      <c r="N980" s="4" t="inlineStr">
        <is>
          <t>CIUDAD / Gasto Personal Sol</t>
        </is>
      </c>
      <c r="O980" s="4" t="n">
        <v>903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SUSCRIPCIONES · APPLE</t>
        </is>
      </c>
      <c r="G981" s="4" t="inlineStr">
        <is>
          <t>SUSCRIPCIONES · Apple</t>
        </is>
      </c>
      <c r="H981" s="5" t="n">
        <v>19749</v>
      </c>
      <c r="I981" s="16" t="n"/>
      <c r="J981" s="4" t="inlineStr">
        <is>
          <t>REAL</t>
        </is>
      </c>
      <c r="K981" s="4" t="inlineStr">
        <is>
          <t>Mercado Pago</t>
        </is>
      </c>
      <c r="L981" s="4" t="inlineStr">
        <is>
          <t>Mercado Pago</t>
        </is>
      </c>
      <c r="M981" s="4" t="inlineStr">
        <is>
          <t>SUSCRIPCIONES · Apple · Mercado Pago · gasto personal Sol · dinero en cuenta MP screenshot</t>
        </is>
      </c>
      <c r="N981" s="4" t="inlineStr">
        <is>
          <t>CIUDAD / Gasto Personal Sol</t>
        </is>
      </c>
      <c r="O981" s="4" t="n">
        <v>869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ROPA</t>
        </is>
      </c>
      <c r="G982" s="4" t="inlineStr">
        <is>
          <t>TRANSFERENCIAS</t>
        </is>
      </c>
      <c r="H982" s="5" t="n">
        <v>140000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Eva Graciela Zarate Valdovino · Transferencia enviada · gasto personal Sol · dinero en cuenta MP screenshot</t>
        </is>
      </c>
      <c r="N982" s="4" t="inlineStr">
        <is>
          <t>CIUDAD / Gasto Personal Sol</t>
        </is>
      </c>
      <c r="O982" s="4" t="n">
        <v>870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VESTIMENTA</t>
        </is>
      </c>
      <c r="G983" s="4" t="inlineStr">
        <is>
          <t>VESTIMENTA</t>
        </is>
      </c>
      <c r="H983" s="5" t="n">
        <v>72000</v>
      </c>
      <c r="I983" s="16" t="n"/>
      <c r="J983" s="4" t="inlineStr">
        <is>
          <t>REAL</t>
        </is>
      </c>
      <c r="K983" s="4" t="inlineStr">
        <is>
          <t>TC Mercado Pago</t>
        </is>
      </c>
      <c r="L983" s="4" t="inlineStr">
        <is>
          <t>TC Mercado Pago</t>
        </is>
      </c>
      <c r="M983" s="4" t="inlineStr">
        <is>
          <t>VESTIMENTA · Etiqueta Negra · TC Mercado Pago · C.1/6 · compra 2026-08-25 · cierre 2026-09-12</t>
        </is>
      </c>
      <c r="N983" s="4" t="inlineStr">
        <is>
          <t>CIUDAD / Gasto Personal Sol</t>
        </is>
      </c>
      <c r="O983" s="4" t="n">
        <v>920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OTROS PERSONALES</t>
        </is>
      </c>
      <c r="G984" s="4" t="inlineStr">
        <is>
          <t>VIAJES</t>
        </is>
      </c>
      <c r="H984" s="5" t="n">
        <v>1633555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VIAJES · Aerolíneas Argentinas · TC Mercado Pago · compra 2026-08-22 · cierre 2026-09-12</t>
        </is>
      </c>
      <c r="N984" s="4" t="inlineStr">
        <is>
          <t>CIUDAD / Gasto Personal Sol</t>
        </is>
      </c>
      <c r="O984" s="4" t="n">
        <v>917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ALMACÉN SOL</t>
        </is>
      </c>
      <c r="F985" s="4" t="inlineStr">
        <is>
          <t>COMIDA</t>
        </is>
      </c>
      <c r="G985" s="4" t="inlineStr">
        <is>
          <t>COMIDA · VERDULERÍA</t>
        </is>
      </c>
      <c r="H985" s="5" t="n">
        <v>5900</v>
      </c>
      <c r="I985" s="16" t="n"/>
      <c r="J985" s="4" t="inlineStr">
        <is>
          <t>REAL</t>
        </is>
      </c>
      <c r="K985" s="17" t="n"/>
      <c r="L985" s="4" t="inlineStr">
        <is>
          <t>Mercado Pago</t>
        </is>
      </c>
      <c r="M985" s="4" t="inlineStr">
        <is>
          <t>COMIDA · VERDULERÍA · Noelia Caballero · Mercado Pago · dinero en cuenta MP screenshot</t>
        </is>
      </c>
      <c r="N985" s="4" t="inlineStr">
        <is>
          <t>CIUDAD / Almacen Detalle</t>
        </is>
      </c>
      <c r="O985" s="4" t="n">
        <v>368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176509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COMPRAS · El Bazar Digital · gasto personal Sol · REVISAR ítem · dinero en cuenta MP screenshot</t>
        </is>
      </c>
      <c r="N986" s="4" t="inlineStr">
        <is>
          <t>CIUDAD / Gasto Personal Sol</t>
        </is>
      </c>
      <c r="O986" s="4" t="n">
        <v>871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71250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Pago · Pago · gasto personal Sol · REVISAR ítem · dinero en cuenta MP screenshot</t>
        </is>
      </c>
      <c r="N987" s="4" t="inlineStr">
        <is>
          <t>CIUDAD / Gasto Personal Sol</t>
        </is>
      </c>
      <c r="O987" s="4" t="n">
        <v>873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76742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874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629985</v>
      </c>
      <c r="I989" s="16" t="n"/>
      <c r="J989" s="4" t="inlineStr">
        <is>
          <t>REAL</t>
        </is>
      </c>
      <c r="K989" s="4" t="inlineStr">
        <is>
          <t>BBVA VISA</t>
        </is>
      </c>
      <c r="L989" s="4" t="inlineStr">
        <is>
          <t>BBVA</t>
        </is>
      </c>
      <c r="M989" s="4" t="inlineStr">
        <is>
          <t>COMPRAS · dhgate.com · BBVA VISA · USD 409.57 × TC MEP 1538.16 · importación · MEP 11/09 (13/09 domingo) · alerta Gmail Compra aprobada · REVISAR vs resumen BBVA</t>
        </is>
      </c>
      <c r="N989" s="4" t="inlineStr">
        <is>
          <t>CIUDAD / Gasto Personal Sol</t>
        </is>
      </c>
      <c r="O989" s="4" t="n">
        <v>927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PELUQUERÍA</t>
        </is>
      </c>
      <c r="G990" s="4" t="inlineStr">
        <is>
          <t>PELUQUERÍA</t>
        </is>
      </c>
      <c r="H990" s="5" t="n">
        <v>12720</v>
      </c>
      <c r="I990" s="16" t="n"/>
      <c r="J990" s="4" t="inlineStr">
        <is>
          <t>REAL</t>
        </is>
      </c>
      <c r="K990" s="4" t="inlineStr">
        <is>
          <t>Mercado Pago</t>
        </is>
      </c>
      <c r="L990" s="4" t="inlineStr">
        <is>
          <t>Mercado Pago</t>
        </is>
      </c>
      <c r="M990" s="4" t="inlineStr">
        <is>
          <t>PELUQUERÍA · Megapeluquerías CABA · gasto personal Sol · dinero en cuenta MP screenshot</t>
        </is>
      </c>
      <c r="N990" s="4" t="inlineStr">
        <is>
          <t>CIUDAD / Gasto Personal Sol</t>
        </is>
      </c>
      <c r="O990" s="4" t="n">
        <v>872</v>
      </c>
    </row>
    <row r="991">
      <c r="A991" s="4" t="n">
        <v>990</v>
      </c>
      <c r="B991" s="15" t="n">
        <v>46279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COMPRAS</t>
        </is>
      </c>
      <c r="G991" s="4" t="inlineStr">
        <is>
          <t>COMPRAS</t>
        </is>
      </c>
      <c r="H991" s="5" t="n">
        <v>8520</v>
      </c>
      <c r="I991" s="16" t="n"/>
      <c r="J991" s="4" t="inlineStr">
        <is>
          <t>REAL</t>
        </is>
      </c>
      <c r="K991" s="4" t="inlineStr">
        <is>
          <t>BBVA VISA</t>
        </is>
      </c>
      <c r="L991" s="4" t="inlineStr">
        <is>
          <t>BBVA</t>
        </is>
      </c>
      <c r="M991" s="4" t="inlineStr">
        <is>
          <t>COMPRAS · La Obanesad · BBVA VISA · MERPAGO*LAOBANESAD · alerta Gmail · REVISAR ítem</t>
        </is>
      </c>
      <c r="N991" s="4" t="inlineStr">
        <is>
          <t>CIUDAD / Gasto Personal Sol</t>
        </is>
      </c>
      <c r="O991" s="4" t="n">
        <v>933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TRANSFERENCIAS</t>
        </is>
      </c>
      <c r="G992" s="4" t="inlineStr">
        <is>
          <t>TRANSFERENCIAS</t>
        </is>
      </c>
      <c r="H992" s="5" t="n">
        <v>85000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Maria Celeste Gonzalez · Transferencia enviada · gasto personal Sol · dinero en cuenta MP screenshot</t>
        </is>
      </c>
      <c r="N992" s="4" t="inlineStr">
        <is>
          <t>CIUDAD / Gasto Personal Sol</t>
        </is>
      </c>
      <c r="O992" s="4" t="n">
        <v>875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1000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Mariano Morales · Transferencia enviada · gasto personal Sol · dinero en cuenta MP screenshot</t>
        </is>
      </c>
      <c r="N993" s="4" t="inlineStr">
        <is>
          <t>CIUDAD / Gasto Personal Sol</t>
        </is>
      </c>
      <c r="O993" s="4" t="n">
        <v>876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ALMACÉN SOL</t>
        </is>
      </c>
      <c r="F994" s="4" t="inlineStr">
        <is>
          <t>COMIDA</t>
        </is>
      </c>
      <c r="G994" s="4" t="inlineStr">
        <is>
          <t>COMIDA · CASAARISTOBULO017</t>
        </is>
      </c>
      <c r="H994" s="5" t="n">
        <v>43667</v>
      </c>
      <c r="I994" s="16" t="n"/>
      <c r="J994" s="4" t="inlineStr">
        <is>
          <t>REAL</t>
        </is>
      </c>
      <c r="K994" s="17" t="n"/>
      <c r="L994" s="4" t="inlineStr">
        <is>
          <t>Mercado Pago</t>
        </is>
      </c>
      <c r="M994" s="4" t="inlineStr">
        <is>
          <t>COMIDA · CASAARISTOBULO017 · QR · Mercado Pago · dinero en cuenta MP screenshot</t>
        </is>
      </c>
      <c r="N994" s="4" t="inlineStr">
        <is>
          <t>CIUDAD / Almacen Detalle</t>
        </is>
      </c>
      <c r="O994" s="4" t="n">
        <v>371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PEDIDOS YA · COMIDA</t>
        </is>
      </c>
      <c r="H995" s="5" t="n">
        <v>26019</v>
      </c>
      <c r="I995" s="16" t="n"/>
      <c r="J995" s="4" t="inlineStr">
        <is>
          <t>REAL</t>
        </is>
      </c>
      <c r="K995" s="17" t="n"/>
      <c r="L995" s="4" t="inlineStr">
        <is>
          <t>Sin identificar</t>
        </is>
      </c>
      <c r="M995" s="4" t="inlineStr">
        <is>
          <t>PEDIDOS YA · COMIDA · screenshot · REVISAR si Market · dinero en cuenta MP screenshot</t>
        </is>
      </c>
      <c r="N995" s="4" t="inlineStr">
        <is>
          <t>CIUDAD / Almacen Detalle</t>
        </is>
      </c>
      <c r="O995" s="4" t="n">
        <v>369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 · propina</t>
        </is>
      </c>
      <c r="H996" s="5" t="n">
        <v>1050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propina · screenshot · REVISAR si Market · dinero en cuenta MP screenshot</t>
        </is>
      </c>
      <c r="N996" s="4" t="inlineStr">
        <is>
          <t>CIUDAD / Almacen Detalle</t>
        </is>
      </c>
      <c r="O996" s="4" t="n">
        <v>370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COMPRAS</t>
        </is>
      </c>
      <c r="G997" s="4" t="inlineStr">
        <is>
          <t>COMPRAS</t>
        </is>
      </c>
      <c r="H997" s="5" t="n">
        <v>40900</v>
      </c>
      <c r="I997" s="16" t="n"/>
      <c r="J997" s="4" t="inlineStr">
        <is>
          <t>REAL</t>
        </is>
      </c>
      <c r="K997" s="4" t="inlineStr">
        <is>
          <t>Mercado Pago</t>
        </is>
      </c>
      <c r="L997" s="4" t="inlineStr">
        <is>
          <t>Mercado Pago</t>
        </is>
      </c>
      <c r="M997" s="4" t="inlineStr">
        <is>
          <t>COMPRAS · Happy buy · gasto personal Sol · REVISAR ítem · dinero en cuenta MP screenshot</t>
        </is>
      </c>
      <c r="N997" s="4" t="inlineStr">
        <is>
          <t>CIUDAD / Gasto Personal Sol</t>
        </is>
      </c>
      <c r="O997" s="4" t="n">
        <v>878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OTROS PERSONALES</t>
        </is>
      </c>
      <c r="G998" s="4" t="inlineStr">
        <is>
          <t>IMPUESTOS · Epagos</t>
        </is>
      </c>
      <c r="H998" s="5" t="n">
        <v>10150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IMPUESTOS · Epagos · gasto personal Sol · dinero en cuenta MP screenshot</t>
        </is>
      </c>
      <c r="N998" s="4" t="inlineStr">
        <is>
          <t>CIUDAD / Gasto Personal Sol</t>
        </is>
      </c>
      <c r="O998" s="4" t="n">
        <v>880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TRANSFERENCIAS</t>
        </is>
      </c>
      <c r="G999" s="4" t="inlineStr">
        <is>
          <t>TRANSFERENCIAS</t>
        </is>
      </c>
      <c r="H999" s="5" t="n">
        <v>4000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Gaston Osvaldo Roca · Transferencia enviada · gasto personal Sol · dinero en cuenta MP screenshot</t>
        </is>
      </c>
      <c r="N999" s="4" t="inlineStr">
        <is>
          <t>CIUDAD / Gasto Personal Sol</t>
        </is>
      </c>
      <c r="O999" s="4" t="n">
        <v>881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Didi</t>
        </is>
      </c>
      <c r="H1000" s="5" t="n">
        <v>5500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Didi · gasto personal Sol · dinero en cuenta MP screenshot</t>
        </is>
      </c>
      <c r="N1000" s="4" t="inlineStr">
        <is>
          <t>CIUDAD / Gasto Personal Sol</t>
        </is>
      </c>
      <c r="O1000" s="4" t="n">
        <v>879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Uber</t>
        </is>
      </c>
      <c r="H1001" s="5" t="n">
        <v>4980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Uber · Ebanx (=Uber) · gasto personal Sol · dinero en cuenta MP screenshot</t>
        </is>
      </c>
      <c r="N1001" s="4" t="inlineStr">
        <is>
          <t>CIUDAD / Gasto Personal Sol</t>
        </is>
      </c>
      <c r="O1001" s="4" t="n">
        <v>877</v>
      </c>
    </row>
    <row r="1002">
      <c r="A1002" s="4" t="n">
        <v>1001</v>
      </c>
      <c r="B1002" s="15" t="n">
        <v>46282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ALMACÉN SOL</t>
        </is>
      </c>
      <c r="F1002" s="4" t="inlineStr">
        <is>
          <t>COMIDA</t>
        </is>
      </c>
      <c r="G1002" s="4" t="inlineStr">
        <is>
          <t>COMIDA · McDonald's</t>
        </is>
      </c>
      <c r="H1002" s="5" t="n">
        <v>1900</v>
      </c>
      <c r="I1002" s="16" t="n"/>
      <c r="J1002" s="4" t="inlineStr">
        <is>
          <t>REAL</t>
        </is>
      </c>
      <c r="K1002" s="17" t="n"/>
      <c r="L1002" s="4" t="inlineStr">
        <is>
          <t>Mercado Pago</t>
        </is>
      </c>
      <c r="M1002" s="4" t="inlineStr">
        <is>
          <t>COMIDA · McDonald's · Mercado Pago · dinero en cuenta MP screenshot</t>
        </is>
      </c>
      <c r="N1002" s="4" t="inlineStr">
        <is>
          <t>CIUDAD / Almacen Detalle</t>
        </is>
      </c>
      <c r="O1002" s="4" t="n">
        <v>372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TRANSPORTE</t>
        </is>
      </c>
      <c r="G1003" s="4" t="inlineStr">
        <is>
          <t>TRANSPORTE · Didi</t>
        </is>
      </c>
      <c r="H1003" s="5" t="n">
        <v>6200</v>
      </c>
      <c r="I1003" s="16" t="n"/>
      <c r="J1003" s="4" t="inlineStr">
        <is>
          <t>REAL</t>
        </is>
      </c>
      <c r="K1003" s="4" t="inlineStr">
        <is>
          <t>Mercado Pago</t>
        </is>
      </c>
      <c r="L1003" s="4" t="inlineStr">
        <is>
          <t>Mercado Pago</t>
        </is>
      </c>
      <c r="M1003" s="4" t="inlineStr">
        <is>
          <t>TRANSPORTE · Didi · gasto personal Sol · dinero en cuenta MP screenshot</t>
        </is>
      </c>
      <c r="N1003" s="4" t="inlineStr">
        <is>
          <t>CIUDAD / Gasto Personal Sol</t>
        </is>
      </c>
      <c r="O1003" s="4" t="n">
        <v>883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Uber</t>
        </is>
      </c>
      <c r="H1004" s="5" t="n">
        <v>7257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Uber · Ebanx (=Uber) · gasto personal Sol · dinero en cuenta MP screenshot</t>
        </is>
      </c>
      <c r="N1004" s="4" t="inlineStr">
        <is>
          <t>CIUDAD / Gasto Personal Sol</t>
        </is>
      </c>
      <c r="O1004" s="4" t="n">
        <v>882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VESTIMENTA</t>
        </is>
      </c>
      <c r="G1005" s="4" t="inlineStr">
        <is>
          <t>VESTIMENTA</t>
        </is>
      </c>
      <c r="H1005" s="5" t="n">
        <v>719990</v>
      </c>
      <c r="I1005" s="16" t="n"/>
      <c r="J1005" s="4" t="inlineStr">
        <is>
          <t>REAL</t>
        </is>
      </c>
      <c r="K1005" s="4" t="inlineStr">
        <is>
          <t>TC Mercado Pago</t>
        </is>
      </c>
      <c r="L1005" s="4" t="inlineStr">
        <is>
          <t>TC Mercado Pago</t>
        </is>
      </c>
      <c r="M1005" s="4" t="inlineStr">
        <is>
          <t>VESTIMENTA · Itsclassic · TC Mercado Pago · Gmail Pago aprobado · REVISAR (también alerta BBVA MERPAGO*ITSCLASSIC) · post-cierre 12/09 → confirmar en resumen TC MP octubre</t>
        </is>
      </c>
      <c r="N1005" s="4" t="inlineStr">
        <is>
          <t>CIUDAD / Gasto Personal Sol</t>
        </is>
      </c>
      <c r="O1005" s="4" t="n">
        <v>831</v>
      </c>
    </row>
    <row r="1006">
      <c r="A1006" s="4" t="n">
        <v>1005</v>
      </c>
      <c r="B1006" s="15" t="n">
        <v>46283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TRANSPORTE</t>
        </is>
      </c>
      <c r="G1006" s="4" t="inlineStr">
        <is>
          <t>TRANSPORTE · Didi</t>
        </is>
      </c>
      <c r="H1006" s="5" t="n">
        <v>4900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TRANSPORTE · Didi · gasto personal Sol · dinero en cuenta MP screenshot</t>
        </is>
      </c>
      <c r="N1006" s="4" t="inlineStr">
        <is>
          <t>CIUDAD / Gasto Personal Sol</t>
        </is>
      </c>
      <c r="O1006" s="4" t="n">
        <v>885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Uber</t>
        </is>
      </c>
      <c r="H1007" s="5" t="n">
        <v>6053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Uber · Ebanx (=Uber) · gasto personal Sol · dinero en cuenta MP screenshot</t>
        </is>
      </c>
      <c r="N1007" s="4" t="inlineStr">
        <is>
          <t>CIUDAD / Gasto Personal Sol</t>
        </is>
      </c>
      <c r="O1007" s="4" t="n">
        <v>884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REVISAR si Market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REVISAR si Market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HOGAR</t>
        </is>
      </c>
      <c r="G1034" s="4" t="inlineStr">
        <is>
          <t>HOGAR</t>
        </is>
      </c>
      <c r="H1034" s="5" t="n">
        <v>134572</v>
      </c>
      <c r="I1034" s="16" t="n"/>
      <c r="J1034" s="4" t="inlineStr">
        <is>
          <t>REAL</t>
        </is>
      </c>
      <c r="K1034" s="4" t="inlineStr">
        <is>
          <t>TC Mercado Pago</t>
        </is>
      </c>
      <c r="L1034" s="4" t="inlineStr">
        <is>
          <t>TC Mercado Pago</t>
        </is>
      </c>
      <c r="M1034" s="4" t="inlineStr">
        <is>
          <t>HOGAR · ViennaHogar · TC Mercado Pago · 3 cuotas · Gmail Pago aprobado · post-cierre 12/09 → confirmar resumen octubre</t>
        </is>
      </c>
      <c r="N1034" s="4" t="inlineStr">
        <is>
          <t>CIUDAD / Gasto Personal Sol</t>
        </is>
      </c>
      <c r="O1034" s="4" t="n">
        <v>937</v>
      </c>
    </row>
    <row r="1035">
      <c r="A1035" s="4" t="n">
        <v>1034</v>
      </c>
      <c r="B1035" s="15" t="n">
        <v>46295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SUSCRIPCIONES · IA</t>
        </is>
      </c>
      <c r="G1035" s="4" t="inlineStr">
        <is>
          <t>SUSCRIPCIONES · IA</t>
        </is>
      </c>
      <c r="H1035" s="5" t="n">
        <v>30852</v>
      </c>
      <c r="I1035" s="16" t="n"/>
      <c r="J1035" s="4" t="inlineStr">
        <is>
          <t>REAL</t>
        </is>
      </c>
      <c r="K1035" s="4" t="inlineStr">
        <is>
          <t>BBVA VISA</t>
        </is>
      </c>
      <c r="L1035" s="4" t="inlineStr">
        <is>
          <t>BBVA</t>
        </is>
      </c>
      <c r="M1035" s="4" t="inlineStr">
        <is>
          <t>SUSCRIPCIONES · IA · ChatGPT / OpenAI · BBVA VISA · USD 20.00 × TC MEP 1542.56 · alerta Gmail Compra aprobada · REVISAR vs resumen BBVA</t>
        </is>
      </c>
      <c r="N1035" s="4" t="inlineStr">
        <is>
          <t>CIUDAD / Gasto Personal Sol</t>
        </is>
      </c>
      <c r="O1035" s="4" t="n">
        <v>930</v>
      </c>
    </row>
  </sheetData>
  <autoFilter ref="A1:O10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46266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SUSCRIPCIONES · APPLE</t>
        </is>
      </c>
      <c r="E718" s="4" t="inlineStr">
        <is>
          <t>SUSCRIPCIONES · Apple</t>
        </is>
      </c>
      <c r="F718" s="5" t="n">
        <v>81961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SUSCRIPCIONES · Apple · Mercado Pago · gasto personal Sol · dinero en cuenta MP screenshot</t>
        </is>
      </c>
      <c r="L718" s="4" t="n">
        <v>835</v>
      </c>
    </row>
    <row r="719">
      <c r="A719" s="15" t="n">
        <v>46266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TRANSFERENCIAS</t>
        </is>
      </c>
      <c r="E719" s="4" t="inlineStr">
        <is>
          <t>TRANSFERENCIAS</t>
        </is>
      </c>
      <c r="F719" s="5" t="n">
        <v>45000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Facundo Lisandro Marin · Transferencia enviada · gasto personal Sol · dinero en cuenta MP screenshot</t>
        </is>
      </c>
      <c r="L719" s="4" t="n">
        <v>834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COMIDA · OFICINA</t>
        </is>
      </c>
      <c r="E720" s="4" t="inlineStr">
        <is>
          <t>COMIDA · Oficina</t>
        </is>
      </c>
      <c r="F720" s="5" t="n">
        <v>4080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COMIDA · Oficina · Copetin Catering · Gmail Pago aprobado · REVISAR vs settlement</t>
        </is>
      </c>
      <c r="L720" s="4" t="n">
        <v>833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COMPRAS</t>
        </is>
      </c>
      <c r="E721" s="4" t="inlineStr">
        <is>
          <t>COMPRAS</t>
        </is>
      </c>
      <c r="F721" s="5" t="n">
        <v>4000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COMPRAS · Kiosk Store · gasto personal Sol · REVISAR ítem · dinero en cuenta MP screenshot</t>
        </is>
      </c>
      <c r="L721" s="4" t="n">
        <v>841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ENVÍOS</t>
        </is>
      </c>
      <c r="E722" s="4" t="inlineStr">
        <is>
          <t>ENVÍOS</t>
        </is>
      </c>
      <c r="F722" s="5" t="n">
        <v>24000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ENVÍOS · Correo Oficial · gasto personal Sol · dinero en cuenta MP screenshot</t>
        </is>
      </c>
      <c r="L722" s="4" t="n">
        <v>842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TRANSFERENCIAS</t>
        </is>
      </c>
      <c r="E723" s="4" t="inlineStr">
        <is>
          <t>TRANSFERENCIAS</t>
        </is>
      </c>
      <c r="F723" s="5" t="n">
        <v>863600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Neira Martina · Transferencia enviada · gasto personal Sol · dinero en cuenta MP screenshot</t>
        </is>
      </c>
      <c r="L723" s="4" t="n">
        <v>838</v>
      </c>
    </row>
    <row r="724">
      <c r="A724" s="15" t="n">
        <v>46267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7600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837</v>
      </c>
    </row>
    <row r="725">
      <c r="A725" s="15" t="n">
        <v>46267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6094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836</v>
      </c>
    </row>
    <row r="726">
      <c r="A726" s="15" t="n">
        <v>46267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TRANSPORTE</t>
        </is>
      </c>
      <c r="E726" s="4" t="inlineStr">
        <is>
          <t>TRANSPORTE · Uber</t>
        </is>
      </c>
      <c r="F726" s="5" t="n">
        <v>6607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TRANSPORTE · Uber · Ebanx (=Uber) · gasto personal Sol · dinero en cuenta MP screenshot</t>
        </is>
      </c>
      <c r="L726" s="4" t="n">
        <v>839</v>
      </c>
    </row>
    <row r="727">
      <c r="A727" s="15" t="n">
        <v>46267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Uber</t>
        </is>
      </c>
      <c r="F727" s="5" t="n">
        <v>6607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Uber · Ebanx (=Uber) · gasto personal Sol · dinero en cuenta MP screenshot</t>
        </is>
      </c>
      <c r="L727" s="4" t="n">
        <v>840</v>
      </c>
    </row>
    <row r="728">
      <c r="A728" s="15" t="n">
        <v>46268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Didi</t>
        </is>
      </c>
      <c r="F728" s="5" t="n">
        <v>4900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Didi · gasto personal Sol · dinero en cuenta MP screenshot</t>
        </is>
      </c>
      <c r="L728" s="4" t="n">
        <v>844</v>
      </c>
    </row>
    <row r="729">
      <c r="A729" s="15" t="n">
        <v>46268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Uber</t>
        </is>
      </c>
      <c r="F729" s="5" t="n">
        <v>7520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Uber · Ebanx (=Uber) · gasto personal Sol · dinero en cuenta MP screenshot</t>
        </is>
      </c>
      <c r="L729" s="4" t="n">
        <v>843</v>
      </c>
    </row>
    <row r="730">
      <c r="A730" s="15" t="n">
        <v>46269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AVA FIDEICOMISO</t>
        </is>
      </c>
      <c r="E730" s="4" t="inlineStr">
        <is>
          <t>AVA Fideicomiso</t>
        </is>
      </c>
      <c r="F730" s="5" t="n">
        <v>3134720</v>
      </c>
      <c r="G730" s="16" t="n"/>
      <c r="H730" s="4" t="inlineStr">
        <is>
          <t>REAL</t>
        </is>
      </c>
      <c r="I730" s="4" t="inlineStr">
        <is>
          <t>Mercado Pago / Transferencia</t>
        </is>
      </c>
      <c r="J730" s="4" t="inlineStr">
        <is>
          <t>Mercado Pago</t>
        </is>
      </c>
      <c r="K730" s="4" t="inlineStr">
        <is>
          <t>AVA Fideicomiso · cuota 10 · vto 2026-09-04 · total 6269440 · TC MEP venta 1525.39 · USD 4110.06 · 50% Sol · Gmail factura/recibo 07/09</t>
        </is>
      </c>
      <c r="L730" s="4" t="n">
        <v>829</v>
      </c>
    </row>
    <row r="731">
      <c r="A731" s="15" t="n">
        <v>46269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COMPRAS</t>
        </is>
      </c>
      <c r="E731" s="4" t="inlineStr">
        <is>
          <t>COMPRAS</t>
        </is>
      </c>
      <c r="F731" s="5" t="n">
        <v>580320</v>
      </c>
      <c r="G731" s="16" t="n"/>
      <c r="H731" s="4" t="inlineStr">
        <is>
          <t>REAL</t>
        </is>
      </c>
      <c r="I731" s="4" t="inlineStr">
        <is>
          <t>BBVA VISA</t>
        </is>
      </c>
      <c r="J731" s="4" t="inlineStr">
        <is>
          <t>BBVA</t>
        </is>
      </c>
      <c r="K731" s="4" t="inlineStr">
        <is>
          <t>COMPRAS · dhgate.com · BBVA VISA · USD 380.44 × TC MEP 1525.39 · importación · alerta Gmail Compra aprobada · REVISAR vs resumen BBVA</t>
        </is>
      </c>
      <c r="L731" s="4" t="n">
        <v>926</v>
      </c>
    </row>
    <row r="732">
      <c r="A732" s="15" t="n">
        <v>46270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10000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2026-09-05 · gasto personal Sol · dinero en cuenta MP screenshot</t>
        </is>
      </c>
      <c r="L732" s="4" t="n">
        <v>846</v>
      </c>
    </row>
    <row r="733">
      <c r="A733" s="15" t="n">
        <v>46270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10000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2026-09-05 · gasto personal Sol · dinero en cuenta MP screenshot</t>
        </is>
      </c>
      <c r="L733" s="4" t="n">
        <v>847</v>
      </c>
    </row>
    <row r="734">
      <c r="A734" s="15" t="n">
        <v>46270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TRANSFERENCIAS</t>
        </is>
      </c>
      <c r="E734" s="4" t="inlineStr">
        <is>
          <t>TRANSFERENCIAS</t>
        </is>
      </c>
      <c r="F734" s="5" t="n">
        <v>10800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Digno Lopez · Transferencia enviada · gasto personal Sol · dinero en cuenta MP screenshot</t>
        </is>
      </c>
      <c r="L734" s="4" t="n">
        <v>845</v>
      </c>
    </row>
    <row r="735">
      <c r="A735" s="15" t="n">
        <v>46271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TELECOMUNICACIONES</t>
        </is>
      </c>
      <c r="E735" s="4" t="inlineStr">
        <is>
          <t>Servicio - Telefonía</t>
        </is>
      </c>
      <c r="F735" s="5" t="n">
        <v>18300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Servicio - Telefonía · Tuenti · gasto personal Sol · dinero en cuenta MP screenshot</t>
        </is>
      </c>
      <c r="L735" s="4" t="n">
        <v>848</v>
      </c>
    </row>
    <row r="736">
      <c r="A736" s="15" t="n">
        <v>46271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TRANSPORTE · SUBE</t>
        </is>
      </c>
      <c r="F736" s="5" t="n">
        <v>987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SUBE · gasto personal Sol · dinero en cuenta MP screenshot</t>
        </is>
      </c>
      <c r="L736" s="4" t="n">
        <v>849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COMIDA · OFICINA</t>
        </is>
      </c>
      <c r="E737" s="4" t="inlineStr">
        <is>
          <t>COMIDA · Oficina</t>
        </is>
      </c>
      <c r="F737" s="5" t="n">
        <v>1350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COMIDA · Oficina · Feed · gasto personal Sol · dinero en cuenta MP screenshot</t>
        </is>
      </c>
      <c r="L737" s="4" t="n">
        <v>851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HOGAR</t>
        </is>
      </c>
      <c r="E738" s="4" t="inlineStr">
        <is>
          <t>HOGAR</t>
        </is>
      </c>
      <c r="F738" s="5" t="n">
        <v>186300</v>
      </c>
      <c r="G738" s="16" t="n"/>
      <c r="H738" s="4" t="inlineStr">
        <is>
          <t>REAL</t>
        </is>
      </c>
      <c r="I738" s="4" t="inlineStr">
        <is>
          <t>BBVA VISA</t>
        </is>
      </c>
      <c r="J738" s="4" t="inlineStr">
        <is>
          <t>BBVA</t>
        </is>
      </c>
      <c r="K738" s="4" t="inlineStr">
        <is>
          <t>HOGAR · Luna Hogar · BBVA VISA · MERPAGO*LUNAHOGAR · alerta Gmail</t>
        </is>
      </c>
      <c r="L738" s="4" t="n">
        <v>932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OTROS PERSONALES</t>
        </is>
      </c>
      <c r="E739" s="4" t="inlineStr">
        <is>
          <t>IMPUESTOS · ARCA</t>
        </is>
      </c>
      <c r="F739" s="5" t="n">
        <v>58118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IMPUESTOS · ARCA / AFIP · MP 2026-09-07 · gasto personal Sol · dinero en cuenta MP screenshot</t>
        </is>
      </c>
      <c r="L739" s="4" t="n">
        <v>852</v>
      </c>
    </row>
    <row r="740">
      <c r="A740" s="15" t="n">
        <v>46272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43038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2026-09-07 · gasto personal Sol · dinero en cuenta MP screenshot</t>
        </is>
      </c>
      <c r="L740" s="4" t="n">
        <v>853</v>
      </c>
    </row>
    <row r="741">
      <c r="A741" s="15" t="n">
        <v>46272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Didi</t>
        </is>
      </c>
      <c r="F741" s="5" t="n">
        <v>6700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Didi · gasto personal Sol · dinero en cuenta MP screenshot</t>
        </is>
      </c>
      <c r="L741" s="4" t="n">
        <v>854</v>
      </c>
    </row>
    <row r="742">
      <c r="A742" s="15" t="n">
        <v>46272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6948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850</v>
      </c>
    </row>
    <row r="743">
      <c r="A743" s="15" t="n">
        <v>46272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VESTIMENTA</t>
        </is>
      </c>
      <c r="E743" s="4" t="inlineStr">
        <is>
          <t>VESTIMENTA</t>
        </is>
      </c>
      <c r="F743" s="5" t="n">
        <v>809200</v>
      </c>
      <c r="G743" s="16" t="n"/>
      <c r="H743" s="4" t="inlineStr">
        <is>
          <t>REAL</t>
        </is>
      </c>
      <c r="I743" s="4" t="inlineStr">
        <is>
          <t>BBVA VISA</t>
        </is>
      </c>
      <c r="J743" s="4" t="inlineStr">
        <is>
          <t>BBVA</t>
        </is>
      </c>
      <c r="K743" s="4" t="inlineStr">
        <is>
          <t>VESTIMENTA · Markova · BBVA VISA · MERPAGO*MARKOVA · alerta Gmail · REVISAR ítem</t>
        </is>
      </c>
      <c r="L743" s="4" t="n">
        <v>931</v>
      </c>
    </row>
    <row r="744">
      <c r="A744" s="15" t="n">
        <v>46273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OTROS PERSONALES</t>
        </is>
      </c>
      <c r="E744" s="4" t="inlineStr">
        <is>
          <t>IMPUESTOS · ARCA</t>
        </is>
      </c>
      <c r="F744" s="5" t="n">
        <v>4866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IMPUESTOS · ARCA / AFIP · MP 2026-09-08 · gasto personal Sol · dinero en cuenta MP screenshot</t>
        </is>
      </c>
      <c r="L744" s="4" t="n">
        <v>855</v>
      </c>
    </row>
    <row r="745">
      <c r="A745" s="15" t="n">
        <v>46273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VESTIMENTA</t>
        </is>
      </c>
      <c r="E745" s="4" t="inlineStr">
        <is>
          <t>VESTIMENTA</t>
        </is>
      </c>
      <c r="F745" s="5" t="n">
        <v>28199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VESTIMENTA · OZZ · gasto personal Sol · dinero en cuenta MP screenshot</t>
        </is>
      </c>
      <c r="L745" s="4" t="n">
        <v>856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163350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COMPRAS · ZILVER SA · gasto personal Sol · REVISAR ítem · dinero en cuenta MP screenshot</t>
        </is>
      </c>
      <c r="L746" s="4" t="n">
        <v>862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OTROS PERSONALES</t>
        </is>
      </c>
      <c r="E747" s="4" t="inlineStr">
        <is>
          <t>IMPUESTOS · ARCA</t>
        </is>
      </c>
      <c r="F747" s="5" t="n">
        <v>43083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IMPUESTOS · ARCA / AFIP · MP 2026-09-10 · gasto personal Sol · dinero en cuenta MP screenshot</t>
        </is>
      </c>
      <c r="L747" s="4" t="n">
        <v>857</v>
      </c>
    </row>
    <row r="748">
      <c r="A748" s="15" t="n">
        <v>46275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TRANSFERENCIAS</t>
        </is>
      </c>
      <c r="E748" s="4" t="inlineStr">
        <is>
          <t>TRANSFERENCIAS</t>
        </is>
      </c>
      <c r="F748" s="5" t="n">
        <v>131000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Cova Abreu Gibiana Del Valle · Transferencia enviada · gasto personal Sol · dinero en cuenta MP screenshot</t>
        </is>
      </c>
      <c r="L748" s="4" t="n">
        <v>861</v>
      </c>
    </row>
    <row r="749">
      <c r="A749" s="15" t="n">
        <v>46275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TRANSPORTE</t>
        </is>
      </c>
      <c r="E749" s="4" t="inlineStr">
        <is>
          <t>TRANSPORTE · Uber</t>
        </is>
      </c>
      <c r="F749" s="5" t="n">
        <v>5612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TRANSPORTE · Uber · Ebanx (=Uber) · gasto personal Sol · dinero en cuenta MP screenshot</t>
        </is>
      </c>
      <c r="L749" s="4" t="n">
        <v>858</v>
      </c>
    </row>
    <row r="750">
      <c r="A750" s="15" t="n">
        <v>46275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TRANSPORTE</t>
        </is>
      </c>
      <c r="E750" s="4" t="inlineStr">
        <is>
          <t>TRANSPORTE · Uber</t>
        </is>
      </c>
      <c r="F750" s="5" t="n">
        <v>7155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TRANSPORTE · Uber · Ebanx (=Uber) · gasto personal Sol · dinero en cuenta MP screenshot</t>
        </is>
      </c>
      <c r="L750" s="4" t="n">
        <v>859</v>
      </c>
    </row>
    <row r="751">
      <c r="A751" s="15" t="n">
        <v>46275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TRANSPORTE</t>
        </is>
      </c>
      <c r="E751" s="4" t="inlineStr">
        <is>
          <t>TRANSPORTE · Uber</t>
        </is>
      </c>
      <c r="F751" s="5" t="n">
        <v>81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TRANSPORTE · Uber · Ebanx (=Uber) · gasto personal Sol · dinero en cuenta MP screenshot</t>
        </is>
      </c>
      <c r="L751" s="4" t="n">
        <v>860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SUSCRIPCIONES · APPLE</t>
        </is>
      </c>
      <c r="E752" s="4" t="inlineStr">
        <is>
          <t>SUSCRIPCIONES · Apple</t>
        </is>
      </c>
      <c r="F752" s="5" t="n">
        <v>29331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SUSCRIPCIONES · Apple · Mercado Pago · gasto personal Sol · dinero en cuenta MP screenshot</t>
        </is>
      </c>
      <c r="L752" s="4" t="n">
        <v>863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TRANSFERENCIAS</t>
        </is>
      </c>
      <c r="E753" s="4" t="inlineStr">
        <is>
          <t>TRANSFERENCIAS</t>
        </is>
      </c>
      <c r="F753" s="5" t="n">
        <v>185288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Sanbras oficial · Transferencia enviada · gasto personal Sol · dinero en cuenta MP screenshot</t>
        </is>
      </c>
      <c r="L753" s="4" t="n">
        <v>867</v>
      </c>
    </row>
    <row r="754">
      <c r="A754" s="15" t="n">
        <v>46276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TRANSFERENCIAS</t>
        </is>
      </c>
      <c r="E754" s="4" t="inlineStr">
        <is>
          <t>TRANSFERENCIAS</t>
        </is>
      </c>
      <c r="F754" s="5" t="n">
        <v>135000</v>
      </c>
      <c r="G754" s="16" t="n"/>
      <c r="H754" s="4" t="inlineStr">
        <is>
          <t>REAL</t>
        </is>
      </c>
      <c r="I754" s="4" t="inlineStr">
        <is>
          <t>Mercado Pago</t>
        </is>
      </c>
      <c r="J754" s="4" t="inlineStr">
        <is>
          <t>Mercado Pago</t>
        </is>
      </c>
      <c r="K754" s="4" t="inlineStr">
        <is>
          <t>Paula Carolina Fasanella · Transferencia enviada · gasto personal Sol · dinero en cuenta MP screenshot</t>
        </is>
      </c>
      <c r="L754" s="4" t="n">
        <v>868</v>
      </c>
    </row>
    <row r="755">
      <c r="A755" s="15" t="n">
        <v>46276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TRANSPORTE</t>
        </is>
      </c>
      <c r="E755" s="4" t="inlineStr">
        <is>
          <t>TRANSPORTE · Didi</t>
        </is>
      </c>
      <c r="F755" s="5" t="n">
        <v>5800</v>
      </c>
      <c r="G755" s="16" t="n"/>
      <c r="H755" s="4" t="inlineStr">
        <is>
          <t>REAL</t>
        </is>
      </c>
      <c r="I755" s="4" t="inlineStr">
        <is>
          <t>Mercado Pago</t>
        </is>
      </c>
      <c r="J755" s="4" t="inlineStr">
        <is>
          <t>Mercado Pago</t>
        </is>
      </c>
      <c r="K755" s="4" t="inlineStr">
        <is>
          <t>TRANSPORTE · Didi · gasto personal Sol · dinero en cuenta MP screenshot</t>
        </is>
      </c>
      <c r="L755" s="4" t="n">
        <v>864</v>
      </c>
    </row>
    <row r="756">
      <c r="A756" s="15" t="n">
        <v>46276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TRANSPORTE</t>
        </is>
      </c>
      <c r="E756" s="4" t="inlineStr">
        <is>
          <t>TRANSPORTE · Didi</t>
        </is>
      </c>
      <c r="F756" s="5" t="n">
        <v>4500</v>
      </c>
      <c r="G756" s="16" t="n"/>
      <c r="H756" s="4" t="inlineStr">
        <is>
          <t>REAL</t>
        </is>
      </c>
      <c r="I756" s="4" t="inlineStr">
        <is>
          <t>Mercado Pago</t>
        </is>
      </c>
      <c r="J756" s="4" t="inlineStr">
        <is>
          <t>Mercado Pago</t>
        </is>
      </c>
      <c r="K756" s="4" t="inlineStr">
        <is>
          <t>TRANSPORTE · Didi · gasto personal Sol · dinero en cuenta MP screenshot</t>
        </is>
      </c>
      <c r="L756" s="4" t="n">
        <v>865</v>
      </c>
    </row>
    <row r="757">
      <c r="A757" s="15" t="n">
        <v>46276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TRANSPORTE</t>
        </is>
      </c>
      <c r="E757" s="4" t="inlineStr">
        <is>
          <t>TRANSPORTE · Uber</t>
        </is>
      </c>
      <c r="F757" s="5" t="n">
        <v>7758</v>
      </c>
      <c r="G757" s="16" t="n"/>
      <c r="H757" s="4" t="inlineStr">
        <is>
          <t>REAL</t>
        </is>
      </c>
      <c r="I757" s="4" t="inlineStr">
        <is>
          <t>Mercado Pago</t>
        </is>
      </c>
      <c r="J757" s="4" t="inlineStr">
        <is>
          <t>Mercado Pago</t>
        </is>
      </c>
      <c r="K757" s="4" t="inlineStr">
        <is>
          <t>TRANSPORTE · Uber · Ebanx (=Uber) · gasto personal Sol · dinero en cuenta MP screenshot</t>
        </is>
      </c>
      <c r="L757" s="4" t="n">
        <v>866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31450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PPNL · TC Mercado Pago · C.2/2 · REVISAR ítem · compra 2026-07-16 · cierre 2026-09-12</t>
        </is>
      </c>
      <c r="L758" s="4" t="n">
        <v>907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126325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LG Distribuidor · TC Mercado Pago · C.2/3 · REVISAR ítem · compra 2026-07-29 · cierre 2026-09-12</t>
        </is>
      </c>
      <c r="L759" s="4" t="n">
        <v>908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58430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Central Store · TC Mercado Pago · C.2/6 · compra 2026-08-01 · cierre 2026-09-12</t>
        </is>
      </c>
      <c r="L760" s="4" t="n">
        <v>912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290000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COMPRAS · Mac Station · TC Mercado Pago · C.1/2 · compra 2026-08-13 · cierre 2026-09-12</t>
        </is>
      </c>
      <c r="L761" s="4" t="n">
        <v>914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COMPRAS</t>
        </is>
      </c>
      <c r="E762" s="4" t="inlineStr">
        <is>
          <t>COMPRAS</t>
        </is>
      </c>
      <c r="F762" s="5" t="n">
        <v>52624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COMPRAS · Mac Station · TC Mercado Pago · C.1/2 · compra 2026-08-13 · cierre 2026-09-12</t>
        </is>
      </c>
      <c r="L762" s="4" t="n">
        <v>915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COMPRAS</t>
        </is>
      </c>
      <c r="E763" s="4" t="inlineStr">
        <is>
          <t>COMPRAS</t>
        </is>
      </c>
      <c r="F763" s="5" t="n">
        <v>40000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COMPRAS · Celugadgets · TC Mercado Pago · compra 2026-08-22 · cierre 2026-09-12</t>
        </is>
      </c>
      <c r="L763" s="4" t="n">
        <v>919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COMPRAS</t>
        </is>
      </c>
      <c r="E764" s="4" t="inlineStr">
        <is>
          <t>COMPRAS</t>
        </is>
      </c>
      <c r="F764" s="5" t="n">
        <v>57725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COMPRAS · Juan Cornacchi · TC Mercado Pago · REVISAR ítem · compra 2026-08-27 · cierre 2026-09-12</t>
        </is>
      </c>
      <c r="L764" s="4" t="n">
        <v>921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COMPRAS</t>
        </is>
      </c>
      <c r="E765" s="4" t="inlineStr">
        <is>
          <t>COMPRAS</t>
        </is>
      </c>
      <c r="F765" s="5" t="n">
        <v>39000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COMPRAS · Megaventas HM · TC Mercado Pago · compra 2026-08-27 · cierre 2026-09-12</t>
        </is>
      </c>
      <c r="L765" s="4" t="n">
        <v>922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COMPRAS</t>
        </is>
      </c>
      <c r="E766" s="4" t="inlineStr">
        <is>
          <t>COMPRAS</t>
        </is>
      </c>
      <c r="F766" s="5" t="n">
        <v>-39000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REEMBOLSO · COMPRAS · Megaventas HM · TC Mercado Pago · compra 2026-08-27 · cierre 2026-09-12</t>
        </is>
      </c>
      <c r="L766" s="4" t="n">
        <v>925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HOGAR</t>
        </is>
      </c>
      <c r="E767" s="4" t="inlineStr">
        <is>
          <t>HOGAR</t>
        </is>
      </c>
      <c r="F767" s="5" t="n">
        <v>256862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HOGAR · Banchero Sanitarios · TC Mercado Pago · C.1/3 · compra 2026-08-18 · cierre 2026-09-12</t>
        </is>
      </c>
      <c r="L767" s="4" t="n">
        <v>916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MERCADO LIBRE</t>
        </is>
      </c>
      <c r="E768" s="4" t="inlineStr">
        <is>
          <t>MERCADO LIBRE</t>
        </is>
      </c>
      <c r="F768" s="5" t="n">
        <v>107500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Mercado Libre · TC Mercado Pago · C.1/2 · compra 2026-08-22 · cierre 2026-09-12</t>
        </is>
      </c>
      <c r="L768" s="4" t="n">
        <v>918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REGALOS</t>
        </is>
      </c>
      <c r="E769" s="4" t="inlineStr">
        <is>
          <t>REGALOS</t>
        </is>
      </c>
      <c r="F769" s="5" t="n">
        <v>33500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REGALOS · Regalos Dalila · TC Mercado Pago · C.2/2 · compra 2026-07-31 · cierre 2026-09-12</t>
        </is>
      </c>
      <c r="L769" s="4" t="n">
        <v>909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REGALOS</t>
        </is>
      </c>
      <c r="E770" s="4" t="inlineStr">
        <is>
          <t>REGALOS</t>
        </is>
      </c>
      <c r="F770" s="5" t="n">
        <v>546850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REGALOS · Regalos Dalila · TC Mercado Pago · C.2/2 · compra 2026-07-31 · cierre 2026-09-12</t>
        </is>
      </c>
      <c r="L770" s="4" t="n">
        <v>910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REGALOS</t>
        </is>
      </c>
      <c r="E771" s="4" t="inlineStr">
        <is>
          <t>REGALOS</t>
        </is>
      </c>
      <c r="F771" s="5" t="n">
        <v>62500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REGALOS · Regalos Dalila · TC Mercado Pago · C.2/2 · compra 2026-07-31 · cierre 2026-09-12</t>
        </is>
      </c>
      <c r="L771" s="4" t="n">
        <v>911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41715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Loccitane · TC Mercado Pago · C.6/6 · compra 2026-03-20 · cierre 2026-09-12</t>
        </is>
      </c>
      <c r="L772" s="4" t="n">
        <v>899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23000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Adidas · TC Mercado Pago · C.6/6 · compra 2026-03-23 · cierre 2026-09-12</t>
        </is>
      </c>
      <c r="L773" s="4" t="n">
        <v>900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67112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ROPA · Awada · TC Mercado Pago · C.6/9 · compra 2026-03-23 · cierre 2026-09-12</t>
        </is>
      </c>
      <c r="L774" s="4" t="n">
        <v>901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ROPA</t>
        </is>
      </c>
      <c r="F775" s="5" t="n">
        <v>41345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ROPA · Laparfumerie · TC Mercado Pago · C.6/6 · compra 2026-03-30 · cierre 2026-09-12</t>
        </is>
      </c>
      <c r="L775" s="4" t="n">
        <v>902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ROPA</t>
        </is>
      </c>
      <c r="E776" s="4" t="inlineStr">
        <is>
          <t>ROPA</t>
        </is>
      </c>
      <c r="F776" s="5" t="n">
        <v>297891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ROPA · Pandora · TC Mercado Pago · C.3/6 · compra 2026-07-09 · cierre 2026-09-12</t>
        </is>
      </c>
      <c r="L776" s="4" t="n">
        <v>906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ROPA</t>
        </is>
      </c>
      <c r="E777" s="4" t="inlineStr">
        <is>
          <t>ROPA</t>
        </is>
      </c>
      <c r="F777" s="5" t="n">
        <v>82742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ROPA · Monofuk · TC Mercado Pago · C.2/12 · compra 2026-08-04 · cierre 2026-09-12</t>
        </is>
      </c>
      <c r="L777" s="4" t="n">
        <v>913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ROPA</t>
        </is>
      </c>
      <c r="E778" s="4" t="inlineStr">
        <is>
          <t>ROPA</t>
        </is>
      </c>
      <c r="F778" s="5" t="n">
        <v>418000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ROPA · Galeon Joyas · TC Mercado Pago · C.1/3 · compra 2026-09-10 · cierre 2026-09-12</t>
        </is>
      </c>
      <c r="L778" s="4" t="n">
        <v>923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ROPA</t>
        </is>
      </c>
      <c r="E779" s="4" t="inlineStr">
        <is>
          <t>ROPA</t>
        </is>
      </c>
      <c r="F779" s="5" t="n">
        <v>-795614</v>
      </c>
      <c r="G779" s="16" t="n"/>
      <c r="H779" s="4" t="inlineStr">
        <is>
          <t>REAL</t>
        </is>
      </c>
      <c r="I779" s="4" t="inlineStr">
        <is>
          <t>TC Mercado Pago</t>
        </is>
      </c>
      <c r="J779" s="4" t="inlineStr">
        <is>
          <t>TC Mercado Pago</t>
        </is>
      </c>
      <c r="K779" s="4" t="inlineStr">
        <is>
          <t>REEMBOLSO · ROPA · Zara · TC Mercado Pago · compra 2026-08-19 · cierre 2026-09-12</t>
        </is>
      </c>
      <c r="L779" s="4" t="n">
        <v>924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SALUD</t>
        </is>
      </c>
      <c r="E780" s="4" t="inlineStr">
        <is>
          <t>SALUD</t>
        </is>
      </c>
      <c r="F780" s="5" t="n">
        <v>55707</v>
      </c>
      <c r="G780" s="16" t="n"/>
      <c r="H780" s="4" t="inlineStr">
        <is>
          <t>REAL</t>
        </is>
      </c>
      <c r="I780" s="4" t="inlineStr">
        <is>
          <t>TC Mercado Pago</t>
        </is>
      </c>
      <c r="J780" s="4" t="inlineStr">
        <is>
          <t>TC Mercado Pago</t>
        </is>
      </c>
      <c r="K780" s="4" t="inlineStr">
        <is>
          <t>SALUD · Laboratorio · TC Mercado Pago · C.3/9 · compra 2026-06-23 · cierre 2026-09-12</t>
        </is>
      </c>
      <c r="L780" s="4" t="n">
        <v>904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SALUD</t>
        </is>
      </c>
      <c r="E781" s="4" t="inlineStr">
        <is>
          <t>SALUD</t>
        </is>
      </c>
      <c r="F781" s="5" t="n">
        <v>58334</v>
      </c>
      <c r="G781" s="16" t="n"/>
      <c r="H781" s="4" t="inlineStr">
        <is>
          <t>REAL</t>
        </is>
      </c>
      <c r="I781" s="4" t="inlineStr">
        <is>
          <t>TC Mercado Pago</t>
        </is>
      </c>
      <c r="J781" s="4" t="inlineStr">
        <is>
          <t>TC Mercado Pago</t>
        </is>
      </c>
      <c r="K781" s="4" t="inlineStr">
        <is>
          <t>SALUD · Biodepot · TC Mercado Pago · C.3/3 · compra 2026-06-25 · cierre 2026-09-12</t>
        </is>
      </c>
      <c r="L781" s="4" t="n">
        <v>905</v>
      </c>
    </row>
    <row r="782">
      <c r="A782" s="15" t="n">
        <v>46277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SALUD · Vitaminas</t>
        </is>
      </c>
      <c r="E782" s="4" t="inlineStr">
        <is>
          <t>SALUD · Vitaminas</t>
        </is>
      </c>
      <c r="F782" s="5" t="n">
        <v>87900</v>
      </c>
      <c r="G782" s="16" t="n"/>
      <c r="H782" s="4" t="inlineStr">
        <is>
          <t>REAL</t>
        </is>
      </c>
      <c r="I782" s="4" t="inlineStr">
        <is>
          <t>TC Mercado Pago</t>
        </is>
      </c>
      <c r="J782" s="4" t="inlineStr">
        <is>
          <t>TC Mercado Pago</t>
        </is>
      </c>
      <c r="K782" s="4" t="inlineStr">
        <is>
          <t>SALUD · Vitaminas · Promarine · TC Mercado Pago · C.6/6 · compra 2026-04-04 · cierre 2026-09-12</t>
        </is>
      </c>
      <c r="L782" s="4" t="n">
        <v>903</v>
      </c>
    </row>
    <row r="783">
      <c r="A783" s="15" t="n">
        <v>46277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SUSCRIPCIONES · APPLE</t>
        </is>
      </c>
      <c r="E783" s="4" t="inlineStr">
        <is>
          <t>SUSCRIPCIONES · Apple</t>
        </is>
      </c>
      <c r="F783" s="5" t="n">
        <v>19749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SUSCRIPCIONES · Apple · Mercado Pago · gasto personal Sol · dinero en cuenta MP screenshot</t>
        </is>
      </c>
      <c r="L783" s="4" t="n">
        <v>869</v>
      </c>
    </row>
    <row r="784">
      <c r="A784" s="15" t="n">
        <v>46277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ROPA</t>
        </is>
      </c>
      <c r="E784" s="4" t="inlineStr">
        <is>
          <t>TRANSFERENCIAS</t>
        </is>
      </c>
      <c r="F784" s="5" t="n">
        <v>140000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Eva Graciela Zarate Valdovino · Transferencia enviada · gasto personal Sol · dinero en cuenta MP screenshot</t>
        </is>
      </c>
      <c r="L784" s="4" t="n">
        <v>870</v>
      </c>
    </row>
    <row r="785">
      <c r="A785" s="15" t="n">
        <v>46277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VESTIMENTA</t>
        </is>
      </c>
      <c r="E785" s="4" t="inlineStr">
        <is>
          <t>VESTIMENTA</t>
        </is>
      </c>
      <c r="F785" s="5" t="n">
        <v>72000</v>
      </c>
      <c r="G785" s="16" t="n"/>
      <c r="H785" s="4" t="inlineStr">
        <is>
          <t>REAL</t>
        </is>
      </c>
      <c r="I785" s="4" t="inlineStr">
        <is>
          <t>TC Mercado Pago</t>
        </is>
      </c>
      <c r="J785" s="4" t="inlineStr">
        <is>
          <t>TC Mercado Pago</t>
        </is>
      </c>
      <c r="K785" s="4" t="inlineStr">
        <is>
          <t>VESTIMENTA · Etiqueta Negra · TC Mercado Pago · C.1/6 · compra 2026-08-25 · cierre 2026-09-12</t>
        </is>
      </c>
      <c r="L785" s="4" t="n">
        <v>920</v>
      </c>
    </row>
    <row r="786">
      <c r="A786" s="15" t="n">
        <v>46277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OTROS PERSONALES</t>
        </is>
      </c>
      <c r="E786" s="4" t="inlineStr">
        <is>
          <t>VIAJES</t>
        </is>
      </c>
      <c r="F786" s="5" t="n">
        <v>1633555</v>
      </c>
      <c r="G786" s="16" t="n"/>
      <c r="H786" s="4" t="inlineStr">
        <is>
          <t>REAL</t>
        </is>
      </c>
      <c r="I786" s="4" t="inlineStr">
        <is>
          <t>TC Mercado Pago</t>
        </is>
      </c>
      <c r="J786" s="4" t="inlineStr">
        <is>
          <t>TC Mercado Pago</t>
        </is>
      </c>
      <c r="K786" s="4" t="inlineStr">
        <is>
          <t>VIAJES · Aerolíneas Argentinas · TC Mercado Pago · compra 2026-08-22 · cierre 2026-09-12</t>
        </is>
      </c>
      <c r="L786" s="4" t="n">
        <v>917</v>
      </c>
    </row>
    <row r="787">
      <c r="A787" s="15" t="n">
        <v>46278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COMPRAS</t>
        </is>
      </c>
      <c r="E787" s="4" t="inlineStr">
        <is>
          <t>COMPRAS</t>
        </is>
      </c>
      <c r="F787" s="5" t="n">
        <v>176509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COMPRAS · El Bazar Digital · gasto personal Sol · REVISAR ítem · dinero en cuenta MP screenshot</t>
        </is>
      </c>
      <c r="L787" s="4" t="n">
        <v>871</v>
      </c>
    </row>
    <row r="788">
      <c r="A788" s="15" t="n">
        <v>46278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COMPRAS</t>
        </is>
      </c>
      <c r="E788" s="4" t="inlineStr">
        <is>
          <t>COMPRAS</t>
        </is>
      </c>
      <c r="F788" s="5" t="n">
        <v>71250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Pago · Pago · gasto personal Sol · REVISAR ítem · dinero en cuenta MP screenshot</t>
        </is>
      </c>
      <c r="L788" s="4" t="n">
        <v>873</v>
      </c>
    </row>
    <row r="789">
      <c r="A789" s="15" t="n">
        <v>46278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COMPRAS</t>
        </is>
      </c>
      <c r="E789" s="4" t="inlineStr">
        <is>
          <t>COMPRAS</t>
        </is>
      </c>
      <c r="F789" s="5" t="n">
        <v>76742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Pago · Pago · gasto personal Sol · REVISAR ítem · dinero en cuenta MP screenshot</t>
        </is>
      </c>
      <c r="L789" s="4" t="n">
        <v>874</v>
      </c>
    </row>
    <row r="790">
      <c r="A790" s="15" t="n">
        <v>46278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COMPRAS</t>
        </is>
      </c>
      <c r="E790" s="4" t="inlineStr">
        <is>
          <t>COMPRAS</t>
        </is>
      </c>
      <c r="F790" s="5" t="n">
        <v>629985</v>
      </c>
      <c r="G790" s="16" t="n"/>
      <c r="H790" s="4" t="inlineStr">
        <is>
          <t>REAL</t>
        </is>
      </c>
      <c r="I790" s="4" t="inlineStr">
        <is>
          <t>BBVA VISA</t>
        </is>
      </c>
      <c r="J790" s="4" t="inlineStr">
        <is>
          <t>BBVA</t>
        </is>
      </c>
      <c r="K790" s="4" t="inlineStr">
        <is>
          <t>COMPRAS · dhgate.com · BBVA VISA · USD 409.57 × TC MEP 1538.16 · importación · MEP 11/09 (13/09 domingo) · alerta Gmail Compra aprobada · REVISAR vs resumen BBVA</t>
        </is>
      </c>
      <c r="L790" s="4" t="n">
        <v>927</v>
      </c>
    </row>
    <row r="791">
      <c r="A791" s="15" t="n">
        <v>46278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PELUQUERÍA</t>
        </is>
      </c>
      <c r="E791" s="4" t="inlineStr">
        <is>
          <t>PELUQUERÍA</t>
        </is>
      </c>
      <c r="F791" s="5" t="n">
        <v>12720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PELUQUERÍA · Megapeluquerías CABA · gasto personal Sol · dinero en cuenta MP screenshot</t>
        </is>
      </c>
      <c r="L791" s="4" t="n">
        <v>872</v>
      </c>
    </row>
    <row r="792">
      <c r="A792" s="15" t="n">
        <v>46279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COMPRAS</t>
        </is>
      </c>
      <c r="E792" s="4" t="inlineStr">
        <is>
          <t>COMPRAS</t>
        </is>
      </c>
      <c r="F792" s="5" t="n">
        <v>8520</v>
      </c>
      <c r="G792" s="16" t="n"/>
      <c r="H792" s="4" t="inlineStr">
        <is>
          <t>REAL</t>
        </is>
      </c>
      <c r="I792" s="4" t="inlineStr">
        <is>
          <t>BBVA VISA</t>
        </is>
      </c>
      <c r="J792" s="4" t="inlineStr">
        <is>
          <t>BBVA</t>
        </is>
      </c>
      <c r="K792" s="4" t="inlineStr">
        <is>
          <t>COMPRAS · La Obanesad · BBVA VISA · MERPAGO*LAOBANESAD · alerta Gmail · REVISAR ítem</t>
        </is>
      </c>
      <c r="L792" s="4" t="n">
        <v>933</v>
      </c>
    </row>
    <row r="793">
      <c r="A793" s="15" t="n">
        <v>46279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TRANSFERENCIAS</t>
        </is>
      </c>
      <c r="E793" s="4" t="inlineStr">
        <is>
          <t>TRANSFERENCIAS</t>
        </is>
      </c>
      <c r="F793" s="5" t="n">
        <v>85000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Maria Celeste Gonzalez · Transferencia enviada · gasto personal Sol · dinero en cuenta MP screenshot</t>
        </is>
      </c>
      <c r="L793" s="4" t="n">
        <v>875</v>
      </c>
    </row>
    <row r="794">
      <c r="A794" s="15" t="n">
        <v>46279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TRANSFERENCIAS</t>
        </is>
      </c>
      <c r="E794" s="4" t="inlineStr">
        <is>
          <t>TRANSFERENCIAS</t>
        </is>
      </c>
      <c r="F794" s="5" t="n">
        <v>1000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Mariano Morales · Transferencia enviada · gasto personal Sol · dinero en cuenta MP screenshot</t>
        </is>
      </c>
      <c r="L794" s="4" t="n">
        <v>876</v>
      </c>
    </row>
    <row r="795">
      <c r="A795" s="15" t="n">
        <v>46280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COMPRAS</t>
        </is>
      </c>
      <c r="E795" s="4" t="inlineStr">
        <is>
          <t>COMPRAS</t>
        </is>
      </c>
      <c r="F795" s="5" t="n">
        <v>40900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COMPRAS · Happy buy · gasto personal Sol · REVISAR ítem · dinero en cuenta MP screenshot</t>
        </is>
      </c>
      <c r="L795" s="4" t="n">
        <v>878</v>
      </c>
    </row>
    <row r="796">
      <c r="A796" s="15" t="n">
        <v>46280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OTROS PERSONALES</t>
        </is>
      </c>
      <c r="E796" s="4" t="inlineStr">
        <is>
          <t>IMPUESTOS · Epagos</t>
        </is>
      </c>
      <c r="F796" s="5" t="n">
        <v>10150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IMPUESTOS · Epagos · gasto personal Sol · dinero en cuenta MP screenshot</t>
        </is>
      </c>
      <c r="L796" s="4" t="n">
        <v>880</v>
      </c>
    </row>
    <row r="797">
      <c r="A797" s="15" t="n">
        <v>46280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TRANSFERENCIAS</t>
        </is>
      </c>
      <c r="E797" s="4" t="inlineStr">
        <is>
          <t>TRANSFERENCIAS</t>
        </is>
      </c>
      <c r="F797" s="5" t="n">
        <v>4000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Gaston Osvaldo Roca · Transferencia enviada · gasto personal Sol · dinero en cuenta MP screenshot</t>
        </is>
      </c>
      <c r="L797" s="4" t="n">
        <v>881</v>
      </c>
    </row>
    <row r="798">
      <c r="A798" s="15" t="n">
        <v>46280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TRANSPORTE</t>
        </is>
      </c>
      <c r="E798" s="4" t="inlineStr">
        <is>
          <t>TRANSPORTE · Didi</t>
        </is>
      </c>
      <c r="F798" s="5" t="n">
        <v>5500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Didi · gasto personal Sol · dinero en cuenta MP screenshot</t>
        </is>
      </c>
      <c r="L798" s="4" t="n">
        <v>879</v>
      </c>
    </row>
    <row r="799">
      <c r="A799" s="15" t="n">
        <v>46280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Uber</t>
        </is>
      </c>
      <c r="F799" s="5" t="n">
        <v>4980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Uber · Ebanx (=Uber) · gasto personal Sol · dinero en cuenta MP screenshot</t>
        </is>
      </c>
      <c r="L799" s="4" t="n">
        <v>877</v>
      </c>
    </row>
    <row r="800">
      <c r="A800" s="15" t="n">
        <v>46282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Didi</t>
        </is>
      </c>
      <c r="F800" s="5" t="n">
        <v>6200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Didi · gasto personal Sol · dinero en cuenta MP screenshot</t>
        </is>
      </c>
      <c r="L800" s="4" t="n">
        <v>883</v>
      </c>
    </row>
    <row r="801">
      <c r="A801" s="15" t="n">
        <v>46282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Uber</t>
        </is>
      </c>
      <c r="F801" s="5" t="n">
        <v>7257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Uber · Ebanx (=Uber) · gasto personal Sol · dinero en cuenta MP screenshot</t>
        </is>
      </c>
      <c r="L801" s="4" t="n">
        <v>882</v>
      </c>
    </row>
    <row r="802">
      <c r="A802" s="15" t="n">
        <v>46282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VESTIMENTA</t>
        </is>
      </c>
      <c r="E802" s="4" t="inlineStr">
        <is>
          <t>VESTIMENTA</t>
        </is>
      </c>
      <c r="F802" s="5" t="n">
        <v>719990</v>
      </c>
      <c r="G802" s="16" t="n"/>
      <c r="H802" s="4" t="inlineStr">
        <is>
          <t>REAL</t>
        </is>
      </c>
      <c r="I802" s="4" t="inlineStr">
        <is>
          <t>TC Mercado Pago</t>
        </is>
      </c>
      <c r="J802" s="4" t="inlineStr">
        <is>
          <t>TC Mercado Pago</t>
        </is>
      </c>
      <c r="K802" s="4" t="inlineStr">
        <is>
          <t>VESTIMENTA · Itsclassic · TC Mercado Pago · Gmail Pago aprobado · REVISAR (también alerta BBVA MERPAGO*ITSCLASSIC) · post-cierre 12/09 → confirmar en resumen TC MP octubre</t>
        </is>
      </c>
      <c r="L802" s="4" t="n">
        <v>831</v>
      </c>
    </row>
    <row r="803">
      <c r="A803" s="15" t="n">
        <v>46283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Didi</t>
        </is>
      </c>
      <c r="F803" s="5" t="n">
        <v>4900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Didi · gasto personal Sol · dinero en cuenta MP screenshot</t>
        </is>
      </c>
      <c r="L803" s="4" t="n">
        <v>885</v>
      </c>
    </row>
    <row r="804">
      <c r="A804" s="15" t="n">
        <v>46283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Uber</t>
        </is>
      </c>
      <c r="F804" s="5" t="n">
        <v>6053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Uber · Ebanx (=Uber) · gasto personal Sol · dinero en cuenta MP screenshot</t>
        </is>
      </c>
      <c r="L804" s="4" t="n">
        <v>884</v>
      </c>
    </row>
    <row r="805">
      <c r="A805" s="15" t="n">
        <v>46283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Uber</t>
        </is>
      </c>
      <c r="F805" s="5" t="n">
        <v>6478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Uber · Ebanx (=Uber) · gasto personal Sol · dinero en cuenta MP screenshot</t>
        </is>
      </c>
      <c r="L805" s="4" t="n">
        <v>886</v>
      </c>
    </row>
    <row r="806">
      <c r="A806" s="15" t="n">
        <v>46284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AUTO</t>
        </is>
      </c>
      <c r="E806" s="4" t="inlineStr">
        <is>
          <t>EDUCACIÓN</t>
        </is>
      </c>
      <c r="F806" s="5" t="n">
        <v>127196</v>
      </c>
      <c r="G806" s="16" t="n"/>
      <c r="H806" s="4" t="inlineStr">
        <is>
          <t>REAL</t>
        </is>
      </c>
      <c r="I806" s="4" t="inlineStr">
        <is>
          <t>TC Mercado Pago</t>
        </is>
      </c>
      <c r="J806" s="4" t="inlineStr">
        <is>
          <t>TC Mercado Pago</t>
        </is>
      </c>
      <c r="K806" s="4" t="inlineStr">
        <is>
          <t>EDUCACIÓN · EducaciónIT · Automatización Claude · TC Mercado Pago · 3 cuotas · Gmail · post-cierre 12/09 → confirmar en resumen TC MP octubre</t>
        </is>
      </c>
      <c r="L806" s="4" t="n">
        <v>832</v>
      </c>
    </row>
    <row r="807">
      <c r="A807" s="15" t="n">
        <v>46284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SALUD · Vitaminas</t>
        </is>
      </c>
      <c r="E807" s="4" t="inlineStr">
        <is>
          <t>SALUD · Vitaminas</t>
        </is>
      </c>
      <c r="F807" s="5" t="n">
        <v>530100</v>
      </c>
      <c r="G807" s="16" t="n"/>
      <c r="H807" s="4" t="inlineStr">
        <is>
          <t>REAL</t>
        </is>
      </c>
      <c r="I807" s="4" t="inlineStr">
        <is>
          <t>TC Mercado Pago</t>
        </is>
      </c>
      <c r="J807" s="4" t="inlineStr">
        <is>
          <t>TC Mercado Pago</t>
        </is>
      </c>
      <c r="K807" s="4" t="inlineStr">
        <is>
          <t>SALUD · Vitaminas · Promarine · TC Mercado Pago · 6 cuotas · Gmail Pago aprobado · REVISAR vs resumen TC MP · post-cierre 12/09 → confirmar en resumen TC MP octubre</t>
        </is>
      </c>
      <c r="L807" s="4" t="n">
        <v>830</v>
      </c>
    </row>
    <row r="808">
      <c r="A808" s="15" t="n">
        <v>46284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OTROS PERSONALES</t>
        </is>
      </c>
      <c r="E808" s="4" t="inlineStr">
        <is>
          <t>TRANSPORTE · SUBE</t>
        </is>
      </c>
      <c r="F808" s="5" t="n">
        <v>862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SUBE · gasto personal Sol · dinero en cuenta MP screenshot</t>
        </is>
      </c>
      <c r="L808" s="4" t="n">
        <v>887</v>
      </c>
    </row>
    <row r="809">
      <c r="A809" s="15" t="n">
        <v>46285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COMPRAS</t>
        </is>
      </c>
      <c r="E809" s="4" t="inlineStr">
        <is>
          <t>COMPRAS</t>
        </is>
      </c>
      <c r="F809" s="5" t="n">
        <v>89998</v>
      </c>
      <c r="G809" s="16" t="n"/>
      <c r="H809" s="4" t="inlineStr">
        <is>
          <t>REAL</t>
        </is>
      </c>
      <c r="I809" s="4" t="inlineStr">
        <is>
          <t>TC Mercado Pago</t>
        </is>
      </c>
      <c r="J809" s="4" t="inlineStr">
        <is>
          <t>TC Mercado Pago</t>
        </is>
      </c>
      <c r="K809" s="4" t="inlineStr">
        <is>
          <t>COMPRAS · Yenny El Ateneo · TC Mercado Pago · Gmail Pago aprobado · post-cierre 12/09 → confirmar resumen octubre</t>
        </is>
      </c>
      <c r="L809" s="4" t="n">
        <v>936</v>
      </c>
    </row>
    <row r="810">
      <c r="A810" s="15" t="n">
        <v>46287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SUSCRIPCIONES · IA</t>
        </is>
      </c>
      <c r="E810" s="4" t="inlineStr">
        <is>
          <t>SUSCRIPCIONES · IA</t>
        </is>
      </c>
      <c r="F810" s="5" t="n">
        <v>7668</v>
      </c>
      <c r="G810" s="16" t="n"/>
      <c r="H810" s="4" t="inlineStr">
        <is>
          <t>REAL</t>
        </is>
      </c>
      <c r="I810" s="4" t="inlineStr">
        <is>
          <t>BBVA VISA</t>
        </is>
      </c>
      <c r="J810" s="4" t="inlineStr">
        <is>
          <t>BBVA</t>
        </is>
      </c>
      <c r="K810" s="4" t="inlineStr">
        <is>
          <t>SUSCRIPCIONES · IA · Google One / Gemini · BBVA VISA · USD 4.99 × TC MEP 1536.51 · alerta Gmail Compra aprobada · REVISAR vs resumen BBVA</t>
        </is>
      </c>
      <c r="L810" s="4" t="n">
        <v>928</v>
      </c>
    </row>
    <row r="811">
      <c r="A811" s="15" t="n">
        <v>46287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3300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889</v>
      </c>
    </row>
    <row r="812">
      <c r="A812" s="15" t="n">
        <v>46287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Uber</t>
        </is>
      </c>
      <c r="F812" s="5" t="n">
        <v>5393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Uber · Ebanx (=Uber) · gasto personal Sol · dinero en cuenta MP screenshot</t>
        </is>
      </c>
      <c r="L812" s="4" t="n">
        <v>888</v>
      </c>
    </row>
    <row r="813">
      <c r="A813" s="15" t="n">
        <v>46288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COMPRAS</t>
        </is>
      </c>
      <c r="E813" s="4" t="inlineStr">
        <is>
          <t>COMPRAS</t>
        </is>
      </c>
      <c r="F813" s="5" t="n">
        <v>63514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Randy Kopeles · Pago · gasto personal Sol · dinero en cuenta MP screenshot</t>
        </is>
      </c>
      <c r="L813" s="4" t="n">
        <v>890</v>
      </c>
    </row>
    <row r="814">
      <c r="A814" s="15" t="n">
        <v>46288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COMPRAS</t>
        </is>
      </c>
      <c r="E814" s="4" t="inlineStr">
        <is>
          <t>COMPRAS</t>
        </is>
      </c>
      <c r="F814" s="5" t="n">
        <v>72999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Tatiana Aylén Gonzalez · Pago · gasto personal Sol · dinero en cuenta MP screenshot</t>
        </is>
      </c>
      <c r="L814" s="4" t="n">
        <v>895</v>
      </c>
    </row>
    <row r="815">
      <c r="A815" s="15" t="n">
        <v>46288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SALUD</t>
        </is>
      </c>
      <c r="E815" s="4" t="inlineStr">
        <is>
          <t>SALUD</t>
        </is>
      </c>
      <c r="F815" s="5" t="n">
        <v>50000</v>
      </c>
      <c r="G815" s="16" t="n"/>
      <c r="H815" s="4" t="inlineStr">
        <is>
          <t>REAL</t>
        </is>
      </c>
      <c r="I815" s="4" t="inlineStr">
        <is>
          <t>Mercado Pago</t>
        </is>
      </c>
      <c r="J815" s="4" t="inlineStr">
        <is>
          <t>Mercado Pago</t>
        </is>
      </c>
      <c r="K815" s="4" t="inlineStr">
        <is>
          <t>SALUD · Clinicas Altamirao · gasto personal Sol · dinero en cuenta MP screenshot</t>
        </is>
      </c>
      <c r="L815" s="4" t="n">
        <v>893</v>
      </c>
    </row>
    <row r="816">
      <c r="A816" s="15" t="n">
        <v>46288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TRANSPORTE</t>
        </is>
      </c>
      <c r="E816" s="4" t="inlineStr">
        <is>
          <t>TRANSPORTE · Didi</t>
        </is>
      </c>
      <c r="F816" s="5" t="n">
        <v>3200</v>
      </c>
      <c r="G816" s="16" t="n"/>
      <c r="H816" s="4" t="inlineStr">
        <is>
          <t>REAL</t>
        </is>
      </c>
      <c r="I816" s="4" t="inlineStr">
        <is>
          <t>Mercado Pago</t>
        </is>
      </c>
      <c r="J816" s="4" t="inlineStr">
        <is>
          <t>Mercado Pago</t>
        </is>
      </c>
      <c r="K816" s="4" t="inlineStr">
        <is>
          <t>TRANSPORTE · Didi · gasto personal Sol · dinero en cuenta MP screenshot</t>
        </is>
      </c>
      <c r="L816" s="4" t="n">
        <v>894</v>
      </c>
    </row>
    <row r="817">
      <c r="A817" s="15" t="n">
        <v>46288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TRANSPORTE</t>
        </is>
      </c>
      <c r="E817" s="4" t="inlineStr">
        <is>
          <t>TRANSPORTE · Uber</t>
        </is>
      </c>
      <c r="F817" s="5" t="n">
        <v>7016</v>
      </c>
      <c r="G817" s="16" t="n"/>
      <c r="H817" s="4" t="inlineStr">
        <is>
          <t>REAL</t>
        </is>
      </c>
      <c r="I817" s="4" t="inlineStr">
        <is>
          <t>Mercado Pago</t>
        </is>
      </c>
      <c r="J817" s="4" t="inlineStr">
        <is>
          <t>Mercado Pago</t>
        </is>
      </c>
      <c r="K817" s="4" t="inlineStr">
        <is>
          <t>TRANSPORTE · Uber · Ebanx (=Uber) · gasto personal Sol · dinero en cuenta MP screenshot</t>
        </is>
      </c>
      <c r="L817" s="4" t="n">
        <v>891</v>
      </c>
    </row>
    <row r="818">
      <c r="A818" s="15" t="n">
        <v>46288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TRANSPORTE</t>
        </is>
      </c>
      <c r="E818" s="4" t="inlineStr">
        <is>
          <t>TRANSPORTE · Uber</t>
        </is>
      </c>
      <c r="F818" s="5" t="n">
        <v>153</v>
      </c>
      <c r="G818" s="16" t="n"/>
      <c r="H818" s="4" t="inlineStr">
        <is>
          <t>REAL</t>
        </is>
      </c>
      <c r="I818" s="4" t="inlineStr">
        <is>
          <t>Mercado Pago</t>
        </is>
      </c>
      <c r="J818" s="4" t="inlineStr">
        <is>
          <t>Mercado Pago</t>
        </is>
      </c>
      <c r="K818" s="4" t="inlineStr">
        <is>
          <t>TRANSPORTE · Uber · Ebanx (=Uber) · gasto personal Sol · dinero en cuenta MP screenshot</t>
        </is>
      </c>
      <c r="L818" s="4" t="n">
        <v>892</v>
      </c>
    </row>
    <row r="819">
      <c r="A819" s="15" t="n">
        <v>46290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TRANSPORTE</t>
        </is>
      </c>
      <c r="E819" s="4" t="inlineStr">
        <is>
          <t>TRANSPORTE · Didi</t>
        </is>
      </c>
      <c r="F819" s="5" t="n">
        <v>4800</v>
      </c>
      <c r="G819" s="16" t="n"/>
      <c r="H819" s="4" t="inlineStr">
        <is>
          <t>REAL</t>
        </is>
      </c>
      <c r="I819" s="4" t="inlineStr">
        <is>
          <t>Mercado Pago</t>
        </is>
      </c>
      <c r="J819" s="4" t="inlineStr">
        <is>
          <t>Mercado Pago</t>
        </is>
      </c>
      <c r="K819" s="4" t="inlineStr">
        <is>
          <t>TRANSPORTE · Didi · gasto personal Sol · dinero en cuenta MP screenshot</t>
        </is>
      </c>
      <c r="L819" s="4" t="n">
        <v>896</v>
      </c>
    </row>
    <row r="820">
      <c r="A820" s="15" t="n">
        <v>46290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TRANSPORTE</t>
        </is>
      </c>
      <c r="E820" s="4" t="inlineStr">
        <is>
          <t>TRANSPORTE · Didi</t>
        </is>
      </c>
      <c r="F820" s="5" t="n">
        <v>6800</v>
      </c>
      <c r="G820" s="16" t="n"/>
      <c r="H820" s="4" t="inlineStr">
        <is>
          <t>REAL</t>
        </is>
      </c>
      <c r="I820" s="4" t="inlineStr">
        <is>
          <t>Mercado Pago</t>
        </is>
      </c>
      <c r="J820" s="4" t="inlineStr">
        <is>
          <t>Mercado Pago</t>
        </is>
      </c>
      <c r="K820" s="4" t="inlineStr">
        <is>
          <t>TRANSPORTE · Didi · gasto personal Sol · dinero en cuenta MP screenshot</t>
        </is>
      </c>
      <c r="L820" s="4" t="n">
        <v>897</v>
      </c>
    </row>
    <row r="821">
      <c r="A821" s="15" t="n">
        <v>46292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ENVÍOS</t>
        </is>
      </c>
      <c r="E821" s="4" t="inlineStr">
        <is>
          <t>ENVÍOS</t>
        </is>
      </c>
      <c r="F821" s="5" t="n">
        <v>13288</v>
      </c>
      <c r="G821" s="16" t="n"/>
      <c r="H821" s="4" t="inlineStr">
        <is>
          <t>REAL</t>
        </is>
      </c>
      <c r="I821" s="4" t="inlineStr">
        <is>
          <t>Mercado Pago</t>
        </is>
      </c>
      <c r="J821" s="4" t="inlineStr">
        <is>
          <t>Mercado Pago</t>
        </is>
      </c>
      <c r="K821" s="4" t="inlineStr">
        <is>
          <t>ENVÍOS · DHL Express · gasto personal Sol · dinero en cuenta MP screenshot</t>
        </is>
      </c>
      <c r="L821" s="4" t="n">
        <v>898</v>
      </c>
    </row>
    <row r="822">
      <c r="A822" s="15" t="n">
        <v>46292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SUSCRIPCIONES · IA</t>
        </is>
      </c>
      <c r="E822" s="4" t="inlineStr">
        <is>
          <t>SUSCRIPCIONES · IA</t>
        </is>
      </c>
      <c r="F822" s="5" t="n">
        <v>93150</v>
      </c>
      <c r="G822" s="16" t="n"/>
      <c r="H822" s="4" t="inlineStr">
        <is>
          <t>REAL</t>
        </is>
      </c>
      <c r="I822" s="4" t="inlineStr">
        <is>
          <t>BBVA VISA</t>
        </is>
      </c>
      <c r="J822" s="4" t="inlineStr">
        <is>
          <t>BBVA</t>
        </is>
      </c>
      <c r="K822" s="4" t="inlineStr">
        <is>
          <t>SUSCRIPCIONES · IA · Cursor · BBVA VISA · USD 60.00 × TC MEP 1552.5 · MEP 25/09 (27/09 domingo) · alerta Gmail Compra aprobada · REVISAR vs resumen BBVA</t>
        </is>
      </c>
      <c r="L822" s="4" t="n">
        <v>929</v>
      </c>
    </row>
    <row r="823">
      <c r="A823" s="15" t="n">
        <v>46292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VESTIMENTA</t>
        </is>
      </c>
      <c r="E823" s="4" t="inlineStr">
        <is>
          <t>VESTIMENTA</t>
        </is>
      </c>
      <c r="F823" s="5" t="n">
        <v>334288</v>
      </c>
      <c r="G823" s="16" t="n"/>
      <c r="H823" s="4" t="inlineStr">
        <is>
          <t>REAL</t>
        </is>
      </c>
      <c r="I823" s="4" t="inlineStr">
        <is>
          <t>BBVA VISA</t>
        </is>
      </c>
      <c r="J823" s="4" t="inlineStr">
        <is>
          <t>BBVA</t>
        </is>
      </c>
      <c r="K823" s="4" t="inlineStr">
        <is>
          <t>VESTIMENTA · Luxodia · BBVA VISA · MERPAGO*LUXODIA · alerta Gmail · REVISAR ítem</t>
        </is>
      </c>
      <c r="L823" s="4" t="n">
        <v>934</v>
      </c>
    </row>
    <row r="824">
      <c r="A824" s="15" t="n">
        <v>46292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VESTIMENTA</t>
        </is>
      </c>
      <c r="E824" s="4" t="inlineStr">
        <is>
          <t>VESTIMENTA</t>
        </is>
      </c>
      <c r="F824" s="5" t="n">
        <v>49492</v>
      </c>
      <c r="G824" s="16" t="n"/>
      <c r="H824" s="4" t="inlineStr">
        <is>
          <t>REAL</t>
        </is>
      </c>
      <c r="I824" s="4" t="inlineStr">
        <is>
          <t>BBVA VISA</t>
        </is>
      </c>
      <c r="J824" s="4" t="inlineStr">
        <is>
          <t>BBVA</t>
        </is>
      </c>
      <c r="K824" s="4" t="inlineStr">
        <is>
          <t>VESTIMENTA · Luxodia · BBVA VISA · MERPAGO*LUXODIA · alerta Gmail · REVISAR ítem</t>
        </is>
      </c>
      <c r="L824" s="4" t="n">
        <v>935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EVENTOS DEPORTIVOS - RIVER</t>
        </is>
      </c>
      <c r="E825" s="4" t="inlineStr">
        <is>
          <t>Eventos deportivos - River</t>
        </is>
      </c>
      <c r="F825" s="5" t="n">
        <v>169667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 · Eventos deportivos - River</t>
        </is>
      </c>
      <c r="L825" s="4" t="n">
        <v>572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HOGAR</t>
        </is>
      </c>
      <c r="E826" s="4" t="inlineStr">
        <is>
          <t>HOGAR</t>
        </is>
      </c>
      <c r="F826" s="5" t="n">
        <v>18334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HOGAR · Stanley · PROYECTADO · C.06/06 · cashflow cuotas BBVA · gasto personal Sol</t>
        </is>
      </c>
      <c r="L826" s="4" t="n">
        <v>571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MERCADO LIBRE</t>
        </is>
      </c>
      <c r="E827" s="4" t="inlineStr">
        <is>
          <t>MERCADO LIBRE</t>
        </is>
      </c>
      <c r="F827" s="5" t="n">
        <v>12084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C.03/06 · cashflow cuotas BBVA · gasto personal Sol · ex `Mercado Libre · MERCADOLIBRE`</t>
        </is>
      </c>
      <c r="L827" s="4" t="n">
        <v>562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MERCADO LIBRE</t>
        </is>
      </c>
      <c r="E828" s="4" t="inlineStr">
        <is>
          <t>MERCADO LIBRE</t>
        </is>
      </c>
      <c r="F828" s="5" t="n">
        <v>275000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C.07/12 · cashflow cuotas BBVA · gasto personal Sol · ex `Mercado Libre · MERCADOLIBRE`</t>
        </is>
      </c>
      <c r="L828" s="4" t="n">
        <v>563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MERCADO LIBRE</t>
        </is>
      </c>
      <c r="E829" s="4" t="inlineStr">
        <is>
          <t>MERCADO LIBRE</t>
        </is>
      </c>
      <c r="F829" s="5" t="n">
        <v>17360</v>
      </c>
      <c r="G829" s="16" t="n"/>
      <c r="H829" s="18" t="inlineStr">
        <is>
          <t>PROYECTADO</t>
        </is>
      </c>
      <c r="I829" s="4" t="inlineStr">
        <is>
          <t>BBVA MASTERCARD · proyectado</t>
        </is>
      </c>
      <c r="J829" s="4" t="inlineStr">
        <is>
          <t>BBVA</t>
        </is>
      </c>
      <c r="K829" s="4" t="inlineStr">
        <is>
          <t>PROYECTADO · C.08/09 · cashflow cuotas BBVA · gasto personal Sol · ex `Mercado Libre · MERCADOLIBRE`</t>
        </is>
      </c>
      <c r="L829" s="4" t="n">
        <v>564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MERCADO LIBRE</t>
        </is>
      </c>
      <c r="E830" s="4" t="inlineStr">
        <is>
          <t>MERCADO LIBRE</t>
        </is>
      </c>
      <c r="F830" s="5" t="n">
        <v>16950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PROYECTADO · C.08/09 · cashflow cuotas BBVA · gasto personal Sol · ex `Mercado Libre · MERCADOLIBRE`</t>
        </is>
      </c>
      <c r="L830" s="4" t="n">
        <v>565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124667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C.05/06 · cashflow cuotas BBVA · gasto personal Sol</t>
        </is>
      </c>
      <c r="L831" s="4" t="n">
        <v>557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ROPA</t>
        </is>
      </c>
      <c r="F832" s="5" t="n">
        <v>31700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Frivilli · PROYECTADO · C.03/03 · cashflow cuotas BBVA · gasto personal Sol</t>
        </is>
      </c>
      <c r="L832" s="4" t="n">
        <v>559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ROPA</t>
        </is>
      </c>
      <c r="F833" s="5" t="n">
        <v>80834</v>
      </c>
      <c r="G833" s="16" t="n"/>
      <c r="H833" s="18" t="inlineStr">
        <is>
          <t>PROYECTADO</t>
        </is>
      </c>
      <c r="I833" s="4" t="inlineStr">
        <is>
          <t>BBVA MASTERCARD · proyectado</t>
        </is>
      </c>
      <c r="J833" s="4" t="inlineStr">
        <is>
          <t>BBVA</t>
        </is>
      </c>
      <c r="K833" s="4" t="inlineStr">
        <is>
          <t>PROYECTADO · C.05/06 · cashflow cuotas BBVA · gasto personal Sol</t>
        </is>
      </c>
      <c r="L833" s="4" t="n">
        <v>560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ROPA</t>
        </is>
      </c>
      <c r="E834" s="4" t="inlineStr">
        <is>
          <t>ROPA</t>
        </is>
      </c>
      <c r="F834" s="5" t="n">
        <v>95984</v>
      </c>
      <c r="G834" s="16" t="n"/>
      <c r="H834" s="18" t="inlineStr">
        <is>
          <t>PROYECTADO</t>
        </is>
      </c>
      <c r="I834" s="4" t="inlineStr">
        <is>
          <t>BBVA MASTERCARD · proyectado</t>
        </is>
      </c>
      <c r="J834" s="4" t="inlineStr">
        <is>
          <t>BBVA</t>
        </is>
      </c>
      <c r="K834" s="4" t="inlineStr">
        <is>
          <t>ROPA · Monofuk · PROYECTADO · C.06/06 · cashflow cuotas BBVA · gasto personal Sol</t>
        </is>
      </c>
      <c r="L834" s="4" t="n">
        <v>566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ROPA</t>
        </is>
      </c>
      <c r="E835" s="4" t="inlineStr">
        <is>
          <t>ROPA</t>
        </is>
      </c>
      <c r="F835" s="5" t="n">
        <v>284794</v>
      </c>
      <c r="G835" s="16" t="n"/>
      <c r="H835" s="18" t="inlineStr">
        <is>
          <t>PROYECTADO</t>
        </is>
      </c>
      <c r="I835" s="4" t="inlineStr">
        <is>
          <t>BBVA VISA · proyectado</t>
        </is>
      </c>
      <c r="J835" s="4" t="inlineStr">
        <is>
          <t>BBVA</t>
        </is>
      </c>
      <c r="K835" s="4" t="inlineStr">
        <is>
          <t>PROYECTADO · C.03/06 · cashflow cuotas BBVA · gasto personal Sol</t>
        </is>
      </c>
      <c r="L835" s="4" t="n">
        <v>567</v>
      </c>
    </row>
    <row r="836">
      <c r="A836" s="15" t="n">
        <v>46293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ROPA</t>
        </is>
      </c>
      <c r="E836" s="4" t="inlineStr">
        <is>
          <t>ROPA</t>
        </is>
      </c>
      <c r="F836" s="5" t="n">
        <v>73600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PROYECTADO · C.03/06 · cashflow cuotas BBVA · gasto personal Sol</t>
        </is>
      </c>
      <c r="L836" s="4" t="n">
        <v>568</v>
      </c>
    </row>
    <row r="837">
      <c r="A837" s="15" t="n">
        <v>46293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ROPA</t>
        </is>
      </c>
      <c r="E837" s="4" t="inlineStr">
        <is>
          <t>ROPA</t>
        </is>
      </c>
      <c r="F837" s="5" t="n">
        <v>36667</v>
      </c>
      <c r="G837" s="16" t="n"/>
      <c r="H837" s="18" t="inlineStr">
        <is>
          <t>PROYECTADO</t>
        </is>
      </c>
      <c r="I837" s="4" t="inlineStr">
        <is>
          <t>BBVA MASTERCARD · proyectado</t>
        </is>
      </c>
      <c r="J837" s="4" t="inlineStr">
        <is>
          <t>BBVA</t>
        </is>
      </c>
      <c r="K837" s="4" t="inlineStr">
        <is>
          <t>PROYECTADO · C.05/06 · cashflow cuotas BBVA · gasto personal Sol</t>
        </is>
      </c>
      <c r="L837" s="4" t="n">
        <v>570</v>
      </c>
    </row>
    <row r="838">
      <c r="A838" s="15" t="n">
        <v>46293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ROPA</t>
        </is>
      </c>
      <c r="E838" s="4" t="inlineStr">
        <is>
          <t>ROPA</t>
        </is>
      </c>
      <c r="F838" s="5" t="n">
        <v>60917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PROYECTADO · C.05/12 · cashflow cuotas BBVA · gasto personal Sol</t>
        </is>
      </c>
      <c r="L838" s="4" t="n">
        <v>573</v>
      </c>
    </row>
    <row r="839">
      <c r="A839" s="15" t="n">
        <v>46293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ROPA</t>
        </is>
      </c>
      <c r="E839" s="4" t="inlineStr">
        <is>
          <t>ROPA</t>
        </is>
      </c>
      <c r="F839" s="5" t="n">
        <v>69750</v>
      </c>
      <c r="G839" s="16" t="n"/>
      <c r="H839" s="18" t="inlineStr">
        <is>
          <t>PROYECTADO</t>
        </is>
      </c>
      <c r="I839" s="4" t="inlineStr">
        <is>
          <t>BBVA VISA · proyectado</t>
        </is>
      </c>
      <c r="J839" s="4" t="inlineStr">
        <is>
          <t>BBVA</t>
        </is>
      </c>
      <c r="K839" s="4" t="inlineStr">
        <is>
          <t>PROYECTADO · C.05/12 · cashflow cuotas BBVA · gasto personal Sol</t>
        </is>
      </c>
      <c r="L839" s="4" t="n">
        <v>574</v>
      </c>
    </row>
    <row r="840">
      <c r="A840" s="15" t="n">
        <v>46293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SALUD</t>
        </is>
      </c>
      <c r="E840" s="4" t="inlineStr">
        <is>
          <t>SALUD</t>
        </is>
      </c>
      <c r="F840" s="5" t="n">
        <v>54033</v>
      </c>
      <c r="G840" s="16" t="n"/>
      <c r="H840" s="18" t="inlineStr">
        <is>
          <t>PROYECTADO</t>
        </is>
      </c>
      <c r="I840" s="4" t="inlineStr">
        <is>
          <t>BBVA MASTERCARD · proyectado</t>
        </is>
      </c>
      <c r="J840" s="4" t="inlineStr">
        <is>
          <t>BBVA</t>
        </is>
      </c>
      <c r="K840" s="4" t="inlineStr">
        <is>
          <t>SALUD · Laboratorio · PROYECTADO · C.06/06 · cashflow cuotas BBVA · gasto personal Sol</t>
        </is>
      </c>
      <c r="L840" s="4" t="n">
        <v>561</v>
      </c>
    </row>
    <row r="841">
      <c r="A841" s="15" t="n">
        <v>46293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SALUD · Vitaminas</t>
        </is>
      </c>
      <c r="E841" s="4" t="inlineStr">
        <is>
          <t>SALUD · Vitaminas</t>
        </is>
      </c>
      <c r="F841" s="5" t="n">
        <v>87900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SALUD · Vitaminas · Promarine · BBVA · C.06/06 · gasto personal Sol</t>
        </is>
      </c>
      <c r="L841" s="4" t="n">
        <v>569</v>
      </c>
    </row>
    <row r="842">
      <c r="A842" s="15" t="n">
        <v>46293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ROPA</t>
        </is>
      </c>
      <c r="E842" s="4" t="inlineStr">
        <is>
          <t>VESTIMENTA</t>
        </is>
      </c>
      <c r="F842" s="5" t="n">
        <v>98334</v>
      </c>
      <c r="G842" s="16" t="n"/>
      <c r="H842" s="18" t="inlineStr">
        <is>
          <t>PROYECTADO</t>
        </is>
      </c>
      <c r="I842" s="4" t="inlineStr">
        <is>
          <t>BBVA VISA · proyectado</t>
        </is>
      </c>
      <c r="J842" s="4" t="inlineStr">
        <is>
          <t>BBVA</t>
        </is>
      </c>
      <c r="K842" s="4" t="inlineStr">
        <is>
          <t>ROPA · Bokenvoreno · PROYECTADO · C.05/06 · cashflow cuotas BBVA · gasto personal Sol</t>
        </is>
      </c>
      <c r="L842" s="4" t="n">
        <v>558</v>
      </c>
    </row>
    <row r="843">
      <c r="A843" s="15" t="n">
        <v>46294</v>
      </c>
      <c r="B843" s="4" t="inlineStr">
        <is>
          <t>2026-09</t>
        </is>
      </c>
      <c r="C843" s="4" t="inlineStr">
        <is>
          <t>Septiembre</t>
        </is>
      </c>
      <c r="D843" s="4" t="inlineStr">
        <is>
          <t>HOGAR</t>
        </is>
      </c>
      <c r="E843" s="4" t="inlineStr">
        <is>
          <t>HOGAR</t>
        </is>
      </c>
      <c r="F843" s="5" t="n">
        <v>134572</v>
      </c>
      <c r="G843" s="16" t="n"/>
      <c r="H843" s="4" t="inlineStr">
        <is>
          <t>REAL</t>
        </is>
      </c>
      <c r="I843" s="4" t="inlineStr">
        <is>
          <t>TC Mercado Pago</t>
        </is>
      </c>
      <c r="J843" s="4" t="inlineStr">
        <is>
          <t>TC Mercado Pago</t>
        </is>
      </c>
      <c r="K843" s="4" t="inlineStr">
        <is>
          <t>HOGAR · ViennaHogar · TC Mercado Pago · 3 cuotas · Gmail Pago aprobado · post-cierre 12/09 → confirmar resumen octubre</t>
        </is>
      </c>
      <c r="L843" s="4" t="n">
        <v>937</v>
      </c>
    </row>
    <row r="844">
      <c r="A844" s="15" t="n">
        <v>46295</v>
      </c>
      <c r="B844" s="4" t="inlineStr">
        <is>
          <t>2026-09</t>
        </is>
      </c>
      <c r="C844" s="4" t="inlineStr">
        <is>
          <t>Septiembre</t>
        </is>
      </c>
      <c r="D844" s="4" t="inlineStr">
        <is>
          <t>SUSCRIPCIONES · IA</t>
        </is>
      </c>
      <c r="E844" s="4" t="inlineStr">
        <is>
          <t>SUSCRIPCIONES · IA</t>
        </is>
      </c>
      <c r="F844" s="5" t="n">
        <v>30852</v>
      </c>
      <c r="G844" s="16" t="n"/>
      <c r="H844" s="4" t="inlineStr">
        <is>
          <t>REAL</t>
        </is>
      </c>
      <c r="I844" s="4" t="inlineStr">
        <is>
          <t>BBVA VISA</t>
        </is>
      </c>
      <c r="J844" s="4" t="inlineStr">
        <is>
          <t>BBVA</t>
        </is>
      </c>
      <c r="K844" s="4" t="inlineStr">
        <is>
          <t>SUSCRIPCIONES · IA · ChatGPT / OpenAI · BBVA VISA · USD 20.00 × TC MEP 1542.56 · alerta Gmail Compra aprobada · REVISAR vs resumen BBVA</t>
        </is>
      </c>
      <c r="L844" s="4" t="n">
        <v>930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EVENTOS DEPORTIVOS - RIVER</t>
        </is>
      </c>
      <c r="E845" s="4" t="inlineStr">
        <is>
          <t>Eventos deportivos - River</t>
        </is>
      </c>
      <c r="F845" s="5" t="n">
        <v>169667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PROYECTADO · C.04/06 · cashflow cuotas BBVA · gasto personal Sol · Eventos deportivos - River</t>
        </is>
      </c>
      <c r="L845" s="4" t="n">
        <v>585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MERCADO LIBRE</t>
        </is>
      </c>
      <c r="E846" s="4" t="inlineStr">
        <is>
          <t>MERCADO LIBRE</t>
        </is>
      </c>
      <c r="F846" s="5" t="n">
        <v>12084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ex `Mercado Libre · MERCADOLIBRE`</t>
        </is>
      </c>
      <c r="L846" s="4" t="n">
        <v>578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275000</v>
      </c>
      <c r="G847" s="16" t="n"/>
      <c r="H847" s="18" t="inlineStr">
        <is>
          <t>PROYECTADO</t>
        </is>
      </c>
      <c r="I847" s="4" t="inlineStr">
        <is>
          <t>BBVA MASTERCARD · proyectado</t>
        </is>
      </c>
      <c r="J847" s="4" t="inlineStr">
        <is>
          <t>BBVA</t>
        </is>
      </c>
      <c r="K847" s="4" t="inlineStr">
        <is>
          <t>PROYECTADO · C.08/12 · cashflow cuotas BBVA · gasto personal Sol · ex `Mercado Libre · MERCADOLIBRE`</t>
        </is>
      </c>
      <c r="L847" s="4" t="n">
        <v>579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17360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C.09/09 · cashflow cuotas BBVA · gasto personal Sol · ex `Mercado Libre · MERCADOLIBRE`</t>
        </is>
      </c>
      <c r="L848" s="4" t="n">
        <v>580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16950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581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ROPA</t>
        </is>
      </c>
      <c r="E850" s="4" t="inlineStr">
        <is>
          <t>ROPA</t>
        </is>
      </c>
      <c r="F850" s="5" t="n">
        <v>124667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C.06/06 · cashflow cuotas BBVA · gasto personal Sol</t>
        </is>
      </c>
      <c r="L850" s="4" t="n">
        <v>575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80834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577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</t>
        </is>
      </c>
      <c r="L852" s="4" t="n">
        <v>582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583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36667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584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60917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C.06/12 · cashflow cuotas BBVA · gasto personal Sol</t>
        </is>
      </c>
      <c r="L855" s="4" t="n">
        <v>586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69750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VESTIMENTA</t>
        </is>
      </c>
      <c r="F857" s="5" t="n">
        <v>98334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ROPA · Bokenvoreno · PROYECTADO · C.06/06 · cashflow cuotas BBVA · gasto personal Sol</t>
        </is>
      </c>
      <c r="L857" s="4" t="n">
        <v>576</v>
      </c>
    </row>
    <row r="858">
      <c r="A858" s="15" t="n">
        <v>46354</v>
      </c>
      <c r="B858" s="4" t="inlineStr">
        <is>
          <t>2026-11</t>
        </is>
      </c>
      <c r="C858" s="4" t="inlineStr">
        <is>
          <t>Noviembre</t>
        </is>
      </c>
      <c r="D858" s="4" t="inlineStr">
        <is>
          <t>EVENTOS DEPORTIVOS - RIVER</t>
        </is>
      </c>
      <c r="E858" s="4" t="inlineStr">
        <is>
          <t>Eventos deportivos - River</t>
        </is>
      </c>
      <c r="F858" s="5" t="n">
        <v>169667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C.05/06 · cashflow cuotas BBVA · gasto personal Sol · Eventos deportivos - River</t>
        </is>
      </c>
      <c r="L858" s="4" t="n">
        <v>592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MERCADO LIBRE</t>
        </is>
      </c>
      <c r="E859" s="4" t="inlineStr">
        <is>
          <t>MERCADO LIBRE</t>
        </is>
      </c>
      <c r="F859" s="5" t="n">
        <v>12084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ex `Mercado Libre · MERCADOLIBRE`</t>
        </is>
      </c>
      <c r="L859" s="4" t="n">
        <v>588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C.09/12 · cashflow cuotas BBVA · gasto personal Sol · ex `Mercado Libre · MERCADOLIBRE`</t>
        </is>
      </c>
      <c r="L860" s="4" t="n">
        <v>589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ROPA</t>
        </is>
      </c>
      <c r="E861" s="4" t="inlineStr">
        <is>
          <t>ROPA</t>
        </is>
      </c>
      <c r="F861" s="5" t="n">
        <v>284794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</t>
        </is>
      </c>
      <c r="L861" s="4" t="n">
        <v>590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73600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591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60917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C.07/12 · cashflow cuotas BBVA · gasto personal Sol</t>
        </is>
      </c>
      <c r="L863" s="4" t="n">
        <v>593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69750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594</v>
      </c>
    </row>
    <row r="865">
      <c r="A865" s="15" t="n">
        <v>46384</v>
      </c>
      <c r="B865" s="4" t="inlineStr">
        <is>
          <t>2026-12</t>
        </is>
      </c>
      <c r="C865" s="4" t="inlineStr">
        <is>
          <t>Diciembre</t>
        </is>
      </c>
      <c r="D865" s="4" t="inlineStr">
        <is>
          <t>EVENTOS DEPORTIVOS - RIVER</t>
        </is>
      </c>
      <c r="E865" s="4" t="inlineStr">
        <is>
          <t>Eventos deportivos - River</t>
        </is>
      </c>
      <c r="F865" s="5" t="n">
        <v>169667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C.06/06 · cashflow cuotas BBVA · gasto personal Sol · Eventos deportivos - River</t>
        </is>
      </c>
      <c r="L865" s="4" t="n">
        <v>599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12084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ex `Mercado Libre · MERCADOLIBRE`</t>
        </is>
      </c>
      <c r="L866" s="4" t="n">
        <v>595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275000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C.10/12 · cashflow cuotas BBVA · gasto personal Sol · ex `Mercado Libre · MERCADOLIBRE`</t>
        </is>
      </c>
      <c r="L867" s="4" t="n">
        <v>596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ROPA</t>
        </is>
      </c>
      <c r="E868" s="4" t="inlineStr">
        <is>
          <t>ROPA</t>
        </is>
      </c>
      <c r="F868" s="5" t="n">
        <v>284794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</t>
        </is>
      </c>
      <c r="L868" s="4" t="n">
        <v>597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73600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598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60917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C.08/12 · cashflow cuotas BBVA · gasto personal Sol</t>
        </is>
      </c>
      <c r="L870" s="4" t="n">
        <v>600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69750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601</v>
      </c>
    </row>
    <row r="872">
      <c r="A872" s="15" t="n">
        <v>46415</v>
      </c>
      <c r="B872" s="4" t="inlineStr">
        <is>
          <t>2027-01</t>
        </is>
      </c>
      <c r="C872" s="4" t="inlineStr">
        <is>
          <t>Enero 2027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C.11/12 · cashflow cuotas BBVA · gasto personal Sol · ex `Mercado Libre · MERCADOLIBRE`</t>
        </is>
      </c>
      <c r="L872" s="4" t="n">
        <v>602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C.09/12 · cashflow cuotas BBVA · gasto personal Sol</t>
        </is>
      </c>
      <c r="L873" s="4" t="n">
        <v>603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604</v>
      </c>
    </row>
    <row r="875">
      <c r="A875" s="15" t="n">
        <v>46446</v>
      </c>
      <c r="B875" s="4" t="inlineStr">
        <is>
          <t>2027-02</t>
        </is>
      </c>
      <c r="C875" s="4" t="inlineStr">
        <is>
          <t>Febrero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C.12/12 · cashflow cuotas BBVA · gasto personal Sol · ex `Mercado Libre · MERCADOLIBRE`</t>
        </is>
      </c>
      <c r="L875" s="4" t="n">
        <v>605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C.10/12 · cashflow cuotas BBVA · gasto personal Sol</t>
        </is>
      </c>
      <c r="L876" s="4" t="n">
        <v>606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607</v>
      </c>
    </row>
    <row r="878">
      <c r="A878" s="15" t="n">
        <v>46474</v>
      </c>
      <c r="B878" s="4" t="inlineStr">
        <is>
          <t>2027-03</t>
        </is>
      </c>
      <c r="C878" s="4" t="inlineStr">
        <is>
          <t>Marzo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C.11/12 · cashflow cuotas BBVA · gasto personal Sol</t>
        </is>
      </c>
      <c r="L878" s="4" t="n">
        <v>608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609</v>
      </c>
    </row>
    <row r="880">
      <c r="A880" s="15" t="n">
        <v>46505</v>
      </c>
      <c r="B880" s="4" t="inlineStr">
        <is>
          <t>2027-04</t>
        </is>
      </c>
      <c r="C880" s="4" t="inlineStr">
        <is>
          <t>Abril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C.12/12 · cashflow cuotas BBVA · gasto personal Sol</t>
        </is>
      </c>
      <c r="L880" s="4" t="n">
        <v>610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611</v>
      </c>
    </row>
  </sheetData>
  <autoFilter ref="A1:L8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REVISAR si Market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REVISAR si Market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REVISAR si Market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REVISAR si Market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PEDIDOS YA · COMIDA</t>
        </is>
      </c>
      <c r="F235" s="5" t="n">
        <v>38099</v>
      </c>
      <c r="G235" s="16" t="n"/>
      <c r="H235" s="4" t="inlineStr">
        <is>
          <t>REAL</t>
        </is>
      </c>
      <c r="I235" s="4" t="inlineStr">
        <is>
          <t>Sin identificar</t>
        </is>
      </c>
      <c r="J235" s="4" t="inlineStr">
        <is>
          <t>PEDIDOS YA · COMIDA · screenshot · REVISAR si Market · dinero en cuenta MP screenshot</t>
        </is>
      </c>
      <c r="K235" s="4" t="n">
        <v>366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STREAMING TV</t>
        </is>
      </c>
      <c r="E236" s="4" t="inlineStr">
        <is>
          <t>STREAMING TV</t>
        </is>
      </c>
      <c r="F236" s="5" t="n">
        <v>97393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STREAMING TV · HBO Max · TC Mercado Pago · compra 2026-09-05 · cierre 2026-09-12</t>
        </is>
      </c>
      <c r="K236" s="4" t="n">
        <v>380</v>
      </c>
    </row>
    <row r="237">
      <c r="A237" s="15" t="n">
        <v>46278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VERDULERÍA</t>
        </is>
      </c>
      <c r="F237" s="5" t="n">
        <v>5900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VERDULERÍA · Noelia Caballero · Mercado Pago · dinero en cuenta MP screenshot</t>
        </is>
      </c>
      <c r="K237" s="4" t="n">
        <v>368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CASAARISTOBULO017</t>
        </is>
      </c>
      <c r="F238" s="5" t="n">
        <v>43667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CASAARISTOBULO017 · QR · Mercado Pago · dinero en cuenta MP screenshot</t>
        </is>
      </c>
      <c r="K238" s="4" t="n">
        <v>371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</t>
        </is>
      </c>
      <c r="F239" s="5" t="n">
        <v>26019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screenshot · REVISAR si Market · dinero en cuenta MP screenshot</t>
        </is>
      </c>
      <c r="K239" s="4" t="n">
        <v>369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 · propina</t>
        </is>
      </c>
      <c r="F240" s="5" t="n">
        <v>1050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propina · screenshot · REVISAR si Market · dinero en cuenta MP screenshot</t>
        </is>
      </c>
      <c r="K240" s="4" t="n">
        <v>370</v>
      </c>
    </row>
    <row r="241">
      <c r="A241" s="15" t="n">
        <v>46282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COMIDA · McDonald's</t>
        </is>
      </c>
      <c r="F241" s="5" t="n">
        <v>1900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COMIDA · McDonald's · Mercado Pago · dinero en cuenta MP screenshot</t>
        </is>
      </c>
      <c r="K241" s="4" t="n">
        <v>372</v>
      </c>
    </row>
    <row r="242">
      <c r="A242" s="15" t="n">
        <v>46284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SOCIAL</t>
        </is>
      </c>
      <c r="E242" s="4" t="inlineStr">
        <is>
          <t>ENTRETENIMIENTO · Social</t>
        </is>
      </c>
      <c r="F242" s="5" t="n">
        <v>33359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Social · la monumental · Mercado Pago · dinero en cuenta MP screenshot</t>
        </is>
      </c>
      <c r="K242" s="4" t="n">
        <v>373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· SALIDAS COMIDA</t>
        </is>
      </c>
      <c r="E243" s="4" t="inlineStr">
        <is>
          <t>ENTRETENIMIENTO · Salidas comida</t>
        </is>
      </c>
      <c r="F243" s="5" t="n">
        <v>16598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Salidas comida · Estancia San Francisco Devoto · Mercado Pago · dinero en cuenta MP screenshot</t>
        </is>
      </c>
      <c r="K243" s="4" t="n">
        <v>376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</t>
        </is>
      </c>
      <c r="F244" s="5" t="n">
        <v>23964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screenshot · REVISAR si Market · dinero en cuenta MP screenshot</t>
        </is>
      </c>
      <c r="K244" s="4" t="n">
        <v>374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 · propina</t>
        </is>
      </c>
      <c r="F245" s="5" t="n">
        <v>850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propina · screenshot · REVISAR si Market · dinero en cuenta MP screenshot</t>
        </is>
      </c>
      <c r="K245" s="4" t="n">
        <v>375</v>
      </c>
    </row>
    <row r="246">
      <c r="A246" s="15" t="n">
        <v>46290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RAMON · OTROS</t>
        </is>
      </c>
      <c r="E246" s="4" t="inlineStr">
        <is>
          <t>RAMON · Otros</t>
        </is>
      </c>
      <c r="F246" s="5" t="n">
        <v>47900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RAMON · Otros · Paws Pet Market · Mercado Pago · dinero en cuenta MP screenshot</t>
        </is>
      </c>
      <c r="K246" s="4" t="n">
        <v>377</v>
      </c>
    </row>
    <row r="247">
      <c r="A247" s="15" t="n">
        <v>46292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Open 25</t>
        </is>
      </c>
      <c r="F247" s="5" t="n">
        <v>6700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Open 25 · Mercado Pago · dinero en cuenta MP screenshot</t>
        </is>
      </c>
      <c r="K247" s="4" t="n">
        <v>378</v>
      </c>
    </row>
  </sheetData>
  <autoFilter ref="A1:K2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33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0.001941165750439728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0.2350801873830856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0.001551786668127282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1875529</v>
      </c>
      <c r="F8" s="20" t="n">
        <v>0.01939737472098541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0.005504363400674675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0.004995354372145647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0.0115840819961254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0.005578166400259833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0.002568077552969709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0.000643294082706955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0.00482987679460045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0.00192479381261135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0.001969183172787849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0.003683086155166442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0.002472307404965426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0.007818019178168642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0.04136939438629936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0.0005808366395322396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0.06361624128087008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12</v>
      </c>
      <c r="E26" s="5" t="n">
        <v>1934812</v>
      </c>
      <c r="F26" s="20" t="n">
        <v>0.02001050017283616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0.008725322393500363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0.0305696347383438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0.004124807863726153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0.00209225712108709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0.008301534317407112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0.001465469426740268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0.07211932728772726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0.01989583455394593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0.01454034926131895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0.02129926023145535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0.001140688653762029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0.02812498277352562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0.001641847839706256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1039132</v>
      </c>
      <c r="F41" s="20" t="n">
        <v>0.01074706538185601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0.006790713692070864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0.01003461201408376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0.07412325040945099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788</v>
      </c>
      <c r="C7" s="4" t="inlineStr">
        <is>
          <t>ARS 93,571,783</t>
        </is>
      </c>
    </row>
    <row r="8">
      <c r="A8" s="4" t="inlineStr">
        <is>
          <t>Movimientos Almacén Sol</t>
        </is>
      </c>
      <c r="B8" s="4" t="n">
        <v>246</v>
      </c>
      <c r="C8" s="4" t="inlineStr">
        <is>
          <t>ARS 8,865,391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2026-10-04T16:09:46Z</dcterms:created>
  <dcterms:modified xsi:type="dcterms:W3CDTF">2026-10-04T16:09:46Z</dcterms:modified>
</cp:coreProperties>
</file>
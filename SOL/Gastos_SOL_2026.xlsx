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Sol'!$A$1:$O$913</definedName>
    <definedName name="_xlnm._FilterDatabase" localSheetId="2" hidden="1">'Gastos Personales'!$A$1:$L$781</definedName>
    <definedName name="_xlnm._FilterDatabase" localSheetId="3" hidden="1">'Almacén Sol'!$A$1:$K$225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13" headerRowCount="1">
  <autoFilter ref="A1:O913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81" headerRowCount="1">
  <autoFilter ref="A1:L781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5" headerRowCount="1">
  <autoFilter ref="A1:K225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31" headerRowCount="1">
  <autoFilter ref="A1:I31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79174530</v>
      </c>
      <c r="C5" s="4" t="inlineStr">
        <is>
          <t>674 movimientos</t>
        </is>
      </c>
    </row>
    <row r="6">
      <c r="A6" s="4" t="inlineStr">
        <is>
          <t>Almacén Sol real 2026</t>
        </is>
      </c>
      <c r="B6" s="5" t="n">
        <v>8370799</v>
      </c>
      <c r="C6" s="4" t="inlineStr">
        <is>
          <t>224 movimientos</t>
        </is>
      </c>
    </row>
    <row r="7">
      <c r="A7" s="6" t="inlineStr">
        <is>
          <t>Total real Sol 2026</t>
        </is>
      </c>
      <c r="B7" s="7" t="n">
        <v>87545329</v>
      </c>
      <c r="C7" s="4" t="inlineStr">
        <is>
          <t>898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27859451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22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6774133</v>
      </c>
      <c r="C12" s="4" t="inlineStr">
        <is>
          <t>30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30882</v>
      </c>
      <c r="C22" s="5" t="n">
        <v>0</v>
      </c>
      <c r="D22" s="5" t="n">
        <v>30882</v>
      </c>
      <c r="E22" s="5" t="n">
        <v>1608575</v>
      </c>
      <c r="F22" s="5" t="n">
        <v>1639457</v>
      </c>
    </row>
    <row r="23">
      <c r="A23" s="4" t="inlineStr">
        <is>
          <t>Septiembre</t>
        </is>
      </c>
      <c r="B23" s="5" t="n">
        <v>5422952</v>
      </c>
      <c r="C23" s="5" t="n">
        <v>136011</v>
      </c>
      <c r="D23" s="5" t="n">
        <v>5558963</v>
      </c>
      <c r="E23" s="5" t="n">
        <v>1608575</v>
      </c>
      <c r="F23" s="5" t="n">
        <v>7167538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32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  <row r="902">
      <c r="A902" s="4" t="n">
        <v>901</v>
      </c>
      <c r="B902" s="15" t="n">
        <v>46265</v>
      </c>
      <c r="C902" s="4" t="inlineStr">
        <is>
          <t>2026-08</t>
        </is>
      </c>
      <c r="D902" s="4" t="inlineStr">
        <is>
          <t>Agosto</t>
        </is>
      </c>
      <c r="E902" s="4" t="inlineStr">
        <is>
          <t>GASTO PERSONAL</t>
        </is>
      </c>
      <c r="F902" s="4" t="inlineStr">
        <is>
          <t>SUSCRIPCIONES · IA</t>
        </is>
      </c>
      <c r="G902" s="4" t="inlineStr">
        <is>
          <t>SUSCRIPCIONES · IA</t>
        </is>
      </c>
      <c r="H902" s="5" t="n">
        <v>30882</v>
      </c>
      <c r="I902" s="16" t="n"/>
      <c r="J902" s="4" t="inlineStr">
        <is>
          <t>REAL</t>
        </is>
      </c>
      <c r="K902" s="4" t="inlineStr">
        <is>
          <t>BBVA Visa USD</t>
        </is>
      </c>
      <c r="L902" s="4" t="inlineStr">
        <is>
          <t>BBVA</t>
        </is>
      </c>
      <c r="M902" s="4" t="inlineStr">
        <is>
          <t>SUSCRIPCIONES · IA · OpenAI ChatGPT · USD 20 × TC MEP venta 1544.1 (2026-08-29) = 30882 · gasto personal Sol</t>
        </is>
      </c>
      <c r="N902" s="4" t="inlineStr">
        <is>
          <t>CIUDAD / Gasto Personal Sol</t>
        </is>
      </c>
      <c r="O902" s="4" t="n">
        <v>835</v>
      </c>
    </row>
    <row r="903">
      <c r="A903" s="4" t="n">
        <v>902</v>
      </c>
      <c r="B903" s="15" t="n">
        <v>46267</v>
      </c>
      <c r="C903" s="4" t="inlineStr">
        <is>
          <t>2026-09</t>
        </is>
      </c>
      <c r="D903" s="4" t="inlineStr">
        <is>
          <t>Septiembre</t>
        </is>
      </c>
      <c r="E903" s="4" t="inlineStr">
        <is>
          <t>GASTO PERSONAL</t>
        </is>
      </c>
      <c r="F903" s="4" t="inlineStr">
        <is>
          <t>COMIDA · OFICINA</t>
        </is>
      </c>
      <c r="G903" s="4" t="inlineStr">
        <is>
          <t>COMIDA · Oficina</t>
        </is>
      </c>
      <c r="H903" s="5" t="n">
        <v>4080</v>
      </c>
      <c r="I903" s="16" t="n"/>
      <c r="J903" s="4" t="inlineStr">
        <is>
          <t>REAL</t>
        </is>
      </c>
      <c r="K903" s="4" t="inlineStr">
        <is>
          <t>Mercado Pago</t>
        </is>
      </c>
      <c r="L903" s="4" t="inlineStr">
        <is>
          <t>Mercado Pago</t>
        </is>
      </c>
      <c r="M903" s="4" t="inlineStr">
        <is>
          <t>COMIDA · Oficina · Copetin Catering · gasto personal Sol</t>
        </is>
      </c>
      <c r="N903" s="4" t="inlineStr">
        <is>
          <t>CIUDAD / Gasto Personal Sol</t>
        </is>
      </c>
      <c r="O903" s="4" t="n">
        <v>829</v>
      </c>
    </row>
    <row r="904">
      <c r="A904" s="4" t="n">
        <v>903</v>
      </c>
      <c r="B904" s="15" t="n">
        <v>46268</v>
      </c>
      <c r="C904" s="4" t="inlineStr">
        <is>
          <t>2026-09</t>
        </is>
      </c>
      <c r="D904" s="4" t="inlineStr">
        <is>
          <t>Septiembre</t>
        </is>
      </c>
      <c r="E904" s="4" t="inlineStr">
        <is>
          <t>ALMACÉN SOL</t>
        </is>
      </c>
      <c r="F904" s="4" t="inlineStr">
        <is>
          <t>SUPERMERCADO</t>
        </is>
      </c>
      <c r="G904" s="4" t="inlineStr">
        <is>
          <t>SUPERMERCADO · Día</t>
        </is>
      </c>
      <c r="H904" s="5" t="n">
        <v>41139</v>
      </c>
      <c r="I904" s="16" t="n"/>
      <c r="J904" s="4" t="inlineStr">
        <is>
          <t>REAL</t>
        </is>
      </c>
      <c r="K904" s="17" t="n"/>
      <c r="L904" s="4" t="inlineStr">
        <is>
          <t>BBVA</t>
        </is>
      </c>
      <c r="M904" s="4" t="inlineStr">
        <is>
          <t>SUPERMERCADO · Día · SUPERDIA · BBVA Visa · MERPAGO*SUPERDIA</t>
        </is>
      </c>
      <c r="N904" s="4" t="inlineStr">
        <is>
          <t>CIUDAD / Almacen Detalle</t>
        </is>
      </c>
      <c r="O904" s="4" t="n">
        <v>356</v>
      </c>
    </row>
    <row r="905">
      <c r="A905" s="4" t="n">
        <v>904</v>
      </c>
      <c r="B905" s="15" t="n">
        <v>46269</v>
      </c>
      <c r="C905" s="4" t="inlineStr">
        <is>
          <t>2026-09</t>
        </is>
      </c>
      <c r="D905" s="4" t="inlineStr">
        <is>
          <t>Septiembre</t>
        </is>
      </c>
      <c r="E905" s="4" t="inlineStr">
        <is>
          <t>ALMACÉN SOL</t>
        </is>
      </c>
      <c r="F905" s="4" t="inlineStr">
        <is>
          <t>COMIDA</t>
        </is>
      </c>
      <c r="G905" s="4" t="inlineStr">
        <is>
          <t>COMIDA · Pescadería Belgrano</t>
        </is>
      </c>
      <c r="H905" s="5" t="n">
        <v>6213</v>
      </c>
      <c r="I905" s="16" t="n"/>
      <c r="J905" s="4" t="inlineStr">
        <is>
          <t>REAL</t>
        </is>
      </c>
      <c r="K905" s="17" t="n"/>
      <c r="L905" s="4" t="inlineStr">
        <is>
          <t>Mercado Pago</t>
        </is>
      </c>
      <c r="M905" s="4" t="inlineStr">
        <is>
          <t>COMIDA · Pescadería Belgrano · Mercado Pago</t>
        </is>
      </c>
      <c r="N905" s="4" t="inlineStr">
        <is>
          <t>CIUDAD / Almacen Detalle</t>
        </is>
      </c>
      <c r="O905" s="4" t="n">
        <v>357</v>
      </c>
    </row>
    <row r="906">
      <c r="A906" s="4" t="n">
        <v>905</v>
      </c>
      <c r="B906" s="15" t="n">
        <v>46272</v>
      </c>
      <c r="C906" s="4" t="inlineStr">
        <is>
          <t>2026-09</t>
        </is>
      </c>
      <c r="D906" s="4" t="inlineStr">
        <is>
          <t>Septiembre</t>
        </is>
      </c>
      <c r="E906" s="4" t="inlineStr">
        <is>
          <t>GASTO PERSONAL</t>
        </is>
      </c>
      <c r="F906" s="4" t="inlineStr">
        <is>
          <t>AVA FIDEICOMISO</t>
        </is>
      </c>
      <c r="G906" s="4" t="inlineStr">
        <is>
          <t>AVA FIDEICOMISO</t>
        </is>
      </c>
      <c r="H906" s="5" t="n">
        <v>3134720</v>
      </c>
      <c r="I906" s="16" t="n"/>
      <c r="J906" s="4" t="inlineStr">
        <is>
          <t>REAL</t>
        </is>
      </c>
      <c r="K906" s="4" t="inlineStr">
        <is>
          <t>Mercado Pago / TC MEP</t>
        </is>
      </c>
      <c r="L906" s="4" t="inlineStr">
        <is>
          <t>Mercado Pago</t>
        </is>
      </c>
      <c r="M906" s="4" t="inlineStr">
        <is>
          <t>AVA Fideicomiso · cuota 10 · agosto 2026 · 50% Sol de $6.269.440 · TC MEP venta 1525.3 (2026-09-04)</t>
        </is>
      </c>
      <c r="N906" s="4" t="inlineStr">
        <is>
          <t>CIUDAD / Gasto Personal Sol</t>
        </is>
      </c>
      <c r="O906" s="4" t="n">
        <v>837</v>
      </c>
    </row>
    <row r="907">
      <c r="A907" s="4" t="n">
        <v>906</v>
      </c>
      <c r="B907" s="15" t="n">
        <v>46272</v>
      </c>
      <c r="C907" s="4" t="inlineStr">
        <is>
          <t>2026-09</t>
        </is>
      </c>
      <c r="D907" s="4" t="inlineStr">
        <is>
          <t>Septiembre</t>
        </is>
      </c>
      <c r="E907" s="4" t="inlineStr">
        <is>
          <t>GASTO PERSONAL</t>
        </is>
      </c>
      <c r="F907" s="4" t="inlineStr">
        <is>
          <t>VESTIMENTA</t>
        </is>
      </c>
      <c r="G907" s="4" t="inlineStr">
        <is>
          <t>VESTIMENTA</t>
        </is>
      </c>
      <c r="H907" s="5" t="n">
        <v>809200</v>
      </c>
      <c r="I907" s="16" t="n"/>
      <c r="J907" s="4" t="inlineStr">
        <is>
          <t>REAL</t>
        </is>
      </c>
      <c r="K907" s="4" t="inlineStr">
        <is>
          <t>BBVA Visa · MERPAGO*MARKOVA</t>
        </is>
      </c>
      <c r="L907" s="4" t="inlineStr">
        <is>
          <t>BBVA</t>
        </is>
      </c>
      <c r="M907" s="4" t="inlineStr">
        <is>
          <t>VESTIMENTA · Markova · BBVA Visa · gasto personal Sol</t>
        </is>
      </c>
      <c r="N907" s="4" t="inlineStr">
        <is>
          <t>CIUDAD / Gasto Personal Sol</t>
        </is>
      </c>
      <c r="O907" s="4" t="n">
        <v>830</v>
      </c>
    </row>
    <row r="908">
      <c r="A908" s="4" t="n">
        <v>907</v>
      </c>
      <c r="B908" s="15" t="n">
        <v>46273</v>
      </c>
      <c r="C908" s="4" t="inlineStr">
        <is>
          <t>2026-09</t>
        </is>
      </c>
      <c r="D908" s="4" t="inlineStr">
        <is>
          <t>Septiembre</t>
        </is>
      </c>
      <c r="E908" s="4" t="inlineStr">
        <is>
          <t>ALMACÉN SOL</t>
        </is>
      </c>
      <c r="F908" s="4" t="inlineStr">
        <is>
          <t>REPUESTOS</t>
        </is>
      </c>
      <c r="G908" s="4" t="inlineStr">
        <is>
          <t>REPUESTOS · Sodastream</t>
        </is>
      </c>
      <c r="H908" s="5" t="n">
        <v>88659</v>
      </c>
      <c r="I908" s="16" t="n"/>
      <c r="J908" s="4" t="inlineStr">
        <is>
          <t>REAL</t>
        </is>
      </c>
      <c r="K908" s="17" t="n"/>
      <c r="L908" s="4" t="inlineStr">
        <is>
          <t>Mercado Pago</t>
        </is>
      </c>
      <c r="M908" s="4" t="inlineStr">
        <is>
          <t>REPUESTOS · Sodastream · Mercado Pago</t>
        </is>
      </c>
      <c r="N908" s="4" t="inlineStr">
        <is>
          <t>CIUDAD / Almacen Detalle</t>
        </is>
      </c>
      <c r="O908" s="4" t="n">
        <v>358</v>
      </c>
    </row>
    <row r="909">
      <c r="A909" s="4" t="n">
        <v>908</v>
      </c>
      <c r="B909" s="15" t="n">
        <v>46282</v>
      </c>
      <c r="C909" s="4" t="inlineStr">
        <is>
          <t>2026-09</t>
        </is>
      </c>
      <c r="D909" s="4" t="inlineStr">
        <is>
          <t>Septiembre</t>
        </is>
      </c>
      <c r="E909" s="4" t="inlineStr">
        <is>
          <t>GASTO PERSONAL</t>
        </is>
      </c>
      <c r="F909" s="4" t="inlineStr">
        <is>
          <t>VESTIMENTA</t>
        </is>
      </c>
      <c r="G909" s="4" t="inlineStr">
        <is>
          <t>VESTIMENTA</t>
        </is>
      </c>
      <c r="H909" s="5" t="n">
        <v>719990</v>
      </c>
      <c r="I909" s="16" t="n"/>
      <c r="J909" s="4" t="inlineStr">
        <is>
          <t>REAL</t>
        </is>
      </c>
      <c r="K909" s="4" t="inlineStr">
        <is>
          <t>BBVA Visa · MERPAGO*ITSCLASSIC</t>
        </is>
      </c>
      <c r="L909" s="4" t="inlineStr">
        <is>
          <t>BBVA</t>
        </is>
      </c>
      <c r="M909" s="4" t="inlineStr">
        <is>
          <t>VESTIMENTA · Itsclassic · BBVA Visa · gasto personal Sol</t>
        </is>
      </c>
      <c r="N909" s="4" t="inlineStr">
        <is>
          <t>CIUDAD / Gasto Personal Sol</t>
        </is>
      </c>
      <c r="O909" s="4" t="n">
        <v>831</v>
      </c>
    </row>
    <row r="910">
      <c r="A910" s="4" t="n">
        <v>909</v>
      </c>
      <c r="B910" s="15" t="n">
        <v>46284</v>
      </c>
      <c r="C910" s="4" t="inlineStr">
        <is>
          <t>2026-09</t>
        </is>
      </c>
      <c r="D910" s="4" t="inlineStr">
        <is>
          <t>Septiembre</t>
        </is>
      </c>
      <c r="E910" s="4" t="inlineStr">
        <is>
          <t>GASTO PERSONAL</t>
        </is>
      </c>
      <c r="F910" s="4" t="inlineStr">
        <is>
          <t>AUTO</t>
        </is>
      </c>
      <c r="G910" s="4" t="inlineStr">
        <is>
          <t>EDUCACIÓN</t>
        </is>
      </c>
      <c r="H910" s="5" t="n">
        <v>127196</v>
      </c>
      <c r="I910" s="16" t="n"/>
      <c r="J910" s="4" t="inlineStr">
        <is>
          <t>REAL</t>
        </is>
      </c>
      <c r="K910" s="4" t="inlineStr">
        <is>
          <t>TC Mercado Pago</t>
        </is>
      </c>
      <c r="L910" s="4" t="inlineStr">
        <is>
          <t>TC Mercado Pago</t>
        </is>
      </c>
      <c r="M910" s="4" t="inlineStr">
        <is>
          <t>EDUCACIÓN · EducaciónIT · Automatización con Claude · TC Mercado Pago · gasto personal Sol</t>
        </is>
      </c>
      <c r="N910" s="4" t="inlineStr">
        <is>
          <t>CIUDAD / Gasto Personal Sol</t>
        </is>
      </c>
      <c r="O910" s="4" t="n">
        <v>833</v>
      </c>
    </row>
    <row r="911">
      <c r="A911" s="4" t="n">
        <v>910</v>
      </c>
      <c r="B911" s="15" t="n">
        <v>46284</v>
      </c>
      <c r="C911" s="4" t="inlineStr">
        <is>
          <t>2026-09</t>
        </is>
      </c>
      <c r="D911" s="4" t="inlineStr">
        <is>
          <t>Septiembre</t>
        </is>
      </c>
      <c r="E911" s="4" t="inlineStr">
        <is>
          <t>GASTO PERSONAL</t>
        </is>
      </c>
      <c r="F911" s="4" t="inlineStr">
        <is>
          <t>SALUD · Vitaminas</t>
        </is>
      </c>
      <c r="G911" s="4" t="inlineStr">
        <is>
          <t>SALUD · Vitaminas</t>
        </is>
      </c>
      <c r="H911" s="5" t="n">
        <v>530100</v>
      </c>
      <c r="I911" s="16" t="n"/>
      <c r="J911" s="4" t="inlineStr">
        <is>
          <t>REAL</t>
        </is>
      </c>
      <c r="K911" s="4" t="inlineStr">
        <is>
          <t>TC Mercado Pago</t>
        </is>
      </c>
      <c r="L911" s="4" t="inlineStr">
        <is>
          <t>TC Mercado Pago</t>
        </is>
      </c>
      <c r="M911" s="4" t="inlineStr">
        <is>
          <t>SALUD · Vitaminas · Promarine Erisea · TC Mercado Pago · gasto personal Sol</t>
        </is>
      </c>
      <c r="N911" s="4" t="inlineStr">
        <is>
          <t>CIUDAD / Gasto Personal Sol</t>
        </is>
      </c>
      <c r="O911" s="4" t="n">
        <v>832</v>
      </c>
    </row>
    <row r="912">
      <c r="A912" s="4" t="n">
        <v>911</v>
      </c>
      <c r="B912" s="15" t="n">
        <v>46285</v>
      </c>
      <c r="C912" s="4" t="inlineStr">
        <is>
          <t>2026-09</t>
        </is>
      </c>
      <c r="D912" s="4" t="inlineStr">
        <is>
          <t>Septiembre</t>
        </is>
      </c>
      <c r="E912" s="4" t="inlineStr">
        <is>
          <t>GASTO PERSONAL</t>
        </is>
      </c>
      <c r="F912" s="4" t="inlineStr">
        <is>
          <t>COMPRAS</t>
        </is>
      </c>
      <c r="G912" s="4" t="inlineStr">
        <is>
          <t>COMPRAS</t>
        </is>
      </c>
      <c r="H912" s="5" t="n">
        <v>89998</v>
      </c>
      <c r="I912" s="16" t="n"/>
      <c r="J912" s="4" t="inlineStr">
        <is>
          <t>REAL</t>
        </is>
      </c>
      <c r="K912" s="4" t="inlineStr">
        <is>
          <t>TC Mercado Pago</t>
        </is>
      </c>
      <c r="L912" s="4" t="inlineStr">
        <is>
          <t>TC Mercado Pago</t>
        </is>
      </c>
      <c r="M912" s="4" t="inlineStr">
        <is>
          <t>COMPRAS · Yenny El Ateneo · orden #87426 · TC Mercado Pago · gasto personal Sol</t>
        </is>
      </c>
      <c r="N912" s="4" t="inlineStr">
        <is>
          <t>CIUDAD / Gasto Personal Sol</t>
        </is>
      </c>
      <c r="O912" s="4" t="n">
        <v>834</v>
      </c>
    </row>
    <row r="913">
      <c r="A913" s="4" t="n">
        <v>912</v>
      </c>
      <c r="B913" s="15" t="n">
        <v>46288</v>
      </c>
      <c r="C913" s="4" t="inlineStr">
        <is>
          <t>2026-09</t>
        </is>
      </c>
      <c r="D913" s="4" t="inlineStr">
        <is>
          <t>Septiembre</t>
        </is>
      </c>
      <c r="E913" s="4" t="inlineStr">
        <is>
          <t>GASTO PERSONAL</t>
        </is>
      </c>
      <c r="F913" s="4" t="inlineStr">
        <is>
          <t>SUSCRIPCIONES · IA</t>
        </is>
      </c>
      <c r="G913" s="4" t="inlineStr">
        <is>
          <t>SUSCRIPCIONES · IA</t>
        </is>
      </c>
      <c r="H913" s="5" t="n">
        <v>7668</v>
      </c>
      <c r="I913" s="16" t="n"/>
      <c r="J913" s="4" t="inlineStr">
        <is>
          <t>REAL</t>
        </is>
      </c>
      <c r="K913" s="4" t="inlineStr">
        <is>
          <t>BBVA Visa USD</t>
        </is>
      </c>
      <c r="L913" s="4" t="inlineStr">
        <is>
          <t>BBVA</t>
        </is>
      </c>
      <c r="M913" s="4" t="inlineStr">
        <is>
          <t>SUSCRIPCIONES · IA · Google One · USD 4,99 × TC MEP venta 1536.6 (2026-09-23) = 7668 · gasto personal Sol</t>
        </is>
      </c>
      <c r="N913" s="4" t="inlineStr">
        <is>
          <t>CIUDAD / Gasto Personal Sol</t>
        </is>
      </c>
      <c r="O913" s="4" t="n">
        <v>836</v>
      </c>
    </row>
  </sheetData>
  <autoFilter ref="A1:O9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2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HOGAR</t>
        </is>
      </c>
      <c r="E683" s="4" t="inlineStr">
        <is>
          <t>HOGAR</t>
        </is>
      </c>
      <c r="F683" s="5" t="n">
        <v>329986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C.03/03 · cashflow cuotas BBVA · gasto personal Sol · ex `CAMBIODEAIRES`</t>
        </is>
      </c>
      <c r="L683" s="4" t="n">
        <v>524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18334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HOGAR · Stanley · PROYECTADO · C.04/06 · cashflow cuotas BBVA · gasto personal Sol</t>
        </is>
      </c>
      <c r="L684" s="4" t="n">
        <v>534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275000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C.05/12 · cashflow cuotas BBVA · gasto personal Sol · ex `Mercado Libre · MERCADOLIBRE`</t>
        </is>
      </c>
      <c r="L685" s="4" t="n">
        <v>527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17360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C.06/09 · cashflow cuotas BBVA · gasto personal Sol · ex `Mercado Libre · MERCADOLIBRE`</t>
        </is>
      </c>
      <c r="L686" s="4" t="n">
        <v>528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16950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529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124667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C.03/06 · cashflow cuotas BBVA · gasto personal Sol</t>
        </is>
      </c>
      <c r="L688" s="4" t="n">
        <v>522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80834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525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95984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ROPA · Monofuk · PROYECTADO · C.04/06 · cashflow cuotas BBVA · gasto personal Sol</t>
        </is>
      </c>
      <c r="L690" s="4" t="n">
        <v>530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73333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531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36667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533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84216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C.03/03 · cashflow cuotas BBVA · gasto personal Sol</t>
        </is>
      </c>
      <c r="L693" s="4" t="n">
        <v>535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60917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C.03/12 · cashflow cuotas BBVA · gasto personal Sol</t>
        </is>
      </c>
      <c r="L694" s="4" t="n">
        <v>536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69750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537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40004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538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SALUD</t>
        </is>
      </c>
      <c r="E697" s="4" t="inlineStr">
        <is>
          <t>SALUD</t>
        </is>
      </c>
      <c r="F697" s="5" t="n">
        <v>54033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SALUD · Laboratorio · PROYECTADO · C.04/06 · cashflow cuotas BBVA · gasto personal Sol</t>
        </is>
      </c>
      <c r="L697" s="4" t="n">
        <v>526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 · Vitaminas</t>
        </is>
      </c>
      <c r="E698" s="4" t="inlineStr">
        <is>
          <t>SALUD · Vitaminas</t>
        </is>
      </c>
      <c r="F698" s="5" t="n">
        <v>87900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SALUD · Vitaminas · Promarine · BBVA · C.04/06 · gasto personal Sol</t>
        </is>
      </c>
      <c r="L698" s="4" t="n">
        <v>532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VESTIMENTA</t>
        </is>
      </c>
      <c r="F699" s="5" t="n">
        <v>98334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ROPA · Bokenvoreno · PROYECTADO · C.03/06 · cashflow cuotas BBVA · gasto personal Sol</t>
        </is>
      </c>
      <c r="L699" s="4" t="n">
        <v>523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EVENTOS DEPORTIVOS - RIVER</t>
        </is>
      </c>
      <c r="E700" s="4" t="inlineStr">
        <is>
          <t>Eventos deportivos - River</t>
        </is>
      </c>
      <c r="F700" s="5" t="n">
        <v>169667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C.02/06 · cashflow cuotas BBVA · gasto personal Sol · Eventos deportivos - River</t>
        </is>
      </c>
      <c r="L700" s="4" t="n">
        <v>554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HOGAR</t>
        </is>
      </c>
      <c r="E701" s="4" t="inlineStr">
        <is>
          <t>HOGAR</t>
        </is>
      </c>
      <c r="F701" s="5" t="n">
        <v>18334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HOGAR · Stanley · PROYECTADO · C.05/06 · cashflow cuotas BBVA · gasto personal Sol</t>
        </is>
      </c>
      <c r="L701" s="4" t="n">
        <v>553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12084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C.02/06 · cashflow cuotas BBVA · gasto personal Sol · ex `Mercado Libre · MERCADOLIBRE`</t>
        </is>
      </c>
      <c r="L702" s="4" t="n">
        <v>544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275000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PROYECTADO · C.06/12 · cashflow cuotas BBVA · gasto personal Sol · ex `Mercado Libre · MERCADOLIBRE`</t>
        </is>
      </c>
      <c r="L703" s="4" t="n">
        <v>545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17360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C.07/09 · cashflow cuotas BBVA · gasto personal Sol · ex `Mercado Libre · MERCADOLIBRE`</t>
        </is>
      </c>
      <c r="L704" s="4" t="n">
        <v>546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16950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547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124667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539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31700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ROPA · Frivilli · PROYECTADO · C.02/03 · cashflow cuotas BBVA · gasto personal Sol</t>
        </is>
      </c>
      <c r="L707" s="4" t="n">
        <v>541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80834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C.04/06 · cashflow cuotas BBVA · gasto personal Sol</t>
        </is>
      </c>
      <c r="L708" s="4" t="n">
        <v>542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95984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ROPA · Monofuk · PROYECTADO · C.05/06 · cashflow cuotas BBVA · gasto personal Sol</t>
        </is>
      </c>
      <c r="L709" s="4" t="n">
        <v>548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284794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C.02/06 · cashflow cuotas BBVA · gasto personal Sol</t>
        </is>
      </c>
      <c r="L710" s="4" t="n">
        <v>549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73600</v>
      </c>
      <c r="G711" s="16" t="n"/>
      <c r="H711" s="18" t="inlineStr">
        <is>
          <t>PROYECTADO</t>
        </is>
      </c>
      <c r="I711" s="4" t="inlineStr">
        <is>
          <t>BBVA MASTERCARD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550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36667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C.04/06 · cashflow cuotas BBVA · gasto personal Sol</t>
        </is>
      </c>
      <c r="L712" s="4" t="n">
        <v>552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60917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C.04/12 · cashflow cuotas BBVA · gasto personal Sol</t>
        </is>
      </c>
      <c r="L713" s="4" t="n">
        <v>555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69750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556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SALUD</t>
        </is>
      </c>
      <c r="E715" s="4" t="inlineStr">
        <is>
          <t>SALUD</t>
        </is>
      </c>
      <c r="F715" s="5" t="n">
        <v>54033</v>
      </c>
      <c r="G715" s="16" t="n"/>
      <c r="H715" s="18" t="inlineStr">
        <is>
          <t>PROYECTADO</t>
        </is>
      </c>
      <c r="I715" s="4" t="inlineStr">
        <is>
          <t>BBVA MASTERCARD · proyectado</t>
        </is>
      </c>
      <c r="J715" s="4" t="inlineStr">
        <is>
          <t>BBVA</t>
        </is>
      </c>
      <c r="K715" s="4" t="inlineStr">
        <is>
          <t>SALUD · Laboratorio · PROYECTADO · C.05/06 · cashflow cuotas BBVA · gasto personal Sol</t>
        </is>
      </c>
      <c r="L715" s="4" t="n">
        <v>543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 · Vitaminas</t>
        </is>
      </c>
      <c r="E716" s="4" t="inlineStr">
        <is>
          <t>SALUD · Vitaminas</t>
        </is>
      </c>
      <c r="F716" s="5" t="n">
        <v>87900</v>
      </c>
      <c r="G716" s="16" t="n"/>
      <c r="H716" s="18" t="inlineStr">
        <is>
          <t>PROYECTADO</t>
        </is>
      </c>
      <c r="I716" s="4" t="inlineStr">
        <is>
          <t>BBVA VISA · proyectado</t>
        </is>
      </c>
      <c r="J716" s="4" t="inlineStr">
        <is>
          <t>BBVA</t>
        </is>
      </c>
      <c r="K716" s="4" t="inlineStr">
        <is>
          <t>PROYECTADO · SALUD · Vitaminas · Promarine · BBVA · C.05/06 · gasto personal Sol</t>
        </is>
      </c>
      <c r="L716" s="4" t="n">
        <v>551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ROPA</t>
        </is>
      </c>
      <c r="E717" s="4" t="inlineStr">
        <is>
          <t>VESTIMENTA</t>
        </is>
      </c>
      <c r="F717" s="5" t="n">
        <v>98334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ROPA · Bokenvoreno · PROYECTADO · C.04/06 · cashflow cuotas BBVA · gasto personal Sol</t>
        </is>
      </c>
      <c r="L717" s="4" t="n">
        <v>540</v>
      </c>
    </row>
    <row r="718">
      <c r="A718" s="15" t="n">
        <v>46265</v>
      </c>
      <c r="B718" s="4" t="inlineStr">
        <is>
          <t>2026-08</t>
        </is>
      </c>
      <c r="C718" s="4" t="inlineStr">
        <is>
          <t>Agosto</t>
        </is>
      </c>
      <c r="D718" s="4" t="inlineStr">
        <is>
          <t>SUSCRIPCIONES · IA</t>
        </is>
      </c>
      <c r="E718" s="4" t="inlineStr">
        <is>
          <t>SUSCRIPCIONES · IA</t>
        </is>
      </c>
      <c r="F718" s="5" t="n">
        <v>30882</v>
      </c>
      <c r="G718" s="16" t="n"/>
      <c r="H718" s="4" t="inlineStr">
        <is>
          <t>REAL</t>
        </is>
      </c>
      <c r="I718" s="4" t="inlineStr">
        <is>
          <t>BBVA Visa USD</t>
        </is>
      </c>
      <c r="J718" s="4" t="inlineStr">
        <is>
          <t>BBVA</t>
        </is>
      </c>
      <c r="K718" s="4" t="inlineStr">
        <is>
          <t>SUSCRIPCIONES · IA · OpenAI ChatGPT · USD 20 × TC MEP venta 1544.1 (2026-08-29) = 30882 · gasto personal Sol</t>
        </is>
      </c>
      <c r="L718" s="4" t="n">
        <v>835</v>
      </c>
    </row>
    <row r="719">
      <c r="A719" s="15" t="n">
        <v>46267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COMIDA · OFICINA</t>
        </is>
      </c>
      <c r="E719" s="4" t="inlineStr">
        <is>
          <t>COMIDA · Oficina</t>
        </is>
      </c>
      <c r="F719" s="5" t="n">
        <v>4080</v>
      </c>
      <c r="G719" s="16" t="n"/>
      <c r="H719" s="4" t="inlineStr">
        <is>
          <t>REAL</t>
        </is>
      </c>
      <c r="I719" s="4" t="inlineStr">
        <is>
          <t>Mercado Pago</t>
        </is>
      </c>
      <c r="J719" s="4" t="inlineStr">
        <is>
          <t>Mercado Pago</t>
        </is>
      </c>
      <c r="K719" s="4" t="inlineStr">
        <is>
          <t>COMIDA · Oficina · Copetin Catering · gasto personal Sol</t>
        </is>
      </c>
      <c r="L719" s="4" t="n">
        <v>829</v>
      </c>
    </row>
    <row r="720">
      <c r="A720" s="15" t="n">
        <v>46272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AVA FIDEICOMISO</t>
        </is>
      </c>
      <c r="E720" s="4" t="inlineStr">
        <is>
          <t>AVA FIDEICOMISO</t>
        </is>
      </c>
      <c r="F720" s="5" t="n">
        <v>3134720</v>
      </c>
      <c r="G720" s="16" t="n"/>
      <c r="H720" s="4" t="inlineStr">
        <is>
          <t>REAL</t>
        </is>
      </c>
      <c r="I720" s="4" t="inlineStr">
        <is>
          <t>Mercado Pago / TC MEP</t>
        </is>
      </c>
      <c r="J720" s="4" t="inlineStr">
        <is>
          <t>Mercado Pago</t>
        </is>
      </c>
      <c r="K720" s="4" t="inlineStr">
        <is>
          <t>AVA Fideicomiso · cuota 10 · agosto 2026 · 50% Sol de $6.269.440 · TC MEP venta 1525.3 (2026-09-04)</t>
        </is>
      </c>
      <c r="L720" s="4" t="n">
        <v>837</v>
      </c>
    </row>
    <row r="721">
      <c r="A721" s="15" t="n">
        <v>46272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VESTIMENTA</t>
        </is>
      </c>
      <c r="E721" s="4" t="inlineStr">
        <is>
          <t>VESTIMENTA</t>
        </is>
      </c>
      <c r="F721" s="5" t="n">
        <v>809200</v>
      </c>
      <c r="G721" s="16" t="n"/>
      <c r="H721" s="4" t="inlineStr">
        <is>
          <t>REAL</t>
        </is>
      </c>
      <c r="I721" s="4" t="inlineStr">
        <is>
          <t>BBVA Visa · MERPAGO*MARKOVA</t>
        </is>
      </c>
      <c r="J721" s="4" t="inlineStr">
        <is>
          <t>BBVA</t>
        </is>
      </c>
      <c r="K721" s="4" t="inlineStr">
        <is>
          <t>VESTIMENTA · Markova · BBVA Visa · gasto personal Sol</t>
        </is>
      </c>
      <c r="L721" s="4" t="n">
        <v>830</v>
      </c>
    </row>
    <row r="722">
      <c r="A722" s="15" t="n">
        <v>46282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VESTIMENTA</t>
        </is>
      </c>
      <c r="E722" s="4" t="inlineStr">
        <is>
          <t>VESTIMENTA</t>
        </is>
      </c>
      <c r="F722" s="5" t="n">
        <v>719990</v>
      </c>
      <c r="G722" s="16" t="n"/>
      <c r="H722" s="4" t="inlineStr">
        <is>
          <t>REAL</t>
        </is>
      </c>
      <c r="I722" s="4" t="inlineStr">
        <is>
          <t>BBVA Visa · MERPAGO*ITSCLASSIC</t>
        </is>
      </c>
      <c r="J722" s="4" t="inlineStr">
        <is>
          <t>BBVA</t>
        </is>
      </c>
      <c r="K722" s="4" t="inlineStr">
        <is>
          <t>VESTIMENTA · Itsclassic · BBVA Visa · gasto personal Sol</t>
        </is>
      </c>
      <c r="L722" s="4" t="n">
        <v>831</v>
      </c>
    </row>
    <row r="723">
      <c r="A723" s="15" t="n">
        <v>46284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AUTO</t>
        </is>
      </c>
      <c r="E723" s="4" t="inlineStr">
        <is>
          <t>EDUCACIÓN</t>
        </is>
      </c>
      <c r="F723" s="5" t="n">
        <v>127196</v>
      </c>
      <c r="G723" s="16" t="n"/>
      <c r="H723" s="4" t="inlineStr">
        <is>
          <t>REAL</t>
        </is>
      </c>
      <c r="I723" s="4" t="inlineStr">
        <is>
          <t>TC Mercado Pago</t>
        </is>
      </c>
      <c r="J723" s="4" t="inlineStr">
        <is>
          <t>TC Mercado Pago</t>
        </is>
      </c>
      <c r="K723" s="4" t="inlineStr">
        <is>
          <t>EDUCACIÓN · EducaciónIT · Automatización con Claude · TC Mercado Pago · gasto personal Sol</t>
        </is>
      </c>
      <c r="L723" s="4" t="n">
        <v>833</v>
      </c>
    </row>
    <row r="724">
      <c r="A724" s="15" t="n">
        <v>46284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SALUD · Vitaminas</t>
        </is>
      </c>
      <c r="E724" s="4" t="inlineStr">
        <is>
          <t>SALUD · Vitaminas</t>
        </is>
      </c>
      <c r="F724" s="5" t="n">
        <v>530100</v>
      </c>
      <c r="G724" s="16" t="n"/>
      <c r="H724" s="4" t="inlineStr">
        <is>
          <t>REAL</t>
        </is>
      </c>
      <c r="I724" s="4" t="inlineStr">
        <is>
          <t>TC Mercado Pago</t>
        </is>
      </c>
      <c r="J724" s="4" t="inlineStr">
        <is>
          <t>TC Mercado Pago</t>
        </is>
      </c>
      <c r="K724" s="4" t="inlineStr">
        <is>
          <t>SALUD · Vitaminas · Promarine Erisea · TC Mercado Pago · gasto personal Sol</t>
        </is>
      </c>
      <c r="L724" s="4" t="n">
        <v>832</v>
      </c>
    </row>
    <row r="725">
      <c r="A725" s="15" t="n">
        <v>46285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COMPRAS</t>
        </is>
      </c>
      <c r="E725" s="4" t="inlineStr">
        <is>
          <t>COMPRAS</t>
        </is>
      </c>
      <c r="F725" s="5" t="n">
        <v>89998</v>
      </c>
      <c r="G725" s="16" t="n"/>
      <c r="H725" s="4" t="inlineStr">
        <is>
          <t>REAL</t>
        </is>
      </c>
      <c r="I725" s="4" t="inlineStr">
        <is>
          <t>TC Mercado Pago</t>
        </is>
      </c>
      <c r="J725" s="4" t="inlineStr">
        <is>
          <t>TC Mercado Pago</t>
        </is>
      </c>
      <c r="K725" s="4" t="inlineStr">
        <is>
          <t>COMPRAS · Yenny El Ateneo · orden #87426 · TC Mercado Pago · gasto personal Sol</t>
        </is>
      </c>
      <c r="L725" s="4" t="n">
        <v>834</v>
      </c>
    </row>
    <row r="726">
      <c r="A726" s="15" t="n">
        <v>46288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SUSCRIPCIONES · IA</t>
        </is>
      </c>
      <c r="E726" s="4" t="inlineStr">
        <is>
          <t>SUSCRIPCIONES · IA</t>
        </is>
      </c>
      <c r="F726" s="5" t="n">
        <v>7668</v>
      </c>
      <c r="G726" s="16" t="n"/>
      <c r="H726" s="4" t="inlineStr">
        <is>
          <t>REAL</t>
        </is>
      </c>
      <c r="I726" s="4" t="inlineStr">
        <is>
          <t>BBVA Visa USD</t>
        </is>
      </c>
      <c r="J726" s="4" t="inlineStr">
        <is>
          <t>BBVA</t>
        </is>
      </c>
      <c r="K726" s="4" t="inlineStr">
        <is>
          <t>SUSCRIPCIONES · IA · Google One · USD 4,99 × TC MEP venta 1536.6 (2026-09-23) = 7668 · gasto personal Sol</t>
        </is>
      </c>
      <c r="L726" s="4" t="n">
        <v>836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EVENTOS DEPORTIVOS - RIVER</t>
        </is>
      </c>
      <c r="E727" s="4" t="inlineStr">
        <is>
          <t>Eventos deportivos - River</t>
        </is>
      </c>
      <c r="F727" s="5" t="n">
        <v>169667</v>
      </c>
      <c r="G727" s="16" t="n"/>
      <c r="H727" s="18" t="inlineStr">
        <is>
          <t>PROYECTADO</t>
        </is>
      </c>
      <c r="I727" s="4" t="inlineStr">
        <is>
          <t>BBVA VISA · proyectado</t>
        </is>
      </c>
      <c r="J727" s="4" t="inlineStr">
        <is>
          <t>BBVA</t>
        </is>
      </c>
      <c r="K727" s="4" t="inlineStr">
        <is>
          <t>PROYECTADO · C.03/06 · cashflow cuotas BBVA · gasto personal Sol · Eventos deportivos - River</t>
        </is>
      </c>
      <c r="L727" s="4" t="n">
        <v>572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HOGAR</t>
        </is>
      </c>
      <c r="E728" s="4" t="inlineStr">
        <is>
          <t>HOGAR</t>
        </is>
      </c>
      <c r="F728" s="5" t="n">
        <v>18334</v>
      </c>
      <c r="G728" s="16" t="n"/>
      <c r="H728" s="18" t="inlineStr">
        <is>
          <t>PROYECTADO</t>
        </is>
      </c>
      <c r="I728" s="4" t="inlineStr">
        <is>
          <t>BBVA MASTERCARD · proyectado</t>
        </is>
      </c>
      <c r="J728" s="4" t="inlineStr">
        <is>
          <t>BBVA</t>
        </is>
      </c>
      <c r="K728" s="4" t="inlineStr">
        <is>
          <t>HOGAR · Stanley · PROYECTADO · C.06/06 · cashflow cuotas BBVA · gasto personal Sol</t>
        </is>
      </c>
      <c r="L728" s="4" t="n">
        <v>571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MERCADO LIBRE</t>
        </is>
      </c>
      <c r="E729" s="4" t="inlineStr">
        <is>
          <t>MERCADO LIBRE</t>
        </is>
      </c>
      <c r="F729" s="5" t="n">
        <v>12084</v>
      </c>
      <c r="G729" s="16" t="n"/>
      <c r="H729" s="18" t="inlineStr">
        <is>
          <t>PROYECTADO</t>
        </is>
      </c>
      <c r="I729" s="4" t="inlineStr">
        <is>
          <t>BBVA VISA · proyectado</t>
        </is>
      </c>
      <c r="J729" s="4" t="inlineStr">
        <is>
          <t>BBVA</t>
        </is>
      </c>
      <c r="K729" s="4" t="inlineStr">
        <is>
          <t>PROYECTADO · C.03/06 · cashflow cuotas BBVA · gasto personal Sol · ex `Mercado Libre · MERCADOLIBRE`</t>
        </is>
      </c>
      <c r="L729" s="4" t="n">
        <v>562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MERCADO LIBRE</t>
        </is>
      </c>
      <c r="E730" s="4" t="inlineStr">
        <is>
          <t>MERCADO LIBRE</t>
        </is>
      </c>
      <c r="F730" s="5" t="n">
        <v>275000</v>
      </c>
      <c r="G730" s="16" t="n"/>
      <c r="H730" s="18" t="inlineStr">
        <is>
          <t>PROYECTADO</t>
        </is>
      </c>
      <c r="I730" s="4" t="inlineStr">
        <is>
          <t>BBVA MASTERCARD · proyectado</t>
        </is>
      </c>
      <c r="J730" s="4" t="inlineStr">
        <is>
          <t>BBVA</t>
        </is>
      </c>
      <c r="K730" s="4" t="inlineStr">
        <is>
          <t>PROYECTADO · C.07/12 · cashflow cuotas BBVA · gasto personal Sol · ex `Mercado Libre · MERCADOLIBRE`</t>
        </is>
      </c>
      <c r="L730" s="4" t="n">
        <v>563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MERCADO LIBRE</t>
        </is>
      </c>
      <c r="E731" s="4" t="inlineStr">
        <is>
          <t>MERCADO LIBRE</t>
        </is>
      </c>
      <c r="F731" s="5" t="n">
        <v>17360</v>
      </c>
      <c r="G731" s="16" t="n"/>
      <c r="H731" s="18" t="inlineStr">
        <is>
          <t>PROYECTADO</t>
        </is>
      </c>
      <c r="I731" s="4" t="inlineStr">
        <is>
          <t>BBVA MASTERCARD · proyectado</t>
        </is>
      </c>
      <c r="J731" s="4" t="inlineStr">
        <is>
          <t>BBVA</t>
        </is>
      </c>
      <c r="K731" s="4" t="inlineStr">
        <is>
          <t>PROYECTADO · C.08/09 · cashflow cuotas BBVA · gasto personal Sol · ex `Mercado Libre · MERCADOLIBRE`</t>
        </is>
      </c>
      <c r="L731" s="4" t="n">
        <v>564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MERCADO LIBRE</t>
        </is>
      </c>
      <c r="E732" s="4" t="inlineStr">
        <is>
          <t>MERCADO LIBRE</t>
        </is>
      </c>
      <c r="F732" s="5" t="n">
        <v>16950</v>
      </c>
      <c r="G732" s="16" t="n"/>
      <c r="H732" s="18" t="inlineStr">
        <is>
          <t>PROYECTADO</t>
        </is>
      </c>
      <c r="I732" s="4" t="inlineStr">
        <is>
          <t>BBVA MASTERCARD · proyectado</t>
        </is>
      </c>
      <c r="J732" s="4" t="inlineStr">
        <is>
          <t>BBVA</t>
        </is>
      </c>
      <c r="K732" s="4" t="inlineStr">
        <is>
          <t>PROYECTADO · C.08/09 · cashflow cuotas BBVA · gasto personal Sol · ex `Mercado Libre · MERCADOLIBRE`</t>
        </is>
      </c>
      <c r="L732" s="4" t="n">
        <v>565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ROPA</t>
        </is>
      </c>
      <c r="E733" s="4" t="inlineStr">
        <is>
          <t>ROPA</t>
        </is>
      </c>
      <c r="F733" s="5" t="n">
        <v>124667</v>
      </c>
      <c r="G733" s="16" t="n"/>
      <c r="H733" s="18" t="inlineStr">
        <is>
          <t>PROYECTADO</t>
        </is>
      </c>
      <c r="I733" s="4" t="inlineStr">
        <is>
          <t>BBVA VISA · proyectado</t>
        </is>
      </c>
      <c r="J733" s="4" t="inlineStr">
        <is>
          <t>BBVA</t>
        </is>
      </c>
      <c r="K733" s="4" t="inlineStr">
        <is>
          <t>PROYECTADO · C.05/06 · cashflow cuotas BBVA · gasto personal Sol</t>
        </is>
      </c>
      <c r="L733" s="4" t="n">
        <v>557</v>
      </c>
    </row>
    <row r="734">
      <c r="A734" s="15" t="n">
        <v>46293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ROPA</t>
        </is>
      </c>
      <c r="E734" s="4" t="inlineStr">
        <is>
          <t>ROPA</t>
        </is>
      </c>
      <c r="F734" s="5" t="n">
        <v>31700</v>
      </c>
      <c r="G734" s="16" t="n"/>
      <c r="H734" s="18" t="inlineStr">
        <is>
          <t>PROYECTADO</t>
        </is>
      </c>
      <c r="I734" s="4" t="inlineStr">
        <is>
          <t>BBVA VISA · proyectado</t>
        </is>
      </c>
      <c r="J734" s="4" t="inlineStr">
        <is>
          <t>BBVA</t>
        </is>
      </c>
      <c r="K734" s="4" t="inlineStr">
        <is>
          <t>ROPA · Frivilli · PROYECTADO · C.03/03 · cashflow cuotas BBVA · gasto personal Sol</t>
        </is>
      </c>
      <c r="L734" s="4" t="n">
        <v>559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ROPA</t>
        </is>
      </c>
      <c r="E735" s="4" t="inlineStr">
        <is>
          <t>ROPA</t>
        </is>
      </c>
      <c r="F735" s="5" t="n">
        <v>80834</v>
      </c>
      <c r="G735" s="16" t="n"/>
      <c r="H735" s="18" t="inlineStr">
        <is>
          <t>PROYECTADO</t>
        </is>
      </c>
      <c r="I735" s="4" t="inlineStr">
        <is>
          <t>BBVA MASTERCARD · proyectado</t>
        </is>
      </c>
      <c r="J735" s="4" t="inlineStr">
        <is>
          <t>BBVA</t>
        </is>
      </c>
      <c r="K735" s="4" t="inlineStr">
        <is>
          <t>PROYECTADO · C.05/06 · cashflow cuotas BBVA · gasto personal Sol</t>
        </is>
      </c>
      <c r="L735" s="4" t="n">
        <v>560</v>
      </c>
    </row>
    <row r="736">
      <c r="A736" s="15" t="n">
        <v>46293</v>
      </c>
      <c r="B736" s="4" t="inlineStr">
        <is>
          <t>2026-09</t>
        </is>
      </c>
      <c r="C736" s="4" t="inlineStr">
        <is>
          <t>Septiembre</t>
        </is>
      </c>
      <c r="D736" s="4" t="inlineStr">
        <is>
          <t>ROPA</t>
        </is>
      </c>
      <c r="E736" s="4" t="inlineStr">
        <is>
          <t>ROPA</t>
        </is>
      </c>
      <c r="F736" s="5" t="n">
        <v>95984</v>
      </c>
      <c r="G736" s="16" t="n"/>
      <c r="H736" s="18" t="inlineStr">
        <is>
          <t>PROYECTADO</t>
        </is>
      </c>
      <c r="I736" s="4" t="inlineStr">
        <is>
          <t>BBVA MASTERCARD · proyectado</t>
        </is>
      </c>
      <c r="J736" s="4" t="inlineStr">
        <is>
          <t>BBVA</t>
        </is>
      </c>
      <c r="K736" s="4" t="inlineStr">
        <is>
          <t>ROPA · Monofuk · PROYECTADO · C.06/06 · cashflow cuotas BBVA · gasto personal Sol</t>
        </is>
      </c>
      <c r="L736" s="4" t="n">
        <v>566</v>
      </c>
    </row>
    <row r="737">
      <c r="A737" s="15" t="n">
        <v>46293</v>
      </c>
      <c r="B737" s="4" t="inlineStr">
        <is>
          <t>2026-09</t>
        </is>
      </c>
      <c r="C737" s="4" t="inlineStr">
        <is>
          <t>Septiembre</t>
        </is>
      </c>
      <c r="D737" s="4" t="inlineStr">
        <is>
          <t>ROPA</t>
        </is>
      </c>
      <c r="E737" s="4" t="inlineStr">
        <is>
          <t>ROPA</t>
        </is>
      </c>
      <c r="F737" s="5" t="n">
        <v>284794</v>
      </c>
      <c r="G737" s="16" t="n"/>
      <c r="H737" s="18" t="inlineStr">
        <is>
          <t>PROYECTADO</t>
        </is>
      </c>
      <c r="I737" s="4" t="inlineStr">
        <is>
          <t>BBVA VISA · proyectado</t>
        </is>
      </c>
      <c r="J737" s="4" t="inlineStr">
        <is>
          <t>BBVA</t>
        </is>
      </c>
      <c r="K737" s="4" t="inlineStr">
        <is>
          <t>PROYECTADO · C.03/06 · cashflow cuotas BBVA · gasto personal Sol</t>
        </is>
      </c>
      <c r="L737" s="4" t="n">
        <v>567</v>
      </c>
    </row>
    <row r="738">
      <c r="A738" s="15" t="n">
        <v>46293</v>
      </c>
      <c r="B738" s="4" t="inlineStr">
        <is>
          <t>2026-09</t>
        </is>
      </c>
      <c r="C738" s="4" t="inlineStr">
        <is>
          <t>Septiembre</t>
        </is>
      </c>
      <c r="D738" s="4" t="inlineStr">
        <is>
          <t>ROPA</t>
        </is>
      </c>
      <c r="E738" s="4" t="inlineStr">
        <is>
          <t>ROPA</t>
        </is>
      </c>
      <c r="F738" s="5" t="n">
        <v>73600</v>
      </c>
      <c r="G738" s="16" t="n"/>
      <c r="H738" s="18" t="inlineStr">
        <is>
          <t>PROYECTADO</t>
        </is>
      </c>
      <c r="I738" s="4" t="inlineStr">
        <is>
          <t>BBVA MASTERCARD · proyectado</t>
        </is>
      </c>
      <c r="J738" s="4" t="inlineStr">
        <is>
          <t>BBVA</t>
        </is>
      </c>
      <c r="K738" s="4" t="inlineStr">
        <is>
          <t>PROYECTADO · C.03/06 · cashflow cuotas BBVA · gasto personal Sol</t>
        </is>
      </c>
      <c r="L738" s="4" t="n">
        <v>568</v>
      </c>
    </row>
    <row r="739">
      <c r="A739" s="15" t="n">
        <v>46293</v>
      </c>
      <c r="B739" s="4" t="inlineStr">
        <is>
          <t>2026-09</t>
        </is>
      </c>
      <c r="C739" s="4" t="inlineStr">
        <is>
          <t>Septiembre</t>
        </is>
      </c>
      <c r="D739" s="4" t="inlineStr">
        <is>
          <t>ROPA</t>
        </is>
      </c>
      <c r="E739" s="4" t="inlineStr">
        <is>
          <t>ROPA</t>
        </is>
      </c>
      <c r="F739" s="5" t="n">
        <v>36667</v>
      </c>
      <c r="G739" s="16" t="n"/>
      <c r="H739" s="18" t="inlineStr">
        <is>
          <t>PROYECTADO</t>
        </is>
      </c>
      <c r="I739" s="4" t="inlineStr">
        <is>
          <t>BBVA MASTERCARD · proyectado</t>
        </is>
      </c>
      <c r="J739" s="4" t="inlineStr">
        <is>
          <t>BBVA</t>
        </is>
      </c>
      <c r="K739" s="4" t="inlineStr">
        <is>
          <t>PROYECTADO · C.05/06 · cashflow cuotas BBVA · gasto personal Sol</t>
        </is>
      </c>
      <c r="L739" s="4" t="n">
        <v>570</v>
      </c>
    </row>
    <row r="740">
      <c r="A740" s="15" t="n">
        <v>46293</v>
      </c>
      <c r="B740" s="4" t="inlineStr">
        <is>
          <t>2026-09</t>
        </is>
      </c>
      <c r="C740" s="4" t="inlineStr">
        <is>
          <t>Septiembre</t>
        </is>
      </c>
      <c r="D740" s="4" t="inlineStr">
        <is>
          <t>ROPA</t>
        </is>
      </c>
      <c r="E740" s="4" t="inlineStr">
        <is>
          <t>ROPA</t>
        </is>
      </c>
      <c r="F740" s="5" t="n">
        <v>60917</v>
      </c>
      <c r="G740" s="16" t="n"/>
      <c r="H740" s="18" t="inlineStr">
        <is>
          <t>PROYECTADO</t>
        </is>
      </c>
      <c r="I740" s="4" t="inlineStr">
        <is>
          <t>BBVA VISA · proyectado</t>
        </is>
      </c>
      <c r="J740" s="4" t="inlineStr">
        <is>
          <t>BBVA</t>
        </is>
      </c>
      <c r="K740" s="4" t="inlineStr">
        <is>
          <t>PROYECTADO · C.05/12 · cashflow cuotas BBVA · gasto personal Sol</t>
        </is>
      </c>
      <c r="L740" s="4" t="n">
        <v>573</v>
      </c>
    </row>
    <row r="741">
      <c r="A741" s="15" t="n">
        <v>46293</v>
      </c>
      <c r="B741" s="4" t="inlineStr">
        <is>
          <t>2026-09</t>
        </is>
      </c>
      <c r="C741" s="4" t="inlineStr">
        <is>
          <t>Septiembre</t>
        </is>
      </c>
      <c r="D741" s="4" t="inlineStr">
        <is>
          <t>ROPA</t>
        </is>
      </c>
      <c r="E741" s="4" t="inlineStr">
        <is>
          <t>ROPA</t>
        </is>
      </c>
      <c r="F741" s="5" t="n">
        <v>69750</v>
      </c>
      <c r="G741" s="16" t="n"/>
      <c r="H741" s="18" t="inlineStr">
        <is>
          <t>PROYECTADO</t>
        </is>
      </c>
      <c r="I741" s="4" t="inlineStr">
        <is>
          <t>BBVA VISA · proyectado</t>
        </is>
      </c>
      <c r="J741" s="4" t="inlineStr">
        <is>
          <t>BBVA</t>
        </is>
      </c>
      <c r="K741" s="4" t="inlineStr">
        <is>
          <t>PROYECTADO · C.05/12 · cashflow cuotas BBVA · gasto personal Sol</t>
        </is>
      </c>
      <c r="L741" s="4" t="n">
        <v>574</v>
      </c>
    </row>
    <row r="742">
      <c r="A742" s="15" t="n">
        <v>46293</v>
      </c>
      <c r="B742" s="4" t="inlineStr">
        <is>
          <t>2026-09</t>
        </is>
      </c>
      <c r="C742" s="4" t="inlineStr">
        <is>
          <t>Septiembre</t>
        </is>
      </c>
      <c r="D742" s="4" t="inlineStr">
        <is>
          <t>SALUD</t>
        </is>
      </c>
      <c r="E742" s="4" t="inlineStr">
        <is>
          <t>SALUD</t>
        </is>
      </c>
      <c r="F742" s="5" t="n">
        <v>54033</v>
      </c>
      <c r="G742" s="16" t="n"/>
      <c r="H742" s="18" t="inlineStr">
        <is>
          <t>PROYECTADO</t>
        </is>
      </c>
      <c r="I742" s="4" t="inlineStr">
        <is>
          <t>BBVA MASTERCARD · proyectado</t>
        </is>
      </c>
      <c r="J742" s="4" t="inlineStr">
        <is>
          <t>BBVA</t>
        </is>
      </c>
      <c r="K742" s="4" t="inlineStr">
        <is>
          <t>SALUD · Laboratorio · PROYECTADO · C.06/06 · cashflow cuotas BBVA · gasto personal Sol</t>
        </is>
      </c>
      <c r="L742" s="4" t="n">
        <v>561</v>
      </c>
    </row>
    <row r="743">
      <c r="A743" s="15" t="n">
        <v>46293</v>
      </c>
      <c r="B743" s="4" t="inlineStr">
        <is>
          <t>2026-09</t>
        </is>
      </c>
      <c r="C743" s="4" t="inlineStr">
        <is>
          <t>Septiembre</t>
        </is>
      </c>
      <c r="D743" s="4" t="inlineStr">
        <is>
          <t>SALUD · Vitaminas</t>
        </is>
      </c>
      <c r="E743" s="4" t="inlineStr">
        <is>
          <t>SALUD · Vitaminas</t>
        </is>
      </c>
      <c r="F743" s="5" t="n">
        <v>87900</v>
      </c>
      <c r="G743" s="16" t="n"/>
      <c r="H743" s="18" t="inlineStr">
        <is>
          <t>PROYECTADO</t>
        </is>
      </c>
      <c r="I743" s="4" t="inlineStr">
        <is>
          <t>BBVA VISA · proyectado</t>
        </is>
      </c>
      <c r="J743" s="4" t="inlineStr">
        <is>
          <t>BBVA</t>
        </is>
      </c>
      <c r="K743" s="4" t="inlineStr">
        <is>
          <t>PROYECTADO · SALUD · Vitaminas · Promarine · BBVA · C.06/06 · gasto personal Sol</t>
        </is>
      </c>
      <c r="L743" s="4" t="n">
        <v>569</v>
      </c>
    </row>
    <row r="744">
      <c r="A744" s="15" t="n">
        <v>46293</v>
      </c>
      <c r="B744" s="4" t="inlineStr">
        <is>
          <t>2026-09</t>
        </is>
      </c>
      <c r="C744" s="4" t="inlineStr">
        <is>
          <t>Septiembre</t>
        </is>
      </c>
      <c r="D744" s="4" t="inlineStr">
        <is>
          <t>ROPA</t>
        </is>
      </c>
      <c r="E744" s="4" t="inlineStr">
        <is>
          <t>VESTIMENTA</t>
        </is>
      </c>
      <c r="F744" s="5" t="n">
        <v>98334</v>
      </c>
      <c r="G744" s="16" t="n"/>
      <c r="H744" s="18" t="inlineStr">
        <is>
          <t>PROYECTADO</t>
        </is>
      </c>
      <c r="I744" s="4" t="inlineStr">
        <is>
          <t>BBVA VISA · proyectado</t>
        </is>
      </c>
      <c r="J744" s="4" t="inlineStr">
        <is>
          <t>BBVA</t>
        </is>
      </c>
      <c r="K744" s="4" t="inlineStr">
        <is>
          <t>ROPA · Bokenvoreno · PROYECTADO · C.05/06 · cashflow cuotas BBVA · gasto personal Sol</t>
        </is>
      </c>
      <c r="L744" s="4" t="n">
        <v>558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EVENTOS DEPORTIVOS - RIVER</t>
        </is>
      </c>
      <c r="E745" s="4" t="inlineStr">
        <is>
          <t>Eventos deportivos - River</t>
        </is>
      </c>
      <c r="F745" s="5" t="n">
        <v>169667</v>
      </c>
      <c r="G745" s="16" t="n"/>
      <c r="H745" s="18" t="inlineStr">
        <is>
          <t>PROYECTADO</t>
        </is>
      </c>
      <c r="I745" s="4" t="inlineStr">
        <is>
          <t>BBVA VISA · proyectado</t>
        </is>
      </c>
      <c r="J745" s="4" t="inlineStr">
        <is>
          <t>BBVA</t>
        </is>
      </c>
      <c r="K745" s="4" t="inlineStr">
        <is>
          <t>PROYECTADO · C.04/06 · cashflow cuotas BBVA · gasto personal Sol · Eventos deportivos - River</t>
        </is>
      </c>
      <c r="L745" s="4" t="n">
        <v>585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MERCADO LIBRE</t>
        </is>
      </c>
      <c r="E746" s="4" t="inlineStr">
        <is>
          <t>MERCADO LIBRE</t>
        </is>
      </c>
      <c r="F746" s="5" t="n">
        <v>12084</v>
      </c>
      <c r="G746" s="16" t="n"/>
      <c r="H746" s="18" t="inlineStr">
        <is>
          <t>PROYECTADO</t>
        </is>
      </c>
      <c r="I746" s="4" t="inlineStr">
        <is>
          <t>BBVA VISA · proyectado</t>
        </is>
      </c>
      <c r="J746" s="4" t="inlineStr">
        <is>
          <t>BBVA</t>
        </is>
      </c>
      <c r="K746" s="4" t="inlineStr">
        <is>
          <t>PROYECTADO · C.04/06 · cashflow cuotas BBVA · gasto personal Sol · ex `Mercado Libre · MERCADOLIBRE`</t>
        </is>
      </c>
      <c r="L746" s="4" t="n">
        <v>578</v>
      </c>
    </row>
    <row r="747">
      <c r="A747" s="15" t="n">
        <v>46323</v>
      </c>
      <c r="B747" s="4" t="inlineStr">
        <is>
          <t>2026-10</t>
        </is>
      </c>
      <c r="C747" s="4" t="inlineStr">
        <is>
          <t>Octubre</t>
        </is>
      </c>
      <c r="D747" s="4" t="inlineStr">
        <is>
          <t>MERCADO LIBRE</t>
        </is>
      </c>
      <c r="E747" s="4" t="inlineStr">
        <is>
          <t>MERCADO LIBRE</t>
        </is>
      </c>
      <c r="F747" s="5" t="n">
        <v>275000</v>
      </c>
      <c r="G747" s="16" t="n"/>
      <c r="H747" s="18" t="inlineStr">
        <is>
          <t>PROYECTADO</t>
        </is>
      </c>
      <c r="I747" s="4" t="inlineStr">
        <is>
          <t>BBVA MASTERCARD · proyectado</t>
        </is>
      </c>
      <c r="J747" s="4" t="inlineStr">
        <is>
          <t>BBVA</t>
        </is>
      </c>
      <c r="K747" s="4" t="inlineStr">
        <is>
          <t>PROYECTADO · C.08/12 · cashflow cuotas BBVA · gasto personal Sol · ex `Mercado Libre · MERCADOLIBRE`</t>
        </is>
      </c>
      <c r="L747" s="4" t="n">
        <v>579</v>
      </c>
    </row>
    <row r="748">
      <c r="A748" s="15" t="n">
        <v>46323</v>
      </c>
      <c r="B748" s="4" t="inlineStr">
        <is>
          <t>2026-10</t>
        </is>
      </c>
      <c r="C748" s="4" t="inlineStr">
        <is>
          <t>Octubre</t>
        </is>
      </c>
      <c r="D748" s="4" t="inlineStr">
        <is>
          <t>MERCADO LIBRE</t>
        </is>
      </c>
      <c r="E748" s="4" t="inlineStr">
        <is>
          <t>MERCADO LIBRE</t>
        </is>
      </c>
      <c r="F748" s="5" t="n">
        <v>17360</v>
      </c>
      <c r="G748" s="16" t="n"/>
      <c r="H748" s="18" t="inlineStr">
        <is>
          <t>PROYECTADO</t>
        </is>
      </c>
      <c r="I748" s="4" t="inlineStr">
        <is>
          <t>BBVA MASTERCARD · proyectado</t>
        </is>
      </c>
      <c r="J748" s="4" t="inlineStr">
        <is>
          <t>BBVA</t>
        </is>
      </c>
      <c r="K748" s="4" t="inlineStr">
        <is>
          <t>PROYECTADO · C.09/09 · cashflow cuotas BBVA · gasto personal Sol · ex `Mercado Libre · MERCADOLIBRE`</t>
        </is>
      </c>
      <c r="L748" s="4" t="n">
        <v>580</v>
      </c>
    </row>
    <row r="749">
      <c r="A749" s="15" t="n">
        <v>46323</v>
      </c>
      <c r="B749" s="4" t="inlineStr">
        <is>
          <t>2026-10</t>
        </is>
      </c>
      <c r="C749" s="4" t="inlineStr">
        <is>
          <t>Octubre</t>
        </is>
      </c>
      <c r="D749" s="4" t="inlineStr">
        <is>
          <t>MERCADO LIBRE</t>
        </is>
      </c>
      <c r="E749" s="4" t="inlineStr">
        <is>
          <t>MERCADO LIBRE</t>
        </is>
      </c>
      <c r="F749" s="5" t="n">
        <v>16950</v>
      </c>
      <c r="G749" s="16" t="n"/>
      <c r="H749" s="18" t="inlineStr">
        <is>
          <t>PROYECTADO</t>
        </is>
      </c>
      <c r="I749" s="4" t="inlineStr">
        <is>
          <t>BBVA MASTERCARD · proyectado</t>
        </is>
      </c>
      <c r="J749" s="4" t="inlineStr">
        <is>
          <t>BBVA</t>
        </is>
      </c>
      <c r="K749" s="4" t="inlineStr">
        <is>
          <t>PROYECTADO · C.09/09 · cashflow cuotas BBVA · gasto personal Sol · ex `Mercado Libre · MERCADOLIBRE`</t>
        </is>
      </c>
      <c r="L749" s="4" t="n">
        <v>581</v>
      </c>
    </row>
    <row r="750">
      <c r="A750" s="15" t="n">
        <v>46323</v>
      </c>
      <c r="B750" s="4" t="inlineStr">
        <is>
          <t>2026-10</t>
        </is>
      </c>
      <c r="C750" s="4" t="inlineStr">
        <is>
          <t>Octubre</t>
        </is>
      </c>
      <c r="D750" s="4" t="inlineStr">
        <is>
          <t>ROPA</t>
        </is>
      </c>
      <c r="E750" s="4" t="inlineStr">
        <is>
          <t>ROPA</t>
        </is>
      </c>
      <c r="F750" s="5" t="n">
        <v>124667</v>
      </c>
      <c r="G750" s="16" t="n"/>
      <c r="H750" s="18" t="inlineStr">
        <is>
          <t>PROYECTADO</t>
        </is>
      </c>
      <c r="I750" s="4" t="inlineStr">
        <is>
          <t>BBVA VISA · proyectado</t>
        </is>
      </c>
      <c r="J750" s="4" t="inlineStr">
        <is>
          <t>BBVA</t>
        </is>
      </c>
      <c r="K750" s="4" t="inlineStr">
        <is>
          <t>PROYECTADO · C.06/06 · cashflow cuotas BBVA · gasto personal Sol</t>
        </is>
      </c>
      <c r="L750" s="4" t="n">
        <v>575</v>
      </c>
    </row>
    <row r="751">
      <c r="A751" s="15" t="n">
        <v>46323</v>
      </c>
      <c r="B751" s="4" t="inlineStr">
        <is>
          <t>2026-10</t>
        </is>
      </c>
      <c r="C751" s="4" t="inlineStr">
        <is>
          <t>Octubre</t>
        </is>
      </c>
      <c r="D751" s="4" t="inlineStr">
        <is>
          <t>ROPA</t>
        </is>
      </c>
      <c r="E751" s="4" t="inlineStr">
        <is>
          <t>ROPA</t>
        </is>
      </c>
      <c r="F751" s="5" t="n">
        <v>80834</v>
      </c>
      <c r="G751" s="16" t="n"/>
      <c r="H751" s="18" t="inlineStr">
        <is>
          <t>PROYECTADO</t>
        </is>
      </c>
      <c r="I751" s="4" t="inlineStr">
        <is>
          <t>BBVA MASTERCARD · proyectado</t>
        </is>
      </c>
      <c r="J751" s="4" t="inlineStr">
        <is>
          <t>BBVA</t>
        </is>
      </c>
      <c r="K751" s="4" t="inlineStr">
        <is>
          <t>PROYECTADO · C.06/06 · cashflow cuotas BBVA · gasto personal Sol</t>
        </is>
      </c>
      <c r="L751" s="4" t="n">
        <v>577</v>
      </c>
    </row>
    <row r="752">
      <c r="A752" s="15" t="n">
        <v>46323</v>
      </c>
      <c r="B752" s="4" t="inlineStr">
        <is>
          <t>2026-10</t>
        </is>
      </c>
      <c r="C752" s="4" t="inlineStr">
        <is>
          <t>Octubre</t>
        </is>
      </c>
      <c r="D752" s="4" t="inlineStr">
        <is>
          <t>ROPA</t>
        </is>
      </c>
      <c r="E752" s="4" t="inlineStr">
        <is>
          <t>ROPA</t>
        </is>
      </c>
      <c r="F752" s="5" t="n">
        <v>284794</v>
      </c>
      <c r="G752" s="16" t="n"/>
      <c r="H752" s="18" t="inlineStr">
        <is>
          <t>PROYECTADO</t>
        </is>
      </c>
      <c r="I752" s="4" t="inlineStr">
        <is>
          <t>BBVA VISA · proyectado</t>
        </is>
      </c>
      <c r="J752" s="4" t="inlineStr">
        <is>
          <t>BBVA</t>
        </is>
      </c>
      <c r="K752" s="4" t="inlineStr">
        <is>
          <t>PROYECTADO · C.04/06 · cashflow cuotas BBVA · gasto personal Sol</t>
        </is>
      </c>
      <c r="L752" s="4" t="n">
        <v>582</v>
      </c>
    </row>
    <row r="753">
      <c r="A753" s="15" t="n">
        <v>46323</v>
      </c>
      <c r="B753" s="4" t="inlineStr">
        <is>
          <t>2026-10</t>
        </is>
      </c>
      <c r="C753" s="4" t="inlineStr">
        <is>
          <t>Octubre</t>
        </is>
      </c>
      <c r="D753" s="4" t="inlineStr">
        <is>
          <t>ROPA</t>
        </is>
      </c>
      <c r="E753" s="4" t="inlineStr">
        <is>
          <t>ROPA</t>
        </is>
      </c>
      <c r="F753" s="5" t="n">
        <v>73600</v>
      </c>
      <c r="G753" s="16" t="n"/>
      <c r="H753" s="18" t="inlineStr">
        <is>
          <t>PROYECTADO</t>
        </is>
      </c>
      <c r="I753" s="4" t="inlineStr">
        <is>
          <t>BBVA MASTERCARD · proyectado</t>
        </is>
      </c>
      <c r="J753" s="4" t="inlineStr">
        <is>
          <t>BBVA</t>
        </is>
      </c>
      <c r="K753" s="4" t="inlineStr">
        <is>
          <t>PROYECTADO · C.04/06 · cashflow cuotas BBVA · gasto personal Sol</t>
        </is>
      </c>
      <c r="L753" s="4" t="n">
        <v>583</v>
      </c>
    </row>
    <row r="754">
      <c r="A754" s="15" t="n">
        <v>46323</v>
      </c>
      <c r="B754" s="4" t="inlineStr">
        <is>
          <t>2026-10</t>
        </is>
      </c>
      <c r="C754" s="4" t="inlineStr">
        <is>
          <t>Octubre</t>
        </is>
      </c>
      <c r="D754" s="4" t="inlineStr">
        <is>
          <t>ROPA</t>
        </is>
      </c>
      <c r="E754" s="4" t="inlineStr">
        <is>
          <t>ROPA</t>
        </is>
      </c>
      <c r="F754" s="5" t="n">
        <v>36667</v>
      </c>
      <c r="G754" s="16" t="n"/>
      <c r="H754" s="18" t="inlineStr">
        <is>
          <t>PROYECTADO</t>
        </is>
      </c>
      <c r="I754" s="4" t="inlineStr">
        <is>
          <t>BBVA MASTERCARD · proyectado</t>
        </is>
      </c>
      <c r="J754" s="4" t="inlineStr">
        <is>
          <t>BBVA</t>
        </is>
      </c>
      <c r="K754" s="4" t="inlineStr">
        <is>
          <t>PROYECTADO · C.06/06 · cashflow cuotas BBVA · gasto personal Sol</t>
        </is>
      </c>
      <c r="L754" s="4" t="n">
        <v>584</v>
      </c>
    </row>
    <row r="755">
      <c r="A755" s="15" t="n">
        <v>46323</v>
      </c>
      <c r="B755" s="4" t="inlineStr">
        <is>
          <t>2026-10</t>
        </is>
      </c>
      <c r="C755" s="4" t="inlineStr">
        <is>
          <t>Octubre</t>
        </is>
      </c>
      <c r="D755" s="4" t="inlineStr">
        <is>
          <t>ROPA</t>
        </is>
      </c>
      <c r="E755" s="4" t="inlineStr">
        <is>
          <t>ROPA</t>
        </is>
      </c>
      <c r="F755" s="5" t="n">
        <v>60917</v>
      </c>
      <c r="G755" s="16" t="n"/>
      <c r="H755" s="18" t="inlineStr">
        <is>
          <t>PROYECTADO</t>
        </is>
      </c>
      <c r="I755" s="4" t="inlineStr">
        <is>
          <t>BBVA VISA · proyectado</t>
        </is>
      </c>
      <c r="J755" s="4" t="inlineStr">
        <is>
          <t>BBVA</t>
        </is>
      </c>
      <c r="K755" s="4" t="inlineStr">
        <is>
          <t>PROYECTADO · C.06/12 · cashflow cuotas BBVA · gasto personal Sol</t>
        </is>
      </c>
      <c r="L755" s="4" t="n">
        <v>586</v>
      </c>
    </row>
    <row r="756">
      <c r="A756" s="15" t="n">
        <v>46323</v>
      </c>
      <c r="B756" s="4" t="inlineStr">
        <is>
          <t>2026-10</t>
        </is>
      </c>
      <c r="C756" s="4" t="inlineStr">
        <is>
          <t>Octubre</t>
        </is>
      </c>
      <c r="D756" s="4" t="inlineStr">
        <is>
          <t>ROPA</t>
        </is>
      </c>
      <c r="E756" s="4" t="inlineStr">
        <is>
          <t>ROPA</t>
        </is>
      </c>
      <c r="F756" s="5" t="n">
        <v>69750</v>
      </c>
      <c r="G756" s="16" t="n"/>
      <c r="H756" s="18" t="inlineStr">
        <is>
          <t>PROYECTADO</t>
        </is>
      </c>
      <c r="I756" s="4" t="inlineStr">
        <is>
          <t>BBVA VISA · proyectado</t>
        </is>
      </c>
      <c r="J756" s="4" t="inlineStr">
        <is>
          <t>BBVA</t>
        </is>
      </c>
      <c r="K756" s="4" t="inlineStr">
        <is>
          <t>PROYECTADO · C.06/12 · cashflow cuotas BBVA · gasto personal Sol</t>
        </is>
      </c>
      <c r="L756" s="4" t="n">
        <v>587</v>
      </c>
    </row>
    <row r="757">
      <c r="A757" s="15" t="n">
        <v>46323</v>
      </c>
      <c r="B757" s="4" t="inlineStr">
        <is>
          <t>2026-10</t>
        </is>
      </c>
      <c r="C757" s="4" t="inlineStr">
        <is>
          <t>Octubre</t>
        </is>
      </c>
      <c r="D757" s="4" t="inlineStr">
        <is>
          <t>ROPA</t>
        </is>
      </c>
      <c r="E757" s="4" t="inlineStr">
        <is>
          <t>VESTIMENTA</t>
        </is>
      </c>
      <c r="F757" s="5" t="n">
        <v>98334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ROPA · Bokenvoreno · PROYECTADO · C.06/06 · cashflow cuotas BBVA · gasto personal Sol</t>
        </is>
      </c>
      <c r="L757" s="4" t="n">
        <v>576</v>
      </c>
    </row>
    <row r="758">
      <c r="A758" s="15" t="n">
        <v>46354</v>
      </c>
      <c r="B758" s="4" t="inlineStr">
        <is>
          <t>2026-11</t>
        </is>
      </c>
      <c r="C758" s="4" t="inlineStr">
        <is>
          <t>Noviembre</t>
        </is>
      </c>
      <c r="D758" s="4" t="inlineStr">
        <is>
          <t>EVENTOS DEPORTIVOS - RIVER</t>
        </is>
      </c>
      <c r="E758" s="4" t="inlineStr">
        <is>
          <t>Eventos deportivos - River</t>
        </is>
      </c>
      <c r="F758" s="5" t="n">
        <v>169667</v>
      </c>
      <c r="G758" s="16" t="n"/>
      <c r="H758" s="18" t="inlineStr">
        <is>
          <t>PROYECTADO</t>
        </is>
      </c>
      <c r="I758" s="4" t="inlineStr">
        <is>
          <t>BBVA VISA · proyectado</t>
        </is>
      </c>
      <c r="J758" s="4" t="inlineStr">
        <is>
          <t>BBVA</t>
        </is>
      </c>
      <c r="K758" s="4" t="inlineStr">
        <is>
          <t>PROYECTADO · C.05/06 · cashflow cuotas BBVA · gasto personal Sol · Eventos deportivos - River</t>
        </is>
      </c>
      <c r="L758" s="4" t="n">
        <v>592</v>
      </c>
    </row>
    <row r="759">
      <c r="A759" s="15" t="n">
        <v>46354</v>
      </c>
      <c r="B759" s="4" t="inlineStr">
        <is>
          <t>2026-11</t>
        </is>
      </c>
      <c r="C759" s="4" t="inlineStr">
        <is>
          <t>Noviembre</t>
        </is>
      </c>
      <c r="D759" s="4" t="inlineStr">
        <is>
          <t>MERCADO LIBRE</t>
        </is>
      </c>
      <c r="E759" s="4" t="inlineStr">
        <is>
          <t>MERCADO LIBRE</t>
        </is>
      </c>
      <c r="F759" s="5" t="n">
        <v>12084</v>
      </c>
      <c r="G759" s="16" t="n"/>
      <c r="H759" s="18" t="inlineStr">
        <is>
          <t>PROYECTADO</t>
        </is>
      </c>
      <c r="I759" s="4" t="inlineStr">
        <is>
          <t>BBVA VISA · proyectado</t>
        </is>
      </c>
      <c r="J759" s="4" t="inlineStr">
        <is>
          <t>BBVA</t>
        </is>
      </c>
      <c r="K759" s="4" t="inlineStr">
        <is>
          <t>PROYECTADO · C.05/06 · cashflow cuotas BBVA · gasto personal Sol · ex `Mercado Libre · MERCADOLIBRE`</t>
        </is>
      </c>
      <c r="L759" s="4" t="n">
        <v>588</v>
      </c>
    </row>
    <row r="760">
      <c r="A760" s="15" t="n">
        <v>46354</v>
      </c>
      <c r="B760" s="4" t="inlineStr">
        <is>
          <t>2026-11</t>
        </is>
      </c>
      <c r="C760" s="4" t="inlineStr">
        <is>
          <t>Noviembre</t>
        </is>
      </c>
      <c r="D760" s="4" t="inlineStr">
        <is>
          <t>MERCADO LIBRE</t>
        </is>
      </c>
      <c r="E760" s="4" t="inlineStr">
        <is>
          <t>MERCADO LIBRE</t>
        </is>
      </c>
      <c r="F760" s="5" t="n">
        <v>275000</v>
      </c>
      <c r="G760" s="16" t="n"/>
      <c r="H760" s="18" t="inlineStr">
        <is>
          <t>PROYECTADO</t>
        </is>
      </c>
      <c r="I760" s="4" t="inlineStr">
        <is>
          <t>BBVA MASTERCARD · proyectado</t>
        </is>
      </c>
      <c r="J760" s="4" t="inlineStr">
        <is>
          <t>BBVA</t>
        </is>
      </c>
      <c r="K760" s="4" t="inlineStr">
        <is>
          <t>PROYECTADO · C.09/12 · cashflow cuotas BBVA · gasto personal Sol · ex `Mercado Libre · MERCADOLIBRE`</t>
        </is>
      </c>
      <c r="L760" s="4" t="n">
        <v>589</v>
      </c>
    </row>
    <row r="761">
      <c r="A761" s="15" t="n">
        <v>46354</v>
      </c>
      <c r="B761" s="4" t="inlineStr">
        <is>
          <t>2026-11</t>
        </is>
      </c>
      <c r="C761" s="4" t="inlineStr">
        <is>
          <t>Noviembre</t>
        </is>
      </c>
      <c r="D761" s="4" t="inlineStr">
        <is>
          <t>ROPA</t>
        </is>
      </c>
      <c r="E761" s="4" t="inlineStr">
        <is>
          <t>ROPA</t>
        </is>
      </c>
      <c r="F761" s="5" t="n">
        <v>284794</v>
      </c>
      <c r="G761" s="16" t="n"/>
      <c r="H761" s="18" t="inlineStr">
        <is>
          <t>PROYECTADO</t>
        </is>
      </c>
      <c r="I761" s="4" t="inlineStr">
        <is>
          <t>BBVA VISA · proyectado</t>
        </is>
      </c>
      <c r="J761" s="4" t="inlineStr">
        <is>
          <t>BBVA</t>
        </is>
      </c>
      <c r="K761" s="4" t="inlineStr">
        <is>
          <t>PROYECTADO · C.05/06 · cashflow cuotas BBVA · gasto personal Sol</t>
        </is>
      </c>
      <c r="L761" s="4" t="n">
        <v>590</v>
      </c>
    </row>
    <row r="762">
      <c r="A762" s="15" t="n">
        <v>46354</v>
      </c>
      <c r="B762" s="4" t="inlineStr">
        <is>
          <t>2026-11</t>
        </is>
      </c>
      <c r="C762" s="4" t="inlineStr">
        <is>
          <t>Noviembre</t>
        </is>
      </c>
      <c r="D762" s="4" t="inlineStr">
        <is>
          <t>ROPA</t>
        </is>
      </c>
      <c r="E762" s="4" t="inlineStr">
        <is>
          <t>ROPA</t>
        </is>
      </c>
      <c r="F762" s="5" t="n">
        <v>73600</v>
      </c>
      <c r="G762" s="16" t="n"/>
      <c r="H762" s="18" t="inlineStr">
        <is>
          <t>PROYECTADO</t>
        </is>
      </c>
      <c r="I762" s="4" t="inlineStr">
        <is>
          <t>BBVA MASTERCARD · proyectado</t>
        </is>
      </c>
      <c r="J762" s="4" t="inlineStr">
        <is>
          <t>BBVA</t>
        </is>
      </c>
      <c r="K762" s="4" t="inlineStr">
        <is>
          <t>PROYECTADO · C.05/06 · cashflow cuotas BBVA · gasto personal Sol</t>
        </is>
      </c>
      <c r="L762" s="4" t="n">
        <v>591</v>
      </c>
    </row>
    <row r="763">
      <c r="A763" s="15" t="n">
        <v>46354</v>
      </c>
      <c r="B763" s="4" t="inlineStr">
        <is>
          <t>2026-11</t>
        </is>
      </c>
      <c r="C763" s="4" t="inlineStr">
        <is>
          <t>Noviembre</t>
        </is>
      </c>
      <c r="D763" s="4" t="inlineStr">
        <is>
          <t>ROPA</t>
        </is>
      </c>
      <c r="E763" s="4" t="inlineStr">
        <is>
          <t>ROPA</t>
        </is>
      </c>
      <c r="F763" s="5" t="n">
        <v>60917</v>
      </c>
      <c r="G763" s="16" t="n"/>
      <c r="H763" s="18" t="inlineStr">
        <is>
          <t>PROYECTADO</t>
        </is>
      </c>
      <c r="I763" s="4" t="inlineStr">
        <is>
          <t>BBVA VISA · proyectado</t>
        </is>
      </c>
      <c r="J763" s="4" t="inlineStr">
        <is>
          <t>BBVA</t>
        </is>
      </c>
      <c r="K763" s="4" t="inlineStr">
        <is>
          <t>PROYECTADO · C.07/12 · cashflow cuotas BBVA · gasto personal Sol</t>
        </is>
      </c>
      <c r="L763" s="4" t="n">
        <v>593</v>
      </c>
    </row>
    <row r="764">
      <c r="A764" s="15" t="n">
        <v>46354</v>
      </c>
      <c r="B764" s="4" t="inlineStr">
        <is>
          <t>2026-11</t>
        </is>
      </c>
      <c r="C764" s="4" t="inlineStr">
        <is>
          <t>Noviembre</t>
        </is>
      </c>
      <c r="D764" s="4" t="inlineStr">
        <is>
          <t>ROPA</t>
        </is>
      </c>
      <c r="E764" s="4" t="inlineStr">
        <is>
          <t>ROPA</t>
        </is>
      </c>
      <c r="F764" s="5" t="n">
        <v>69750</v>
      </c>
      <c r="G764" s="16" t="n"/>
      <c r="H764" s="18" t="inlineStr">
        <is>
          <t>PROYECTADO</t>
        </is>
      </c>
      <c r="I764" s="4" t="inlineStr">
        <is>
          <t>BBVA VISA · proyectado</t>
        </is>
      </c>
      <c r="J764" s="4" t="inlineStr">
        <is>
          <t>BBVA</t>
        </is>
      </c>
      <c r="K764" s="4" t="inlineStr">
        <is>
          <t>PROYECTADO · C.07/12 · cashflow cuotas BBVA · gasto personal Sol</t>
        </is>
      </c>
      <c r="L764" s="4" t="n">
        <v>594</v>
      </c>
    </row>
    <row r="765">
      <c r="A765" s="15" t="n">
        <v>46384</v>
      </c>
      <c r="B765" s="4" t="inlineStr">
        <is>
          <t>2026-12</t>
        </is>
      </c>
      <c r="C765" s="4" t="inlineStr">
        <is>
          <t>Diciembre</t>
        </is>
      </c>
      <c r="D765" s="4" t="inlineStr">
        <is>
          <t>EVENTOS DEPORTIVOS - RIVER</t>
        </is>
      </c>
      <c r="E765" s="4" t="inlineStr">
        <is>
          <t>Eventos deportivos - River</t>
        </is>
      </c>
      <c r="F765" s="5" t="n">
        <v>169667</v>
      </c>
      <c r="G765" s="16" t="n"/>
      <c r="H765" s="18" t="inlineStr">
        <is>
          <t>PROYECTADO</t>
        </is>
      </c>
      <c r="I765" s="4" t="inlineStr">
        <is>
          <t>BBVA VISA · proyectado</t>
        </is>
      </c>
      <c r="J765" s="4" t="inlineStr">
        <is>
          <t>BBVA</t>
        </is>
      </c>
      <c r="K765" s="4" t="inlineStr">
        <is>
          <t>PROYECTADO · C.06/06 · cashflow cuotas BBVA · gasto personal Sol · Eventos deportivos - River</t>
        </is>
      </c>
      <c r="L765" s="4" t="n">
        <v>599</v>
      </c>
    </row>
    <row r="766">
      <c r="A766" s="15" t="n">
        <v>46384</v>
      </c>
      <c r="B766" s="4" t="inlineStr">
        <is>
          <t>2026-12</t>
        </is>
      </c>
      <c r="C766" s="4" t="inlineStr">
        <is>
          <t>Diciembre</t>
        </is>
      </c>
      <c r="D766" s="4" t="inlineStr">
        <is>
          <t>MERCADO LIBRE</t>
        </is>
      </c>
      <c r="E766" s="4" t="inlineStr">
        <is>
          <t>MERCADO LIBRE</t>
        </is>
      </c>
      <c r="F766" s="5" t="n">
        <v>12084</v>
      </c>
      <c r="G766" s="16" t="n"/>
      <c r="H766" s="18" t="inlineStr">
        <is>
          <t>PROYECTADO</t>
        </is>
      </c>
      <c r="I766" s="4" t="inlineStr">
        <is>
          <t>BBVA VISA · proyectado</t>
        </is>
      </c>
      <c r="J766" s="4" t="inlineStr">
        <is>
          <t>BBVA</t>
        </is>
      </c>
      <c r="K766" s="4" t="inlineStr">
        <is>
          <t>PROYECTADO · C.06/06 · cashflow cuotas BBVA · gasto personal Sol · ex `Mercado Libre · MERCADOLIBRE`</t>
        </is>
      </c>
      <c r="L766" s="4" t="n">
        <v>595</v>
      </c>
    </row>
    <row r="767">
      <c r="A767" s="15" t="n">
        <v>46384</v>
      </c>
      <c r="B767" s="4" t="inlineStr">
        <is>
          <t>2026-12</t>
        </is>
      </c>
      <c r="C767" s="4" t="inlineStr">
        <is>
          <t>Diciembre</t>
        </is>
      </c>
      <c r="D767" s="4" t="inlineStr">
        <is>
          <t>MERCADO LIBRE</t>
        </is>
      </c>
      <c r="E767" s="4" t="inlineStr">
        <is>
          <t>MERCADO LIBRE</t>
        </is>
      </c>
      <c r="F767" s="5" t="n">
        <v>275000</v>
      </c>
      <c r="G767" s="16" t="n"/>
      <c r="H767" s="18" t="inlineStr">
        <is>
          <t>PROYECTADO</t>
        </is>
      </c>
      <c r="I767" s="4" t="inlineStr">
        <is>
          <t>BBVA MASTERCARD · proyectado</t>
        </is>
      </c>
      <c r="J767" s="4" t="inlineStr">
        <is>
          <t>BBVA</t>
        </is>
      </c>
      <c r="K767" s="4" t="inlineStr">
        <is>
          <t>PROYECTADO · C.10/12 · cashflow cuotas BBVA · gasto personal Sol · ex `Mercado Libre · MERCADOLIBRE`</t>
        </is>
      </c>
      <c r="L767" s="4" t="n">
        <v>596</v>
      </c>
    </row>
    <row r="768">
      <c r="A768" s="15" t="n">
        <v>46384</v>
      </c>
      <c r="B768" s="4" t="inlineStr">
        <is>
          <t>2026-12</t>
        </is>
      </c>
      <c r="C768" s="4" t="inlineStr">
        <is>
          <t>Diciembre</t>
        </is>
      </c>
      <c r="D768" s="4" t="inlineStr">
        <is>
          <t>ROPA</t>
        </is>
      </c>
      <c r="E768" s="4" t="inlineStr">
        <is>
          <t>ROPA</t>
        </is>
      </c>
      <c r="F768" s="5" t="n">
        <v>284794</v>
      </c>
      <c r="G768" s="16" t="n"/>
      <c r="H768" s="18" t="inlineStr">
        <is>
          <t>PROYECTADO</t>
        </is>
      </c>
      <c r="I768" s="4" t="inlineStr">
        <is>
          <t>BBVA VISA · proyectado</t>
        </is>
      </c>
      <c r="J768" s="4" t="inlineStr">
        <is>
          <t>BBVA</t>
        </is>
      </c>
      <c r="K768" s="4" t="inlineStr">
        <is>
          <t>PROYECTADO · C.06/06 · cashflow cuotas BBVA · gasto personal Sol</t>
        </is>
      </c>
      <c r="L768" s="4" t="n">
        <v>597</v>
      </c>
    </row>
    <row r="769">
      <c r="A769" s="15" t="n">
        <v>46384</v>
      </c>
      <c r="B769" s="4" t="inlineStr">
        <is>
          <t>2026-12</t>
        </is>
      </c>
      <c r="C769" s="4" t="inlineStr">
        <is>
          <t>Diciembre</t>
        </is>
      </c>
      <c r="D769" s="4" t="inlineStr">
        <is>
          <t>ROPA</t>
        </is>
      </c>
      <c r="E769" s="4" t="inlineStr">
        <is>
          <t>ROPA</t>
        </is>
      </c>
      <c r="F769" s="5" t="n">
        <v>73600</v>
      </c>
      <c r="G769" s="16" t="n"/>
      <c r="H769" s="18" t="inlineStr">
        <is>
          <t>PROYECTADO</t>
        </is>
      </c>
      <c r="I769" s="4" t="inlineStr">
        <is>
          <t>BBVA MASTERCARD · proyectado</t>
        </is>
      </c>
      <c r="J769" s="4" t="inlineStr">
        <is>
          <t>BBVA</t>
        </is>
      </c>
      <c r="K769" s="4" t="inlineStr">
        <is>
          <t>PROYECTADO · C.06/06 · cashflow cuotas BBVA · gasto personal Sol</t>
        </is>
      </c>
      <c r="L769" s="4" t="n">
        <v>598</v>
      </c>
    </row>
    <row r="770">
      <c r="A770" s="15" t="n">
        <v>46384</v>
      </c>
      <c r="B770" s="4" t="inlineStr">
        <is>
          <t>2026-12</t>
        </is>
      </c>
      <c r="C770" s="4" t="inlineStr">
        <is>
          <t>Diciembre</t>
        </is>
      </c>
      <c r="D770" s="4" t="inlineStr">
        <is>
          <t>ROPA</t>
        </is>
      </c>
      <c r="E770" s="4" t="inlineStr">
        <is>
          <t>ROPA</t>
        </is>
      </c>
      <c r="F770" s="5" t="n">
        <v>60917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C.08/12 · cashflow cuotas BBVA · gasto personal Sol</t>
        </is>
      </c>
      <c r="L770" s="4" t="n">
        <v>600</v>
      </c>
    </row>
    <row r="771">
      <c r="A771" s="15" t="n">
        <v>46384</v>
      </c>
      <c r="B771" s="4" t="inlineStr">
        <is>
          <t>2026-12</t>
        </is>
      </c>
      <c r="C771" s="4" t="inlineStr">
        <is>
          <t>Diciembre</t>
        </is>
      </c>
      <c r="D771" s="4" t="inlineStr">
        <is>
          <t>ROPA</t>
        </is>
      </c>
      <c r="E771" s="4" t="inlineStr">
        <is>
          <t>ROPA</t>
        </is>
      </c>
      <c r="F771" s="5" t="n">
        <v>69750</v>
      </c>
      <c r="G771" s="16" t="n"/>
      <c r="H771" s="18" t="inlineStr">
        <is>
          <t>PROYECTADO</t>
        </is>
      </c>
      <c r="I771" s="4" t="inlineStr">
        <is>
          <t>BBVA VISA · proyectado</t>
        </is>
      </c>
      <c r="J771" s="4" t="inlineStr">
        <is>
          <t>BBVA</t>
        </is>
      </c>
      <c r="K771" s="4" t="inlineStr">
        <is>
          <t>PROYECTADO · C.08/12 · cashflow cuotas BBVA · gasto personal Sol</t>
        </is>
      </c>
      <c r="L771" s="4" t="n">
        <v>601</v>
      </c>
    </row>
    <row r="772">
      <c r="A772" s="15" t="n">
        <v>46415</v>
      </c>
      <c r="B772" s="4" t="inlineStr">
        <is>
          <t>2027-01</t>
        </is>
      </c>
      <c r="C772" s="4" t="inlineStr">
        <is>
          <t>Enero 2027</t>
        </is>
      </c>
      <c r="D772" s="4" t="inlineStr">
        <is>
          <t>MERCADO LIBRE</t>
        </is>
      </c>
      <c r="E772" s="4" t="inlineStr">
        <is>
          <t>MERCADO LIBRE</t>
        </is>
      </c>
      <c r="F772" s="5" t="n">
        <v>275000</v>
      </c>
      <c r="G772" s="16" t="n"/>
      <c r="H772" s="18" t="inlineStr">
        <is>
          <t>PROYECTADO</t>
        </is>
      </c>
      <c r="I772" s="4" t="inlineStr">
        <is>
          <t>BBVA MASTERCARD · proyectado</t>
        </is>
      </c>
      <c r="J772" s="4" t="inlineStr">
        <is>
          <t>BBVA</t>
        </is>
      </c>
      <c r="K772" s="4" t="inlineStr">
        <is>
          <t>PROYECTADO · C.11/12 · cashflow cuotas BBVA · gasto personal Sol · ex `Mercado Libre · MERCADOLIBRE`</t>
        </is>
      </c>
      <c r="L772" s="4" t="n">
        <v>602</v>
      </c>
    </row>
    <row r="773">
      <c r="A773" s="15" t="n">
        <v>46415</v>
      </c>
      <c r="B773" s="4" t="inlineStr">
        <is>
          <t>2027-01</t>
        </is>
      </c>
      <c r="C773" s="4" t="inlineStr">
        <is>
          <t>Enero 2027</t>
        </is>
      </c>
      <c r="D773" s="4" t="inlineStr">
        <is>
          <t>ROPA</t>
        </is>
      </c>
      <c r="E773" s="4" t="inlineStr">
        <is>
          <t>ROPA</t>
        </is>
      </c>
      <c r="F773" s="5" t="n">
        <v>60917</v>
      </c>
      <c r="G773" s="16" t="n"/>
      <c r="H773" s="18" t="inlineStr">
        <is>
          <t>PROYECTADO</t>
        </is>
      </c>
      <c r="I773" s="4" t="inlineStr">
        <is>
          <t>BBVA VISA · proyectado</t>
        </is>
      </c>
      <c r="J773" s="4" t="inlineStr">
        <is>
          <t>BBVA</t>
        </is>
      </c>
      <c r="K773" s="4" t="inlineStr">
        <is>
          <t>PROYECTADO · C.09/12 · cashflow cuotas BBVA · gasto personal Sol</t>
        </is>
      </c>
      <c r="L773" s="4" t="n">
        <v>603</v>
      </c>
    </row>
    <row r="774">
      <c r="A774" s="15" t="n">
        <v>46415</v>
      </c>
      <c r="B774" s="4" t="inlineStr">
        <is>
          <t>2027-01</t>
        </is>
      </c>
      <c r="C774" s="4" t="inlineStr">
        <is>
          <t>Enero 2027</t>
        </is>
      </c>
      <c r="D774" s="4" t="inlineStr">
        <is>
          <t>ROPA</t>
        </is>
      </c>
      <c r="E774" s="4" t="inlineStr">
        <is>
          <t>ROPA</t>
        </is>
      </c>
      <c r="F774" s="5" t="n">
        <v>69750</v>
      </c>
      <c r="G774" s="16" t="n"/>
      <c r="H774" s="18" t="inlineStr">
        <is>
          <t>PROYECTADO</t>
        </is>
      </c>
      <c r="I774" s="4" t="inlineStr">
        <is>
          <t>BBVA VISA · proyectado</t>
        </is>
      </c>
      <c r="J774" s="4" t="inlineStr">
        <is>
          <t>BBVA</t>
        </is>
      </c>
      <c r="K774" s="4" t="inlineStr">
        <is>
          <t>PROYECTADO · C.09/12 · cashflow cuotas BBVA · gasto personal Sol</t>
        </is>
      </c>
      <c r="L774" s="4" t="n">
        <v>604</v>
      </c>
    </row>
    <row r="775">
      <c r="A775" s="15" t="n">
        <v>46446</v>
      </c>
      <c r="B775" s="4" t="inlineStr">
        <is>
          <t>2027-02</t>
        </is>
      </c>
      <c r="C775" s="4" t="inlineStr">
        <is>
          <t>Febrero 2027</t>
        </is>
      </c>
      <c r="D775" s="4" t="inlineStr">
        <is>
          <t>MERCADO LIBRE</t>
        </is>
      </c>
      <c r="E775" s="4" t="inlineStr">
        <is>
          <t>MERCADO LIBRE</t>
        </is>
      </c>
      <c r="F775" s="5" t="n">
        <v>275000</v>
      </c>
      <c r="G775" s="16" t="n"/>
      <c r="H775" s="18" t="inlineStr">
        <is>
          <t>PROYECTADO</t>
        </is>
      </c>
      <c r="I775" s="4" t="inlineStr">
        <is>
          <t>BBVA MASTERCARD · proyectado</t>
        </is>
      </c>
      <c r="J775" s="4" t="inlineStr">
        <is>
          <t>BBVA</t>
        </is>
      </c>
      <c r="K775" s="4" t="inlineStr">
        <is>
          <t>PROYECTADO · C.12/12 · cashflow cuotas BBVA · gasto personal Sol · ex `Mercado Libre · MERCADOLIBRE`</t>
        </is>
      </c>
      <c r="L775" s="4" t="n">
        <v>605</v>
      </c>
    </row>
    <row r="776">
      <c r="A776" s="15" t="n">
        <v>46446</v>
      </c>
      <c r="B776" s="4" t="inlineStr">
        <is>
          <t>2027-02</t>
        </is>
      </c>
      <c r="C776" s="4" t="inlineStr">
        <is>
          <t>Febrero 2027</t>
        </is>
      </c>
      <c r="D776" s="4" t="inlineStr">
        <is>
          <t>ROPA</t>
        </is>
      </c>
      <c r="E776" s="4" t="inlineStr">
        <is>
          <t>ROPA</t>
        </is>
      </c>
      <c r="F776" s="5" t="n">
        <v>60917</v>
      </c>
      <c r="G776" s="16" t="n"/>
      <c r="H776" s="18" t="inlineStr">
        <is>
          <t>PROYECTADO</t>
        </is>
      </c>
      <c r="I776" s="4" t="inlineStr">
        <is>
          <t>BBVA VISA · proyectado</t>
        </is>
      </c>
      <c r="J776" s="4" t="inlineStr">
        <is>
          <t>BBVA</t>
        </is>
      </c>
      <c r="K776" s="4" t="inlineStr">
        <is>
          <t>PROYECTADO · C.10/12 · cashflow cuotas BBVA · gasto personal Sol</t>
        </is>
      </c>
      <c r="L776" s="4" t="n">
        <v>606</v>
      </c>
    </row>
    <row r="777">
      <c r="A777" s="15" t="n">
        <v>46446</v>
      </c>
      <c r="B777" s="4" t="inlineStr">
        <is>
          <t>2027-02</t>
        </is>
      </c>
      <c r="C777" s="4" t="inlineStr">
        <is>
          <t>Febrero 2027</t>
        </is>
      </c>
      <c r="D777" s="4" t="inlineStr">
        <is>
          <t>ROPA</t>
        </is>
      </c>
      <c r="E777" s="4" t="inlineStr">
        <is>
          <t>ROPA</t>
        </is>
      </c>
      <c r="F777" s="5" t="n">
        <v>69750</v>
      </c>
      <c r="G777" s="16" t="n"/>
      <c r="H777" s="18" t="inlineStr">
        <is>
          <t>PROYECTADO</t>
        </is>
      </c>
      <c r="I777" s="4" t="inlineStr">
        <is>
          <t>BBVA VISA · proyectado</t>
        </is>
      </c>
      <c r="J777" s="4" t="inlineStr">
        <is>
          <t>BBVA</t>
        </is>
      </c>
      <c r="K777" s="4" t="inlineStr">
        <is>
          <t>PROYECTADO · C.10/12 · cashflow cuotas BBVA · gasto personal Sol</t>
        </is>
      </c>
      <c r="L777" s="4" t="n">
        <v>607</v>
      </c>
    </row>
    <row r="778">
      <c r="A778" s="15" t="n">
        <v>46474</v>
      </c>
      <c r="B778" s="4" t="inlineStr">
        <is>
          <t>2027-03</t>
        </is>
      </c>
      <c r="C778" s="4" t="inlineStr">
        <is>
          <t>Marzo 2027</t>
        </is>
      </c>
      <c r="D778" s="4" t="inlineStr">
        <is>
          <t>ROPA</t>
        </is>
      </c>
      <c r="E778" s="4" t="inlineStr">
        <is>
          <t>ROPA</t>
        </is>
      </c>
      <c r="F778" s="5" t="n">
        <v>60917</v>
      </c>
      <c r="G778" s="16" t="n"/>
      <c r="H778" s="18" t="inlineStr">
        <is>
          <t>PROYECTADO</t>
        </is>
      </c>
      <c r="I778" s="4" t="inlineStr">
        <is>
          <t>BBVA VISA · proyectado</t>
        </is>
      </c>
      <c r="J778" s="4" t="inlineStr">
        <is>
          <t>BBVA</t>
        </is>
      </c>
      <c r="K778" s="4" t="inlineStr">
        <is>
          <t>PROYECTADO · C.11/12 · cashflow cuotas BBVA · gasto personal Sol</t>
        </is>
      </c>
      <c r="L778" s="4" t="n">
        <v>608</v>
      </c>
    </row>
    <row r="779">
      <c r="A779" s="15" t="n">
        <v>46474</v>
      </c>
      <c r="B779" s="4" t="inlineStr">
        <is>
          <t>2027-03</t>
        </is>
      </c>
      <c r="C779" s="4" t="inlineStr">
        <is>
          <t>Marzo 2027</t>
        </is>
      </c>
      <c r="D779" s="4" t="inlineStr">
        <is>
          <t>ROPA</t>
        </is>
      </c>
      <c r="E779" s="4" t="inlineStr">
        <is>
          <t>ROPA</t>
        </is>
      </c>
      <c r="F779" s="5" t="n">
        <v>69750</v>
      </c>
      <c r="G779" s="16" t="n"/>
      <c r="H779" s="18" t="inlineStr">
        <is>
          <t>PROYECTADO</t>
        </is>
      </c>
      <c r="I779" s="4" t="inlineStr">
        <is>
          <t>BBVA VISA · proyectado</t>
        </is>
      </c>
      <c r="J779" s="4" t="inlineStr">
        <is>
          <t>BBVA</t>
        </is>
      </c>
      <c r="K779" s="4" t="inlineStr">
        <is>
          <t>PROYECTADO · C.11/12 · cashflow cuotas BBVA · gasto personal Sol</t>
        </is>
      </c>
      <c r="L779" s="4" t="n">
        <v>609</v>
      </c>
    </row>
    <row r="780">
      <c r="A780" s="15" t="n">
        <v>46505</v>
      </c>
      <c r="B780" s="4" t="inlineStr">
        <is>
          <t>2027-04</t>
        </is>
      </c>
      <c r="C780" s="4" t="inlineStr">
        <is>
          <t>Abril 2027</t>
        </is>
      </c>
      <c r="D780" s="4" t="inlineStr">
        <is>
          <t>ROPA</t>
        </is>
      </c>
      <c r="E780" s="4" t="inlineStr">
        <is>
          <t>ROPA</t>
        </is>
      </c>
      <c r="F780" s="5" t="n">
        <v>60917</v>
      </c>
      <c r="G780" s="16" t="n"/>
      <c r="H780" s="18" t="inlineStr">
        <is>
          <t>PROYECTADO</t>
        </is>
      </c>
      <c r="I780" s="4" t="inlineStr">
        <is>
          <t>BBVA VISA · proyectado</t>
        </is>
      </c>
      <c r="J780" s="4" t="inlineStr">
        <is>
          <t>BBVA</t>
        </is>
      </c>
      <c r="K780" s="4" t="inlineStr">
        <is>
          <t>PROYECTADO · C.12/12 · cashflow cuotas BBVA · gasto personal Sol</t>
        </is>
      </c>
      <c r="L780" s="4" t="n">
        <v>610</v>
      </c>
    </row>
    <row r="781">
      <c r="A781" s="15" t="n">
        <v>46505</v>
      </c>
      <c r="B781" s="4" t="inlineStr">
        <is>
          <t>2027-04</t>
        </is>
      </c>
      <c r="C781" s="4" t="inlineStr">
        <is>
          <t>Abril 2027</t>
        </is>
      </c>
      <c r="D781" s="4" t="inlineStr">
        <is>
          <t>ROPA</t>
        </is>
      </c>
      <c r="E781" s="4" t="inlineStr">
        <is>
          <t>ROPA</t>
        </is>
      </c>
      <c r="F781" s="5" t="n">
        <v>69750</v>
      </c>
      <c r="G781" s="16" t="n"/>
      <c r="H781" s="18" t="inlineStr">
        <is>
          <t>PROYECTADO</t>
        </is>
      </c>
      <c r="I781" s="4" t="inlineStr">
        <is>
          <t>BBVA VISA · proyectado</t>
        </is>
      </c>
      <c r="J781" s="4" t="inlineStr">
        <is>
          <t>BBVA</t>
        </is>
      </c>
      <c r="K781" s="4" t="inlineStr">
        <is>
          <t>PROYECTADO · C.12/12 · cashflow cuotas BBVA · gasto personal Sol</t>
        </is>
      </c>
      <c r="L781" s="4" t="n">
        <v>611</v>
      </c>
    </row>
  </sheetData>
  <autoFilter ref="A1:L78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46268</v>
      </c>
      <c r="B223" s="4" t="inlineStr">
        <is>
          <t>2026-09</t>
        </is>
      </c>
      <c r="C223" s="4" t="inlineStr">
        <is>
          <t>Septiembre</t>
        </is>
      </c>
      <c r="D223" s="4" t="inlineStr">
        <is>
          <t>SUPERMERCADO</t>
        </is>
      </c>
      <c r="E223" s="4" t="inlineStr">
        <is>
          <t>SUPERMERCADO · Día</t>
        </is>
      </c>
      <c r="F223" s="5" t="n">
        <v>41139</v>
      </c>
      <c r="G223" s="16" t="n"/>
      <c r="H223" s="4" t="inlineStr">
        <is>
          <t>REAL</t>
        </is>
      </c>
      <c r="I223" s="4" t="inlineStr">
        <is>
          <t>BBVA</t>
        </is>
      </c>
      <c r="J223" s="4" t="inlineStr">
        <is>
          <t>SUPERMERCADO · Día · SUPERDIA · BBVA Visa · MERPAGO*SUPERDIA</t>
        </is>
      </c>
      <c r="K223" s="4" t="n">
        <v>356</v>
      </c>
    </row>
    <row r="224">
      <c r="A224" s="15" t="n">
        <v>46269</v>
      </c>
      <c r="B224" s="4" t="inlineStr">
        <is>
          <t>2026-09</t>
        </is>
      </c>
      <c r="C224" s="4" t="inlineStr">
        <is>
          <t>Septiembre</t>
        </is>
      </c>
      <c r="D224" s="4" t="inlineStr">
        <is>
          <t>COMIDA</t>
        </is>
      </c>
      <c r="E224" s="4" t="inlineStr">
        <is>
          <t>COMIDA · Pescadería Belgrano</t>
        </is>
      </c>
      <c r="F224" s="5" t="n">
        <v>6213</v>
      </c>
      <c r="G224" s="16" t="n"/>
      <c r="H224" s="4" t="inlineStr">
        <is>
          <t>REAL</t>
        </is>
      </c>
      <c r="I224" s="4" t="inlineStr">
        <is>
          <t>Mercado Pago</t>
        </is>
      </c>
      <c r="J224" s="4" t="inlineStr">
        <is>
          <t>COMIDA · Pescadería Belgrano · Mercado Pago</t>
        </is>
      </c>
      <c r="K224" s="4" t="n">
        <v>357</v>
      </c>
    </row>
    <row r="225">
      <c r="A225" s="15" t="n">
        <v>46273</v>
      </c>
      <c r="B225" s="4" t="inlineStr">
        <is>
          <t>2026-09</t>
        </is>
      </c>
      <c r="C225" s="4" t="inlineStr">
        <is>
          <t>Septiembre</t>
        </is>
      </c>
      <c r="D225" s="4" t="inlineStr">
        <is>
          <t>REPUESTOS</t>
        </is>
      </c>
      <c r="E225" s="4" t="inlineStr">
        <is>
          <t>REPUESTOS · Sodastream</t>
        </is>
      </c>
      <c r="F225" s="5" t="n">
        <v>88659</v>
      </c>
      <c r="G225" s="16" t="n"/>
      <c r="H225" s="4" t="inlineStr">
        <is>
          <t>REAL</t>
        </is>
      </c>
      <c r="I225" s="4" t="inlineStr">
        <is>
          <t>Mercado Pago</t>
        </is>
      </c>
      <c r="J225" s="4" t="inlineStr">
        <is>
          <t>REPUESTOS · Sodastream · Mercado Pago</t>
        </is>
      </c>
      <c r="K225" s="4" t="n">
        <v>358</v>
      </c>
    </row>
  </sheetData>
  <autoFilter ref="A1:K22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46269</v>
      </c>
      <c r="C252" s="4" t="inlineStr">
        <is>
          <t>AVA Palpa · cuota 10 · agosto 2026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5" t="n">
        <v>3134720</v>
      </c>
      <c r="H252" s="4" t="inlineStr">
        <is>
          <t>Septiembre</t>
        </is>
      </c>
      <c r="I252" s="4" t="inlineStr">
        <is>
          <t>2026-09</t>
        </is>
      </c>
      <c r="J252" s="19" t="inlineStr">
        <is>
          <t>PAGADO</t>
        </is>
      </c>
      <c r="K252" s="4" t="inlineStr">
        <is>
          <t>50% Sol PAGADO · ya en Gasto Personal Sol · total cuota $6.269.440 · TC MEP 1525.3</t>
        </is>
      </c>
      <c r="L252" s="4" t="inlineStr">
        <is>
          <t>Sol 50%</t>
        </is>
      </c>
    </row>
    <row r="253">
      <c r="A253" s="4" t="inlineStr">
        <is>
          <t>AVA Fideicomiso</t>
        </is>
      </c>
      <c r="B253" s="15" t="n">
        <v>46300</v>
      </c>
      <c r="C253" s="4" t="inlineStr">
        <is>
          <t>AVA Palpa · cuota 11 · septiembre 2026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5" t="n">
        <v>3275207</v>
      </c>
      <c r="H253" s="4" t="inlineStr">
        <is>
          <t>Octubre</t>
        </is>
      </c>
      <c r="I253" s="4" t="inlineStr">
        <is>
          <t>2026-10</t>
        </is>
      </c>
      <c r="J253" s="18" t="inlineStr">
        <is>
          <t>PENDIENTE</t>
        </is>
      </c>
      <c r="K253" s="4" t="inlineStr">
        <is>
          <t>Aviso Gmail 24-sep · total $6.550.413 · 50% Sol estimado · aún no pagada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  <row r="30">
      <c r="A30" s="15" t="n">
        <v>46280</v>
      </c>
      <c r="B30" s="4" t="inlineStr">
        <is>
          <t>Septiembre</t>
        </is>
      </c>
      <c r="C30" s="4" t="inlineStr">
        <is>
          <t>Pago de resumen TC</t>
        </is>
      </c>
      <c r="D30" s="4" t="inlineStr">
        <is>
          <t>Tarjeta de crédito</t>
        </is>
      </c>
      <c r="E30" s="5" t="n">
        <v>1214000</v>
      </c>
      <c r="F30" s="4" t="inlineStr">
        <is>
          <t>ARS</t>
        </is>
      </c>
      <c r="G30" s="4" t="inlineStr">
        <is>
          <t>Mercado Pago</t>
        </is>
      </c>
      <c r="H30" s="4" t="inlineStr">
        <is>
          <t>Pago de resumen · − · $1.214.000 · resumen septiembre · NUNCA almacén / no gasto nuevo</t>
        </is>
      </c>
      <c r="I30" s="4" t="n">
        <v>52</v>
      </c>
    </row>
    <row r="31">
      <c r="A31" s="15" t="n">
        <v>46282</v>
      </c>
      <c r="B31" s="4" t="inlineStr">
        <is>
          <t>Septiembre</t>
        </is>
      </c>
      <c r="C31" s="4" t="inlineStr">
        <is>
          <t>Pago de resumen TC</t>
        </is>
      </c>
      <c r="D31" s="4" t="inlineStr">
        <is>
          <t>Tarjeta de crédito</t>
        </is>
      </c>
      <c r="E31" s="5" t="n">
        <v>1000000</v>
      </c>
      <c r="F31" s="4" t="inlineStr">
        <is>
          <t>ARS</t>
        </is>
      </c>
      <c r="G31" s="4" t="inlineStr">
        <is>
          <t>Mercado Pago</t>
        </is>
      </c>
      <c r="H31" s="4" t="inlineStr">
        <is>
          <t>Pago de resumen · − · $1.000.000 · NUNCA almacén / no gasto nuevo</t>
        </is>
      </c>
      <c r="I31" s="4" t="n">
        <v>53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9</v>
      </c>
      <c r="E5" s="5" t="n">
        <v>187691</v>
      </c>
      <c r="F5" s="20" t="n">
        <v>0.002143929346590267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8</v>
      </c>
      <c r="E6" s="5" t="n">
        <v>22729865</v>
      </c>
      <c r="F6" s="20" t="n">
        <v>0.2596353827169923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0.001713877847212157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81</v>
      </c>
      <c r="E8" s="5" t="n">
        <v>1650962</v>
      </c>
      <c r="F8" s="20" t="n">
        <v>0.01885836764631954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0.005319404305397036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0.005517141868300021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0.01279409207543214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0.006160831264909634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0.00236106257593709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0.0007104890770357377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0.00533437940475385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0.00193625407473196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0.002174873316199429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0.004067801264416974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0.002730551163957588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0.008634646858200739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0.04569061588654261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0.00064150766970103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0.06903331187435482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</v>
      </c>
      <c r="E26" s="5" t="n">
        <v>120153</v>
      </c>
      <c r="F26" s="20" t="n">
        <v>0.001372466142653939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7</v>
      </c>
      <c r="E27" s="5" t="n">
        <v>830930</v>
      </c>
      <c r="F27" s="20" t="n">
        <v>0.009491425864651215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0.03376277219770343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0.004555662815545533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0.001763657773220545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0.009168667354028676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2</v>
      </c>
      <c r="E32" s="5" t="n">
        <v>141696</v>
      </c>
      <c r="F32" s="20" t="n">
        <v>0.001618544377164886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0.07604077882898812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0.02010026143142371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16</v>
      </c>
      <c r="E35" s="5" t="n">
        <v>1318004</v>
      </c>
      <c r="F35" s="20" t="n">
        <v>0.01505510362523168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0.02352406488757384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0.0001473522362340999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73</v>
      </c>
      <c r="E38" s="5" t="n">
        <v>2719400</v>
      </c>
      <c r="F38" s="20" t="n">
        <v>0.031062765210466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0.001604311750316228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170</v>
      </c>
      <c r="E41" s="5" t="n">
        <v>883220</v>
      </c>
      <c r="F41" s="20" t="n">
        <v>0.01008871644082804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0.007500034639198169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0.01108277290270964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16</v>
      </c>
      <c r="E44" s="5" t="n">
        <v>6682986</v>
      </c>
      <c r="F44" s="20" t="n">
        <v>0.07633743657528547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688</v>
      </c>
      <c r="C7" s="4" t="inlineStr">
        <is>
          <t>ARS 84,921,867</t>
        </is>
      </c>
    </row>
    <row r="8">
      <c r="A8" s="4" t="inlineStr">
        <is>
          <t>Movimientos Almacén Sol</t>
        </is>
      </c>
      <c r="B8" s="4" t="n">
        <v>224</v>
      </c>
      <c r="C8" s="4" t="inlineStr">
        <is>
          <t>ARS 8,370,799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27,859,451 · AVA PENDIENTE 22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2026-09-25T16:43:34Z</dcterms:created>
  <dcterms:modified xsi:type="dcterms:W3CDTF">2026-09-25T16:43:35Z</dcterms:modified>
</cp:coreProperties>
</file>
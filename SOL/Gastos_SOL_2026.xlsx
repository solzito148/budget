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Sol'!$A$1:$O$901</definedName>
    <definedName name="_xlnm._FilterDatabase" localSheetId="2" hidden="1">'Gastos Personales'!$A$1:$L$772</definedName>
    <definedName name="_xlnm._FilterDatabase" localSheetId="3" hidden="1">'Almacén Sol'!$A$1:$K$222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01" headerRowCount="1">
  <autoFilter ref="A1:O901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2" headerRowCount="1">
  <autoFilter ref="A1:L772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2" headerRowCount="1">
  <autoFilter ref="A1:K222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30" headerRowCount="1">
  <autoFilter ref="A1:I30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73720696</v>
      </c>
      <c r="C5" s="4" t="inlineStr">
        <is>
          <t>665 movimientos</t>
        </is>
      </c>
    </row>
    <row r="6">
      <c r="A6" s="4" t="inlineStr">
        <is>
          <t>Almacén Sol real 2026</t>
        </is>
      </c>
      <c r="B6" s="5" t="n">
        <v>8234788</v>
      </c>
      <c r="C6" s="4" t="inlineStr">
        <is>
          <t>221 movimientos</t>
        </is>
      </c>
    </row>
    <row r="7">
      <c r="A7" s="6" t="inlineStr">
        <is>
          <t>Total real Sol 2026</t>
        </is>
      </c>
      <c r="B7" s="7" t="n">
        <v>81955484</v>
      </c>
      <c r="C7" s="4" t="inlineStr">
        <is>
          <t>886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24724731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23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16560133</v>
      </c>
      <c r="C12" s="4" t="inlineStr">
        <is>
          <t>29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0</v>
      </c>
      <c r="C23" s="5" t="n">
        <v>0</v>
      </c>
      <c r="D23" s="5" t="n">
        <v>0</v>
      </c>
      <c r="E23" s="5" t="n">
        <v>1608575</v>
      </c>
      <c r="F23" s="5" t="n">
        <v>1608575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</sheetData>
  <autoFilter ref="A1:O90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524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527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528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529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522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525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530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531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533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535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536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537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538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526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532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523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EVENTOS DEPORTIVOS - RIVER</t>
        </is>
      </c>
      <c r="E700" s="4" t="inlineStr">
        <is>
          <t>Eventos deportivos - River</t>
        </is>
      </c>
      <c r="F700" s="5" t="n">
        <v>169667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C.02/06 · cashflow cuotas BBVA · gasto personal Sol · Eventos deportivos - River</t>
        </is>
      </c>
      <c r="L700" s="4" t="n">
        <v>554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HOGAR</t>
        </is>
      </c>
      <c r="E701" s="4" t="inlineStr">
        <is>
          <t>HOGAR</t>
        </is>
      </c>
      <c r="F701" s="5" t="n">
        <v>18334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HOGAR · Stanley · PROYECTADO · C.05/06 · cashflow cuotas BBVA · gasto personal Sol</t>
        </is>
      </c>
      <c r="L701" s="4" t="n">
        <v>553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12084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C.02/06 · cashflow cuotas BBVA · gasto personal Sol · ex `Mercado Libre · MERCADOLIBRE`</t>
        </is>
      </c>
      <c r="L702" s="4" t="n">
        <v>544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275000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C.06/12 · cashflow cuotas BBVA · gasto personal Sol · ex `Mercado Libre · MERCADOLIBRE`</t>
        </is>
      </c>
      <c r="L703" s="4" t="n">
        <v>545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17360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C.07/09 · cashflow cuotas BBVA · gasto personal Sol · ex `Mercado Libre · MERCADOLIBRE`</t>
        </is>
      </c>
      <c r="L704" s="4" t="n">
        <v>546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16950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547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124667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539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31700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ROPA · Frivilli · PROYECTADO · C.02/03 · cashflow cuotas BBVA · gasto personal Sol</t>
        </is>
      </c>
      <c r="L707" s="4" t="n">
        <v>541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80834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C.04/06 · cashflow cuotas BBVA · gasto personal Sol</t>
        </is>
      </c>
      <c r="L708" s="4" t="n">
        <v>542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95984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ROPA · Monofuk · PROYECTADO · C.05/06 · cashflow cuotas BBVA · gasto personal Sol</t>
        </is>
      </c>
      <c r="L709" s="4" t="n">
        <v>548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284794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C.02/06 · cashflow cuotas BBVA · gasto personal Sol</t>
        </is>
      </c>
      <c r="L710" s="4" t="n">
        <v>549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73600</v>
      </c>
      <c r="G711" s="16" t="n"/>
      <c r="H711" s="18" t="inlineStr">
        <is>
          <t>PROYECTADO</t>
        </is>
      </c>
      <c r="I711" s="4" t="inlineStr">
        <is>
          <t>BBVA MASTERCARD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36667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C.04/06 · cashflow cuotas BBVA · gasto personal Sol</t>
        </is>
      </c>
      <c r="L712" s="4" t="n">
        <v>552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60917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C.04/12 · cashflow cuotas BBVA · gasto personal Sol</t>
        </is>
      </c>
      <c r="L713" s="4" t="n">
        <v>555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69750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556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SALUD</t>
        </is>
      </c>
      <c r="E715" s="4" t="inlineStr">
        <is>
          <t>SALUD</t>
        </is>
      </c>
      <c r="F715" s="5" t="n">
        <v>54033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SALUD · Laboratorio · PROYECTADO · C.05/06 · cashflow cuotas BBVA · gasto personal Sol</t>
        </is>
      </c>
      <c r="L715" s="4" t="n">
        <v>543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 · Vitaminas</t>
        </is>
      </c>
      <c r="E716" s="4" t="inlineStr">
        <is>
          <t>SALUD · Vitaminas</t>
        </is>
      </c>
      <c r="F716" s="5" t="n">
        <v>87900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SALUD · Vitaminas · Promarine · BBVA · C.05/06 · gasto personal Sol</t>
        </is>
      </c>
      <c r="L716" s="4" t="n">
        <v>551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ROPA</t>
        </is>
      </c>
      <c r="E717" s="4" t="inlineStr">
        <is>
          <t>VESTIMENTA</t>
        </is>
      </c>
      <c r="F717" s="5" t="n">
        <v>98334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ROPA · Bokenvoreno · PROYECTADO · C.04/06 · cashflow cuotas BBVA · gasto personal Sol</t>
        </is>
      </c>
      <c r="L717" s="4" t="n">
        <v>540</v>
      </c>
    </row>
    <row r="718">
      <c r="A718" s="15" t="n">
        <v>46293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EVENTOS DEPORTIVOS - RIVER</t>
        </is>
      </c>
      <c r="E718" s="4" t="inlineStr">
        <is>
          <t>Eventos deportivos - River</t>
        </is>
      </c>
      <c r="F718" s="5" t="n">
        <v>169667</v>
      </c>
      <c r="G718" s="16" t="n"/>
      <c r="H718" s="18" t="inlineStr">
        <is>
          <t>PROYECTADO</t>
        </is>
      </c>
      <c r="I718" s="4" t="inlineStr">
        <is>
          <t>BBVA VISA · proyectado</t>
        </is>
      </c>
      <c r="J718" s="4" t="inlineStr">
        <is>
          <t>BBVA</t>
        </is>
      </c>
      <c r="K718" s="4" t="inlineStr">
        <is>
          <t>PROYECTADO · C.03/06 · cashflow cuotas BBVA · gasto personal Sol · Eventos deportivos - River</t>
        </is>
      </c>
      <c r="L718" s="4" t="n">
        <v>572</v>
      </c>
    </row>
    <row r="719">
      <c r="A719" s="15" t="n">
        <v>46293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HOGAR</t>
        </is>
      </c>
      <c r="E719" s="4" t="inlineStr">
        <is>
          <t>HOGAR</t>
        </is>
      </c>
      <c r="F719" s="5" t="n">
        <v>18334</v>
      </c>
      <c r="G719" s="16" t="n"/>
      <c r="H719" s="18" t="inlineStr">
        <is>
          <t>PROYECTADO</t>
        </is>
      </c>
      <c r="I719" s="4" t="inlineStr">
        <is>
          <t>BBVA MASTERCARD · proyectado</t>
        </is>
      </c>
      <c r="J719" s="4" t="inlineStr">
        <is>
          <t>BBVA</t>
        </is>
      </c>
      <c r="K719" s="4" t="inlineStr">
        <is>
          <t>HOGAR · Stanley · PROYECTADO · C.06/06 · cashflow cuotas BBVA · gasto personal Sol</t>
        </is>
      </c>
      <c r="L719" s="4" t="n">
        <v>571</v>
      </c>
    </row>
    <row r="720">
      <c r="A720" s="15" t="n">
        <v>46293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MERCADO LIBRE</t>
        </is>
      </c>
      <c r="E720" s="4" t="inlineStr">
        <is>
          <t>MERCADO LIBRE</t>
        </is>
      </c>
      <c r="F720" s="5" t="n">
        <v>12084</v>
      </c>
      <c r="G720" s="16" t="n"/>
      <c r="H720" s="18" t="inlineStr">
        <is>
          <t>PROYECTADO</t>
        </is>
      </c>
      <c r="I720" s="4" t="inlineStr">
        <is>
          <t>BBVA VISA · proyectado</t>
        </is>
      </c>
      <c r="J720" s="4" t="inlineStr">
        <is>
          <t>BBVA</t>
        </is>
      </c>
      <c r="K720" s="4" t="inlineStr">
        <is>
          <t>PROYECTADO · C.03/06 · cashflow cuotas BBVA · gasto personal Sol · ex `Mercado Libre · MERCADOLIBRE`</t>
        </is>
      </c>
      <c r="L720" s="4" t="n">
        <v>562</v>
      </c>
    </row>
    <row r="721">
      <c r="A721" s="15" t="n">
        <v>46293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MERCADO LIBRE</t>
        </is>
      </c>
      <c r="E721" s="4" t="inlineStr">
        <is>
          <t>MERCADO LIBRE</t>
        </is>
      </c>
      <c r="F721" s="5" t="n">
        <v>275000</v>
      </c>
      <c r="G721" s="16" t="n"/>
      <c r="H721" s="18" t="inlineStr">
        <is>
          <t>PROYECTADO</t>
        </is>
      </c>
      <c r="I721" s="4" t="inlineStr">
        <is>
          <t>BBVA MASTERCARD · proyectado</t>
        </is>
      </c>
      <c r="J721" s="4" t="inlineStr">
        <is>
          <t>BBVA</t>
        </is>
      </c>
      <c r="K721" s="4" t="inlineStr">
        <is>
          <t>PROYECTADO · C.07/12 · cashflow cuotas BBVA · gasto personal Sol · ex `Mercado Libre · MERCADOLIBRE`</t>
        </is>
      </c>
      <c r="L721" s="4" t="n">
        <v>563</v>
      </c>
    </row>
    <row r="722">
      <c r="A722" s="15" t="n">
        <v>46293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MERCADO LIBRE</t>
        </is>
      </c>
      <c r="E722" s="4" t="inlineStr">
        <is>
          <t>MERCADO LIBRE</t>
        </is>
      </c>
      <c r="F722" s="5" t="n">
        <v>17360</v>
      </c>
      <c r="G722" s="16" t="n"/>
      <c r="H722" s="18" t="inlineStr">
        <is>
          <t>PROYECTADO</t>
        </is>
      </c>
      <c r="I722" s="4" t="inlineStr">
        <is>
          <t>BBVA MASTERCARD · proyectado</t>
        </is>
      </c>
      <c r="J722" s="4" t="inlineStr">
        <is>
          <t>BBVA</t>
        </is>
      </c>
      <c r="K722" s="4" t="inlineStr">
        <is>
          <t>PROYECTADO · C.08/09 · cashflow cuotas BBVA · gasto personal Sol · ex `Mercado Libre · MERCADOLIBRE`</t>
        </is>
      </c>
      <c r="L722" s="4" t="n">
        <v>564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MERCADO LIBRE</t>
        </is>
      </c>
      <c r="E723" s="4" t="inlineStr">
        <is>
          <t>MERCADO LIBRE</t>
        </is>
      </c>
      <c r="F723" s="5" t="n">
        <v>16950</v>
      </c>
      <c r="G723" s="16" t="n"/>
      <c r="H723" s="18" t="inlineStr">
        <is>
          <t>PROYECTADO</t>
        </is>
      </c>
      <c r="I723" s="4" t="inlineStr">
        <is>
          <t>BBVA MASTERCARD · proyectado</t>
        </is>
      </c>
      <c r="J723" s="4" t="inlineStr">
        <is>
          <t>BBVA</t>
        </is>
      </c>
      <c r="K723" s="4" t="inlineStr">
        <is>
          <t>PROYECTADO · C.08/09 · cashflow cuotas BBVA · gasto personal Sol · ex `Mercado Libre · MERCADOLIBRE`</t>
        </is>
      </c>
      <c r="L723" s="4" t="n">
        <v>565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ROPA</t>
        </is>
      </c>
      <c r="E724" s="4" t="inlineStr">
        <is>
          <t>ROPA</t>
        </is>
      </c>
      <c r="F724" s="5" t="n">
        <v>124667</v>
      </c>
      <c r="G724" s="16" t="n"/>
      <c r="H724" s="18" t="inlineStr">
        <is>
          <t>PROYECTADO</t>
        </is>
      </c>
      <c r="I724" s="4" t="inlineStr">
        <is>
          <t>BBVA VISA · proyectado</t>
        </is>
      </c>
      <c r="J724" s="4" t="inlineStr">
        <is>
          <t>BBVA</t>
        </is>
      </c>
      <c r="K724" s="4" t="inlineStr">
        <is>
          <t>PROYECTADO · C.05/06 · cashflow cuotas BBVA · gasto personal Sol</t>
        </is>
      </c>
      <c r="L724" s="4" t="n">
        <v>557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ROPA</t>
        </is>
      </c>
      <c r="E725" s="4" t="inlineStr">
        <is>
          <t>ROPA</t>
        </is>
      </c>
      <c r="F725" s="5" t="n">
        <v>31700</v>
      </c>
      <c r="G725" s="16" t="n"/>
      <c r="H725" s="18" t="inlineStr">
        <is>
          <t>PROYECTADO</t>
        </is>
      </c>
      <c r="I725" s="4" t="inlineStr">
        <is>
          <t>BBVA VISA · proyectado</t>
        </is>
      </c>
      <c r="J725" s="4" t="inlineStr">
        <is>
          <t>BBVA</t>
        </is>
      </c>
      <c r="K725" s="4" t="inlineStr">
        <is>
          <t>ROPA · Frivilli · PROYECTADO · C.03/03 · cashflow cuotas BBVA · gasto personal Sol</t>
        </is>
      </c>
      <c r="L725" s="4" t="n">
        <v>559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ROPA</t>
        </is>
      </c>
      <c r="E726" s="4" t="inlineStr">
        <is>
          <t>ROPA</t>
        </is>
      </c>
      <c r="F726" s="5" t="n">
        <v>80834</v>
      </c>
      <c r="G726" s="16" t="n"/>
      <c r="H726" s="18" t="inlineStr">
        <is>
          <t>PROYECTADO</t>
        </is>
      </c>
      <c r="I726" s="4" t="inlineStr">
        <is>
          <t>BBVA MASTERCARD · proyectado</t>
        </is>
      </c>
      <c r="J726" s="4" t="inlineStr">
        <is>
          <t>BBVA</t>
        </is>
      </c>
      <c r="K726" s="4" t="inlineStr">
        <is>
          <t>PROYECTADO · C.05/06 · cashflow cuotas BBVA · gasto personal Sol</t>
        </is>
      </c>
      <c r="L726" s="4" t="n">
        <v>560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ROPA</t>
        </is>
      </c>
      <c r="E727" s="4" t="inlineStr">
        <is>
          <t>ROPA</t>
        </is>
      </c>
      <c r="F727" s="5" t="n">
        <v>95984</v>
      </c>
      <c r="G727" s="16" t="n"/>
      <c r="H727" s="18" t="inlineStr">
        <is>
          <t>PROYECTADO</t>
        </is>
      </c>
      <c r="I727" s="4" t="inlineStr">
        <is>
          <t>BBVA MASTERCARD · proyectado</t>
        </is>
      </c>
      <c r="J727" s="4" t="inlineStr">
        <is>
          <t>BBVA</t>
        </is>
      </c>
      <c r="K727" s="4" t="inlineStr">
        <is>
          <t>ROPA · Monofuk · PROYECTADO · C.06/06 · cashflow cuotas BBVA · gasto personal Sol</t>
        </is>
      </c>
      <c r="L727" s="4" t="n">
        <v>566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ROPA</t>
        </is>
      </c>
      <c r="E728" s="4" t="inlineStr">
        <is>
          <t>ROPA</t>
        </is>
      </c>
      <c r="F728" s="5" t="n">
        <v>284794</v>
      </c>
      <c r="G728" s="16" t="n"/>
      <c r="H728" s="18" t="inlineStr">
        <is>
          <t>PROYECTADO</t>
        </is>
      </c>
      <c r="I728" s="4" t="inlineStr">
        <is>
          <t>BBVA VISA · proyectado</t>
        </is>
      </c>
      <c r="J728" s="4" t="inlineStr">
        <is>
          <t>BBVA</t>
        </is>
      </c>
      <c r="K728" s="4" t="inlineStr">
        <is>
          <t>PROYECTADO · C.03/06 · cashflow cuotas BBVA · gasto personal Sol</t>
        </is>
      </c>
      <c r="L728" s="4" t="n">
        <v>567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73600</v>
      </c>
      <c r="G729" s="16" t="n"/>
      <c r="H729" s="18" t="inlineStr">
        <is>
          <t>PROYECTADO</t>
        </is>
      </c>
      <c r="I729" s="4" t="inlineStr">
        <is>
          <t>BBVA MASTERCARD · proyectado</t>
        </is>
      </c>
      <c r="J729" s="4" t="inlineStr">
        <is>
          <t>BBVA</t>
        </is>
      </c>
      <c r="K729" s="4" t="inlineStr">
        <is>
          <t>PROYECTADO · C.03/06 · cashflow cuotas BBVA · gasto personal Sol</t>
        </is>
      </c>
      <c r="L729" s="4" t="n">
        <v>568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36667</v>
      </c>
      <c r="G730" s="16" t="n"/>
      <c r="H730" s="18" t="inlineStr">
        <is>
          <t>PROYECTADO</t>
        </is>
      </c>
      <c r="I730" s="4" t="inlineStr">
        <is>
          <t>BBVA MASTERCARD · proyectado</t>
        </is>
      </c>
      <c r="J730" s="4" t="inlineStr">
        <is>
          <t>BBVA</t>
        </is>
      </c>
      <c r="K730" s="4" t="inlineStr">
        <is>
          <t>PROYECTADO · C.05/06 · cashflow cuotas BBVA · gasto personal Sol</t>
        </is>
      </c>
      <c r="L730" s="4" t="n">
        <v>570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ROPA</t>
        </is>
      </c>
      <c r="E731" s="4" t="inlineStr">
        <is>
          <t>ROPA</t>
        </is>
      </c>
      <c r="F731" s="5" t="n">
        <v>60917</v>
      </c>
      <c r="G731" s="16" t="n"/>
      <c r="H731" s="18" t="inlineStr">
        <is>
          <t>PROYECTADO</t>
        </is>
      </c>
      <c r="I731" s="4" t="inlineStr">
        <is>
          <t>BBVA VISA · proyectado</t>
        </is>
      </c>
      <c r="J731" s="4" t="inlineStr">
        <is>
          <t>BBVA</t>
        </is>
      </c>
      <c r="K731" s="4" t="inlineStr">
        <is>
          <t>PROYECTADO · C.05/12 · cashflow cuotas BBVA · gasto personal Sol</t>
        </is>
      </c>
      <c r="L731" s="4" t="n">
        <v>573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ROPA</t>
        </is>
      </c>
      <c r="E732" s="4" t="inlineStr">
        <is>
          <t>ROPA</t>
        </is>
      </c>
      <c r="F732" s="5" t="n">
        <v>69750</v>
      </c>
      <c r="G732" s="16" t="n"/>
      <c r="H732" s="18" t="inlineStr">
        <is>
          <t>PROYECTADO</t>
        </is>
      </c>
      <c r="I732" s="4" t="inlineStr">
        <is>
          <t>BBVA VISA · proyectado</t>
        </is>
      </c>
      <c r="J732" s="4" t="inlineStr">
        <is>
          <t>BBVA</t>
        </is>
      </c>
      <c r="K732" s="4" t="inlineStr">
        <is>
          <t>PROYECTADO · C.05/12 · cashflow cuotas BBVA · gasto personal Sol</t>
        </is>
      </c>
      <c r="L732" s="4" t="n">
        <v>574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SALUD</t>
        </is>
      </c>
      <c r="E733" s="4" t="inlineStr">
        <is>
          <t>SALUD</t>
        </is>
      </c>
      <c r="F733" s="5" t="n">
        <v>54033</v>
      </c>
      <c r="G733" s="16" t="n"/>
      <c r="H733" s="18" t="inlineStr">
        <is>
          <t>PROYECTADO</t>
        </is>
      </c>
      <c r="I733" s="4" t="inlineStr">
        <is>
          <t>BBVA MASTERCARD · proyectado</t>
        </is>
      </c>
      <c r="J733" s="4" t="inlineStr">
        <is>
          <t>BBVA</t>
        </is>
      </c>
      <c r="K733" s="4" t="inlineStr">
        <is>
          <t>SALUD · Laboratorio · PROYECTADO · C.06/06 · cashflow cuotas BBVA · gasto personal Sol</t>
        </is>
      </c>
      <c r="L733" s="4" t="n">
        <v>561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SALUD · Vitaminas</t>
        </is>
      </c>
      <c r="E734" s="4" t="inlineStr">
        <is>
          <t>SALUD · Vitaminas</t>
        </is>
      </c>
      <c r="F734" s="5" t="n">
        <v>87900</v>
      </c>
      <c r="G734" s="16" t="n"/>
      <c r="H734" s="18" t="inlineStr">
        <is>
          <t>PROYECTADO</t>
        </is>
      </c>
      <c r="I734" s="4" t="inlineStr">
        <is>
          <t>BBVA VISA · proyectado</t>
        </is>
      </c>
      <c r="J734" s="4" t="inlineStr">
        <is>
          <t>BBVA</t>
        </is>
      </c>
      <c r="K734" s="4" t="inlineStr">
        <is>
          <t>PROYECTADO · SALUD · Vitaminas · Promarine · BBVA · C.06/06 · gasto personal Sol</t>
        </is>
      </c>
      <c r="L734" s="4" t="n">
        <v>569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ROPA</t>
        </is>
      </c>
      <c r="E735" s="4" t="inlineStr">
        <is>
          <t>VESTIMENTA</t>
        </is>
      </c>
      <c r="F735" s="5" t="n">
        <v>98334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ROPA · Bokenvoreno · PROYECTADO · C.05/06 · cashflow cuotas BBVA · gasto personal Sol</t>
        </is>
      </c>
      <c r="L735" s="4" t="n">
        <v>558</v>
      </c>
    </row>
    <row r="736">
      <c r="A736" s="15" t="n">
        <v>46323</v>
      </c>
      <c r="B736" s="4" t="inlineStr">
        <is>
          <t>2026-10</t>
        </is>
      </c>
      <c r="C736" s="4" t="inlineStr">
        <is>
          <t>Octubre</t>
        </is>
      </c>
      <c r="D736" s="4" t="inlineStr">
        <is>
          <t>EVENTOS DEPORTIVOS - RIVER</t>
        </is>
      </c>
      <c r="E736" s="4" t="inlineStr">
        <is>
          <t>Eventos deportivos - River</t>
        </is>
      </c>
      <c r="F736" s="5" t="n">
        <v>169667</v>
      </c>
      <c r="G736" s="16" t="n"/>
      <c r="H736" s="18" t="inlineStr">
        <is>
          <t>PROYECTADO</t>
        </is>
      </c>
      <c r="I736" s="4" t="inlineStr">
        <is>
          <t>BBVA VISA · proyectado</t>
        </is>
      </c>
      <c r="J736" s="4" t="inlineStr">
        <is>
          <t>BBVA</t>
        </is>
      </c>
      <c r="K736" s="4" t="inlineStr">
        <is>
          <t>PROYECTADO · C.04/06 · cashflow cuotas BBVA · gasto personal Sol · Eventos deportivos - River</t>
        </is>
      </c>
      <c r="L736" s="4" t="n">
        <v>585</v>
      </c>
    </row>
    <row r="737">
      <c r="A737" s="15" t="n">
        <v>46323</v>
      </c>
      <c r="B737" s="4" t="inlineStr">
        <is>
          <t>2026-10</t>
        </is>
      </c>
      <c r="C737" s="4" t="inlineStr">
        <is>
          <t>Octubre</t>
        </is>
      </c>
      <c r="D737" s="4" t="inlineStr">
        <is>
          <t>MERCADO LIBRE</t>
        </is>
      </c>
      <c r="E737" s="4" t="inlineStr">
        <is>
          <t>MERCADO LIBRE</t>
        </is>
      </c>
      <c r="F737" s="5" t="n">
        <v>12084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C.04/06 · cashflow cuotas BBVA · gasto personal Sol · ex `Mercado Libre · MERCADOLIBRE`</t>
        </is>
      </c>
      <c r="L737" s="4" t="n">
        <v>578</v>
      </c>
    </row>
    <row r="738">
      <c r="A738" s="15" t="n">
        <v>46323</v>
      </c>
      <c r="B738" s="4" t="inlineStr">
        <is>
          <t>2026-10</t>
        </is>
      </c>
      <c r="C738" s="4" t="inlineStr">
        <is>
          <t>Octubre</t>
        </is>
      </c>
      <c r="D738" s="4" t="inlineStr">
        <is>
          <t>MERCADO LIBRE</t>
        </is>
      </c>
      <c r="E738" s="4" t="inlineStr">
        <is>
          <t>MERCADO LIBRE</t>
        </is>
      </c>
      <c r="F738" s="5" t="n">
        <v>275000</v>
      </c>
      <c r="G738" s="16" t="n"/>
      <c r="H738" s="18" t="inlineStr">
        <is>
          <t>PROYECTADO</t>
        </is>
      </c>
      <c r="I738" s="4" t="inlineStr">
        <is>
          <t>BBVA MASTERCARD · proyectado</t>
        </is>
      </c>
      <c r="J738" s="4" t="inlineStr">
        <is>
          <t>BBVA</t>
        </is>
      </c>
      <c r="K738" s="4" t="inlineStr">
        <is>
          <t>PROYECTADO · C.08/12 · cashflow cuotas BBVA · gasto personal Sol · ex `Mercado Libre · MERCADOLIBRE`</t>
        </is>
      </c>
      <c r="L738" s="4" t="n">
        <v>579</v>
      </c>
    </row>
    <row r="739">
      <c r="A739" s="15" t="n">
        <v>46323</v>
      </c>
      <c r="B739" s="4" t="inlineStr">
        <is>
          <t>2026-10</t>
        </is>
      </c>
      <c r="C739" s="4" t="inlineStr">
        <is>
          <t>Octubre</t>
        </is>
      </c>
      <c r="D739" s="4" t="inlineStr">
        <is>
          <t>MERCADO LIBRE</t>
        </is>
      </c>
      <c r="E739" s="4" t="inlineStr">
        <is>
          <t>MERCADO LIBRE</t>
        </is>
      </c>
      <c r="F739" s="5" t="n">
        <v>17360</v>
      </c>
      <c r="G739" s="16" t="n"/>
      <c r="H739" s="18" t="inlineStr">
        <is>
          <t>PROYECTADO</t>
        </is>
      </c>
      <c r="I739" s="4" t="inlineStr">
        <is>
          <t>BBVA MASTERCARD · proyectado</t>
        </is>
      </c>
      <c r="J739" s="4" t="inlineStr">
        <is>
          <t>BBVA</t>
        </is>
      </c>
      <c r="K739" s="4" t="inlineStr">
        <is>
          <t>PROYECTADO · C.09/09 · cashflow cuotas BBVA · gasto personal Sol · ex `Mercado Libre · MERCADOLIBRE`</t>
        </is>
      </c>
      <c r="L739" s="4" t="n">
        <v>580</v>
      </c>
    </row>
    <row r="740">
      <c r="A740" s="15" t="n">
        <v>46323</v>
      </c>
      <c r="B740" s="4" t="inlineStr">
        <is>
          <t>2026-10</t>
        </is>
      </c>
      <c r="C740" s="4" t="inlineStr">
        <is>
          <t>Octubre</t>
        </is>
      </c>
      <c r="D740" s="4" t="inlineStr">
        <is>
          <t>MERCADO LIBRE</t>
        </is>
      </c>
      <c r="E740" s="4" t="inlineStr">
        <is>
          <t>MERCADO LIBRE</t>
        </is>
      </c>
      <c r="F740" s="5" t="n">
        <v>16950</v>
      </c>
      <c r="G740" s="16" t="n"/>
      <c r="H740" s="18" t="inlineStr">
        <is>
          <t>PROYECTADO</t>
        </is>
      </c>
      <c r="I740" s="4" t="inlineStr">
        <is>
          <t>BBVA MASTERCARD · proyectado</t>
        </is>
      </c>
      <c r="J740" s="4" t="inlineStr">
        <is>
          <t>BBVA</t>
        </is>
      </c>
      <c r="K740" s="4" t="inlineStr">
        <is>
          <t>PROYECTADO · C.09/09 · cashflow cuotas BBVA · gasto personal Sol · ex `Mercado Libre · MERCADOLIBRE`</t>
        </is>
      </c>
      <c r="L740" s="4" t="n">
        <v>581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ROPA</t>
        </is>
      </c>
      <c r="E741" s="4" t="inlineStr">
        <is>
          <t>ROPA</t>
        </is>
      </c>
      <c r="F741" s="5" t="n">
        <v>124667</v>
      </c>
      <c r="G741" s="16" t="n"/>
      <c r="H741" s="18" t="inlineStr">
        <is>
          <t>PROYECTADO</t>
        </is>
      </c>
      <c r="I741" s="4" t="inlineStr">
        <is>
          <t>BBVA VISA · proyectado</t>
        </is>
      </c>
      <c r="J741" s="4" t="inlineStr">
        <is>
          <t>BBVA</t>
        </is>
      </c>
      <c r="K741" s="4" t="inlineStr">
        <is>
          <t>PROYECTADO · C.06/06 · cashflow cuotas BBVA · gasto personal Sol</t>
        </is>
      </c>
      <c r="L741" s="4" t="n">
        <v>575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ROPA</t>
        </is>
      </c>
      <c r="E742" s="4" t="inlineStr">
        <is>
          <t>ROPA</t>
        </is>
      </c>
      <c r="F742" s="5" t="n">
        <v>80834</v>
      </c>
      <c r="G742" s="16" t="n"/>
      <c r="H742" s="18" t="inlineStr">
        <is>
          <t>PROYECTADO</t>
        </is>
      </c>
      <c r="I742" s="4" t="inlineStr">
        <is>
          <t>BBVA MASTERCARD · proyectado</t>
        </is>
      </c>
      <c r="J742" s="4" t="inlineStr">
        <is>
          <t>BBVA</t>
        </is>
      </c>
      <c r="K742" s="4" t="inlineStr">
        <is>
          <t>PROYECTADO · C.06/06 · cashflow cuotas BBVA · gasto personal Sol</t>
        </is>
      </c>
      <c r="L742" s="4" t="n">
        <v>577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ROPA</t>
        </is>
      </c>
      <c r="E743" s="4" t="inlineStr">
        <is>
          <t>ROPA</t>
        </is>
      </c>
      <c r="F743" s="5" t="n">
        <v>284794</v>
      </c>
      <c r="G743" s="16" t="n"/>
      <c r="H743" s="18" t="inlineStr">
        <is>
          <t>PROYECTADO</t>
        </is>
      </c>
      <c r="I743" s="4" t="inlineStr">
        <is>
          <t>BBVA VISA · proyectado</t>
        </is>
      </c>
      <c r="J743" s="4" t="inlineStr">
        <is>
          <t>BBVA</t>
        </is>
      </c>
      <c r="K743" s="4" t="inlineStr">
        <is>
          <t>PROYECTADO · C.04/06 · cashflow cuotas BBVA · gasto personal Sol</t>
        </is>
      </c>
      <c r="L743" s="4" t="n">
        <v>582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ROPA</t>
        </is>
      </c>
      <c r="E744" s="4" t="inlineStr">
        <is>
          <t>ROPA</t>
        </is>
      </c>
      <c r="F744" s="5" t="n">
        <v>73600</v>
      </c>
      <c r="G744" s="16" t="n"/>
      <c r="H744" s="18" t="inlineStr">
        <is>
          <t>PROYECTADO</t>
        </is>
      </c>
      <c r="I744" s="4" t="inlineStr">
        <is>
          <t>BBVA MASTERCARD · proyectado</t>
        </is>
      </c>
      <c r="J744" s="4" t="inlineStr">
        <is>
          <t>BBVA</t>
        </is>
      </c>
      <c r="K744" s="4" t="inlineStr">
        <is>
          <t>PROYECTADO · C.04/06 · cashflow cuotas BBVA · gasto personal Sol</t>
        </is>
      </c>
      <c r="L744" s="4" t="n">
        <v>583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ROPA</t>
        </is>
      </c>
      <c r="E745" s="4" t="inlineStr">
        <is>
          <t>ROPA</t>
        </is>
      </c>
      <c r="F745" s="5" t="n">
        <v>36667</v>
      </c>
      <c r="G745" s="16" t="n"/>
      <c r="H745" s="18" t="inlineStr">
        <is>
          <t>PROYECTADO</t>
        </is>
      </c>
      <c r="I745" s="4" t="inlineStr">
        <is>
          <t>BBVA MASTERCARD · proyectado</t>
        </is>
      </c>
      <c r="J745" s="4" t="inlineStr">
        <is>
          <t>BBVA</t>
        </is>
      </c>
      <c r="K745" s="4" t="inlineStr">
        <is>
          <t>PROYECTADO · C.06/06 · cashflow cuotas BBVA · gasto personal Sol</t>
        </is>
      </c>
      <c r="L745" s="4" t="n">
        <v>584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ROPA</t>
        </is>
      </c>
      <c r="F746" s="5" t="n">
        <v>60917</v>
      </c>
      <c r="G746" s="16" t="n"/>
      <c r="H746" s="18" t="inlineStr">
        <is>
          <t>PROYECTADO</t>
        </is>
      </c>
      <c r="I746" s="4" t="inlineStr">
        <is>
          <t>BBVA VISA · proyectado</t>
        </is>
      </c>
      <c r="J746" s="4" t="inlineStr">
        <is>
          <t>BBVA</t>
        </is>
      </c>
      <c r="K746" s="4" t="inlineStr">
        <is>
          <t>PROYECTADO · C.06/12 · cashflow cuotas BBVA · gasto personal Sol</t>
        </is>
      </c>
      <c r="L746" s="4" t="n">
        <v>586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ROPA</t>
        </is>
      </c>
      <c r="E747" s="4" t="inlineStr">
        <is>
          <t>ROPA</t>
        </is>
      </c>
      <c r="F747" s="5" t="n">
        <v>69750</v>
      </c>
      <c r="G747" s="16" t="n"/>
      <c r="H747" s="18" t="inlineStr">
        <is>
          <t>PROYECTADO</t>
        </is>
      </c>
      <c r="I747" s="4" t="inlineStr">
        <is>
          <t>BBVA VISA · proyectado</t>
        </is>
      </c>
      <c r="J747" s="4" t="inlineStr">
        <is>
          <t>BBVA</t>
        </is>
      </c>
      <c r="K747" s="4" t="inlineStr">
        <is>
          <t>PROYECTADO · C.06/12 · cashflow cuotas BBVA · gasto personal Sol</t>
        </is>
      </c>
      <c r="L747" s="4" t="n">
        <v>587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ROPA</t>
        </is>
      </c>
      <c r="E748" s="4" t="inlineStr">
        <is>
          <t>VESTIMENTA</t>
        </is>
      </c>
      <c r="F748" s="5" t="n">
        <v>98334</v>
      </c>
      <c r="G748" s="16" t="n"/>
      <c r="H748" s="18" t="inlineStr">
        <is>
          <t>PROYECTADO</t>
        </is>
      </c>
      <c r="I748" s="4" t="inlineStr">
        <is>
          <t>BBVA VISA · proyectado</t>
        </is>
      </c>
      <c r="J748" s="4" t="inlineStr">
        <is>
          <t>BBVA</t>
        </is>
      </c>
      <c r="K748" s="4" t="inlineStr">
        <is>
          <t>ROPA · Bokenvoreno · PROYECTADO · C.06/06 · cashflow cuotas BBVA · gasto personal Sol</t>
        </is>
      </c>
      <c r="L748" s="4" t="n">
        <v>576</v>
      </c>
    </row>
    <row r="749">
      <c r="A749" s="15" t="n">
        <v>46354</v>
      </c>
      <c r="B749" s="4" t="inlineStr">
        <is>
          <t>2026-11</t>
        </is>
      </c>
      <c r="C749" s="4" t="inlineStr">
        <is>
          <t>Noviembre</t>
        </is>
      </c>
      <c r="D749" s="4" t="inlineStr">
        <is>
          <t>EVENTOS DEPORTIVOS - RIVER</t>
        </is>
      </c>
      <c r="E749" s="4" t="inlineStr">
        <is>
          <t>Eventos deportivos - River</t>
        </is>
      </c>
      <c r="F749" s="5" t="n">
        <v>169667</v>
      </c>
      <c r="G749" s="16" t="n"/>
      <c r="H749" s="18" t="inlineStr">
        <is>
          <t>PROYECTADO</t>
        </is>
      </c>
      <c r="I749" s="4" t="inlineStr">
        <is>
          <t>BBVA VISA · proyectado</t>
        </is>
      </c>
      <c r="J749" s="4" t="inlineStr">
        <is>
          <t>BBVA</t>
        </is>
      </c>
      <c r="K749" s="4" t="inlineStr">
        <is>
          <t>PROYECTADO · C.05/06 · cashflow cuotas BBVA · gasto personal Sol · Eventos deportivos - River</t>
        </is>
      </c>
      <c r="L749" s="4" t="n">
        <v>592</v>
      </c>
    </row>
    <row r="750">
      <c r="A750" s="15" t="n">
        <v>46354</v>
      </c>
      <c r="B750" s="4" t="inlineStr">
        <is>
          <t>2026-11</t>
        </is>
      </c>
      <c r="C750" s="4" t="inlineStr">
        <is>
          <t>Noviembre</t>
        </is>
      </c>
      <c r="D750" s="4" t="inlineStr">
        <is>
          <t>MERCADO LIBRE</t>
        </is>
      </c>
      <c r="E750" s="4" t="inlineStr">
        <is>
          <t>MERCADO LIBRE</t>
        </is>
      </c>
      <c r="F750" s="5" t="n">
        <v>12084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PROYECTADO · C.05/06 · cashflow cuotas BBVA · gasto personal Sol · ex `Mercado Libre · MERCADOLIBRE`</t>
        </is>
      </c>
      <c r="L750" s="4" t="n">
        <v>588</v>
      </c>
    </row>
    <row r="751">
      <c r="A751" s="15" t="n">
        <v>46354</v>
      </c>
      <c r="B751" s="4" t="inlineStr">
        <is>
          <t>2026-11</t>
        </is>
      </c>
      <c r="C751" s="4" t="inlineStr">
        <is>
          <t>Noviembre</t>
        </is>
      </c>
      <c r="D751" s="4" t="inlineStr">
        <is>
          <t>MERCADO LIBRE</t>
        </is>
      </c>
      <c r="E751" s="4" t="inlineStr">
        <is>
          <t>MERCADO LIBRE</t>
        </is>
      </c>
      <c r="F751" s="5" t="n">
        <v>275000</v>
      </c>
      <c r="G751" s="16" t="n"/>
      <c r="H751" s="18" t="inlineStr">
        <is>
          <t>PROYECTADO</t>
        </is>
      </c>
      <c r="I751" s="4" t="inlineStr">
        <is>
          <t>BBVA MASTERCARD · proyectado</t>
        </is>
      </c>
      <c r="J751" s="4" t="inlineStr">
        <is>
          <t>BBVA</t>
        </is>
      </c>
      <c r="K751" s="4" t="inlineStr">
        <is>
          <t>PROYECTADO · C.09/12 · cashflow cuotas BBVA · gasto personal Sol · ex `Mercado Libre · MERCADOLIBRE`</t>
        </is>
      </c>
      <c r="L751" s="4" t="n">
        <v>589</v>
      </c>
    </row>
    <row r="752">
      <c r="A752" s="15" t="n">
        <v>46354</v>
      </c>
      <c r="B752" s="4" t="inlineStr">
        <is>
          <t>2026-11</t>
        </is>
      </c>
      <c r="C752" s="4" t="inlineStr">
        <is>
          <t>Noviembre</t>
        </is>
      </c>
      <c r="D752" s="4" t="inlineStr">
        <is>
          <t>ROPA</t>
        </is>
      </c>
      <c r="E752" s="4" t="inlineStr">
        <is>
          <t>ROPA</t>
        </is>
      </c>
      <c r="F752" s="5" t="n">
        <v>284794</v>
      </c>
      <c r="G752" s="16" t="n"/>
      <c r="H752" s="18" t="inlineStr">
        <is>
          <t>PROYECTADO</t>
        </is>
      </c>
      <c r="I752" s="4" t="inlineStr">
        <is>
          <t>BBVA VISA · proyectado</t>
        </is>
      </c>
      <c r="J752" s="4" t="inlineStr">
        <is>
          <t>BBVA</t>
        </is>
      </c>
      <c r="K752" s="4" t="inlineStr">
        <is>
          <t>PROYECTADO · C.05/06 · cashflow cuotas BBVA · gasto personal Sol</t>
        </is>
      </c>
      <c r="L752" s="4" t="n">
        <v>590</v>
      </c>
    </row>
    <row r="753">
      <c r="A753" s="15" t="n">
        <v>46354</v>
      </c>
      <c r="B753" s="4" t="inlineStr">
        <is>
          <t>2026-11</t>
        </is>
      </c>
      <c r="C753" s="4" t="inlineStr">
        <is>
          <t>Noviembre</t>
        </is>
      </c>
      <c r="D753" s="4" t="inlineStr">
        <is>
          <t>ROPA</t>
        </is>
      </c>
      <c r="E753" s="4" t="inlineStr">
        <is>
          <t>ROPA</t>
        </is>
      </c>
      <c r="F753" s="5" t="n">
        <v>73600</v>
      </c>
      <c r="G753" s="16" t="n"/>
      <c r="H753" s="18" t="inlineStr">
        <is>
          <t>PROYECTADO</t>
        </is>
      </c>
      <c r="I753" s="4" t="inlineStr">
        <is>
          <t>BBVA MASTERCARD · proyectado</t>
        </is>
      </c>
      <c r="J753" s="4" t="inlineStr">
        <is>
          <t>BBVA</t>
        </is>
      </c>
      <c r="K753" s="4" t="inlineStr">
        <is>
          <t>PROYECTADO · C.05/06 · cashflow cuotas BBVA · gasto personal Sol</t>
        </is>
      </c>
      <c r="L753" s="4" t="n">
        <v>591</v>
      </c>
    </row>
    <row r="754">
      <c r="A754" s="15" t="n">
        <v>46354</v>
      </c>
      <c r="B754" s="4" t="inlineStr">
        <is>
          <t>2026-11</t>
        </is>
      </c>
      <c r="C754" s="4" t="inlineStr">
        <is>
          <t>Noviembre</t>
        </is>
      </c>
      <c r="D754" s="4" t="inlineStr">
        <is>
          <t>ROPA</t>
        </is>
      </c>
      <c r="E754" s="4" t="inlineStr">
        <is>
          <t>ROPA</t>
        </is>
      </c>
      <c r="F754" s="5" t="n">
        <v>60917</v>
      </c>
      <c r="G754" s="16" t="n"/>
      <c r="H754" s="18" t="inlineStr">
        <is>
          <t>PROYECTADO</t>
        </is>
      </c>
      <c r="I754" s="4" t="inlineStr">
        <is>
          <t>BBVA VISA · proyectado</t>
        </is>
      </c>
      <c r="J754" s="4" t="inlineStr">
        <is>
          <t>BBVA</t>
        </is>
      </c>
      <c r="K754" s="4" t="inlineStr">
        <is>
          <t>PROYECTADO · C.07/12 · cashflow cuotas BBVA · gasto personal Sol</t>
        </is>
      </c>
      <c r="L754" s="4" t="n">
        <v>593</v>
      </c>
    </row>
    <row r="755">
      <c r="A755" s="15" t="n">
        <v>46354</v>
      </c>
      <c r="B755" s="4" t="inlineStr">
        <is>
          <t>2026-11</t>
        </is>
      </c>
      <c r="C755" s="4" t="inlineStr">
        <is>
          <t>Noviembre</t>
        </is>
      </c>
      <c r="D755" s="4" t="inlineStr">
        <is>
          <t>ROPA</t>
        </is>
      </c>
      <c r="E755" s="4" t="inlineStr">
        <is>
          <t>ROPA</t>
        </is>
      </c>
      <c r="F755" s="5" t="n">
        <v>69750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C.07/12 · cashflow cuotas BBVA · gasto personal Sol</t>
        </is>
      </c>
      <c r="L755" s="4" t="n">
        <v>594</v>
      </c>
    </row>
    <row r="756">
      <c r="A756" s="15" t="n">
        <v>46384</v>
      </c>
      <c r="B756" s="4" t="inlineStr">
        <is>
          <t>2026-12</t>
        </is>
      </c>
      <c r="C756" s="4" t="inlineStr">
        <is>
          <t>Diciembre</t>
        </is>
      </c>
      <c r="D756" s="4" t="inlineStr">
        <is>
          <t>EVENTOS DEPORTIVOS - RIVER</t>
        </is>
      </c>
      <c r="E756" s="4" t="inlineStr">
        <is>
          <t>Eventos deportivos - River</t>
        </is>
      </c>
      <c r="F756" s="5" t="n">
        <v>169667</v>
      </c>
      <c r="G756" s="16" t="n"/>
      <c r="H756" s="18" t="inlineStr">
        <is>
          <t>PROYECTADO</t>
        </is>
      </c>
      <c r="I756" s="4" t="inlineStr">
        <is>
          <t>BBVA VISA · proyectado</t>
        </is>
      </c>
      <c r="J756" s="4" t="inlineStr">
        <is>
          <t>BBVA</t>
        </is>
      </c>
      <c r="K756" s="4" t="inlineStr">
        <is>
          <t>PROYECTADO · C.06/06 · cashflow cuotas BBVA · gasto personal Sol · Eventos deportivos - River</t>
        </is>
      </c>
      <c r="L756" s="4" t="n">
        <v>599</v>
      </c>
    </row>
    <row r="757">
      <c r="A757" s="15" t="n">
        <v>46384</v>
      </c>
      <c r="B757" s="4" t="inlineStr">
        <is>
          <t>2026-12</t>
        </is>
      </c>
      <c r="C757" s="4" t="inlineStr">
        <is>
          <t>Diciembre</t>
        </is>
      </c>
      <c r="D757" s="4" t="inlineStr">
        <is>
          <t>MERCADO LIBRE</t>
        </is>
      </c>
      <c r="E757" s="4" t="inlineStr">
        <is>
          <t>MERCADO LIBRE</t>
        </is>
      </c>
      <c r="F757" s="5" t="n">
        <v>12084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C.06/06 · cashflow cuotas BBVA · gasto personal Sol · ex `Mercado Libre · MERCADOLIBRE`</t>
        </is>
      </c>
      <c r="L757" s="4" t="n">
        <v>595</v>
      </c>
    </row>
    <row r="758">
      <c r="A758" s="15" t="n">
        <v>46384</v>
      </c>
      <c r="B758" s="4" t="inlineStr">
        <is>
          <t>2026-12</t>
        </is>
      </c>
      <c r="C758" s="4" t="inlineStr">
        <is>
          <t>Diciembre</t>
        </is>
      </c>
      <c r="D758" s="4" t="inlineStr">
        <is>
          <t>MERCADO LIBRE</t>
        </is>
      </c>
      <c r="E758" s="4" t="inlineStr">
        <is>
          <t>MERCADO LIBRE</t>
        </is>
      </c>
      <c r="F758" s="5" t="n">
        <v>275000</v>
      </c>
      <c r="G758" s="16" t="n"/>
      <c r="H758" s="18" t="inlineStr">
        <is>
          <t>PROYECTADO</t>
        </is>
      </c>
      <c r="I758" s="4" t="inlineStr">
        <is>
          <t>BBVA MASTERCARD · proyectado</t>
        </is>
      </c>
      <c r="J758" s="4" t="inlineStr">
        <is>
          <t>BBVA</t>
        </is>
      </c>
      <c r="K758" s="4" t="inlineStr">
        <is>
          <t>PROYECTADO · C.10/12 · cashflow cuotas BBVA · gasto personal Sol · ex `Mercado Libre · MERCADOLIBRE`</t>
        </is>
      </c>
      <c r="L758" s="4" t="n">
        <v>596</v>
      </c>
    </row>
    <row r="759">
      <c r="A759" s="15" t="n">
        <v>46384</v>
      </c>
      <c r="B759" s="4" t="inlineStr">
        <is>
          <t>2026-12</t>
        </is>
      </c>
      <c r="C759" s="4" t="inlineStr">
        <is>
          <t>Diciembre</t>
        </is>
      </c>
      <c r="D759" s="4" t="inlineStr">
        <is>
          <t>ROPA</t>
        </is>
      </c>
      <c r="E759" s="4" t="inlineStr">
        <is>
          <t>ROPA</t>
        </is>
      </c>
      <c r="F759" s="5" t="n">
        <v>284794</v>
      </c>
      <c r="G759" s="16" t="n"/>
      <c r="H759" s="18" t="inlineStr">
        <is>
          <t>PROYECTADO</t>
        </is>
      </c>
      <c r="I759" s="4" t="inlineStr">
        <is>
          <t>BBVA VISA · proyectado</t>
        </is>
      </c>
      <c r="J759" s="4" t="inlineStr">
        <is>
          <t>BBVA</t>
        </is>
      </c>
      <c r="K759" s="4" t="inlineStr">
        <is>
          <t>PROYECTADO · C.06/06 · cashflow cuotas BBVA · gasto personal Sol</t>
        </is>
      </c>
      <c r="L759" s="4" t="n">
        <v>597</v>
      </c>
    </row>
    <row r="760">
      <c r="A760" s="15" t="n">
        <v>46384</v>
      </c>
      <c r="B760" s="4" t="inlineStr">
        <is>
          <t>2026-12</t>
        </is>
      </c>
      <c r="C760" s="4" t="inlineStr">
        <is>
          <t>Diciembre</t>
        </is>
      </c>
      <c r="D760" s="4" t="inlineStr">
        <is>
          <t>ROPA</t>
        </is>
      </c>
      <c r="E760" s="4" t="inlineStr">
        <is>
          <t>ROPA</t>
        </is>
      </c>
      <c r="F760" s="5" t="n">
        <v>73600</v>
      </c>
      <c r="G760" s="16" t="n"/>
      <c r="H760" s="18" t="inlineStr">
        <is>
          <t>PROYECTADO</t>
        </is>
      </c>
      <c r="I760" s="4" t="inlineStr">
        <is>
          <t>BBVA MASTERCARD · proyectado</t>
        </is>
      </c>
      <c r="J760" s="4" t="inlineStr">
        <is>
          <t>BBVA</t>
        </is>
      </c>
      <c r="K760" s="4" t="inlineStr">
        <is>
          <t>PROYECTADO · C.06/06 · cashflow cuotas BBVA · gasto personal Sol</t>
        </is>
      </c>
      <c r="L760" s="4" t="n">
        <v>598</v>
      </c>
    </row>
    <row r="761">
      <c r="A761" s="15" t="n">
        <v>46384</v>
      </c>
      <c r="B761" s="4" t="inlineStr">
        <is>
          <t>2026-12</t>
        </is>
      </c>
      <c r="C761" s="4" t="inlineStr">
        <is>
          <t>Diciembre</t>
        </is>
      </c>
      <c r="D761" s="4" t="inlineStr">
        <is>
          <t>ROPA</t>
        </is>
      </c>
      <c r="E761" s="4" t="inlineStr">
        <is>
          <t>ROPA</t>
        </is>
      </c>
      <c r="F761" s="5" t="n">
        <v>60917</v>
      </c>
      <c r="G761" s="16" t="n"/>
      <c r="H761" s="18" t="inlineStr">
        <is>
          <t>PROYECTADO</t>
        </is>
      </c>
      <c r="I761" s="4" t="inlineStr">
        <is>
          <t>BBVA VISA · proyectado</t>
        </is>
      </c>
      <c r="J761" s="4" t="inlineStr">
        <is>
          <t>BBVA</t>
        </is>
      </c>
      <c r="K761" s="4" t="inlineStr">
        <is>
          <t>PROYECTADO · C.08/12 · cashflow cuotas BBVA · gasto personal Sol</t>
        </is>
      </c>
      <c r="L761" s="4" t="n">
        <v>600</v>
      </c>
    </row>
    <row r="762">
      <c r="A762" s="15" t="n">
        <v>46384</v>
      </c>
      <c r="B762" s="4" t="inlineStr">
        <is>
          <t>2026-12</t>
        </is>
      </c>
      <c r="C762" s="4" t="inlineStr">
        <is>
          <t>Diciembre</t>
        </is>
      </c>
      <c r="D762" s="4" t="inlineStr">
        <is>
          <t>ROPA</t>
        </is>
      </c>
      <c r="E762" s="4" t="inlineStr">
        <is>
          <t>ROPA</t>
        </is>
      </c>
      <c r="F762" s="5" t="n">
        <v>69750</v>
      </c>
      <c r="G762" s="16" t="n"/>
      <c r="H762" s="18" t="inlineStr">
        <is>
          <t>PROYECTADO</t>
        </is>
      </c>
      <c r="I762" s="4" t="inlineStr">
        <is>
          <t>BBVA VISA · proyectado</t>
        </is>
      </c>
      <c r="J762" s="4" t="inlineStr">
        <is>
          <t>BBVA</t>
        </is>
      </c>
      <c r="K762" s="4" t="inlineStr">
        <is>
          <t>PROYECTADO · C.08/12 · cashflow cuotas BBVA · gasto personal Sol</t>
        </is>
      </c>
      <c r="L762" s="4" t="n">
        <v>601</v>
      </c>
    </row>
    <row r="763">
      <c r="A763" s="15" t="n">
        <v>46415</v>
      </c>
      <c r="B763" s="4" t="inlineStr">
        <is>
          <t>2027-01</t>
        </is>
      </c>
      <c r="C763" s="4" t="inlineStr">
        <is>
          <t>Enero 2027</t>
        </is>
      </c>
      <c r="D763" s="4" t="inlineStr">
        <is>
          <t>MERCADO LIBRE</t>
        </is>
      </c>
      <c r="E763" s="4" t="inlineStr">
        <is>
          <t>MERCADO LIBRE</t>
        </is>
      </c>
      <c r="F763" s="5" t="n">
        <v>275000</v>
      </c>
      <c r="G763" s="16" t="n"/>
      <c r="H763" s="18" t="inlineStr">
        <is>
          <t>PROYECTADO</t>
        </is>
      </c>
      <c r="I763" s="4" t="inlineStr">
        <is>
          <t>BBVA MASTERCARD · proyectado</t>
        </is>
      </c>
      <c r="J763" s="4" t="inlineStr">
        <is>
          <t>BBVA</t>
        </is>
      </c>
      <c r="K763" s="4" t="inlineStr">
        <is>
          <t>PROYECTADO · C.11/12 · cashflow cuotas BBVA · gasto personal Sol · ex `Mercado Libre · MERCADOLIBRE`</t>
        </is>
      </c>
      <c r="L763" s="4" t="n">
        <v>602</v>
      </c>
    </row>
    <row r="764">
      <c r="A764" s="15" t="n">
        <v>46415</v>
      </c>
      <c r="B764" s="4" t="inlineStr">
        <is>
          <t>2027-01</t>
        </is>
      </c>
      <c r="C764" s="4" t="inlineStr">
        <is>
          <t>Enero 2027</t>
        </is>
      </c>
      <c r="D764" s="4" t="inlineStr">
        <is>
          <t>ROPA</t>
        </is>
      </c>
      <c r="E764" s="4" t="inlineStr">
        <is>
          <t>ROPA</t>
        </is>
      </c>
      <c r="F764" s="5" t="n">
        <v>60917</v>
      </c>
      <c r="G764" s="16" t="n"/>
      <c r="H764" s="18" t="inlineStr">
        <is>
          <t>PROYECTADO</t>
        </is>
      </c>
      <c r="I764" s="4" t="inlineStr">
        <is>
          <t>BBVA VISA · proyectado</t>
        </is>
      </c>
      <c r="J764" s="4" t="inlineStr">
        <is>
          <t>BBVA</t>
        </is>
      </c>
      <c r="K764" s="4" t="inlineStr">
        <is>
          <t>PROYECTADO · C.09/12 · cashflow cuotas BBVA · gasto personal Sol</t>
        </is>
      </c>
      <c r="L764" s="4" t="n">
        <v>603</v>
      </c>
    </row>
    <row r="765">
      <c r="A765" s="15" t="n">
        <v>46415</v>
      </c>
      <c r="B765" s="4" t="inlineStr">
        <is>
          <t>2027-01</t>
        </is>
      </c>
      <c r="C765" s="4" t="inlineStr">
        <is>
          <t>Enero 2027</t>
        </is>
      </c>
      <c r="D765" s="4" t="inlineStr">
        <is>
          <t>ROPA</t>
        </is>
      </c>
      <c r="E765" s="4" t="inlineStr">
        <is>
          <t>ROPA</t>
        </is>
      </c>
      <c r="F765" s="5" t="n">
        <v>69750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C.09/12 · cashflow cuotas BBVA · gasto personal Sol</t>
        </is>
      </c>
      <c r="L765" s="4" t="n">
        <v>604</v>
      </c>
    </row>
    <row r="766">
      <c r="A766" s="15" t="n">
        <v>46446</v>
      </c>
      <c r="B766" s="4" t="inlineStr">
        <is>
          <t>2027-02</t>
        </is>
      </c>
      <c r="C766" s="4" t="inlineStr">
        <is>
          <t>Febrero 2027</t>
        </is>
      </c>
      <c r="D766" s="4" t="inlineStr">
        <is>
          <t>MERCADO LIBRE</t>
        </is>
      </c>
      <c r="E766" s="4" t="inlineStr">
        <is>
          <t>MERCADO LIBRE</t>
        </is>
      </c>
      <c r="F766" s="5" t="n">
        <v>275000</v>
      </c>
      <c r="G766" s="16" t="n"/>
      <c r="H766" s="18" t="inlineStr">
        <is>
          <t>PROYECTADO</t>
        </is>
      </c>
      <c r="I766" s="4" t="inlineStr">
        <is>
          <t>BBVA MASTERCARD · proyectado</t>
        </is>
      </c>
      <c r="J766" s="4" t="inlineStr">
        <is>
          <t>BBVA</t>
        </is>
      </c>
      <c r="K766" s="4" t="inlineStr">
        <is>
          <t>PROYECTADO · C.12/12 · cashflow cuotas BBVA · gasto personal Sol · ex `Mercado Libre · MERCADOLIBRE`</t>
        </is>
      </c>
      <c r="L766" s="4" t="n">
        <v>605</v>
      </c>
    </row>
    <row r="767">
      <c r="A767" s="15" t="n">
        <v>46446</v>
      </c>
      <c r="B767" s="4" t="inlineStr">
        <is>
          <t>2027-02</t>
        </is>
      </c>
      <c r="C767" s="4" t="inlineStr">
        <is>
          <t>Febrero 2027</t>
        </is>
      </c>
      <c r="D767" s="4" t="inlineStr">
        <is>
          <t>ROPA</t>
        </is>
      </c>
      <c r="E767" s="4" t="inlineStr">
        <is>
          <t>ROPA</t>
        </is>
      </c>
      <c r="F767" s="5" t="n">
        <v>60917</v>
      </c>
      <c r="G767" s="16" t="n"/>
      <c r="H767" s="18" t="inlineStr">
        <is>
          <t>PROYECTADO</t>
        </is>
      </c>
      <c r="I767" s="4" t="inlineStr">
        <is>
          <t>BBVA VISA · proyectado</t>
        </is>
      </c>
      <c r="J767" s="4" t="inlineStr">
        <is>
          <t>BBVA</t>
        </is>
      </c>
      <c r="K767" s="4" t="inlineStr">
        <is>
          <t>PROYECTADO · C.10/12 · cashflow cuotas BBVA · gasto personal Sol</t>
        </is>
      </c>
      <c r="L767" s="4" t="n">
        <v>606</v>
      </c>
    </row>
    <row r="768">
      <c r="A768" s="15" t="n">
        <v>46446</v>
      </c>
      <c r="B768" s="4" t="inlineStr">
        <is>
          <t>2027-02</t>
        </is>
      </c>
      <c r="C768" s="4" t="inlineStr">
        <is>
          <t>Febrero 2027</t>
        </is>
      </c>
      <c r="D768" s="4" t="inlineStr">
        <is>
          <t>ROPA</t>
        </is>
      </c>
      <c r="E768" s="4" t="inlineStr">
        <is>
          <t>ROPA</t>
        </is>
      </c>
      <c r="F768" s="5" t="n">
        <v>69750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C.10/12 · cashflow cuotas BBVA · gasto personal Sol</t>
        </is>
      </c>
      <c r="L768" s="4" t="n">
        <v>607</v>
      </c>
    </row>
    <row r="769">
      <c r="A769" s="15" t="n">
        <v>46474</v>
      </c>
      <c r="B769" s="4" t="inlineStr">
        <is>
          <t>2027-03</t>
        </is>
      </c>
      <c r="C769" s="4" t="inlineStr">
        <is>
          <t>Marzo 2027</t>
        </is>
      </c>
      <c r="D769" s="4" t="inlineStr">
        <is>
          <t>ROPA</t>
        </is>
      </c>
      <c r="E769" s="4" t="inlineStr">
        <is>
          <t>ROPA</t>
        </is>
      </c>
      <c r="F769" s="5" t="n">
        <v>60917</v>
      </c>
      <c r="G769" s="16" t="n"/>
      <c r="H769" s="18" t="inlineStr">
        <is>
          <t>PROYECTADO</t>
        </is>
      </c>
      <c r="I769" s="4" t="inlineStr">
        <is>
          <t>BBVA VISA · proyectado</t>
        </is>
      </c>
      <c r="J769" s="4" t="inlineStr">
        <is>
          <t>BBVA</t>
        </is>
      </c>
      <c r="K769" s="4" t="inlineStr">
        <is>
          <t>PROYECTADO · C.11/12 · cashflow cuotas BBVA · gasto personal Sol</t>
        </is>
      </c>
      <c r="L769" s="4" t="n">
        <v>608</v>
      </c>
    </row>
    <row r="770">
      <c r="A770" s="15" t="n">
        <v>46474</v>
      </c>
      <c r="B770" s="4" t="inlineStr">
        <is>
          <t>2027-03</t>
        </is>
      </c>
      <c r="C770" s="4" t="inlineStr">
        <is>
          <t>Marzo 2027</t>
        </is>
      </c>
      <c r="D770" s="4" t="inlineStr">
        <is>
          <t>ROPA</t>
        </is>
      </c>
      <c r="E770" s="4" t="inlineStr">
        <is>
          <t>ROPA</t>
        </is>
      </c>
      <c r="F770" s="5" t="n">
        <v>69750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C.11/12 · cashflow cuotas BBVA · gasto personal Sol</t>
        </is>
      </c>
      <c r="L770" s="4" t="n">
        <v>609</v>
      </c>
    </row>
    <row r="771">
      <c r="A771" s="15" t="n">
        <v>46505</v>
      </c>
      <c r="B771" s="4" t="inlineStr">
        <is>
          <t>2027-04</t>
        </is>
      </c>
      <c r="C771" s="4" t="inlineStr">
        <is>
          <t>Abril 2027</t>
        </is>
      </c>
      <c r="D771" s="4" t="inlineStr">
        <is>
          <t>ROPA</t>
        </is>
      </c>
      <c r="E771" s="4" t="inlineStr">
        <is>
          <t>ROPA</t>
        </is>
      </c>
      <c r="F771" s="5" t="n">
        <v>60917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C.12/12 · cashflow cuotas BBVA · gasto personal Sol</t>
        </is>
      </c>
      <c r="L771" s="4" t="n">
        <v>610</v>
      </c>
    </row>
    <row r="772">
      <c r="A772" s="15" t="n">
        <v>46505</v>
      </c>
      <c r="B772" s="4" t="inlineStr">
        <is>
          <t>2027-04</t>
        </is>
      </c>
      <c r="C772" s="4" t="inlineStr">
        <is>
          <t>Abril 2027</t>
        </is>
      </c>
      <c r="D772" s="4" t="inlineStr">
        <is>
          <t>ROPA</t>
        </is>
      </c>
      <c r="E772" s="4" t="inlineStr">
        <is>
          <t>ROPA</t>
        </is>
      </c>
      <c r="F772" s="5" t="n">
        <v>69750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C.12/12 · cashflow cuotas BBVA · gasto personal Sol</t>
        </is>
      </c>
      <c r="L772" s="4" t="n">
        <v>611</v>
      </c>
    </row>
  </sheetData>
  <autoFilter ref="A1:L77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</sheetData>
  <autoFilter ref="A1:K2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pendiente factura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17" t="n"/>
      <c r="H252" s="4" t="inlineStr">
        <is>
          <t>Agosto 2026</t>
        </is>
      </c>
      <c r="I252" s="4" t="inlineStr">
        <is>
          <t>2026-08</t>
        </is>
      </c>
      <c r="J252" s="18" t="inlineStr">
        <is>
          <t>PENDIENTE</t>
        </is>
      </c>
      <c r="K252" s="4" t="inlineStr">
        <is>
          <t>Compromiso AVA · monto a confirmar · 50% Sol / 50% Chris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2" customWidth="1" min="4" max="4"/>
    <col width="12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51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52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47</v>
      </c>
    </row>
    <row r="5">
      <c r="A5" s="15" t="n">
        <v>46218</v>
      </c>
      <c r="B5" s="4" t="inlineStr">
        <is>
          <t>Julio</t>
        </is>
      </c>
      <c r="C5" s="4" t="inlineStr">
        <is>
          <t>Pago de resumen TC</t>
        </is>
      </c>
      <c r="D5" s="4" t="inlineStr">
        <is>
          <t>Tarjeta de crédito</t>
        </is>
      </c>
      <c r="E5" s="5" t="n">
        <v>576242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Pago de resumen · − · ceil 576241.18 · NUNCA almacén / no gasto nuevo</t>
        </is>
      </c>
      <c r="I5" s="4" t="n">
        <v>50</v>
      </c>
    </row>
    <row r="6">
      <c r="A6" s="15" t="n">
        <v>46218</v>
      </c>
      <c r="B6" s="4" t="inlineStr">
        <is>
          <t>Julio</t>
        </is>
      </c>
      <c r="C6" s="4" t="inlineStr">
        <is>
          <t>Reserva automática</t>
        </is>
      </c>
      <c r="D6" s="4" t="inlineStr">
        <is>
          <t>AVA</t>
        </is>
      </c>
      <c r="E6" s="5" t="n">
        <v>500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Reserva automática · − · NUNCA almacén</t>
        </is>
      </c>
      <c r="I6" s="4" t="n">
        <v>48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Susi</t>
        </is>
      </c>
      <c r="E7" s="5" t="n">
        <v>3000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49</v>
      </c>
    </row>
    <row r="8">
      <c r="A8" s="15" t="n">
        <v>46219</v>
      </c>
      <c r="B8" s="4" t="inlineStr">
        <is>
          <t>Julio</t>
        </is>
      </c>
      <c r="C8" s="4" t="inlineStr">
        <is>
          <t>Dinero reservado</t>
        </is>
      </c>
      <c r="D8" s="4" t="inlineStr">
        <is>
          <t>Susi</t>
        </is>
      </c>
      <c r="E8" s="5" t="n">
        <v>488004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Dinero reservado · − · ceil 488003.27 · NUNCA almacén</t>
        </is>
      </c>
      <c r="I8" s="4" t="n">
        <v>46</v>
      </c>
    </row>
    <row r="9">
      <c r="A9" s="15" t="n">
        <v>46220</v>
      </c>
      <c r="B9" s="4" t="inlineStr">
        <is>
          <t>Julio</t>
        </is>
      </c>
      <c r="C9" s="4" t="inlineStr">
        <is>
          <t>Dinero retirado</t>
        </is>
      </c>
      <c r="D9" s="4" t="inlineStr">
        <is>
          <t>Susi</t>
        </is>
      </c>
      <c r="E9" s="5" t="n">
        <v>30000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retirado · + · 14:32</t>
        </is>
      </c>
      <c r="I9" s="4" t="n">
        <v>43</v>
      </c>
    </row>
    <row r="10">
      <c r="A10" s="15" t="n">
        <v>46220</v>
      </c>
      <c r="B10" s="4" t="inlineStr">
        <is>
          <t>Julio</t>
        </is>
      </c>
      <c r="C10" s="4" t="inlineStr">
        <is>
          <t>Reserva automática</t>
        </is>
      </c>
      <c r="D10" s="4" t="inlineStr">
        <is>
          <t>AVA</t>
        </is>
      </c>
      <c r="E10" s="5" t="n">
        <v>500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Reserva automática · − · NUNCA almacén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Susi</t>
        </is>
      </c>
      <c r="E11" s="5" t="n">
        <v>3000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18:17 · NUNCA almacén</t>
        </is>
      </c>
      <c r="I11" s="4" t="n">
        <v>42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44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AVA</t>
        </is>
      </c>
      <c r="E13" s="5" t="n">
        <v>500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17:15 · NUNCA almacén</t>
        </is>
      </c>
      <c r="I13" s="4" t="n">
        <v>45</v>
      </c>
    </row>
    <row r="14">
      <c r="A14" s="15" t="n">
        <v>46221</v>
      </c>
      <c r="B14" s="4" t="inlineStr">
        <is>
          <t>Julio</t>
        </is>
      </c>
      <c r="C14" s="4" t="inlineStr">
        <is>
          <t>Dinero reservado</t>
        </is>
      </c>
      <c r="D14" s="4" t="inlineStr">
        <is>
          <t>Susi</t>
        </is>
      </c>
      <c r="E14" s="5" t="n">
        <v>5654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Dinero reservado · − · ceil 5653.97 · NUNCA almacén</t>
        </is>
      </c>
      <c r="I14" s="4" t="n">
        <v>30</v>
      </c>
    </row>
    <row r="15">
      <c r="A15" s="15" t="n">
        <v>46221</v>
      </c>
      <c r="B15" s="4" t="inlineStr">
        <is>
          <t>Julio</t>
        </is>
      </c>
      <c r="C15" s="4" t="inlineStr">
        <is>
          <t>Dinero retirado</t>
        </is>
      </c>
      <c r="D15" s="4" t="inlineStr">
        <is>
          <t>Palermo</t>
        </is>
      </c>
      <c r="E15" s="5" t="n">
        <v>593000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retirado · + · financió transferencia Analia Roay</t>
        </is>
      </c>
      <c r="I15" s="4" t="n">
        <v>27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Gastos</t>
        </is>
      </c>
      <c r="E16" s="5" t="n">
        <v>845</v>
      </c>
      <c r="F16" s="4" t="inlineStr">
        <is>
          <t>USD</t>
        </is>
      </c>
      <c r="G16" s="4" t="inlineStr">
        <is>
          <t>Mercado Pago</t>
        </is>
      </c>
      <c r="H16" s="4" t="inlineStr">
        <is>
          <t>Dinero retirado · + US$844.37 → ceil 845</t>
        </is>
      </c>
      <c r="I16" s="4" t="n">
        <v>29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Susi</t>
        </is>
      </c>
      <c r="E17" s="5" t="n">
        <v>120000</v>
      </c>
      <c r="F17" s="4" t="inlineStr">
        <is>
          <t>ARS</t>
        </is>
      </c>
      <c r="G17" s="4" t="inlineStr">
        <is>
          <t>Mercado Pago</t>
        </is>
      </c>
      <c r="H17" s="4" t="inlineStr">
        <is>
          <t>Dinero retirado · +</t>
        </is>
      </c>
      <c r="I17" s="4" t="n">
        <v>33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AVA</t>
        </is>
      </c>
      <c r="E18" s="5" t="n">
        <v>36813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 · ceil 36812.97</t>
        </is>
      </c>
      <c r="I18" s="4" t="n">
        <v>34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Susi</t>
        </is>
      </c>
      <c r="E19" s="5" t="n">
        <v>1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</t>
        </is>
      </c>
      <c r="I19" s="4" t="n">
        <v>35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147660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 · pareado pago deuda / Susana</t>
        </is>
      </c>
      <c r="I20" s="4" t="n">
        <v>37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60000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60k</t>
        </is>
      </c>
      <c r="I21" s="4" t="n">
        <v>39</v>
      </c>
    </row>
    <row r="22">
      <c r="A22" s="15" t="n">
        <v>46221</v>
      </c>
      <c r="B22" s="4" t="inlineStr">
        <is>
          <t>Julio</t>
        </is>
      </c>
      <c r="C22" s="4" t="inlineStr">
        <is>
          <t>Inversión</t>
        </is>
      </c>
      <c r="D22" s="4" t="inlineStr">
        <is>
          <t>Venta de dólares</t>
        </is>
      </c>
      <c r="E22" s="5" t="n">
        <v>1261633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Venta de dólares · + · en proceso · ceil 1261632.32</t>
        </is>
      </c>
      <c r="I22" s="4" t="n">
        <v>28</v>
      </c>
    </row>
    <row r="23">
      <c r="A23" s="15" t="n">
        <v>46221</v>
      </c>
      <c r="B23" s="4" t="inlineStr">
        <is>
          <t>Julio</t>
        </is>
      </c>
      <c r="C23" s="4" t="inlineStr">
        <is>
          <t>Pago de deuda MP</t>
        </is>
      </c>
      <c r="D23" s="4" t="inlineStr">
        <is>
          <t>Mercado Pago</t>
        </is>
      </c>
      <c r="E23" s="5" t="n">
        <v>147660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Pago de deuda · − · pareado con retiro Susi 147660 · NUNCA almacén</t>
        </is>
      </c>
      <c r="I23" s="4" t="n">
        <v>36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60000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NUNCA almacén</t>
        </is>
      </c>
      <c r="I24" s="4" t="n">
        <v>38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966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ceil 965.70 · NUNCA almacén</t>
        </is>
      </c>
      <c r="I25" s="4" t="n">
        <v>40</v>
      </c>
    </row>
    <row r="26">
      <c r="A26" s="15" t="n">
        <v>46221</v>
      </c>
      <c r="B26" s="4" t="inlineStr">
        <is>
          <t>Julio</t>
        </is>
      </c>
      <c r="C26" s="4" t="inlineStr">
        <is>
          <t>Reserva automática</t>
        </is>
      </c>
      <c r="D26" s="4" t="inlineStr">
        <is>
          <t>AVA</t>
        </is>
      </c>
      <c r="E26" s="5" t="n">
        <v>500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Reserva automática · − · NUNCA almacén</t>
        </is>
      </c>
      <c r="I26" s="4" t="n">
        <v>31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Susi</t>
        </is>
      </c>
      <c r="E27" s="5" t="n">
        <v>3000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32</v>
      </c>
    </row>
    <row r="28">
      <c r="A28" s="15" t="n">
        <v>46222</v>
      </c>
      <c r="B28" s="4" t="inlineStr">
        <is>
          <t>Julio</t>
        </is>
      </c>
      <c r="C28" s="4" t="inlineStr">
        <is>
          <t>Dinero retirado</t>
        </is>
      </c>
      <c r="D28" s="4" t="inlineStr">
        <is>
          <t>Susi</t>
        </is>
      </c>
      <c r="E28" s="5" t="n">
        <v>15000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Dinero retirado · + · financió transferencia Matias Aranda</t>
        </is>
      </c>
      <c r="I28" s="4" t="n">
        <v>26</v>
      </c>
    </row>
    <row r="29">
      <c r="A29" s="15" t="n">
        <v>46232</v>
      </c>
      <c r="B29" s="4" t="inlineStr">
        <is>
          <t>Julio</t>
        </is>
      </c>
      <c r="C29" s="4" t="inlineStr">
        <is>
          <t>Inversión</t>
        </is>
      </c>
      <c r="D29" s="4" t="inlineStr">
        <is>
          <t>Banco MP · Christian</t>
        </is>
      </c>
      <c r="E29" s="5" t="n">
        <v>10000000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Inversión · − · único stock banco MP · Christian · 21% anual · instruido Sol 2026-08-03</t>
        </is>
      </c>
      <c r="I29" s="4" t="n">
        <v>24</v>
      </c>
    </row>
    <row r="30">
      <c r="A30" s="15" t="n">
        <v>46232</v>
      </c>
      <c r="B30" s="4" t="inlineStr">
        <is>
          <t>Julio</t>
        </is>
      </c>
      <c r="C30" s="4" t="inlineStr">
        <is>
          <t>Inversión</t>
        </is>
      </c>
      <c r="D30" s="4" t="inlineStr">
        <is>
          <t>Banco MP · Sol</t>
        </is>
      </c>
      <c r="E30" s="5" t="n">
        <v>3000000</v>
      </c>
      <c r="F30" s="4" t="inlineStr">
        <is>
          <t>ARS</t>
        </is>
      </c>
      <c r="G30" s="4" t="inlineStr">
        <is>
          <t>Mercado Pago</t>
        </is>
      </c>
      <c r="H30" s="4" t="inlineStr">
        <is>
          <t>Inversión · − · único stock banco MP · Sol · 21% anual · instruido Sol 2026-08-03</t>
        </is>
      </c>
      <c r="I30" s="4" t="n">
        <v>25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0.0007381446249527365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7</v>
      </c>
      <c r="E6" s="5" t="n">
        <v>19595145</v>
      </c>
      <c r="F6" s="20" t="n">
        <v>0.2390949823443176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0.001830774375025349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80</v>
      </c>
      <c r="E8" s="5" t="n">
        <v>1644749</v>
      </c>
      <c r="F8" s="20" t="n">
        <v>0.02006880955031637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0.005682218898249689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0.005893443323451058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0.01366672424263884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0.006581036114679037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0.002522100900532782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0.0007589486019019788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0.005698215387270484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0.002068317966373062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0.002323212440548823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0.004345249184301078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0.002916790778759845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0.009223580450089221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0.04880698404514334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0.0006852622577398237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0.07374178889603043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0.001466076388494027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0.01013879681315774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0.03606559141301637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0.004866385756443096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0.001883949584142533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0.009794024277862846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1</v>
      </c>
      <c r="E32" s="5" t="n">
        <v>53037</v>
      </c>
      <c r="F32" s="20" t="n">
        <v>0.0006471440032005668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0.08122720622331997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0.0214712172281235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0.009613804489276154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0.02512854417405429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0.0001574025235455873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72</v>
      </c>
      <c r="E38" s="5" t="n">
        <v>2678261</v>
      </c>
      <c r="F38" s="20" t="n">
        <v>0.03267946047393241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0.001713735227285095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170</v>
      </c>
      <c r="E41" s="5" t="n">
        <v>883220</v>
      </c>
      <c r="F41" s="20" t="n">
        <v>0.01077682611208788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0.0080115810187882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0.01183868305872002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14</v>
      </c>
      <c r="E44" s="5" t="n">
        <v>5153796</v>
      </c>
      <c r="F44" s="20" t="n">
        <v>0.06288530978598089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679</v>
      </c>
      <c r="C7" s="4" t="inlineStr">
        <is>
          <t>ARS 79,468,033</t>
        </is>
      </c>
    </row>
    <row r="8">
      <c r="A8" s="4" t="inlineStr">
        <is>
          <t>Movimientos Almacén Sol</t>
        </is>
      </c>
      <c r="B8" s="4" t="n">
        <v>221</v>
      </c>
      <c r="C8" s="4" t="inlineStr">
        <is>
          <t>ARS 8,234,788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24,724,731 · AVA PENDIENTE 23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2026-08-03T12:01:25Z</dcterms:created>
  <dcterms:modified xsi:type="dcterms:W3CDTF">2026-08-03T12:01:25Z</dcterms:modified>
</cp:coreProperties>
</file>
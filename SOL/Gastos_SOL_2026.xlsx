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Sol'!$A$1:$O$905</definedName>
    <definedName name="_xlnm._FilterDatabase" localSheetId="2" hidden="1">'Gastos Personales'!$A$1:$L$775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5" headerRowCount="1">
  <autoFilter ref="A1:O905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5" headerRowCount="1">
  <autoFilter ref="A1:L775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1" headerRowCount="1">
  <autoFilter ref="A1:I3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73804979</v>
      </c>
      <c r="C5" s="4" t="inlineStr">
        <is>
          <t>668 movimientos</t>
        </is>
      </c>
    </row>
    <row r="6">
      <c r="A6" s="4" t="inlineStr">
        <is>
          <t>Almacén Sol real 2026</t>
        </is>
      </c>
      <c r="B6" s="5" t="n">
        <v>8292388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82097367</v>
      </c>
      <c r="C7" s="4" t="inlineStr">
        <is>
          <t>890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4563633</v>
      </c>
      <c r="C12" s="4" t="inlineStr">
        <is>
          <t>30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11409611</v>
      </c>
      <c r="C21" s="5" t="n">
        <v>642671</v>
      </c>
      <c r="D21" s="5" t="n">
        <v>12052282</v>
      </c>
      <c r="E21" s="5" t="n">
        <v>1564269</v>
      </c>
      <c r="F21" s="5" t="n">
        <v>13616551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46224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Todo Tartas</t>
        </is>
      </c>
      <c r="H902" s="5" t="n">
        <v>57600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MP · panadería · ex `Todo Tartas`</t>
        </is>
      </c>
      <c r="N902" s="4" t="inlineStr">
        <is>
          <t>CIUDAD / Almacen Detalle</t>
        </is>
      </c>
      <c r="O902" s="4" t="n">
        <v>288</v>
      </c>
    </row>
    <row r="903">
      <c r="A903" s="4" t="n">
        <v>902</v>
      </c>
      <c r="B903" s="15" t="n">
        <v>46224</v>
      </c>
      <c r="C903" s="4" t="inlineStr">
        <is>
          <t>2026-07</t>
        </is>
      </c>
      <c r="D903" s="4" t="inlineStr">
        <is>
          <t>Julio</t>
        </is>
      </c>
      <c r="E903" s="4" t="inlineStr">
        <is>
          <t>GASTO PERSONAL</t>
        </is>
      </c>
      <c r="F903" s="4" t="inlineStr">
        <is>
          <t>COMPRAS</t>
        </is>
      </c>
      <c r="G903" s="4" t="inlineStr">
        <is>
          <t>COMPRAS</t>
        </is>
      </c>
      <c r="H903" s="5" t="n">
        <v>78167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COMPRAS · Zilver SA · ceil desde $78.166,50 · personal · gasto personal Sol</t>
        </is>
      </c>
      <c r="N903" s="4" t="inlineStr">
        <is>
          <t>CIUDAD / Gasto Personal Sol</t>
        </is>
      </c>
      <c r="O903" s="4" t="n">
        <v>831</v>
      </c>
    </row>
    <row r="904">
      <c r="A904" s="4" t="n">
        <v>903</v>
      </c>
      <c r="B904" s="15" t="n">
        <v>46226</v>
      </c>
      <c r="C904" s="4" t="inlineStr">
        <is>
          <t>2026-07</t>
        </is>
      </c>
      <c r="D904" s="4" t="inlineStr">
        <is>
          <t>Julio</t>
        </is>
      </c>
      <c r="E904" s="4" t="inlineStr">
        <is>
          <t>GASTO PERSONAL</t>
        </is>
      </c>
      <c r="F904" s="4" t="inlineStr">
        <is>
          <t>TRANSPORTE</t>
        </is>
      </c>
      <c r="G904" s="4" t="inlineStr">
        <is>
          <t>TRANSPORTE · Uber</t>
        </is>
      </c>
      <c r="H904" s="5" t="n">
        <v>54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TRANSPORTE · Uber · Ebanx (=Uber) · gasto personal Sol</t>
        </is>
      </c>
      <c r="N904" s="4" t="inlineStr">
        <is>
          <t>CIUDAD / Gasto Personal Sol</t>
        </is>
      </c>
      <c r="O904" s="4" t="n">
        <v>829</v>
      </c>
    </row>
    <row r="905">
      <c r="A905" s="4" t="n">
        <v>904</v>
      </c>
      <c r="B905" s="15" t="n">
        <v>46226</v>
      </c>
      <c r="C905" s="4" t="inlineStr">
        <is>
          <t>2026-07</t>
        </is>
      </c>
      <c r="D905" s="4" t="inlineStr">
        <is>
          <t>Julio</t>
        </is>
      </c>
      <c r="E905" s="4" t="inlineStr">
        <is>
          <t>GASTO PERSONAL</t>
        </is>
      </c>
      <c r="F905" s="4" t="inlineStr">
        <is>
          <t>TRANSPORTE</t>
        </is>
      </c>
      <c r="G905" s="4" t="inlineStr">
        <is>
          <t>TRANSPORTE · Uber</t>
        </is>
      </c>
      <c r="H905" s="5" t="n">
        <v>6062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TRANSPORTE · Uber · Ebanx (=Uber) · gasto personal Sol</t>
        </is>
      </c>
      <c r="N905" s="4" t="inlineStr">
        <is>
          <t>CIUDAD / Gasto Personal Sol</t>
        </is>
      </c>
      <c r="O905" s="4" t="n">
        <v>830</v>
      </c>
    </row>
  </sheetData>
  <autoFilter ref="A1:O90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46224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COMPRAS</t>
        </is>
      </c>
      <c r="E683" s="4" t="inlineStr">
        <is>
          <t>COMPRAS</t>
        </is>
      </c>
      <c r="F683" s="5" t="n">
        <v>78167</v>
      </c>
      <c r="G683" s="16" t="n"/>
      <c r="H683" s="4" t="inlineStr">
        <is>
          <t>REAL</t>
        </is>
      </c>
      <c r="I683" s="4" t="inlineStr">
        <is>
          <t>Mercado Pago</t>
        </is>
      </c>
      <c r="J683" s="4" t="inlineStr">
        <is>
          <t>Mercado Pago</t>
        </is>
      </c>
      <c r="K683" s="4" t="inlineStr">
        <is>
          <t>COMPRAS · Zilver SA · ceil desde $78.166,50 · personal · gasto personal Sol</t>
        </is>
      </c>
      <c r="L683" s="4" t="n">
        <v>831</v>
      </c>
    </row>
    <row r="684">
      <c r="A684" s="15" t="n">
        <v>46226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TRANSPORTE</t>
        </is>
      </c>
      <c r="E684" s="4" t="inlineStr">
        <is>
          <t>TRANSPORTE · Uber</t>
        </is>
      </c>
      <c r="F684" s="5" t="n">
        <v>54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TRANSPORTE · Uber · Ebanx (=Uber) · gasto personal Sol</t>
        </is>
      </c>
      <c r="L684" s="4" t="n">
        <v>829</v>
      </c>
    </row>
    <row r="685">
      <c r="A685" s="15" t="n">
        <v>46226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TRANSPORTE</t>
        </is>
      </c>
      <c r="E685" s="4" t="inlineStr">
        <is>
          <t>TRANSPORTE · Uber</t>
        </is>
      </c>
      <c r="F685" s="5" t="n">
        <v>6062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TRANSPORTE · Uber · Ebanx (=Uber) · gasto personal Sol</t>
        </is>
      </c>
      <c r="L685" s="4" t="n">
        <v>830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HOGAR</t>
        </is>
      </c>
      <c r="E686" s="4" t="inlineStr">
        <is>
          <t>HOGAR</t>
        </is>
      </c>
      <c r="F686" s="5" t="n">
        <v>329986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C.03/03 · cashflow cuotas BBVA · gasto personal Sol · ex `CAMBIODEAIRES`</t>
        </is>
      </c>
      <c r="L686" s="4" t="n">
        <v>524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HOGAR</t>
        </is>
      </c>
      <c r="E687" s="4" t="inlineStr">
        <is>
          <t>HOGAR</t>
        </is>
      </c>
      <c r="F687" s="5" t="n">
        <v>18334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HOGAR · Stanley · PROYECTADO · C.04/06 · cashflow cuotas BBVA · gasto personal Sol</t>
        </is>
      </c>
      <c r="L687" s="4" t="n">
        <v>534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MERCADO LIBRE</t>
        </is>
      </c>
      <c r="E688" s="4" t="inlineStr">
        <is>
          <t>MERCADO LIBRE</t>
        </is>
      </c>
      <c r="F688" s="5" t="n">
        <v>275000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PROYECTADO · C.05/12 · cashflow cuotas BBVA · gasto personal Sol · ex `Mercado Libre · MERCADOLIBRE`</t>
        </is>
      </c>
      <c r="L688" s="4" t="n">
        <v>527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MERCADO LIBRE</t>
        </is>
      </c>
      <c r="E689" s="4" t="inlineStr">
        <is>
          <t>MERCADO LIBRE</t>
        </is>
      </c>
      <c r="F689" s="5" t="n">
        <v>17360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C.06/09 · cashflow cuotas BBVA · gasto personal Sol · ex `Mercado Libre · MERCADOLIBRE`</t>
        </is>
      </c>
      <c r="L689" s="4" t="n">
        <v>528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16950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C.06/09 · cashflow cuotas BBVA · gasto personal Sol · ex `Mercado Libre · MERCADOLIBRE`</t>
        </is>
      </c>
      <c r="L690" s="4" t="n">
        <v>529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124667</v>
      </c>
      <c r="G691" s="16" t="n"/>
      <c r="H691" s="18" t="inlineStr">
        <is>
          <t>PROYECTADO</t>
        </is>
      </c>
      <c r="I691" s="4" t="inlineStr">
        <is>
          <t>BBVA VISA · proyectado</t>
        </is>
      </c>
      <c r="J691" s="4" t="inlineStr">
        <is>
          <t>BBVA</t>
        </is>
      </c>
      <c r="K691" s="4" t="inlineStr">
        <is>
          <t>PROYECTADO · C.03/06 · cashflow cuotas BBVA · gasto personal Sol</t>
        </is>
      </c>
      <c r="L691" s="4" t="n">
        <v>522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80834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525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95984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ROPA · Monofuk · PROYECTADO · C.04/06 · cashflow cuotas BBVA · gasto personal Sol</t>
        </is>
      </c>
      <c r="L693" s="4" t="n">
        <v>530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73333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531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36667</v>
      </c>
      <c r="G695" s="16" t="n"/>
      <c r="H695" s="18" t="inlineStr">
        <is>
          <t>PROYECTADO</t>
        </is>
      </c>
      <c r="I695" s="4" t="inlineStr">
        <is>
          <t>BBVA MASTERCARD · proyectado</t>
        </is>
      </c>
      <c r="J695" s="4" t="inlineStr">
        <is>
          <t>BBVA</t>
        </is>
      </c>
      <c r="K695" s="4" t="inlineStr">
        <is>
          <t>PROYECTADO · C.03/06 · cashflow cuotas BBVA · gasto personal Sol</t>
        </is>
      </c>
      <c r="L695" s="4" t="n">
        <v>533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84216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535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ROPA</t>
        </is>
      </c>
      <c r="F697" s="5" t="n">
        <v>60917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C.03/12 · cashflow cuotas BBVA · gasto personal Sol</t>
        </is>
      </c>
      <c r="L697" s="4" t="n">
        <v>536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ROPA</t>
        </is>
      </c>
      <c r="E698" s="4" t="inlineStr">
        <is>
          <t>ROPA</t>
        </is>
      </c>
      <c r="F698" s="5" t="n">
        <v>69750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C.03/12 · cashflow cuotas BBVA · gasto personal Sol</t>
        </is>
      </c>
      <c r="L698" s="4" t="n">
        <v>537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ROPA</t>
        </is>
      </c>
      <c r="F699" s="5" t="n">
        <v>40004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C.03/03 · cashflow cuotas BBVA · gasto personal Sol</t>
        </is>
      </c>
      <c r="L699" s="4" t="n">
        <v>538</v>
      </c>
    </row>
    <row r="700">
      <c r="A700" s="15" t="n">
        <v>46231</v>
      </c>
      <c r="B700" s="4" t="inlineStr">
        <is>
          <t>2026-07</t>
        </is>
      </c>
      <c r="C700" s="4" t="inlineStr">
        <is>
          <t>Julio</t>
        </is>
      </c>
      <c r="D700" s="4" t="inlineStr">
        <is>
          <t>SALUD</t>
        </is>
      </c>
      <c r="E700" s="4" t="inlineStr">
        <is>
          <t>SALUD</t>
        </is>
      </c>
      <c r="F700" s="5" t="n">
        <v>54033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SALUD · Laboratorio · PROYECTADO · C.04/06 · cashflow cuotas BBVA · gasto personal Sol</t>
        </is>
      </c>
      <c r="L700" s="4" t="n">
        <v>526</v>
      </c>
    </row>
    <row r="701">
      <c r="A701" s="15" t="n">
        <v>46231</v>
      </c>
      <c r="B701" s="4" t="inlineStr">
        <is>
          <t>2026-07</t>
        </is>
      </c>
      <c r="C701" s="4" t="inlineStr">
        <is>
          <t>Julio</t>
        </is>
      </c>
      <c r="D701" s="4" t="inlineStr">
        <is>
          <t>SALUD · Vitaminas</t>
        </is>
      </c>
      <c r="E701" s="4" t="inlineStr">
        <is>
          <t>SALUD · Vitaminas</t>
        </is>
      </c>
      <c r="F701" s="5" t="n">
        <v>87900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SALUD · Vitaminas · Promarine · BBVA · C.04/06 · gasto personal Sol</t>
        </is>
      </c>
      <c r="L701" s="4" t="n">
        <v>532</v>
      </c>
    </row>
    <row r="702">
      <c r="A702" s="15" t="n">
        <v>46231</v>
      </c>
      <c r="B702" s="4" t="inlineStr">
        <is>
          <t>2026-07</t>
        </is>
      </c>
      <c r="C702" s="4" t="inlineStr">
        <is>
          <t>Julio</t>
        </is>
      </c>
      <c r="D702" s="4" t="inlineStr">
        <is>
          <t>ROPA</t>
        </is>
      </c>
      <c r="E702" s="4" t="inlineStr">
        <is>
          <t>VESTIMENTA</t>
        </is>
      </c>
      <c r="F702" s="5" t="n">
        <v>98334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ROPA · Bokenvoreno · PROYECTADO · C.03/06 · cashflow cuotas BBVA · gasto personal Sol</t>
        </is>
      </c>
      <c r="L702" s="4" t="n">
        <v>523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EVENTOS DEPORTIVOS - RIVER</t>
        </is>
      </c>
      <c r="E703" s="4" t="inlineStr">
        <is>
          <t>Eventos deportivos - River</t>
        </is>
      </c>
      <c r="F703" s="5" t="n">
        <v>169667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Eventos deportivos - River</t>
        </is>
      </c>
      <c r="L703" s="4" t="n">
        <v>554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HOGAR</t>
        </is>
      </c>
      <c r="E704" s="4" t="inlineStr">
        <is>
          <t>HOGAR</t>
        </is>
      </c>
      <c r="F704" s="5" t="n">
        <v>18334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HOGAR · Stanley · PROYECTADO · C.05/06 · cashflow cuotas BBVA · gasto personal Sol</t>
        </is>
      </c>
      <c r="L704" s="4" t="n">
        <v>553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12084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PROYECTADO · C.02/06 · cashflow cuotas BBVA · gasto personal Sol · ex `Mercado Libre · MERCADOLIBRE`</t>
        </is>
      </c>
      <c r="L705" s="4" t="n">
        <v>544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275000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C.06/12 · cashflow cuotas BBVA · gasto personal Sol · ex `Mercado Libre · MERCADOLIBRE`</t>
        </is>
      </c>
      <c r="L706" s="4" t="n">
        <v>545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MERCADO LIBRE</t>
        </is>
      </c>
      <c r="E707" s="4" t="inlineStr">
        <is>
          <t>MERCADO LIBRE</t>
        </is>
      </c>
      <c r="F707" s="5" t="n">
        <v>17360</v>
      </c>
      <c r="G707" s="16" t="n"/>
      <c r="H707" s="18" t="inlineStr">
        <is>
          <t>PROYECTADO</t>
        </is>
      </c>
      <c r="I707" s="4" t="inlineStr">
        <is>
          <t>BBVA MASTERCARD · proyectado</t>
        </is>
      </c>
      <c r="J707" s="4" t="inlineStr">
        <is>
          <t>BBVA</t>
        </is>
      </c>
      <c r="K707" s="4" t="inlineStr">
        <is>
          <t>PROYECTADO · C.07/09 · cashflow cuotas BBVA · gasto personal Sol · ex `Mercado Libre · MERCADOLIBRE`</t>
        </is>
      </c>
      <c r="L707" s="4" t="n">
        <v>546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MERCADO LIBRE</t>
        </is>
      </c>
      <c r="E708" s="4" t="inlineStr">
        <is>
          <t>MERCADO LIBRE</t>
        </is>
      </c>
      <c r="F708" s="5" t="n">
        <v>16950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C.07/09 · cashflow cuotas BBVA · gasto personal Sol · ex `Mercado Libre · MERCADOLIBRE`</t>
        </is>
      </c>
      <c r="L708" s="4" t="n">
        <v>547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124667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539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31700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Frivilli · PROYECTADO · C.02/03 · cashflow cuotas BBVA · gasto personal Sol</t>
        </is>
      </c>
      <c r="L710" s="4" t="n">
        <v>541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80834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C.04/06 · cashflow cuotas BBVA · gasto personal Sol</t>
        </is>
      </c>
      <c r="L711" s="4" t="n">
        <v>542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95984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ROPA · Monofuk · PROYECTADO · C.05/06 · cashflow cuotas BBVA · gasto personal Sol</t>
        </is>
      </c>
      <c r="L712" s="4" t="n">
        <v>548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284794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C.02/06 · cashflow cuotas BBVA · gasto personal Sol</t>
        </is>
      </c>
      <c r="L713" s="4" t="n">
        <v>549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73600</v>
      </c>
      <c r="G714" s="16" t="n"/>
      <c r="H714" s="18" t="inlineStr">
        <is>
          <t>PROYECTADO</t>
        </is>
      </c>
      <c r="I714" s="4" t="inlineStr">
        <is>
          <t>BBVA MASTERCARD · proyectado</t>
        </is>
      </c>
      <c r="J714" s="4" t="inlineStr">
        <is>
          <t>BBVA</t>
        </is>
      </c>
      <c r="K714" s="4" t="inlineStr">
        <is>
          <t>PROYECTADO · C.02/06 · cashflow cuotas BBVA · gasto personal Sol</t>
        </is>
      </c>
      <c r="L714" s="4" t="n">
        <v>550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36667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PROYECTADO · C.04/06 · cashflow cuotas BBVA · gasto personal Sol</t>
        </is>
      </c>
      <c r="L715" s="4" t="n">
        <v>552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ROPA</t>
        </is>
      </c>
      <c r="E716" s="4" t="inlineStr">
        <is>
          <t>ROPA</t>
        </is>
      </c>
      <c r="F716" s="5" t="n">
        <v>60917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C.04/12 · cashflow cuotas BBVA · gasto personal Sol</t>
        </is>
      </c>
      <c r="L716" s="4" t="n">
        <v>555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ROPA</t>
        </is>
      </c>
      <c r="F717" s="5" t="n">
        <v>69750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C.04/12 · cashflow cuotas BBVA · gasto personal Sol</t>
        </is>
      </c>
      <c r="L717" s="4" t="n">
        <v>556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SALUD</t>
        </is>
      </c>
      <c r="E718" s="4" t="inlineStr">
        <is>
          <t>SALUD</t>
        </is>
      </c>
      <c r="F718" s="5" t="n">
        <v>54033</v>
      </c>
      <c r="G718" s="16" t="n"/>
      <c r="H718" s="18" t="inlineStr">
        <is>
          <t>PROYECTADO</t>
        </is>
      </c>
      <c r="I718" s="4" t="inlineStr">
        <is>
          <t>BBVA MASTERCARD · proyectado</t>
        </is>
      </c>
      <c r="J718" s="4" t="inlineStr">
        <is>
          <t>BBVA</t>
        </is>
      </c>
      <c r="K718" s="4" t="inlineStr">
        <is>
          <t>SALUD · Laboratorio · PROYECTADO · C.05/06 · cashflow cuotas BBVA · gasto personal Sol</t>
        </is>
      </c>
      <c r="L718" s="4" t="n">
        <v>543</v>
      </c>
    </row>
    <row r="719">
      <c r="A719" s="15" t="n">
        <v>46262</v>
      </c>
      <c r="B719" s="4" t="inlineStr">
        <is>
          <t>2026-08</t>
        </is>
      </c>
      <c r="C719" s="4" t="inlineStr">
        <is>
          <t>Agosto</t>
        </is>
      </c>
      <c r="D719" s="4" t="inlineStr">
        <is>
          <t>SALUD · Vitaminas</t>
        </is>
      </c>
      <c r="E719" s="4" t="inlineStr">
        <is>
          <t>SALUD · Vitaminas</t>
        </is>
      </c>
      <c r="F719" s="5" t="n">
        <v>87900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SALUD · Vitaminas · Promarine · BBVA · C.05/06 · gasto personal Sol</t>
        </is>
      </c>
      <c r="L719" s="4" t="n">
        <v>551</v>
      </c>
    </row>
    <row r="720">
      <c r="A720" s="15" t="n">
        <v>46262</v>
      </c>
      <c r="B720" s="4" t="inlineStr">
        <is>
          <t>2026-08</t>
        </is>
      </c>
      <c r="C720" s="4" t="inlineStr">
        <is>
          <t>Agosto</t>
        </is>
      </c>
      <c r="D720" s="4" t="inlineStr">
        <is>
          <t>ROPA</t>
        </is>
      </c>
      <c r="E720" s="4" t="inlineStr">
        <is>
          <t>VESTIMENTA</t>
        </is>
      </c>
      <c r="F720" s="5" t="n">
        <v>98334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ROPA · Bokenvoreno · PROYECTADO · C.04/06 · cashflow cuotas BBVA · gasto personal Sol</t>
        </is>
      </c>
      <c r="L720" s="4" t="n">
        <v>540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EVENTOS DEPORTIVOS - RIVER</t>
        </is>
      </c>
      <c r="E721" s="4" t="inlineStr">
        <is>
          <t>Eventos deportivos - River</t>
        </is>
      </c>
      <c r="F721" s="5" t="n">
        <v>169667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Eventos deportivos - River</t>
        </is>
      </c>
      <c r="L721" s="4" t="n">
        <v>572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HOGAR</t>
        </is>
      </c>
      <c r="E722" s="4" t="inlineStr">
        <is>
          <t>HOGAR</t>
        </is>
      </c>
      <c r="F722" s="5" t="n">
        <v>18334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HOGAR · Stanley · PROYECTADO · C.06/06 · cashflow cuotas BBVA · gasto personal Sol</t>
        </is>
      </c>
      <c r="L722" s="4" t="n">
        <v>571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12084</v>
      </c>
      <c r="G723" s="16" t="n"/>
      <c r="H723" s="18" t="inlineStr">
        <is>
          <t>PROYECTADO</t>
        </is>
      </c>
      <c r="I723" s="4" t="inlineStr">
        <is>
          <t>BBVA VISA · proyectado</t>
        </is>
      </c>
      <c r="J723" s="4" t="inlineStr">
        <is>
          <t>BBVA</t>
        </is>
      </c>
      <c r="K723" s="4" t="inlineStr">
        <is>
          <t>PROYECTADO · C.03/06 · cashflow cuotas BBVA · gasto personal Sol · ex `Mercado Libre · MERCADOLIBRE`</t>
        </is>
      </c>
      <c r="L723" s="4" t="n">
        <v>562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275000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C.07/12 · cashflow cuotas BBVA · gasto personal Sol · ex `Mercado Libre · MERCADOLIBRE`</t>
        </is>
      </c>
      <c r="L724" s="4" t="n">
        <v>563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MERCADO LIBRE</t>
        </is>
      </c>
      <c r="E725" s="4" t="inlineStr">
        <is>
          <t>MERCADO LIBRE</t>
        </is>
      </c>
      <c r="F725" s="5" t="n">
        <v>17360</v>
      </c>
      <c r="G725" s="16" t="n"/>
      <c r="H725" s="18" t="inlineStr">
        <is>
          <t>PROYECTADO</t>
        </is>
      </c>
      <c r="I725" s="4" t="inlineStr">
        <is>
          <t>BBVA MASTERCARD · proyectado</t>
        </is>
      </c>
      <c r="J725" s="4" t="inlineStr">
        <is>
          <t>BBVA</t>
        </is>
      </c>
      <c r="K725" s="4" t="inlineStr">
        <is>
          <t>PROYECTADO · C.08/09 · cashflow cuotas BBVA · gasto personal Sol · ex `Mercado Libre · MERCADOLIBRE`</t>
        </is>
      </c>
      <c r="L725" s="4" t="n">
        <v>564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MERCADO LIBRE</t>
        </is>
      </c>
      <c r="E726" s="4" t="inlineStr">
        <is>
          <t>MERCADO LIBRE</t>
        </is>
      </c>
      <c r="F726" s="5" t="n">
        <v>16950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C.08/09 · cashflow cuotas BBVA · gasto personal Sol · ex `Mercado Libre · MERCADOLIBRE`</t>
        </is>
      </c>
      <c r="L726" s="4" t="n">
        <v>565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124667</v>
      </c>
      <c r="G727" s="16" t="n"/>
      <c r="H727" s="18" t="inlineStr">
        <is>
          <t>PROYECTADO</t>
        </is>
      </c>
      <c r="I727" s="4" t="inlineStr">
        <is>
          <t>BBVA VISA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557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31700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ROPA · Frivilli · PROYECTADO · C.03/03 · cashflow cuotas BBVA · gasto personal Sol</t>
        </is>
      </c>
      <c r="L728" s="4" t="n">
        <v>559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80834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C.05/06 · cashflow cuotas BBVA · gasto personal Sol</t>
        </is>
      </c>
      <c r="L729" s="4" t="n">
        <v>560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95984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ROPA · Monofuk · PROYECTADO · C.06/06 · cashflow cuotas BBVA · gasto personal Sol</t>
        </is>
      </c>
      <c r="L730" s="4" t="n">
        <v>566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284794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C.03/06 · cashflow cuotas BBVA · gasto personal Sol</t>
        </is>
      </c>
      <c r="L731" s="4" t="n">
        <v>567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73600</v>
      </c>
      <c r="G732" s="16" t="n"/>
      <c r="H732" s="18" t="inlineStr">
        <is>
          <t>PROYECTADO</t>
        </is>
      </c>
      <c r="I732" s="4" t="inlineStr">
        <is>
          <t>BBVA MASTERCARD · proyectado</t>
        </is>
      </c>
      <c r="J732" s="4" t="inlineStr">
        <is>
          <t>BBVA</t>
        </is>
      </c>
      <c r="K732" s="4" t="inlineStr">
        <is>
          <t>PROYECTADO · C.03/06 · cashflow cuotas BBVA · gasto personal Sol</t>
        </is>
      </c>
      <c r="L732" s="4" t="n">
        <v>568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36667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PROYECTADO · C.05/06 · cashflow cuotas BBVA · gasto personal Sol</t>
        </is>
      </c>
      <c r="L733" s="4" t="n">
        <v>570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ROPA</t>
        </is>
      </c>
      <c r="E734" s="4" t="inlineStr">
        <is>
          <t>ROPA</t>
        </is>
      </c>
      <c r="F734" s="5" t="n">
        <v>60917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C.05/12 · cashflow cuotas BBVA · gasto personal Sol</t>
        </is>
      </c>
      <c r="L734" s="4" t="n">
        <v>573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ROPA</t>
        </is>
      </c>
      <c r="F735" s="5" t="n">
        <v>69750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C.05/12 · cashflow cuotas BBVA · gasto personal Sol</t>
        </is>
      </c>
      <c r="L735" s="4" t="n">
        <v>574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SALUD</t>
        </is>
      </c>
      <c r="E736" s="4" t="inlineStr">
        <is>
          <t>SALUD</t>
        </is>
      </c>
      <c r="F736" s="5" t="n">
        <v>54033</v>
      </c>
      <c r="G736" s="16" t="n"/>
      <c r="H736" s="18" t="inlineStr">
        <is>
          <t>PROYECTADO</t>
        </is>
      </c>
      <c r="I736" s="4" t="inlineStr">
        <is>
          <t>BBVA MASTERCARD · proyectado</t>
        </is>
      </c>
      <c r="J736" s="4" t="inlineStr">
        <is>
          <t>BBVA</t>
        </is>
      </c>
      <c r="K736" s="4" t="inlineStr">
        <is>
          <t>SALUD · Laboratorio · PROYECTADO · C.06/06 · cashflow cuotas BBVA · gasto personal Sol</t>
        </is>
      </c>
      <c r="L736" s="4" t="n">
        <v>561</v>
      </c>
    </row>
    <row r="737">
      <c r="A737" s="15" t="n">
        <v>46293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SALUD · Vitaminas</t>
        </is>
      </c>
      <c r="E737" s="4" t="inlineStr">
        <is>
          <t>SALUD · Vitaminas</t>
        </is>
      </c>
      <c r="F737" s="5" t="n">
        <v>87900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SALUD · Vitaminas · Promarine · BBVA · C.06/06 · gasto personal Sol</t>
        </is>
      </c>
      <c r="L737" s="4" t="n">
        <v>569</v>
      </c>
    </row>
    <row r="738">
      <c r="A738" s="15" t="n">
        <v>46293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ROPA</t>
        </is>
      </c>
      <c r="E738" s="4" t="inlineStr">
        <is>
          <t>VESTIMENTA</t>
        </is>
      </c>
      <c r="F738" s="5" t="n">
        <v>98334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ROPA · Bokenvoreno · PROYECTADO · C.05/06 · cashflow cuotas BBVA · gasto personal Sol</t>
        </is>
      </c>
      <c r="L738" s="4" t="n">
        <v>558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EVENTOS DEPORTIVOS - RIVER</t>
        </is>
      </c>
      <c r="E739" s="4" t="inlineStr">
        <is>
          <t>Eventos deportivos - River</t>
        </is>
      </c>
      <c r="F739" s="5" t="n">
        <v>169667</v>
      </c>
      <c r="G739" s="16" t="n"/>
      <c r="H739" s="18" t="inlineStr">
        <is>
          <t>PROYECTADO</t>
        </is>
      </c>
      <c r="I739" s="4" t="inlineStr">
        <is>
          <t>BBVA VISA · proyectado</t>
        </is>
      </c>
      <c r="J739" s="4" t="inlineStr">
        <is>
          <t>BBVA</t>
        </is>
      </c>
      <c r="K739" s="4" t="inlineStr">
        <is>
          <t>PROYECTADO · C.04/06 · cashflow cuotas BBVA · gasto personal Sol · Eventos deportivos - River</t>
        </is>
      </c>
      <c r="L739" s="4" t="n">
        <v>585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12084</v>
      </c>
      <c r="G740" s="16" t="n"/>
      <c r="H740" s="18" t="inlineStr">
        <is>
          <t>PROYECTADO</t>
        </is>
      </c>
      <c r="I740" s="4" t="inlineStr">
        <is>
          <t>BBVA VISA · proyectado</t>
        </is>
      </c>
      <c r="J740" s="4" t="inlineStr">
        <is>
          <t>BBVA</t>
        </is>
      </c>
      <c r="K740" s="4" t="inlineStr">
        <is>
          <t>PROYECTADO · C.04/06 · cashflow cuotas BBVA · gasto personal Sol · ex `Mercado Libre · MERCADOLIBRE`</t>
        </is>
      </c>
      <c r="L740" s="4" t="n">
        <v>578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275000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C.08/12 · cashflow cuotas BBVA · gasto personal Sol · ex `Mercado Libre · MERCADOLIBRE`</t>
        </is>
      </c>
      <c r="L741" s="4" t="n">
        <v>579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MERCADO LIBRE</t>
        </is>
      </c>
      <c r="E742" s="4" t="inlineStr">
        <is>
          <t>MERCADO LIBRE</t>
        </is>
      </c>
      <c r="F742" s="5" t="n">
        <v>17360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C.09/09 · cashflow cuotas BBVA · gasto personal Sol · ex `Mercado Libre · MERCADOLIBRE`</t>
        </is>
      </c>
      <c r="L742" s="4" t="n">
        <v>580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MERCADO LIBRE</t>
        </is>
      </c>
      <c r="E743" s="4" t="inlineStr">
        <is>
          <t>MERCADO LIBRE</t>
        </is>
      </c>
      <c r="F743" s="5" t="n">
        <v>16950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C.09/09 · cashflow cuotas BBVA · gasto personal Sol · ex `Mercado Libre · MERCADOLIBRE`</t>
        </is>
      </c>
      <c r="L743" s="4" t="n">
        <v>581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124667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C.06/06 · cashflow cuotas BBVA · gasto personal Sol</t>
        </is>
      </c>
      <c r="L744" s="4" t="n">
        <v>575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80834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577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284794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C.04/06 · cashflow cuotas BBVA · gasto personal Sol</t>
        </is>
      </c>
      <c r="L746" s="4" t="n">
        <v>582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73600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C.04/06 · cashflow cuotas BBVA · gasto personal Sol</t>
        </is>
      </c>
      <c r="L747" s="4" t="n">
        <v>583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36667</v>
      </c>
      <c r="G748" s="16" t="n"/>
      <c r="H748" s="18" t="inlineStr">
        <is>
          <t>PROYECTADO</t>
        </is>
      </c>
      <c r="I748" s="4" t="inlineStr">
        <is>
          <t>BBVA MASTERCARD · proyectado</t>
        </is>
      </c>
      <c r="J748" s="4" t="inlineStr">
        <is>
          <t>BBVA</t>
        </is>
      </c>
      <c r="K748" s="4" t="inlineStr">
        <is>
          <t>PROYECTADO · C.06/06 · cashflow cuotas BBVA · gasto personal Sol</t>
        </is>
      </c>
      <c r="L748" s="4" t="n">
        <v>584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ROPA</t>
        </is>
      </c>
      <c r="F749" s="5" t="n">
        <v>60917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C.06/12 · cashflow cuotas BBVA · gasto personal Sol</t>
        </is>
      </c>
      <c r="L749" s="4" t="n">
        <v>586</v>
      </c>
    </row>
    <row r="750">
      <c r="A750" s="15" t="n">
        <v>46323</v>
      </c>
      <c r="B750" s="4" t="inlineStr">
        <is>
          <t>2026-10</t>
        </is>
      </c>
      <c r="C750" s="4" t="inlineStr">
        <is>
          <t>Octubre</t>
        </is>
      </c>
      <c r="D750" s="4" t="inlineStr">
        <is>
          <t>ROPA</t>
        </is>
      </c>
      <c r="E750" s="4" t="inlineStr">
        <is>
          <t>ROPA</t>
        </is>
      </c>
      <c r="F750" s="5" t="n">
        <v>69750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C.06/12 · cashflow cuotas BBVA · gasto personal Sol</t>
        </is>
      </c>
      <c r="L750" s="4" t="n">
        <v>587</v>
      </c>
    </row>
    <row r="751">
      <c r="A751" s="15" t="n">
        <v>46323</v>
      </c>
      <c r="B751" s="4" t="inlineStr">
        <is>
          <t>2026-10</t>
        </is>
      </c>
      <c r="C751" s="4" t="inlineStr">
        <is>
          <t>Octubre</t>
        </is>
      </c>
      <c r="D751" s="4" t="inlineStr">
        <is>
          <t>ROPA</t>
        </is>
      </c>
      <c r="E751" s="4" t="inlineStr">
        <is>
          <t>VESTIMENTA</t>
        </is>
      </c>
      <c r="F751" s="5" t="n">
        <v>98334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ROPA · Bokenvoreno · PROYECTADO · C.06/06 · cashflow cuotas BBVA · gasto personal Sol</t>
        </is>
      </c>
      <c r="L751" s="4" t="n">
        <v>576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EVENTOS DEPORTIVOS - RIVER</t>
        </is>
      </c>
      <c r="E752" s="4" t="inlineStr">
        <is>
          <t>Eventos deportivos - River</t>
        </is>
      </c>
      <c r="F752" s="5" t="n">
        <v>169667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 · Eventos deportivos - River</t>
        </is>
      </c>
      <c r="L752" s="4" t="n">
        <v>592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MERCADO LIBRE</t>
        </is>
      </c>
      <c r="E753" s="4" t="inlineStr">
        <is>
          <t>MERCADO LIBRE</t>
        </is>
      </c>
      <c r="F753" s="5" t="n">
        <v>12084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C.05/06 · cashflow cuotas BBVA · gasto personal Sol · ex `Mercado Libre · MERCADOLIBRE`</t>
        </is>
      </c>
      <c r="L753" s="4" t="n">
        <v>588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275000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C.09/12 · cashflow cuotas BBVA · gasto personal Sol · ex `Mercado Libre · MERCADOLIBRE`</t>
        </is>
      </c>
      <c r="L754" s="4" t="n">
        <v>589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284794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C.05/06 · cashflow cuotas BBVA · gasto personal Sol</t>
        </is>
      </c>
      <c r="L755" s="4" t="n">
        <v>590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73600</v>
      </c>
      <c r="G756" s="16" t="n"/>
      <c r="H756" s="18" t="inlineStr">
        <is>
          <t>PROYECTADO</t>
        </is>
      </c>
      <c r="I756" s="4" t="inlineStr">
        <is>
          <t>BBVA MASTERCARD · proyectado</t>
        </is>
      </c>
      <c r="J756" s="4" t="inlineStr">
        <is>
          <t>BBVA</t>
        </is>
      </c>
      <c r="K756" s="4" t="inlineStr">
        <is>
          <t>PROYECTADO · C.05/06 · cashflow cuotas BBVA · gasto personal Sol</t>
        </is>
      </c>
      <c r="L756" s="4" t="n">
        <v>591</v>
      </c>
    </row>
    <row r="757">
      <c r="A757" s="15" t="n">
        <v>46354</v>
      </c>
      <c r="B757" s="4" t="inlineStr">
        <is>
          <t>2026-11</t>
        </is>
      </c>
      <c r="C757" s="4" t="inlineStr">
        <is>
          <t>Noviembre</t>
        </is>
      </c>
      <c r="D757" s="4" t="inlineStr">
        <is>
          <t>ROPA</t>
        </is>
      </c>
      <c r="E757" s="4" t="inlineStr">
        <is>
          <t>ROPA</t>
        </is>
      </c>
      <c r="F757" s="5" t="n">
        <v>60917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C.07/12 · cashflow cuotas BBVA · gasto personal Sol</t>
        </is>
      </c>
      <c r="L757" s="4" t="n">
        <v>593</v>
      </c>
    </row>
    <row r="758">
      <c r="A758" s="15" t="n">
        <v>46354</v>
      </c>
      <c r="B758" s="4" t="inlineStr">
        <is>
          <t>2026-11</t>
        </is>
      </c>
      <c r="C758" s="4" t="inlineStr">
        <is>
          <t>Noviembre</t>
        </is>
      </c>
      <c r="D758" s="4" t="inlineStr">
        <is>
          <t>ROPA</t>
        </is>
      </c>
      <c r="E758" s="4" t="inlineStr">
        <is>
          <t>ROPA</t>
        </is>
      </c>
      <c r="F758" s="5" t="n">
        <v>69750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C.07/12 · cashflow cuotas BBVA · gasto personal Sol</t>
        </is>
      </c>
      <c r="L758" s="4" t="n">
        <v>594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EVENTOS DEPORTIVOS - RIVER</t>
        </is>
      </c>
      <c r="E759" s="4" t="inlineStr">
        <is>
          <t>Eventos deportivos - River</t>
        </is>
      </c>
      <c r="F759" s="5" t="n">
        <v>169667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 · Eventos deportivos - River</t>
        </is>
      </c>
      <c r="L759" s="4" t="n">
        <v>599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12084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C.06/06 · cashflow cuotas BBVA · gasto personal Sol · ex `Mercado Libre · MERCADOLIBRE`</t>
        </is>
      </c>
      <c r="L760" s="4" t="n">
        <v>595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MERCADO LIBRE</t>
        </is>
      </c>
      <c r="E761" s="4" t="inlineStr">
        <is>
          <t>MERCADO LIBRE</t>
        </is>
      </c>
      <c r="F761" s="5" t="n">
        <v>275000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C.10/12 · cashflow cuotas BBVA · gasto personal Sol · ex `Mercado Libre · MERCADOLIBRE`</t>
        </is>
      </c>
      <c r="L761" s="4" t="n">
        <v>596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284794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C.06/06 · cashflow cuotas BBVA · gasto personal Sol</t>
        </is>
      </c>
      <c r="L762" s="4" t="n">
        <v>597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73600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C.06/06 · cashflow cuotas BBVA · gasto personal Sol</t>
        </is>
      </c>
      <c r="L763" s="4" t="n">
        <v>598</v>
      </c>
    </row>
    <row r="764">
      <c r="A764" s="15" t="n">
        <v>46384</v>
      </c>
      <c r="B764" s="4" t="inlineStr">
        <is>
          <t>2026-12</t>
        </is>
      </c>
      <c r="C764" s="4" t="inlineStr">
        <is>
          <t>Diciembre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C.08/12 · cashflow cuotas BBVA · gasto personal Sol</t>
        </is>
      </c>
      <c r="L764" s="4" t="n">
        <v>600</v>
      </c>
    </row>
    <row r="765">
      <c r="A765" s="15" t="n">
        <v>46384</v>
      </c>
      <c r="B765" s="4" t="inlineStr">
        <is>
          <t>2026-12</t>
        </is>
      </c>
      <c r="C765" s="4" t="inlineStr">
        <is>
          <t>Diciembre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C.08/12 · cashflow cuotas BBVA · gasto personal Sol</t>
        </is>
      </c>
      <c r="L765" s="4" t="n">
        <v>601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C.11/12 · cashflow cuotas BBVA · gasto personal Sol · ex `Mercado Libre · MERCADOLIBRE`</t>
        </is>
      </c>
      <c r="L766" s="4" t="n">
        <v>602</v>
      </c>
    </row>
    <row r="767">
      <c r="A767" s="15" t="n">
        <v>46415</v>
      </c>
      <c r="B767" s="4" t="inlineStr">
        <is>
          <t>2027-01</t>
        </is>
      </c>
      <c r="C767" s="4" t="inlineStr">
        <is>
          <t>Enero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C.09/12 · cashflow cuotas BBVA · gasto personal Sol</t>
        </is>
      </c>
      <c r="L767" s="4" t="n">
        <v>603</v>
      </c>
    </row>
    <row r="768">
      <c r="A768" s="15" t="n">
        <v>46415</v>
      </c>
      <c r="B768" s="4" t="inlineStr">
        <is>
          <t>2027-01</t>
        </is>
      </c>
      <c r="C768" s="4" t="inlineStr">
        <is>
          <t>Enero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C.09/12 · cashflow cuotas BBVA · gasto personal Sol</t>
        </is>
      </c>
      <c r="L768" s="4" t="n">
        <v>604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MERCADO LIBRE</t>
        </is>
      </c>
      <c r="E769" s="4" t="inlineStr">
        <is>
          <t>MERCADO LIBRE</t>
        </is>
      </c>
      <c r="F769" s="5" t="n">
        <v>275000</v>
      </c>
      <c r="G769" s="16" t="n"/>
      <c r="H769" s="18" t="inlineStr">
        <is>
          <t>PROYECTADO</t>
        </is>
      </c>
      <c r="I769" s="4" t="inlineStr">
        <is>
          <t>BBVA MASTERCARD · proyectado</t>
        </is>
      </c>
      <c r="J769" s="4" t="inlineStr">
        <is>
          <t>BBVA</t>
        </is>
      </c>
      <c r="K769" s="4" t="inlineStr">
        <is>
          <t>PROYECTADO · C.12/12 · cashflow cuotas BBVA · gasto personal Sol · ex `Mercado Libre · MERCADOLIBRE`</t>
        </is>
      </c>
      <c r="L769" s="4" t="n">
        <v>605</v>
      </c>
    </row>
    <row r="770">
      <c r="A770" s="15" t="n">
        <v>46446</v>
      </c>
      <c r="B770" s="4" t="inlineStr">
        <is>
          <t>2027-02</t>
        </is>
      </c>
      <c r="C770" s="4" t="inlineStr">
        <is>
          <t>Febrero 2027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C.10/12 · cashflow cuotas BBVA · gasto personal Sol</t>
        </is>
      </c>
      <c r="L770" s="4" t="n">
        <v>606</v>
      </c>
    </row>
    <row r="771">
      <c r="A771" s="15" t="n">
        <v>46446</v>
      </c>
      <c r="B771" s="4" t="inlineStr">
        <is>
          <t>2027-02</t>
        </is>
      </c>
      <c r="C771" s="4" t="inlineStr">
        <is>
          <t>Febrero 2027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C.10/12 · cashflow cuotas BBVA · gasto personal Sol</t>
        </is>
      </c>
      <c r="L771" s="4" t="n">
        <v>607</v>
      </c>
    </row>
    <row r="772">
      <c r="A772" s="15" t="n">
        <v>46474</v>
      </c>
      <c r="B772" s="4" t="inlineStr">
        <is>
          <t>2027-03</t>
        </is>
      </c>
      <c r="C772" s="4" t="inlineStr">
        <is>
          <t>Marzo 2027</t>
        </is>
      </c>
      <c r="D772" s="4" t="inlineStr">
        <is>
          <t>ROPA</t>
        </is>
      </c>
      <c r="E772" s="4" t="inlineStr">
        <is>
          <t>ROPA</t>
        </is>
      </c>
      <c r="F772" s="5" t="n">
        <v>60917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C.11/12 · cashflow cuotas BBVA · gasto personal Sol</t>
        </is>
      </c>
      <c r="L772" s="4" t="n">
        <v>608</v>
      </c>
    </row>
    <row r="773">
      <c r="A773" s="15" t="n">
        <v>46474</v>
      </c>
      <c r="B773" s="4" t="inlineStr">
        <is>
          <t>2027-03</t>
        </is>
      </c>
      <c r="C773" s="4" t="inlineStr">
        <is>
          <t>Marzo 2027</t>
        </is>
      </c>
      <c r="D773" s="4" t="inlineStr">
        <is>
          <t>ROPA</t>
        </is>
      </c>
      <c r="E773" s="4" t="inlineStr">
        <is>
          <t>ROPA</t>
        </is>
      </c>
      <c r="F773" s="5" t="n">
        <v>69750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C.11/12 · cashflow cuotas BBVA · gasto personal Sol</t>
        </is>
      </c>
      <c r="L773" s="4" t="n">
        <v>609</v>
      </c>
    </row>
    <row r="774">
      <c r="A774" s="15" t="n">
        <v>46505</v>
      </c>
      <c r="B774" s="4" t="inlineStr">
        <is>
          <t>2027-04</t>
        </is>
      </c>
      <c r="C774" s="4" t="inlineStr">
        <is>
          <t>Abril 2027</t>
        </is>
      </c>
      <c r="D774" s="4" t="inlineStr">
        <is>
          <t>ROPA</t>
        </is>
      </c>
      <c r="E774" s="4" t="inlineStr">
        <is>
          <t>ROPA</t>
        </is>
      </c>
      <c r="F774" s="5" t="n">
        <v>60917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C.12/12 · cashflow cuotas BBVA · gasto personal Sol</t>
        </is>
      </c>
      <c r="L774" s="4" t="n">
        <v>610</v>
      </c>
    </row>
    <row r="775">
      <c r="A775" s="15" t="n">
        <v>46505</v>
      </c>
      <c r="B775" s="4" t="inlineStr">
        <is>
          <t>2027-04</t>
        </is>
      </c>
      <c r="C775" s="4" t="inlineStr">
        <is>
          <t>Abril 2027</t>
        </is>
      </c>
      <c r="D775" s="4" t="inlineStr">
        <is>
          <t>ROPA</t>
        </is>
      </c>
      <c r="E775" s="4" t="inlineStr">
        <is>
          <t>ROPA</t>
        </is>
      </c>
      <c r="F775" s="5" t="n">
        <v>69750</v>
      </c>
      <c r="G775" s="16" t="n"/>
      <c r="H775" s="18" t="inlineStr">
        <is>
          <t>PROYECTADO</t>
        </is>
      </c>
      <c r="I775" s="4" t="inlineStr">
        <is>
          <t>BBVA VISA · proyectado</t>
        </is>
      </c>
      <c r="J775" s="4" t="inlineStr">
        <is>
          <t>BBVA</t>
        </is>
      </c>
      <c r="K775" s="4" t="inlineStr">
        <is>
          <t>PROYECTADO · C.12/12 · cashflow cuotas BBVA · gasto personal Sol</t>
        </is>
      </c>
      <c r="L775" s="4" t="n">
        <v>611</v>
      </c>
    </row>
  </sheetData>
  <autoFilter ref="A1:L77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46224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Todo Tartas</t>
        </is>
      </c>
      <c r="F223" s="5" t="n">
        <v>57600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panadería · ex `Todo Tartas`</t>
        </is>
      </c>
      <c r="K223" s="4" t="n">
        <v>288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46224</v>
      </c>
      <c r="B30" s="4" t="inlineStr">
        <is>
          <t>Julio</t>
        </is>
      </c>
      <c r="C30" s="4" t="inlineStr">
        <is>
          <t>Reserva automática</t>
        </is>
      </c>
      <c r="D30" s="4" t="inlineStr">
        <is>
          <t>AVA</t>
        </is>
      </c>
      <c r="E30" s="5" t="n">
        <v>500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46224</v>
      </c>
      <c r="B31" s="4" t="inlineStr">
        <is>
          <t>Julio</t>
        </is>
      </c>
      <c r="C31" s="4" t="inlineStr">
        <is>
          <t>Reserva automática</t>
        </is>
      </c>
      <c r="D31" s="4" t="inlineStr">
        <is>
          <t>Susi</t>
        </is>
      </c>
      <c r="E31" s="5" t="n">
        <v>3000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0.0007368689424595066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0.23868177160907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0.001827610378783524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1702349</v>
      </c>
      <c r="F8" s="20" t="n">
        <v>0.02073573199978508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0.005672398726258785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0.005883258107412873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0.01364310502186995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0.006569662581261589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0.00251774213416613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0.0007576369653852601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0.005688367569693192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0.002064743440553946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0.002319197398864205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0.004337739601319979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0.002911749898142287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0.009207639996542154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0.04872263442992027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0.000684077968054688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0.07361434624328451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0.001463542673664552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0.01012127465671341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0.03600326183420718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0.004857975530445453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0.001880693688994922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0.009777097967100455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0.0006460255905649203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0.08108682705987391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0.02143411006104495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0.009597189639467974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0.02508511631073381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0.0001571304960364929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0.03262298290272817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0.001710773501420575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172</v>
      </c>
      <c r="E41" s="5" t="n">
        <v>889336</v>
      </c>
      <c r="F41" s="20" t="n">
        <v>0.01083269820334189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0.00799773517706116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0.0118182231106145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0.06277662960859634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682</v>
      </c>
      <c r="C7" s="4" t="inlineStr">
        <is>
          <t>ARS 79,552,316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8,292,388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2026-07-23T19:24:57Z</dcterms:created>
  <dcterms:modified xsi:type="dcterms:W3CDTF">2026-07-23T19:24:57Z</dcterms:modified>
</cp:coreProperties>
</file>
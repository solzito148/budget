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Sol'!$A$1:$O$1051</definedName>
    <definedName name="_xlnm._FilterDatabase" localSheetId="2" hidden="1">'Gastos Personales'!$A$1:$L$882</definedName>
    <definedName name="_xlnm._FilterDatabase" localSheetId="3" hidden="1">'Almacén Sol'!$A$1:$K$262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51" headerRowCount="1">
  <autoFilter ref="A1:O105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2" headerRowCount="1">
  <autoFilter ref="A1:L88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62" headerRowCount="1">
  <autoFilter ref="A1:K26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91845223</v>
      </c>
      <c r="C5" s="4" t="inlineStr">
        <is>
          <t>775 movimientos</t>
        </is>
      </c>
    </row>
    <row r="6">
      <c r="A6" s="4" t="inlineStr">
        <is>
          <t>Almacén Sol real 2026</t>
        </is>
      </c>
      <c r="B6" s="5" t="n">
        <v>9736669</v>
      </c>
      <c r="C6" s="4" t="inlineStr">
        <is>
          <t>261 movimientos</t>
        </is>
      </c>
    </row>
    <row r="7">
      <c r="A7" s="6" t="inlineStr">
        <is>
          <t>Total real Sol 2026</t>
        </is>
      </c>
      <c r="B7" s="7" t="n">
        <v>101581892</v>
      </c>
      <c r="C7" s="4" t="inlineStr">
        <is>
          <t>1036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8189596</v>
      </c>
      <c r="C15" s="5" t="n">
        <v>1279624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6697991</v>
      </c>
      <c r="C16" s="5" t="n">
        <v>1017195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13179796</v>
      </c>
      <c r="C19" s="5" t="n">
        <v>1525509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11934774</v>
      </c>
      <c r="C20" s="5" t="n">
        <v>1346755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792171</v>
      </c>
      <c r="D21" s="5" t="n">
        <v>12117499</v>
      </c>
      <c r="E21" s="5" t="n">
        <v>1564269</v>
      </c>
      <c r="F21" s="5" t="n">
        <v>13681768</v>
      </c>
    </row>
    <row r="22">
      <c r="A22" s="4" t="inlineStr">
        <is>
          <t>Agosto</t>
        </is>
      </c>
      <c r="B22" s="5" t="n">
        <v>1795333</v>
      </c>
      <c r="C22" s="5" t="n">
        <v>262100</v>
      </c>
      <c r="D22" s="5" t="n">
        <v>2057433</v>
      </c>
      <c r="E22" s="5" t="n">
        <v>1608575</v>
      </c>
      <c r="F22" s="5" t="n">
        <v>3666008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139100</v>
      </c>
      <c r="D24" s="5" t="n">
        <v>2736138</v>
      </c>
      <c r="E24" s="5" t="n">
        <v>1320624</v>
      </c>
      <c r="F24" s="5" t="n">
        <v>4056762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Septiembre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COMIDA · Pescadería Belgrano</t>
        </is>
      </c>
      <c r="H38" s="5" t="n">
        <v>12426</v>
      </c>
      <c r="I38" s="16" t="n"/>
      <c r="J38" s="4" t="inlineStr">
        <is>
          <t>REAL</t>
        </is>
      </c>
      <c r="K38" s="17" t="n"/>
      <c r="L38" s="4" t="inlineStr">
        <is>
          <t>Sin identificar</t>
        </is>
      </c>
      <c r="M38" s="4" t="inlineStr">
        <is>
          <t>AJUSTE SEPT · gasto origen Enero 08/01/2026 · no se pasó/rindió en el mes de origen por error · COMIDA · Pescadería Belgrano · Andres Javier Di Pasqua · MP cuenta · ALMACEN SOL</t>
        </is>
      </c>
      <c r="N38" s="4" t="inlineStr">
        <is>
          <t>CIUDAD / Almacen Detalle</t>
        </is>
      </c>
      <c r="O38" s="4" t="n">
        <v>411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Septiembre</t>
        </is>
      </c>
      <c r="E165" s="4" t="inlineStr">
        <is>
          <t>ALMACÉN SOL</t>
        </is>
      </c>
      <c r="F165" s="4" t="inlineStr">
        <is>
          <t>COMIDA</t>
        </is>
      </c>
      <c r="G165" s="4" t="inlineStr">
        <is>
          <t>COMIDA · Pescadería Belgrano</t>
        </is>
      </c>
      <c r="H165" s="5" t="n">
        <v>24852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AJUSTE SEPT · gasto origen Febrero 06/02/2026 · no se pasó/rindió en el mes de origen por error · COMIDA · Pescadería Belgrano · Andres Javier Di Pasqua · MP cuenta · ALMACEN SOL</t>
        </is>
      </c>
      <c r="N165" s="4" t="inlineStr">
        <is>
          <t>CIUDAD / Almacen Detalle</t>
        </is>
      </c>
      <c r="O165" s="4" t="n">
        <v>412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ALMACÉN SOL</t>
        </is>
      </c>
      <c r="F166" s="4" t="inlineStr">
        <is>
          <t>SUPERMERCADO</t>
        </is>
      </c>
      <c r="G166" s="4" t="inlineStr">
        <is>
          <t>SUPERMERCADO · Carrefour</t>
        </is>
      </c>
      <c r="H166" s="5" t="n">
        <v>22768</v>
      </c>
      <c r="I166" s="16" t="n"/>
      <c r="J166" s="4" t="inlineStr">
        <is>
          <t>REAL</t>
        </is>
      </c>
      <c r="K166" s="17" t="n"/>
      <c r="L166" s="4" t="inlineStr">
        <is>
          <t>Sin identificar</t>
        </is>
      </c>
      <c r="M166" s="4" t="inlineStr">
        <is>
          <t>SUPERMERCADO · Carrefour</t>
        </is>
      </c>
      <c r="N166" s="4" t="inlineStr">
        <is>
          <t>CIUDAD / Almacen Detalle</t>
        </is>
      </c>
      <c r="O166" s="4" t="n">
        <v>61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COMPRAS</t>
        </is>
      </c>
      <c r="G167" s="4" t="inlineStr">
        <is>
          <t>COMPRAS</t>
        </is>
      </c>
      <c r="H167" s="5" t="n">
        <v>3490</v>
      </c>
      <c r="I167" s="16" t="n"/>
      <c r="J167" s="4" t="inlineStr">
        <is>
          <t>REAL</t>
        </is>
      </c>
      <c r="K167" s="4" t="inlineStr">
        <is>
          <t>BBVA VISA</t>
        </is>
      </c>
      <c r="L167" s="4" t="inlineStr">
        <is>
          <t>BBVA</t>
        </is>
      </c>
      <c r="M167" s="4" t="inlineStr">
        <is>
          <t>MP vía TC · MERPAGO*MELI 986662</t>
        </is>
      </c>
      <c r="N167" s="4" t="inlineStr">
        <is>
          <t>CIUDAD / Gasto Personal Sol</t>
        </is>
      </c>
      <c r="O167" s="4" t="n">
        <v>277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PetShop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PetShop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PetShop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PetShop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Septiembre</t>
        </is>
      </c>
      <c r="E595" s="4" t="inlineStr">
        <is>
          <t>ALMACÉN SOL</t>
        </is>
      </c>
      <c r="F595" s="4" t="inlineStr">
        <is>
          <t>COMIDA</t>
        </is>
      </c>
      <c r="G595" s="4" t="inlineStr">
        <is>
          <t>COMIDA · Pescadería Belgrano</t>
        </is>
      </c>
      <c r="H595" s="5" t="n">
        <v>24852</v>
      </c>
      <c r="I595" s="16" t="n"/>
      <c r="J595" s="4" t="inlineStr">
        <is>
          <t>REAL</t>
        </is>
      </c>
      <c r="K595" s="17" t="n"/>
      <c r="L595" s="4" t="inlineStr">
        <is>
          <t>Mercado Pago</t>
        </is>
      </c>
      <c r="M595" s="4" t="inlineStr">
        <is>
          <t>AJUSTE SEPT · gasto origen Mayo 11/05/2026 · no se pasó/rindió en el mes de origen por error · COMIDA · Pescadería Belgrano · Mercado Pago · Gmail Pago aprobado · ALMACEN SOL</t>
        </is>
      </c>
      <c r="N595" s="4" t="inlineStr">
        <is>
          <t>CIUDAD / Almacen Detalle</t>
        </is>
      </c>
      <c r="O595" s="4" t="n">
        <v>413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ALMACÉN SOL</t>
        </is>
      </c>
      <c r="F596" s="4" t="inlineStr">
        <is>
          <t>RAMON · VETERINARIO</t>
        </is>
      </c>
      <c r="G596" s="4" t="inlineStr">
        <is>
          <t>RAMON · Veterinario</t>
        </is>
      </c>
      <c r="H596" s="5" t="n">
        <v>65700</v>
      </c>
      <c r="I596" s="16" t="n"/>
      <c r="J596" s="4" t="inlineStr">
        <is>
          <t>REAL</t>
        </is>
      </c>
      <c r="K596" s="17" t="n"/>
      <c r="L596" s="4" t="inlineStr">
        <is>
          <t>Sin identificar</t>
        </is>
      </c>
      <c r="M596" s="4" t="inlineStr">
        <is>
          <t>RAMON · Veterinario · Valeria Mele / El Perro Verde · ALMACEN SOL</t>
        </is>
      </c>
      <c r="N596" s="4" t="inlineStr">
        <is>
          <t>CIUDAD / Almacen Detalle</t>
        </is>
      </c>
      <c r="O596" s="4" t="n">
        <v>219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LIBRERÍA</t>
        </is>
      </c>
      <c r="G597" s="4" t="inlineStr">
        <is>
          <t>LIBRERÍA</t>
        </is>
      </c>
      <c r="H597" s="5" t="n">
        <v>16200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librería · gasto personal Sol · MP cuenta</t>
        </is>
      </c>
      <c r="N597" s="4" t="inlineStr">
        <is>
          <t>CIUDAD / Gasto Personal Sol</t>
        </is>
      </c>
      <c r="O597" s="4" t="n">
        <v>753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PetShop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Septiembre</t>
        </is>
      </c>
      <c r="E709" s="4" t="inlineStr">
        <is>
          <t>ALMACÉN SOL</t>
        </is>
      </c>
      <c r="F709" s="4" t="inlineStr">
        <is>
          <t>COMIDA</t>
        </is>
      </c>
      <c r="G709" s="4" t="inlineStr">
        <is>
          <t>COMIDA · Pescadería Belgrano</t>
        </is>
      </c>
      <c r="H709" s="5" t="n">
        <v>32046</v>
      </c>
      <c r="I709" s="16" t="n"/>
      <c r="J709" s="4" t="inlineStr">
        <is>
          <t>REAL</t>
        </is>
      </c>
      <c r="K709" s="17" t="n"/>
      <c r="L709" s="4" t="inlineStr">
        <is>
          <t>Mercado Pago</t>
        </is>
      </c>
      <c r="M709" s="4" t="inlineStr">
        <is>
          <t>AJUSTE SEPT · gasto origen Junio 02/06/2026 · no se pasó/rindió en el mes de origen por error · COMIDA · Pescadería Belgrano · Mercado Pago · Gmail Pago aprobado · ALMACEN SOL</t>
        </is>
      </c>
      <c r="N709" s="4" t="inlineStr">
        <is>
          <t>CIUDAD / Almacen Detalle</t>
        </is>
      </c>
      <c r="O709" s="4" t="n">
        <v>414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OTROS PERSONALES</t>
        </is>
      </c>
      <c r="G710" s="4" t="inlineStr">
        <is>
          <t>Courier</t>
        </is>
      </c>
      <c r="H710" s="5" t="n">
        <v>22500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Courier · Correo Oficial · Gmail Pago aprobado · $22.500 · gasto personal Sol</t>
        </is>
      </c>
      <c r="N710" s="4" t="inlineStr">
        <is>
          <t>CIUDAD / Gasto Personal Sol</t>
        </is>
      </c>
      <c r="O710" s="4" t="n">
        <v>174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46207</v>
      </c>
      <c r="C826" s="4" t="inlineStr">
        <is>
          <t>2026-07</t>
        </is>
      </c>
      <c r="D826" s="4" t="inlineStr">
        <is>
          <t>Septiembre</t>
        </is>
      </c>
      <c r="E826" s="4" t="inlineStr">
        <is>
          <t>ALMACÉN SOL</t>
        </is>
      </c>
      <c r="F826" s="4" t="inlineStr">
        <is>
          <t>RAMON · COMIDA</t>
        </is>
      </c>
      <c r="G826" s="4" t="inlineStr">
        <is>
          <t>RAMON · Comida</t>
        </is>
      </c>
      <c r="H826" s="5" t="n">
        <v>149500</v>
      </c>
      <c r="I826" s="16" t="n"/>
      <c r="J826" s="4" t="inlineStr">
        <is>
          <t>REAL</t>
        </is>
      </c>
      <c r="K826" s="17" t="n"/>
      <c r="L826" s="4" t="inlineStr">
        <is>
          <t>Sin identificar</t>
        </is>
      </c>
      <c r="M826" s="4" t="inlineStr">
        <is>
          <t>AJUSTE SEPT · gasto origen Julio 04/07/2026 · no se pasó/rindió en el mes de origen por error · RAMON · Comida · DR BARF · pedido #462 · checkout $149.500 · ALMACEN SOL</t>
        </is>
      </c>
      <c r="N826" s="4" t="inlineStr">
        <is>
          <t>CIUDAD / Almacen Detalle</t>
        </is>
      </c>
      <c r="O826" s="4" t="n">
        <v>415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TRANSFERENCIAS</t>
        </is>
      </c>
      <c r="G827" s="4" t="inlineStr">
        <is>
          <t>TRANSFERENCIAS</t>
        </is>
      </c>
      <c r="H827" s="5" t="n">
        <v>38700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transferencia · gasto personal Sol (ex-PENDIENTE) · ex `Antonela Guidobono`</t>
        </is>
      </c>
      <c r="N827" s="4" t="inlineStr">
        <is>
          <t>CIUDAD / Gasto Personal Sol</t>
        </is>
      </c>
      <c r="O827" s="4" t="n">
        <v>202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TRANSPORTE</t>
        </is>
      </c>
      <c r="G828" s="4" t="inlineStr">
        <is>
          <t>TRANSPORTE · Didi</t>
        </is>
      </c>
      <c r="H828" s="5" t="n">
        <v>6280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transporte · gasto personal Sol</t>
        </is>
      </c>
      <c r="N828" s="4" t="inlineStr">
        <is>
          <t>CIUDAD / Gasto Personal Sol</t>
        </is>
      </c>
      <c r="O828" s="4" t="n">
        <v>475</v>
      </c>
    </row>
    <row r="829">
      <c r="A829" s="4" t="n">
        <v>828</v>
      </c>
      <c r="B829" s="15" t="n">
        <v>46208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VESTIMENTA</t>
        </is>
      </c>
      <c r="G829" s="4" t="inlineStr">
        <is>
          <t>VESTIMENTA</t>
        </is>
      </c>
      <c r="H829" s="5" t="n">
        <v>49000</v>
      </c>
      <c r="I829" s="16" t="n"/>
      <c r="J829" s="4" t="inlineStr">
        <is>
          <t>REAL</t>
        </is>
      </c>
      <c r="K829" s="4" t="inlineStr">
        <is>
          <t>Mercado Pago</t>
        </is>
      </c>
      <c r="L829" s="4" t="inlineStr">
        <is>
          <t>Mercado Pago</t>
        </is>
      </c>
      <c r="M829" s="4" t="inlineStr">
        <is>
          <t>VESTIMENTA · Analia Roay · Mercado Pago · gasto personal Sol</t>
        </is>
      </c>
      <c r="N829" s="4" t="inlineStr">
        <is>
          <t>CIUDAD / Gasto Personal Sol</t>
        </is>
      </c>
      <c r="O829" s="4" t="n">
        <v>201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ALMACÉN SOL</t>
        </is>
      </c>
      <c r="F830" s="4" t="inlineStr">
        <is>
          <t>COMIDA</t>
        </is>
      </c>
      <c r="G830" s="4" t="inlineStr">
        <is>
          <t>COMIDA · Le Pain Quotidien</t>
        </is>
      </c>
      <c r="H830" s="5" t="n">
        <v>3295</v>
      </c>
      <c r="I830" s="16" t="n"/>
      <c r="J830" s="4" t="inlineStr">
        <is>
          <t>REAL</t>
        </is>
      </c>
      <c r="K830" s="17" t="n"/>
      <c r="L830" s="4" t="inlineStr">
        <is>
          <t>Sin identificar</t>
        </is>
      </c>
      <c r="M830" s="4" t="inlineStr">
        <is>
          <t>MP · panadería · ex `Le Pain Quotidien`</t>
        </is>
      </c>
      <c r="N830" s="4" t="inlineStr">
        <is>
          <t>CIUDAD / Almacen Detalle</t>
        </is>
      </c>
      <c r="O830" s="4" t="n">
        <v>281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AVA FIDEICOMISO</t>
        </is>
      </c>
      <c r="G831" s="4" t="inlineStr">
        <is>
          <t>AVA FIDEICOMISO</t>
        </is>
      </c>
      <c r="H831" s="5" t="n">
        <v>3002696</v>
      </c>
      <c r="I831" s="16" t="n"/>
      <c r="J831" s="4" t="inlineStr">
        <is>
          <t>REAL</t>
        </is>
      </c>
      <c r="K831" s="4" t="inlineStr">
        <is>
          <t>Mercado Pago / TC MEP</t>
        </is>
      </c>
      <c r="L831" s="4" t="inlineStr">
        <is>
          <t>Mercado Pago</t>
        </is>
      </c>
      <c r="M831" s="4" t="inlineStr">
        <is>
          <t>50% Sol de $6,005,392 · AVA Palpa (Chris el otro 50%) · ex `AVA Fideicomiso · cuota 9 · julio 2026`</t>
        </is>
      </c>
      <c r="N831" s="4" t="inlineStr">
        <is>
          <t>CIUDAD / Gasto Personal Sol</t>
        </is>
      </c>
      <c r="O831" s="4" t="n">
        <v>334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COMIDA · OFICINA</t>
        </is>
      </c>
      <c r="G832" s="4" t="inlineStr">
        <is>
          <t>COMIDA · Oficina</t>
        </is>
      </c>
      <c r="H832" s="5" t="n">
        <v>765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COMIDA · Oficina · Copetin Catering · gasto personal Sol</t>
        </is>
      </c>
      <c r="N832" s="4" t="inlineStr">
        <is>
          <t>CIUDAD / Gasto Personal Sol</t>
        </is>
      </c>
      <c r="O832" s="4" t="n">
        <v>806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TRANSFERENCIAS</t>
        </is>
      </c>
      <c r="G833" s="4" t="inlineStr">
        <is>
          <t>TRANSFERENCIAS</t>
        </is>
      </c>
      <c r="H833" s="5" t="n">
        <v>2500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transferencia · gasto personal Sol (ex-PENDIENTE) · ex `Jose Cristian Montaño`</t>
        </is>
      </c>
      <c r="N833" s="4" t="inlineStr">
        <is>
          <t>CIUDAD / Gasto Personal Sol</t>
        </is>
      </c>
      <c r="O833" s="4" t="n">
        <v>205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8350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816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Didi</t>
        </is>
      </c>
      <c r="H835" s="5" t="n">
        <v>150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Didi · gasto personal Sol</t>
        </is>
      </c>
      <c r="N835" s="4" t="inlineStr">
        <is>
          <t>CIUDAD / Gasto Personal Sol</t>
        </is>
      </c>
      <c r="O835" s="4" t="n">
        <v>817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Uber</t>
        </is>
      </c>
      <c r="H836" s="5" t="n">
        <v>6911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Uber · Ebanx (=Uber) · gasto personal Sol</t>
        </is>
      </c>
      <c r="N836" s="4" t="inlineStr">
        <is>
          <t>CIUDAD / Gasto Personal Sol</t>
        </is>
      </c>
      <c r="O836" s="4" t="n">
        <v>476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USA BOX</t>
        </is>
      </c>
      <c r="G837" s="4" t="inlineStr">
        <is>
          <t>USA BOX</t>
        </is>
      </c>
      <c r="H837" s="5" t="n">
        <v>572005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USA BOX · Federico Martinez Escariz · Mercado Pago · importadora · gasto personal Sol</t>
        </is>
      </c>
      <c r="N837" s="4" t="inlineStr">
        <is>
          <t>CIUDAD / Gasto Personal Sol</t>
        </is>
      </c>
      <c r="O837" s="4" t="n">
        <v>204</v>
      </c>
    </row>
    <row r="838">
      <c r="A838" s="4" t="n">
        <v>837</v>
      </c>
      <c r="B838" s="15" t="n">
        <v>46209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8002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203</v>
      </c>
    </row>
    <row r="839">
      <c r="A839" s="4" t="n">
        <v>838</v>
      </c>
      <c r="B839" s="15" t="n">
        <v>46210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COMPRAS</t>
        </is>
      </c>
      <c r="G839" s="4" t="inlineStr">
        <is>
          <t>COMPRAS</t>
        </is>
      </c>
      <c r="H839" s="5" t="n">
        <v>27900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pago QR · gasto personal Sol · MP cuenta</t>
        </is>
      </c>
      <c r="N839" s="4" t="inlineStr">
        <is>
          <t>CIUDAD / Gasto Personal Sol</t>
        </is>
      </c>
      <c r="O839" s="4" t="n">
        <v>759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SALUD</t>
        </is>
      </c>
      <c r="G840" s="4" t="inlineStr">
        <is>
          <t>SALUD</t>
        </is>
      </c>
      <c r="H840" s="5" t="n">
        <v>159000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personal · gasto personal Sol · ex `Mara Sikorski`</t>
        </is>
      </c>
      <c r="N840" s="4" t="inlineStr">
        <is>
          <t>CIUDAD / Gasto Personal Sol</t>
        </is>
      </c>
      <c r="O840" s="4" t="n">
        <v>206</v>
      </c>
    </row>
    <row r="841">
      <c r="A841" s="4" t="n">
        <v>840</v>
      </c>
      <c r="B841" s="15" t="n">
        <v>46211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TELECOMUNICACIONES</t>
        </is>
      </c>
      <c r="G841" s="4" t="inlineStr">
        <is>
          <t>Servicio - Telefonía</t>
        </is>
      </c>
      <c r="H841" s="5" t="n">
        <v>18000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Tuenti · gasto personal Sol · hoja Gasto Personal Sol</t>
        </is>
      </c>
      <c r="N841" s="4" t="inlineStr">
        <is>
          <t>CIUDAD / Gasto Personal Sol</t>
        </is>
      </c>
      <c r="O841" s="4" t="n">
        <v>207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ALMACÉN SOL</t>
        </is>
      </c>
      <c r="F842" s="4" t="inlineStr">
        <is>
          <t>COMIDA</t>
        </is>
      </c>
      <c r="G842" s="4" t="inlineStr">
        <is>
          <t>COMIDA · VALENTI SA</t>
        </is>
      </c>
      <c r="H842" s="5" t="n">
        <v>26400</v>
      </c>
      <c r="I842" s="16" t="n"/>
      <c r="J842" s="4" t="inlineStr">
        <is>
          <t>REAL</t>
        </is>
      </c>
      <c r="K842" s="17" t="n"/>
      <c r="L842" s="4" t="inlineStr">
        <is>
          <t>Sin identificar</t>
        </is>
      </c>
      <c r="M842" s="4" t="inlineStr">
        <is>
          <t>COMIDA · VALENTI SA</t>
        </is>
      </c>
      <c r="N842" s="4" t="inlineStr">
        <is>
          <t>CIUDAD / Almacen Detalle</t>
        </is>
      </c>
      <c r="O842" s="4" t="n">
        <v>279</v>
      </c>
    </row>
    <row r="843">
      <c r="A843" s="4" t="n">
        <v>842</v>
      </c>
      <c r="B843" s="15" t="n">
        <v>46212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COMPRAS</t>
        </is>
      </c>
      <c r="G843" s="4" t="inlineStr">
        <is>
          <t>COMPRAS</t>
        </is>
      </c>
      <c r="H843" s="5" t="n">
        <v>164000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pago QR · gasto personal Sol · MP cuenta · ex `David Rosental e Hijos SA`</t>
        </is>
      </c>
      <c r="N843" s="4" t="inlineStr">
        <is>
          <t>CIUDAD / Gasto Personal Sol</t>
        </is>
      </c>
      <c r="O843" s="4" t="n">
        <v>760</v>
      </c>
    </row>
    <row r="844">
      <c r="A844" s="4" t="n">
        <v>843</v>
      </c>
      <c r="B844" s="15" t="n">
        <v>46213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5000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`Sikorski Mara`</t>
        </is>
      </c>
      <c r="N844" s="4" t="inlineStr">
        <is>
          <t>CIUDAD / Gasto Personal Sol</t>
        </is>
      </c>
      <c r="O844" s="4" t="n">
        <v>208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SUSHI</t>
        </is>
      </c>
      <c r="H845" s="5" t="n">
        <v>195360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SUSHI</t>
        </is>
      </c>
      <c r="N845" s="4" t="inlineStr">
        <is>
          <t>CIUDAD / Almacen Detalle</t>
        </is>
      </c>
      <c r="O845" s="4" t="n">
        <v>287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ALMACÉN SOL</t>
        </is>
      </c>
      <c r="F846" s="4" t="inlineStr">
        <is>
          <t>COMIDA</t>
        </is>
      </c>
      <c r="G846" s="4" t="inlineStr">
        <is>
          <t>COMIDA · VALENTI SA</t>
        </is>
      </c>
      <c r="H846" s="5" t="n">
        <v>11375</v>
      </c>
      <c r="I846" s="16" t="n"/>
      <c r="J846" s="4" t="inlineStr">
        <is>
          <t>REAL</t>
        </is>
      </c>
      <c r="K846" s="17" t="n"/>
      <c r="L846" s="4" t="inlineStr">
        <is>
          <t>Sin identificar</t>
        </is>
      </c>
      <c r="M846" s="4" t="inlineStr">
        <is>
          <t>COMIDA · VALENTI SA</t>
        </is>
      </c>
      <c r="N846" s="4" t="inlineStr">
        <is>
          <t>CIUDAD / Almacen Detalle</t>
        </is>
      </c>
      <c r="O846" s="4" t="n">
        <v>278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18300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tienda física · gasto personal Sol (ex-PENDIENTE) · ex `Comercio`</t>
        </is>
      </c>
      <c r="N847" s="4" t="inlineStr">
        <is>
          <t>CIUDAD / Gasto Personal Sol</t>
        </is>
      </c>
      <c r="O847" s="4" t="n">
        <v>209</v>
      </c>
    </row>
    <row r="848">
      <c r="A848" s="4" t="n">
        <v>847</v>
      </c>
      <c r="B848" s="15" t="n">
        <v>46214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TRANSFERENCIAS</t>
        </is>
      </c>
      <c r="G848" s="4" t="inlineStr">
        <is>
          <t>TRANSFERENCIAS</t>
        </is>
      </c>
      <c r="H848" s="5" t="n">
        <v>1500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transferencia · gasto personal Sol (ex-PENDIENTE) · ex `Franco Yonatan Britez`</t>
        </is>
      </c>
      <c r="N848" s="4" t="inlineStr">
        <is>
          <t>CIUDAD / Gasto Personal Sol</t>
        </is>
      </c>
      <c r="O848" s="4" t="n">
        <v>210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ALMACÉN SOL</t>
        </is>
      </c>
      <c r="F849" s="4" t="inlineStr">
        <is>
          <t>COMIDA · BARRITAS PROTEICAS</t>
        </is>
      </c>
      <c r="G849" s="4" t="inlineStr">
        <is>
          <t>COMIDA · Barritas proteicas</t>
        </is>
      </c>
      <c r="H849" s="5" t="n">
        <v>66527</v>
      </c>
      <c r="I849" s="16" t="n"/>
      <c r="J849" s="4" t="inlineStr">
        <is>
          <t>REAL</t>
        </is>
      </c>
      <c r="K849" s="17" t="n"/>
      <c r="L849" s="4" t="inlineStr">
        <is>
          <t>TC Mercado Pago</t>
        </is>
      </c>
      <c r="M849" s="4" t="inlineStr">
        <is>
          <t>COMIDA · Barritas proteicas · Enerfit · TC Mercado Pago · SALUD · MERPAGO*ENERFIT · TC Mercado Pago · cuota 8 de 12 · compra 2025-11-26 · ex `SALUD · Enerfit · C.08/12`</t>
        </is>
      </c>
      <c r="N849" s="4" t="inlineStr">
        <is>
          <t>CIUDAD / Almacen Detalle</t>
        </is>
      </c>
      <c r="O849" s="4" t="n">
        <v>92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SALUD</t>
        </is>
      </c>
      <c r="G850" s="4" t="inlineStr">
        <is>
          <t>COMPRAS</t>
        </is>
      </c>
      <c r="H850" s="5" t="n">
        <v>52079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SALUD · MERPAGO*SUPLEMENTOSCO · TC Mercado Pago · cuota 3 de 3 · compra 2026-04-20 · ex `SALUD · Suplementosco · C.03/03`</t>
        </is>
      </c>
      <c r="N850" s="4" t="inlineStr">
        <is>
          <t>CIUDAD / Gasto Personal Sol</t>
        </is>
      </c>
      <c r="O850" s="4" t="n">
        <v>735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44100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MERPAGO*BIDCOM · TC Mercado Pago · cuota 2 de 3 · compra 2026-05-14 · ex `Bidcom · C.02/03`</t>
        </is>
      </c>
      <c r="N851" s="4" t="inlineStr">
        <is>
          <t>CIUDAD / Gasto Personal Sol</t>
        </is>
      </c>
      <c r="O851" s="4" t="n">
        <v>737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268667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MERPAGO*CASAGODOY · TC Mercado Pago · cuota 2 de 3 · compra 2026-06-11 · ex `Casagodoy · C.02/03`</t>
        </is>
      </c>
      <c r="N852" s="4" t="inlineStr">
        <is>
          <t>CIUDAD / Gasto Personal Sol</t>
        </is>
      </c>
      <c r="O852" s="4" t="n">
        <v>738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COMPRAS</t>
        </is>
      </c>
      <c r="H853" s="5" t="n">
        <v>58334</v>
      </c>
      <c r="I853" s="16" t="n"/>
      <c r="J853" s="4" t="inlineStr">
        <is>
          <t>REAL</t>
        </is>
      </c>
      <c r="K853" s="4" t="inlineStr">
        <is>
          <t>TC Mercado Pago</t>
        </is>
      </c>
      <c r="L853" s="4" t="inlineStr">
        <is>
          <t>TC Mercado Pago</t>
        </is>
      </c>
      <c r="M853" s="4" t="inlineStr">
        <is>
          <t>SALUD · MERPAGO*BIODEPOT · TC Mercado Pago · cuota 1 de 3 · compra 2026-06-25 · ex `SALUD · Biodepot · C.01/03`</t>
        </is>
      </c>
      <c r="N853" s="4" t="inlineStr">
        <is>
          <t>CIUDAD / Gasto Personal Sol</t>
        </is>
      </c>
      <c r="O853" s="4" t="n">
        <v>743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24499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MERCADO LIBRE · gasto personal Sol</t>
        </is>
      </c>
      <c r="N854" s="4" t="inlineStr">
        <is>
          <t>CIUDAD / Gasto Personal Sol</t>
        </is>
      </c>
      <c r="O854" s="4" t="n">
        <v>213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MERCADO LIBRE</t>
        </is>
      </c>
      <c r="G855" s="4" t="inlineStr">
        <is>
          <t>MERCADO LIBRE</t>
        </is>
      </c>
      <c r="H855" s="5" t="n">
        <v>53000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MERPAGO*MONPOULET · TC Mercado Pago · compra 2026-06-13</t>
        </is>
      </c>
      <c r="N855" s="4" t="inlineStr">
        <is>
          <t>CIUDAD / Gasto Personal Sol</t>
        </is>
      </c>
      <c r="O855" s="4" t="n">
        <v>739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REGALOS</t>
        </is>
      </c>
      <c r="G856" s="4" t="inlineStr">
        <is>
          <t>REGALOS</t>
        </is>
      </c>
      <c r="H856" s="5" t="n">
        <v>33500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REGALOS · Regalos Dalila · MERPAGO*REGALOSDALILA · TC Mercado Pago · cuota 1 de 2 · compra 2026-06-19</t>
        </is>
      </c>
      <c r="N856" s="4" t="inlineStr">
        <is>
          <t>CIUDAD / Gasto Personal Sol</t>
        </is>
      </c>
      <c r="O856" s="4" t="n">
        <v>741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41715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MERPAGO*LOCCITANE · TC Mercado Pago · cuota 4 de 6 · compra 2026-03-20</t>
        </is>
      </c>
      <c r="N857" s="4" t="inlineStr">
        <is>
          <t>CIUDAD / Gasto Personal Sol</t>
        </is>
      </c>
      <c r="O857" s="4" t="n">
        <v>731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67112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MERPAGO*AWADA · TC Mercado Pago · cuota 4 de 9 · compra 2026-03-23</t>
        </is>
      </c>
      <c r="N858" s="4" t="inlineStr">
        <is>
          <t>CIUDAD / Gasto Personal Sol</t>
        </is>
      </c>
      <c r="O858" s="4" t="n">
        <v>732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23000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Adidas · TC Mercado Pago · cuota 4 de 6 · compra 2026-03-23</t>
        </is>
      </c>
      <c r="N859" s="4" t="inlineStr">
        <is>
          <t>CIUDAD / Gasto Personal Sol</t>
        </is>
      </c>
      <c r="O859" s="4" t="n">
        <v>733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41345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MERPAGO*LAPARFUMERIE · TC Mercado Pago · cuota 4 de 6 · compra 2026-03-30</t>
        </is>
      </c>
      <c r="N860" s="4" t="inlineStr">
        <is>
          <t>CIUDAD / Gasto Personal Sol</t>
        </is>
      </c>
      <c r="O860" s="4" t="n">
        <v>734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88815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Tilgorita · MERPAGO*TILGORITA · TC Mercado Pago · cuota 3 de 3 · compra 2026-05-09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ROPA</t>
        </is>
      </c>
      <c r="G862" s="4" t="inlineStr">
        <is>
          <t>ROPA</t>
        </is>
      </c>
      <c r="H862" s="5" t="n">
        <v>297891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ROPA · Pandora · TC Mercado Pago · cuota 1 de 6 · compra 2026-07-09</t>
        </is>
      </c>
      <c r="N862" s="4" t="inlineStr">
        <is>
          <t>CIUDAD / Gasto Personal Sol</t>
        </is>
      </c>
      <c r="O862" s="4" t="n">
        <v>744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SALUD</t>
        </is>
      </c>
      <c r="H863" s="5" t="n">
        <v>55707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Laboratorio · SALUD · MERPAGO*LABORATORIOBE · TC Mercado Pago · cuota 1 de 9 · compra 2026-06-23</t>
        </is>
      </c>
      <c r="N863" s="4" t="inlineStr">
        <is>
          <t>CIUDAD / Gasto Personal Sol</t>
        </is>
      </c>
      <c r="O863" s="4" t="n">
        <v>742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 · Vitaminas</t>
        </is>
      </c>
      <c r="G864" s="4" t="inlineStr">
        <is>
          <t>SALUD · Vitaminas</t>
        </is>
      </c>
      <c r="H864" s="5" t="n">
        <v>87900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Vitaminas · Promarine · TC Mercado Pago · C.04/06 · gasto personal Sol</t>
        </is>
      </c>
      <c r="N864" s="4" t="inlineStr">
        <is>
          <t>CIUDAD / Gasto Personal Sol</t>
        </is>
      </c>
      <c r="O864" s="4" t="n">
        <v>828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SUSCRIPCIONES · APPLE</t>
        </is>
      </c>
      <c r="G865" s="4" t="inlineStr">
        <is>
          <t>SUSCRIPCIONES · Apple</t>
        </is>
      </c>
      <c r="H865" s="5" t="n">
        <v>19481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SUSCRIPCIONES · Apple · gasto personal Sol</t>
        </is>
      </c>
      <c r="N865" s="4" t="inlineStr">
        <is>
          <t>CIUDAD / Gasto Personal Sol</t>
        </is>
      </c>
      <c r="O865" s="4" t="n">
        <v>211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TRANSFERENCIAS</t>
        </is>
      </c>
      <c r="G866" s="4" t="inlineStr">
        <is>
          <t>TRANSFERENCIAS</t>
        </is>
      </c>
      <c r="H866" s="5" t="n">
        <v>27000</v>
      </c>
      <c r="I866" s="16" t="n"/>
      <c r="J866" s="4" t="inlineStr">
        <is>
          <t>REAL</t>
        </is>
      </c>
      <c r="K866" s="4" t="inlineStr">
        <is>
          <t>Mercado Pago</t>
        </is>
      </c>
      <c r="L866" s="4" t="inlineStr">
        <is>
          <t>Mercado Pago</t>
        </is>
      </c>
      <c r="M866" s="4" t="inlineStr">
        <is>
          <t>compra · gasto personal Sol (ex-PENDIENTE) · ex `Klash Pro`</t>
        </is>
      </c>
      <c r="N866" s="4" t="inlineStr">
        <is>
          <t>CIUDAD / Gasto Personal Sol</t>
        </is>
      </c>
      <c r="O866" s="4" t="n">
        <v>212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VESTIMENTA</t>
        </is>
      </c>
      <c r="G867" s="4" t="inlineStr">
        <is>
          <t>VESTIMENTA</t>
        </is>
      </c>
      <c r="H867" s="5" t="n">
        <v>2542970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VESTIMENTA · Itsclassic · TC Mercado Pago · gasto personal Sol</t>
        </is>
      </c>
      <c r="N867" s="4" t="inlineStr">
        <is>
          <t>CIUDAD / Gasto Personal Sol</t>
        </is>
      </c>
      <c r="O867" s="4" t="n">
        <v>740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ALMACÉN SOL</t>
        </is>
      </c>
      <c r="F868" s="4" t="inlineStr">
        <is>
          <t>COMIDA</t>
        </is>
      </c>
      <c r="G868" s="4" t="inlineStr">
        <is>
          <t>COMIDA · Carnes Tito</t>
        </is>
      </c>
      <c r="H868" s="5" t="n">
        <v>8160</v>
      </c>
      <c r="I868" s="16" t="n"/>
      <c r="J868" s="4" t="inlineStr">
        <is>
          <t>REAL</t>
        </is>
      </c>
      <c r="K868" s="17" t="n"/>
      <c r="L868" s="4" t="inlineStr">
        <is>
          <t>Sin identificar</t>
        </is>
      </c>
      <c r="M868" s="4" t="inlineStr">
        <is>
          <t>MP · carnicería · ex `Carnes Tito`</t>
        </is>
      </c>
      <c r="N868" s="4" t="inlineStr">
        <is>
          <t>CIUDAD / Almacen Detalle</t>
        </is>
      </c>
      <c r="O868" s="4" t="n">
        <v>277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COMIDA · OFICINA</t>
        </is>
      </c>
      <c r="G869" s="4" t="inlineStr">
        <is>
          <t>COMIDA · Oficina</t>
        </is>
      </c>
      <c r="H869" s="5" t="n">
        <v>16150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COMIDA · Oficina · Copetin Catering · gasto personal Sol</t>
        </is>
      </c>
      <c r="N869" s="4" t="inlineStr">
        <is>
          <t>CIUDAD / Gasto Personal Sol</t>
        </is>
      </c>
      <c r="O869" s="4" t="n">
        <v>807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6809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477</v>
      </c>
    </row>
    <row r="871">
      <c r="A871" s="4" t="n">
        <v>870</v>
      </c>
      <c r="B871" s="15" t="n">
        <v>46216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TRANSPORTE</t>
        </is>
      </c>
      <c r="G871" s="4" t="inlineStr">
        <is>
          <t>TRANSPORTE · Uber</t>
        </is>
      </c>
      <c r="H871" s="5" t="n">
        <v>15</v>
      </c>
      <c r="I871" s="16" t="n"/>
      <c r="J871" s="4" t="inlineStr">
        <is>
          <t>REAL</t>
        </is>
      </c>
      <c r="K871" s="4" t="inlineStr">
        <is>
          <t>Mercado Pago</t>
        </is>
      </c>
      <c r="L871" s="4" t="inlineStr">
        <is>
          <t>Mercado Pago</t>
        </is>
      </c>
      <c r="M871" s="4" t="inlineStr">
        <is>
          <t>TRANSPORTE · Uber · Ebanx (=Uber) · gasto personal Sol</t>
        </is>
      </c>
      <c r="N871" s="4" t="inlineStr">
        <is>
          <t>CIUDAD / Gasto Personal Sol</t>
        </is>
      </c>
      <c r="O871" s="4" t="n">
        <v>818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ALMACÉN SOL</t>
        </is>
      </c>
      <c r="F872" s="4" t="inlineStr">
        <is>
          <t>COMIDA</t>
        </is>
      </c>
      <c r="G872" s="4" t="inlineStr">
        <is>
          <t>COMIDA · VERDULERÍA</t>
        </is>
      </c>
      <c r="H872" s="5" t="n">
        <v>8977</v>
      </c>
      <c r="I872" s="16" t="n"/>
      <c r="J872" s="4" t="inlineStr">
        <is>
          <t>REAL</t>
        </is>
      </c>
      <c r="K872" s="17" t="n"/>
      <c r="L872" s="4" t="inlineStr">
        <is>
          <t>Sin identificar</t>
        </is>
      </c>
      <c r="M872" s="4" t="inlineStr">
        <is>
          <t>COMIDA · VERDULERÍA</t>
        </is>
      </c>
      <c r="N872" s="4" t="inlineStr">
        <is>
          <t>CIUDAD / Almacen Detalle</t>
        </is>
      </c>
      <c r="O872" s="4" t="n">
        <v>286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FARMACIA SALUD</t>
        </is>
      </c>
      <c r="G873" s="4" t="inlineStr">
        <is>
          <t>FARMACIA SALUD</t>
        </is>
      </c>
      <c r="H873" s="5" t="n">
        <v>218500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FARMACIA SALUD · Farmacia Maure · resumen MP cuenta</t>
        </is>
      </c>
      <c r="N873" s="4" t="inlineStr">
        <is>
          <t>CIUDAD / Gasto Personal Sol</t>
        </is>
      </c>
      <c r="O873" s="4" t="n">
        <v>764</v>
      </c>
    </row>
    <row r="874">
      <c r="A874" s="4" t="n">
        <v>873</v>
      </c>
      <c r="B874" s="15" t="n">
        <v>46217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USA BOX</t>
        </is>
      </c>
      <c r="G874" s="4" t="inlineStr">
        <is>
          <t>USA BOX</t>
        </is>
      </c>
      <c r="H874" s="5" t="n">
        <v>398240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USA BOX · Carenzo Santiago P · Mercado Pago · importadora · gasto personal Sol</t>
        </is>
      </c>
      <c r="N874" s="4" t="inlineStr">
        <is>
          <t>CIUDAD / Gasto Personal Sol</t>
        </is>
      </c>
      <c r="O874" s="4" t="n">
        <v>214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COMPRAS</t>
        </is>
      </c>
      <c r="G875" s="4" t="inlineStr">
        <is>
          <t>COMPRAS</t>
        </is>
      </c>
      <c r="H875" s="5" t="n">
        <v>21600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COMPRAS · Dodoche · pago · gasto personal Sol</t>
        </is>
      </c>
      <c r="N875" s="4" t="inlineStr">
        <is>
          <t>CIUDAD / Gasto Personal Sol</t>
        </is>
      </c>
      <c r="O875" s="4" t="n">
        <v>223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30318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215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MERCADO LIBRE</t>
        </is>
      </c>
      <c r="G877" s="4" t="inlineStr">
        <is>
          <t>MERCADO LIBRE</t>
        </is>
      </c>
      <c r="H877" s="5" t="n">
        <v>18525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MERCADO LIBRE · gasto personal Sol</t>
        </is>
      </c>
      <c r="N877" s="4" t="inlineStr">
        <is>
          <t>CIUDAD / Gasto Personal Sol</t>
        </is>
      </c>
      <c r="O877" s="4" t="n">
        <v>216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Didi</t>
        </is>
      </c>
      <c r="H878" s="5" t="n">
        <v>5100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gasto personal Sol</t>
        </is>
      </c>
      <c r="N878" s="4" t="inlineStr">
        <is>
          <t>CIUDAD / Gasto Personal Sol</t>
        </is>
      </c>
      <c r="O878" s="4" t="n">
        <v>478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384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479</v>
      </c>
    </row>
    <row r="880">
      <c r="A880" s="4" t="n">
        <v>879</v>
      </c>
      <c r="B880" s="15" t="n">
        <v>46218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6866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480</v>
      </c>
    </row>
    <row r="881">
      <c r="A881" s="4" t="n">
        <v>880</v>
      </c>
      <c r="B881" s="15" t="n">
        <v>46219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MERCADO LIBRE</t>
        </is>
      </c>
      <c r="G881" s="4" t="inlineStr">
        <is>
          <t>MERCADO LIBRE</t>
        </is>
      </c>
      <c r="H881" s="5" t="n">
        <v>62900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MERCADO LIBRE · gasto personal Sol</t>
        </is>
      </c>
      <c r="N881" s="4" t="inlineStr">
        <is>
          <t>CIUDAD / Gasto Personal Sol</t>
        </is>
      </c>
      <c r="O881" s="4" t="n">
        <v>217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Chocolates CHIAZZA</t>
        </is>
      </c>
      <c r="H882" s="5" t="n">
        <v>8000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COMIDA · Chocolates CHIAZZA</t>
        </is>
      </c>
      <c r="N882" s="4" t="inlineStr">
        <is>
          <t>CIUDAD / Almacen Detalle</t>
        </is>
      </c>
      <c r="O882" s="4" t="n">
        <v>285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PEDIDOS YA · COMIDA</t>
        </is>
      </c>
      <c r="H883" s="5" t="n">
        <v>73345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PEDIDOS YA · COMIDA</t>
        </is>
      </c>
      <c r="N883" s="4" t="inlineStr">
        <is>
          <t>CIUDAD / Almacen Detalle</t>
        </is>
      </c>
      <c r="O883" s="4" t="n">
        <v>276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11747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218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26311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219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Didi</t>
        </is>
      </c>
      <c r="H886" s="5" t="n">
        <v>5800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gasto personal Sol</t>
        </is>
      </c>
      <c r="N886" s="4" t="inlineStr">
        <is>
          <t>CIUDAD / Gasto Personal Sol</t>
        </is>
      </c>
      <c r="O886" s="4" t="n">
        <v>481</v>
      </c>
    </row>
    <row r="887">
      <c r="A887" s="4" t="n">
        <v>886</v>
      </c>
      <c r="B887" s="15" t="n">
        <v>46220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Uber</t>
        </is>
      </c>
      <c r="H887" s="5" t="n">
        <v>4390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Uber · Ebanx (=Uber) · gasto personal Sol</t>
        </is>
      </c>
      <c r="N887" s="4" t="inlineStr">
        <is>
          <t>CIUDAD / Gasto Personal Sol</t>
        </is>
      </c>
      <c r="O887" s="4" t="n">
        <v>482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ALMACÉN SOL</t>
        </is>
      </c>
      <c r="F888" s="4" t="inlineStr">
        <is>
          <t>COMIDA</t>
        </is>
      </c>
      <c r="G888" s="4" t="inlineStr">
        <is>
          <t>COMIDA · pollo</t>
        </is>
      </c>
      <c r="H888" s="5" t="n">
        <v>34293</v>
      </c>
      <c r="I888" s="16" t="n"/>
      <c r="J888" s="4" t="inlineStr">
        <is>
          <t>REAL</t>
        </is>
      </c>
      <c r="K888" s="17" t="n"/>
      <c r="L888" s="4" t="inlineStr">
        <is>
          <t>BBVA</t>
        </is>
      </c>
      <c r="M888" s="4" t="inlineStr">
        <is>
          <t>COMIDA · pollo · MP · pollo · BBVA Visa crédito</t>
        </is>
      </c>
      <c r="N888" s="4" t="inlineStr">
        <is>
          <t>CIUDAD / Almacen Detalle</t>
        </is>
      </c>
      <c r="O888" s="4" t="n">
        <v>275</v>
      </c>
    </row>
    <row r="889">
      <c r="A889" s="4" t="n">
        <v>888</v>
      </c>
      <c r="B889" s="15" t="n">
        <v>46221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VESTIMENTA</t>
        </is>
      </c>
      <c r="G889" s="4" t="inlineStr">
        <is>
          <t>VESTIMENTA</t>
        </is>
      </c>
      <c r="H889" s="5" t="n">
        <v>593000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VESTIMENTA · Analia Roay · Mercado Pago · gasto personal Sol</t>
        </is>
      </c>
      <c r="N889" s="4" t="inlineStr">
        <is>
          <t>CIUDAD / Gasto Personal Sol</t>
        </is>
      </c>
      <c r="O889" s="4" t="n">
        <v>222</v>
      </c>
    </row>
    <row r="890">
      <c r="A890" s="4" t="n">
        <v>889</v>
      </c>
      <c r="B890" s="15" t="n">
        <v>46222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TRANSFERENCIAS</t>
        </is>
      </c>
      <c r="G890" s="4" t="inlineStr">
        <is>
          <t>TRANSFERENCIAS</t>
        </is>
      </c>
      <c r="H890" s="5" t="n">
        <v>15000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transferencia enviada · gasto personal Sol · ex `Matias Leonel Aranda`</t>
        </is>
      </c>
      <c r="N890" s="4" t="inlineStr">
        <is>
          <t>CIUDAD / Gasto Personal Sol</t>
        </is>
      </c>
      <c r="O890" s="4" t="n">
        <v>221</v>
      </c>
    </row>
    <row r="891">
      <c r="A891" s="4" t="n">
        <v>890</v>
      </c>
      <c r="B891" s="15" t="n">
        <v>46224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Todo Tartas</t>
        </is>
      </c>
      <c r="H891" s="5" t="n">
        <v>57600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MP · panadería · ex `Todo Tartas`</t>
        </is>
      </c>
      <c r="N891" s="4" t="inlineStr">
        <is>
          <t>CIUDAD / Almacen Detalle</t>
        </is>
      </c>
      <c r="O891" s="4" t="n">
        <v>289</v>
      </c>
    </row>
    <row r="892">
      <c r="A892" s="4" t="n">
        <v>891</v>
      </c>
      <c r="B892" s="15" t="n">
        <v>46235</v>
      </c>
      <c r="C892" s="4" t="inlineStr">
        <is>
          <t>2026-08</t>
        </is>
      </c>
      <c r="D892" s="4" t="inlineStr">
        <is>
          <t>Septiembre</t>
        </is>
      </c>
      <c r="E892" s="4" t="inlineStr">
        <is>
          <t>ALMACÉN SOL</t>
        </is>
      </c>
      <c r="F892" s="4" t="inlineStr">
        <is>
          <t>RAMON · COMIDA</t>
        </is>
      </c>
      <c r="G892" s="4" t="inlineStr">
        <is>
          <t>RAMON · Comida</t>
        </is>
      </c>
      <c r="H892" s="5" t="n">
        <v>176000</v>
      </c>
      <c r="I892" s="16" t="n"/>
      <c r="J892" s="4" t="inlineStr">
        <is>
          <t>REAL</t>
        </is>
      </c>
      <c r="K892" s="17" t="n"/>
      <c r="L892" s="4" t="inlineStr">
        <is>
          <t>BBVA</t>
        </is>
      </c>
      <c r="M892" s="4" t="inlineStr">
        <is>
          <t>AJUSTE SEPT · gasto origen Agosto 01/08/2026 · no se pasó/rindió en el mes de origen por error · RAMON · Comida · DR BARF · Gibiana Cova · BBVA · ALMACEN SOL</t>
        </is>
      </c>
      <c r="N892" s="4" t="inlineStr">
        <is>
          <t>CIUDAD / Almacen Detalle</t>
        </is>
      </c>
      <c r="O892" s="4" t="n">
        <v>416</v>
      </c>
    </row>
    <row r="893">
      <c r="A893" s="4" t="n">
        <v>892</v>
      </c>
      <c r="B893" s="15" t="n">
        <v>46237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COMIDA · OFICINA</t>
        </is>
      </c>
      <c r="G893" s="4" t="inlineStr">
        <is>
          <t>COMIDA · Oficina</t>
        </is>
      </c>
      <c r="H893" s="5" t="n">
        <v>11010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COMIDA · Oficina · Copetin Catering · Gmail Pago aprobado</t>
        </is>
      </c>
      <c r="N893" s="4" t="inlineStr">
        <is>
          <t>CIUDAD / Gasto Personal Sol</t>
        </is>
      </c>
      <c r="O893" s="4" t="n">
        <v>944</v>
      </c>
    </row>
    <row r="894">
      <c r="A894" s="4" t="n">
        <v>893</v>
      </c>
      <c r="B894" s="15" t="n">
        <v>46239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VESTIMENTA</t>
        </is>
      </c>
      <c r="G894" s="4" t="inlineStr">
        <is>
          <t>VESTIMENTA</t>
        </is>
      </c>
      <c r="H894" s="5" t="n">
        <v>152000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VESTIMENTA · Renová tu vestidor · Gmail Pago aprobado · gasto personal Sol</t>
        </is>
      </c>
      <c r="N894" s="4" t="inlineStr">
        <is>
          <t>CIUDAD / Gasto Personal Sol</t>
        </is>
      </c>
      <c r="O894" s="4" t="n">
        <v>945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22222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Siendo Consciencia · Gmail Pago aprobado · REVISAR ítem</t>
        </is>
      </c>
      <c r="N895" s="4" t="inlineStr">
        <is>
          <t>CIUDAD / Gasto Personal Sol</t>
        </is>
      </c>
      <c r="O895" s="4" t="n">
        <v>946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24000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947</v>
      </c>
    </row>
    <row r="897">
      <c r="A897" s="4" t="n">
        <v>896</v>
      </c>
      <c r="B897" s="15" t="n">
        <v>46243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SALUD</t>
        </is>
      </c>
      <c r="G897" s="4" t="inlineStr">
        <is>
          <t>SALUD</t>
        </is>
      </c>
      <c r="H897" s="5" t="n">
        <v>75000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SALUD · Lorena Ferreyra · Gmail Pago aprobado · REVISAR ítem</t>
        </is>
      </c>
      <c r="N897" s="4" t="inlineStr">
        <is>
          <t>CIUDAD / Gasto Personal Sol</t>
        </is>
      </c>
      <c r="O897" s="4" t="n">
        <v>948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COMIDA · OFICINA</t>
        </is>
      </c>
      <c r="G898" s="4" t="inlineStr">
        <is>
          <t>COMIDA · Oficina</t>
        </is>
      </c>
      <c r="H898" s="5" t="n">
        <v>13600</v>
      </c>
      <c r="I898" s="16" t="n"/>
      <c r="J898" s="4" t="inlineStr">
        <is>
          <t>REAL</t>
        </is>
      </c>
      <c r="K898" s="4" t="inlineStr">
        <is>
          <t>TC Mercado Pago</t>
        </is>
      </c>
      <c r="L898" s="4" t="inlineStr">
        <is>
          <t>TC Mercado Pago</t>
        </is>
      </c>
      <c r="M898" s="4" t="inlineStr">
        <is>
          <t>COMIDA · Oficina · Copetin Catering · Gmail Pago aprobado</t>
        </is>
      </c>
      <c r="N898" s="4" t="inlineStr">
        <is>
          <t>CIUDAD / Gasto Personal Sol</t>
        </is>
      </c>
      <c r="O898" s="4" t="n">
        <v>950</v>
      </c>
    </row>
    <row r="899">
      <c r="A899" s="4" t="n">
        <v>898</v>
      </c>
      <c r="B899" s="15" t="n">
        <v>46244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GASTO PERSONAL</t>
        </is>
      </c>
      <c r="F899" s="4" t="inlineStr">
        <is>
          <t>SALUD</t>
        </is>
      </c>
      <c r="G899" s="4" t="inlineStr">
        <is>
          <t>SALUD</t>
        </is>
      </c>
      <c r="H899" s="5" t="n">
        <v>356000</v>
      </c>
      <c r="I899" s="16" t="n"/>
      <c r="J899" s="4" t="inlineStr">
        <is>
          <t>REAL</t>
        </is>
      </c>
      <c r="K899" s="4" t="inlineStr">
        <is>
          <t>BBVA Crédito ****3200</t>
        </is>
      </c>
      <c r="L899" s="4" t="inlineStr">
        <is>
          <t>BBVA</t>
        </is>
      </c>
      <c r="M899" s="4" t="inlineStr">
        <is>
          <t>SALUD · Reiki · Gmail Pago aprobado · gasto personal Sol</t>
        </is>
      </c>
      <c r="N899" s="4" t="inlineStr">
        <is>
          <t>CIUDAD / Gasto Personal Sol</t>
        </is>
      </c>
      <c r="O899" s="4" t="n">
        <v>949</v>
      </c>
    </row>
    <row r="900">
      <c r="A900" s="4" t="n">
        <v>899</v>
      </c>
      <c r="B900" s="15" t="n">
        <v>46245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COMIDA · VERDULERÍA</t>
        </is>
      </c>
      <c r="H900" s="5" t="n">
        <v>8900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COMIDA · VERDULERÍA · Agosto</t>
        </is>
      </c>
      <c r="N900" s="4" t="inlineStr">
        <is>
          <t>CIUDAD / Almacen Detalle</t>
        </is>
      </c>
      <c r="O900" s="4" t="n">
        <v>314</v>
      </c>
    </row>
    <row r="901">
      <c r="A901" s="4" t="n">
        <v>900</v>
      </c>
      <c r="B901" s="15" t="n">
        <v>46250</v>
      </c>
      <c r="C901" s="4" t="inlineStr">
        <is>
          <t>2026-08</t>
        </is>
      </c>
      <c r="D901" s="4" t="inlineStr">
        <is>
          <t>Agosto</t>
        </is>
      </c>
      <c r="E901" s="4" t="inlineStr">
        <is>
          <t>GASTO PERSONAL</t>
        </is>
      </c>
      <c r="F901" s="4" t="inlineStr">
        <is>
          <t>ENTRETENIMIENTO · COMIDAS</t>
        </is>
      </c>
      <c r="G901" s="4" t="inlineStr">
        <is>
          <t>ENTRETENIMIENTO · Comidas</t>
        </is>
      </c>
      <c r="H901" s="5" t="n">
        <v>1060501</v>
      </c>
      <c r="I901" s="16" t="n"/>
      <c r="J901" s="4" t="inlineStr">
        <is>
          <t>REAL</t>
        </is>
      </c>
      <c r="K901" s="4" t="inlineStr">
        <is>
          <t>BBVA VISA</t>
        </is>
      </c>
      <c r="L901" s="4" t="inlineStr">
        <is>
          <t>BBVA</t>
        </is>
      </c>
      <c r="M901" s="4" t="inlineStr">
        <is>
          <t>ENTRETENIMIENTO · Comidas · Gardiner Restaurant · BBVA VISA · mesa 9 · gasto personal Sol (no Almacén) · 16/08/2026</t>
        </is>
      </c>
      <c r="N901" s="4" t="inlineStr">
        <is>
          <t>CIUDAD / Gasto Personal Sol</t>
        </is>
      </c>
      <c r="O901" s="4" t="n">
        <v>959</v>
      </c>
    </row>
    <row r="902">
      <c r="A902" s="4" t="n">
        <v>901</v>
      </c>
      <c r="B902" s="15" t="n">
        <v>46254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Courier</t>
        </is>
      </c>
      <c r="H902" s="5" t="n">
        <v>24000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Courier · Correo Oficial · Gmail Pago aprobado · $24.000 · gasto personal Sol</t>
        </is>
      </c>
      <c r="N902" s="4" t="inlineStr">
        <is>
          <t>CIUDAD / Gasto Personal Sol</t>
        </is>
      </c>
      <c r="O902" s="4" t="n">
        <v>958</v>
      </c>
    </row>
    <row r="903">
      <c r="A903" s="4" t="n">
        <v>902</v>
      </c>
      <c r="B903" s="15" t="n">
        <v>46255</v>
      </c>
      <c r="C903" s="4" t="inlineStr">
        <is>
          <t>2026-08</t>
        </is>
      </c>
      <c r="D903" s="4" t="inlineStr">
        <is>
          <t>Agosto</t>
        </is>
      </c>
      <c r="E903" s="4" t="inlineStr">
        <is>
          <t>GASTO PERSONAL</t>
        </is>
      </c>
      <c r="F903" s="4" t="inlineStr">
        <is>
          <t>SALUD</t>
        </is>
      </c>
      <c r="G903" s="4" t="inlineStr">
        <is>
          <t>SALUD</t>
        </is>
      </c>
      <c r="H903" s="5" t="n">
        <v>27000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SALUD · Karen · Gmail Pago aprobado · REVISAR ítem</t>
        </is>
      </c>
      <c r="N903" s="4" t="inlineStr">
        <is>
          <t>CIUDAD / Gasto Personal Sol</t>
        </is>
      </c>
      <c r="O903" s="4" t="n">
        <v>951</v>
      </c>
    </row>
    <row r="904">
      <c r="A904" s="4" t="n">
        <v>903</v>
      </c>
      <c r="B904" s="15" t="n">
        <v>46256</v>
      </c>
      <c r="C904" s="4" t="inlineStr">
        <is>
          <t>2026-08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RAMON · OTROS</t>
        </is>
      </c>
      <c r="G904" s="4" t="inlineStr">
        <is>
          <t>RAMON · Otros</t>
        </is>
      </c>
      <c r="H904" s="5" t="n">
        <v>77200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AJUSTE SEPT · gasto origen Agosto 22/08/2026 · no se pasó/rindió en el mes de origen por error · RAMON · Otros · Paws Pet Market · PetShop · BBVA VISA · 3 cuotas · ALMACEN SOL</t>
        </is>
      </c>
      <c r="N904" s="4" t="inlineStr">
        <is>
          <t>CIUDAD / Almacen Detalle</t>
        </is>
      </c>
      <c r="O904" s="4" t="n">
        <v>418</v>
      </c>
    </row>
    <row r="905">
      <c r="A905" s="4" t="n">
        <v>904</v>
      </c>
      <c r="B905" s="15" t="n">
        <v>46262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EDUCACIÓN</t>
        </is>
      </c>
      <c r="G905" s="4" t="inlineStr">
        <is>
          <t>EDUCACIÓN</t>
        </is>
      </c>
      <c r="H905" s="5" t="n">
        <v>30000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EDUCACIÓN · Bitgenia · Gmail Pago aprobado · gasto personal Sol</t>
        </is>
      </c>
      <c r="N905" s="4" t="inlineStr">
        <is>
          <t>CIUDAD / Gasto Personal Sol</t>
        </is>
      </c>
      <c r="O905" s="4" t="n">
        <v>952</v>
      </c>
    </row>
    <row r="906">
      <c r="A906" s="4" t="n">
        <v>905</v>
      </c>
      <c r="B906" s="15" t="n">
        <v>46266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SUSCRIPCIONES · APPLE</t>
        </is>
      </c>
      <c r="G906" s="4" t="inlineStr">
        <is>
          <t>SUSCRIPCIONES · Apple</t>
        </is>
      </c>
      <c r="H906" s="5" t="n">
        <v>81961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SUSCRIPCIONES · Apple · Mercado Pago · gasto personal Sol · dinero en cuenta MP screenshot</t>
        </is>
      </c>
      <c r="N906" s="4" t="inlineStr">
        <is>
          <t>CIUDAD / Gasto Personal Sol</t>
        </is>
      </c>
      <c r="O906" s="4" t="n">
        <v>835</v>
      </c>
    </row>
    <row r="907">
      <c r="A907" s="4" t="n">
        <v>906</v>
      </c>
      <c r="B907" s="15" t="n">
        <v>46266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45000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Facundo Lisandro Marin · Transferencia enviada · gasto personal Sol · dinero en cuenta MP screenshot</t>
        </is>
      </c>
      <c r="N907" s="4" t="inlineStr">
        <is>
          <t>CIUDAD / Gasto Personal Sol</t>
        </is>
      </c>
      <c r="O907" s="4" t="n">
        <v>834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COMIDA · OFICINA</t>
        </is>
      </c>
      <c r="G908" s="4" t="inlineStr">
        <is>
          <t>COMIDA · Oficina</t>
        </is>
      </c>
      <c r="H908" s="5" t="n">
        <v>4080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COMIDA · Oficina · Copetin Catering · Gmail Pago aprobado · REVISAR vs settlement</t>
        </is>
      </c>
      <c r="N908" s="4" t="inlineStr">
        <is>
          <t>CIUDAD / Gasto Personal Sol</t>
        </is>
      </c>
      <c r="O908" s="4" t="n">
        <v>833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Kiosk Store · gasto personal Sol · REVISAR ítem · dinero en cuenta MP screenshot</t>
        </is>
      </c>
      <c r="N909" s="4" t="inlineStr">
        <is>
          <t>CIUDAD / Gasto Personal Sol</t>
        </is>
      </c>
      <c r="O909" s="4" t="n">
        <v>841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OTROS PERSONALES</t>
        </is>
      </c>
      <c r="G910" s="4" t="inlineStr">
        <is>
          <t>Courier</t>
        </is>
      </c>
      <c r="H910" s="5" t="n">
        <v>24000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Courier · Correo Oficial · Gmail Pago aprobado · $24.000 · gasto personal Sol</t>
        </is>
      </c>
      <c r="N910" s="4" t="inlineStr">
        <is>
          <t>CIUDAD / Gasto Personal Sol</t>
        </is>
      </c>
      <c r="O910" s="4" t="n">
        <v>842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TRANSFERENCIAS</t>
        </is>
      </c>
      <c r="G911" s="4" t="inlineStr">
        <is>
          <t>TRANSFERENCIAS</t>
        </is>
      </c>
      <c r="H911" s="5" t="n">
        <v>863600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Neira Martina · Transferencia enviada · gasto personal Sol · dinero en cuenta MP screenshot</t>
        </is>
      </c>
      <c r="N911" s="4" t="inlineStr">
        <is>
          <t>CIUDAD / Gasto Personal Sol</t>
        </is>
      </c>
      <c r="O911" s="4" t="n">
        <v>838</v>
      </c>
    </row>
    <row r="912">
      <c r="A912" s="4" t="n">
        <v>911</v>
      </c>
      <c r="B912" s="15" t="n">
        <v>46267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TRANSPORTE</t>
        </is>
      </c>
      <c r="G912" s="4" t="inlineStr">
        <is>
          <t>TRANSPORTE · Uber</t>
        </is>
      </c>
      <c r="H912" s="5" t="n">
        <v>6094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TRANSPORTE · Uber · Ebanx (=Uber) · gasto personal Sol · dinero en cuenta MP screenshot</t>
        </is>
      </c>
      <c r="N912" s="4" t="inlineStr">
        <is>
          <t>CIUDAD / Gasto Personal Sol</t>
        </is>
      </c>
      <c r="O912" s="4" t="n">
        <v>836</v>
      </c>
    </row>
    <row r="913">
      <c r="A913" s="4" t="n">
        <v>912</v>
      </c>
      <c r="B913" s="15" t="n">
        <v>46267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Uber</t>
        </is>
      </c>
      <c r="H913" s="5" t="n">
        <v>6607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Uber · Ebanx (=Uber) · gasto personal Sol · dinero en cuenta MP screenshot</t>
        </is>
      </c>
      <c r="N913" s="4" t="inlineStr">
        <is>
          <t>CIUDAD / Gasto Personal Sol</t>
        </is>
      </c>
      <c r="O913" s="4" t="n">
        <v>840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PEDIDOS YA · COMIDA</t>
        </is>
      </c>
      <c r="H914" s="5" t="n">
        <v>16149</v>
      </c>
      <c r="I914" s="16" t="n"/>
      <c r="J914" s="4" t="inlineStr">
        <is>
          <t>REAL</t>
        </is>
      </c>
      <c r="K914" s="17" t="n"/>
      <c r="L914" s="4" t="inlineStr">
        <is>
          <t>Sin identificar</t>
        </is>
      </c>
      <c r="M914" s="4" t="inlineStr">
        <is>
          <t>PEDIDOS YA · COMIDA · screenshot · dinero en cuenta MP screenshot</t>
        </is>
      </c>
      <c r="N914" s="4" t="inlineStr">
        <is>
          <t>CIUDAD / Almacen Detalle</t>
        </is>
      </c>
      <c r="O914" s="4" t="n">
        <v>359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PEDIDOS YA · COMIDA · propina</t>
        </is>
      </c>
      <c r="H915" s="5" t="n">
        <v>800</v>
      </c>
      <c r="I915" s="16" t="n"/>
      <c r="J915" s="4" t="inlineStr">
        <is>
          <t>REAL</t>
        </is>
      </c>
      <c r="K915" s="17" t="n"/>
      <c r="L915" s="4" t="inlineStr">
        <is>
          <t>Sin identificar</t>
        </is>
      </c>
      <c r="M915" s="4" t="inlineStr">
        <is>
          <t>PEDIDOS YA · COMIDA · propina · screenshot · dinero en cuenta MP screenshot</t>
        </is>
      </c>
      <c r="N915" s="4" t="inlineStr">
        <is>
          <t>CIUDAD / Almacen Detalle</t>
        </is>
      </c>
      <c r="O915" s="4" t="n">
        <v>360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SUPERMERCADO</t>
        </is>
      </c>
      <c r="G916" s="4" t="inlineStr">
        <is>
          <t>SUPERMERCADO · Día</t>
        </is>
      </c>
      <c r="H916" s="5" t="n">
        <v>41139</v>
      </c>
      <c r="I916" s="16" t="n"/>
      <c r="J916" s="4" t="inlineStr">
        <is>
          <t>REAL</t>
        </is>
      </c>
      <c r="K916" s="17" t="n"/>
      <c r="L916" s="4" t="inlineStr">
        <is>
          <t>BBVA</t>
        </is>
      </c>
      <c r="M916" s="4" t="inlineStr">
        <is>
          <t>SUPERMERCADO · Día · BBVA VISA · MERPAGO*SUPERDIA · Gmail Compra aprobada · REVISAR vs settlement</t>
        </is>
      </c>
      <c r="N916" s="4" t="inlineStr">
        <is>
          <t>CIUDAD / Almacen Detalle</t>
        </is>
      </c>
      <c r="O916" s="4" t="n">
        <v>356</v>
      </c>
    </row>
    <row r="917">
      <c r="A917" s="4" t="n">
        <v>916</v>
      </c>
      <c r="B917" s="15" t="n">
        <v>46268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4900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844</v>
      </c>
    </row>
    <row r="918">
      <c r="A918" s="4" t="n">
        <v>917</v>
      </c>
      <c r="B918" s="15" t="n">
        <v>46268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7520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843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COMIDA</t>
        </is>
      </c>
      <c r="G919" s="4" t="inlineStr">
        <is>
          <t>COMIDA · Pescadería Belgrano</t>
        </is>
      </c>
      <c r="H919" s="5" t="n">
        <v>6213</v>
      </c>
      <c r="I919" s="16" t="n"/>
      <c r="J919" s="4" t="inlineStr">
        <is>
          <t>REAL</t>
        </is>
      </c>
      <c r="K919" s="17" t="n"/>
      <c r="L919" s="4" t="inlineStr">
        <is>
          <t>Mercado Pago</t>
        </is>
      </c>
      <c r="M919" s="4" t="inlineStr">
        <is>
          <t>COMIDA · Pescadería Belgrano · Mercado Pago · Gmail Pago aprobado · ALMACEN SOL (pescadería siempre Almacén CIUDAD)</t>
        </is>
      </c>
      <c r="N919" s="4" t="inlineStr">
        <is>
          <t>CIUDAD / Almacen Detalle</t>
        </is>
      </c>
      <c r="O919" s="4" t="n">
        <v>358</v>
      </c>
    </row>
    <row r="920">
      <c r="A920" s="4" t="n">
        <v>919</v>
      </c>
      <c r="B920" s="15" t="n">
        <v>46269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AVA FIDEICOMISO</t>
        </is>
      </c>
      <c r="G920" s="4" t="inlineStr">
        <is>
          <t>AVA Fideicomiso</t>
        </is>
      </c>
      <c r="H920" s="5" t="n">
        <v>3134720</v>
      </c>
      <c r="I920" s="16" t="n"/>
      <c r="J920" s="4" t="inlineStr">
        <is>
          <t>REAL</t>
        </is>
      </c>
      <c r="K920" s="4" t="inlineStr">
        <is>
          <t>Mercado Pago / Transferencia</t>
        </is>
      </c>
      <c r="L920" s="4" t="inlineStr">
        <is>
          <t>Mercado Pago</t>
        </is>
      </c>
      <c r="M920" s="4" t="inlineStr">
        <is>
          <t>AVA Fideicomiso · cuota 10 · vto 2026-09-04 · total 6269440 · TC MEP venta 1525.39 · USD 4110.06 · 50% Sol · Gmail factura/recibo 07/09</t>
        </is>
      </c>
      <c r="N920" s="4" t="inlineStr">
        <is>
          <t>CIUDAD / Gasto Personal Sol</t>
        </is>
      </c>
      <c r="O920" s="4" t="n">
        <v>829</v>
      </c>
    </row>
    <row r="921">
      <c r="A921" s="4" t="n">
        <v>920</v>
      </c>
      <c r="B921" s="15" t="n">
        <v>46269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COMPRAS</t>
        </is>
      </c>
      <c r="G921" s="4" t="inlineStr">
        <is>
          <t>COMPRAS</t>
        </is>
      </c>
      <c r="H921" s="5" t="n">
        <v>580320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COMPRAS · dhgate.com · BBVA VISA · USD 380.44 × TC MEP 1525.39 · importación · alerta Gmail Compra aprobada · REVISAR vs resumen BBVA</t>
        </is>
      </c>
      <c r="N921" s="4" t="inlineStr">
        <is>
          <t>CIUDAD / Gasto Personal Sol</t>
        </is>
      </c>
      <c r="O921" s="4" t="n">
        <v>926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10000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2026-09-05 · gasto personal Sol · dinero en cuenta MP screenshot</t>
        </is>
      </c>
      <c r="N922" s="4" t="inlineStr">
        <is>
          <t>CIUDAD / Gasto Personal Sol</t>
        </is>
      </c>
      <c r="O922" s="4" t="n">
        <v>846</v>
      </c>
    </row>
    <row r="923">
      <c r="A923" s="4" t="n">
        <v>922</v>
      </c>
      <c r="B923" s="15" t="n">
        <v>46270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IMPUESTOS · ARCA</t>
        </is>
      </c>
      <c r="H923" s="5" t="n">
        <v>10000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IMPUESTOS · ARCA / AFIP · MP 2026-09-05 · gasto personal Sol · dinero en cuenta MP screenshot</t>
        </is>
      </c>
      <c r="N923" s="4" t="inlineStr">
        <is>
          <t>CIUDAD / Gasto Personal Sol</t>
        </is>
      </c>
      <c r="O923" s="4" t="n">
        <v>847</v>
      </c>
    </row>
    <row r="924">
      <c r="A924" s="4" t="n">
        <v>923</v>
      </c>
      <c r="B924" s="15" t="n">
        <v>46270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TRANSFERENCIAS</t>
        </is>
      </c>
      <c r="G924" s="4" t="inlineStr">
        <is>
          <t>TRANSFERENCIAS</t>
        </is>
      </c>
      <c r="H924" s="5" t="n">
        <v>10800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Digno Lopez · Transferencia enviada · gasto personal Sol · dinero en cuenta MP screenshot</t>
        </is>
      </c>
      <c r="N924" s="4" t="inlineStr">
        <is>
          <t>CIUDAD / Gasto Personal Sol</t>
        </is>
      </c>
      <c r="O924" s="4" t="n">
        <v>845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AL PASO</t>
        </is>
      </c>
      <c r="H925" s="5" t="n">
        <v>8700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AL PASO · Mercado Pago · dinero en cuenta MP screenshot</t>
        </is>
      </c>
      <c r="N925" s="4" t="inlineStr">
        <is>
          <t>CIUDAD / Almacen Detalle</t>
        </is>
      </c>
      <c r="O925" s="4" t="n">
        <v>361</v>
      </c>
    </row>
    <row r="926">
      <c r="A926" s="4" t="n">
        <v>925</v>
      </c>
      <c r="B926" s="15" t="n">
        <v>46271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TELECOMUNICACIONES</t>
        </is>
      </c>
      <c r="G926" s="4" t="inlineStr">
        <is>
          <t>Servicio - Telefonía</t>
        </is>
      </c>
      <c r="H926" s="5" t="n">
        <v>18300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Servicio - Telefonía · Tuenti · gasto personal Sol · dinero en cuenta MP screenshot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46271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TRANSPORTE · SUBE</t>
        </is>
      </c>
      <c r="H927" s="5" t="n">
        <v>987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TRANSPORTE · SUBE · gasto personal Sol · dinero en cuenta MP screenshot</t>
        </is>
      </c>
      <c r="N927" s="4" t="inlineStr">
        <is>
          <t>CIUDAD / Gasto Personal Sol</t>
        </is>
      </c>
      <c r="O927" s="4" t="n">
        <v>849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ALMACÉN SOL</t>
        </is>
      </c>
      <c r="F928" s="4" t="inlineStr">
        <is>
          <t>COMIDA</t>
        </is>
      </c>
      <c r="G928" s="4" t="inlineStr">
        <is>
          <t>COMIDA · McDonald's</t>
        </is>
      </c>
      <c r="H928" s="5" t="n">
        <v>2040</v>
      </c>
      <c r="I928" s="16" t="n"/>
      <c r="J928" s="4" t="inlineStr">
        <is>
          <t>REAL</t>
        </is>
      </c>
      <c r="K928" s="17" t="n"/>
      <c r="L928" s="4" t="inlineStr">
        <is>
          <t>Mercado Pago</t>
        </is>
      </c>
      <c r="M928" s="4" t="inlineStr">
        <is>
          <t>COMIDA · McDonald's · Mercado Pago · dinero en cuenta MP screenshot</t>
        </is>
      </c>
      <c r="N928" s="4" t="inlineStr">
        <is>
          <t>CIUDAD / Almacen Detalle</t>
        </is>
      </c>
      <c r="O928" s="4" t="n">
        <v>362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COMIDA · OFICINA</t>
        </is>
      </c>
      <c r="G929" s="4" t="inlineStr">
        <is>
          <t>COMIDA · Oficina</t>
        </is>
      </c>
      <c r="H929" s="5" t="n">
        <v>1350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COMIDA · Oficina · Feed · gasto personal Sol · dinero en cuenta MP screenshot</t>
        </is>
      </c>
      <c r="N929" s="4" t="inlineStr">
        <is>
          <t>CIUDAD / Gasto Personal Sol</t>
        </is>
      </c>
      <c r="O929" s="4" t="n">
        <v>851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HOGAR</t>
        </is>
      </c>
      <c r="G930" s="4" t="inlineStr">
        <is>
          <t>HOGAR</t>
        </is>
      </c>
      <c r="H930" s="5" t="n">
        <v>186300</v>
      </c>
      <c r="I930" s="16" t="n"/>
      <c r="J930" s="4" t="inlineStr">
        <is>
          <t>REAL</t>
        </is>
      </c>
      <c r="K930" s="4" t="inlineStr">
        <is>
          <t>BBVA VISA</t>
        </is>
      </c>
      <c r="L930" s="4" t="inlineStr">
        <is>
          <t>BBVA</t>
        </is>
      </c>
      <c r="M930" s="4" t="inlineStr">
        <is>
          <t>HOGAR · Luna Hogar · BBVA VISA · MERPAGO*LUNAHOGAR · alerta Gmail</t>
        </is>
      </c>
      <c r="N930" s="4" t="inlineStr">
        <is>
          <t>CIUDAD / Gasto Personal Sol</t>
        </is>
      </c>
      <c r="O930" s="4" t="n">
        <v>932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OTROS PERSONALES</t>
        </is>
      </c>
      <c r="G931" s="4" t="inlineStr">
        <is>
          <t>IMPUESTOS · ARCA</t>
        </is>
      </c>
      <c r="H931" s="5" t="n">
        <v>58118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IMPUESTOS · ARCA / AFIP · MP 2026-09-07 · gasto personal Sol · dinero en cuenta MP screenshot</t>
        </is>
      </c>
      <c r="N931" s="4" t="inlineStr">
        <is>
          <t>CIUDAD / Gasto Personal Sol</t>
        </is>
      </c>
      <c r="O931" s="4" t="n">
        <v>852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OTROS PERSONALES</t>
        </is>
      </c>
      <c r="G932" s="4" t="inlineStr">
        <is>
          <t>IMPUESTOS · ARCA</t>
        </is>
      </c>
      <c r="H932" s="5" t="n">
        <v>43038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IMPUESTOS · ARCA / AFIP · MP 2026-09-07 · gasto personal Sol · dinero en cuenta MP screenshot</t>
        </is>
      </c>
      <c r="N932" s="4" t="inlineStr">
        <is>
          <t>CIUDAD / Gasto Personal Sol</t>
        </is>
      </c>
      <c r="O932" s="4" t="n">
        <v>853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Didi</t>
        </is>
      </c>
      <c r="H933" s="5" t="n">
        <v>6700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Didi · gasto personal Sol · dinero en cuenta MP screenshot</t>
        </is>
      </c>
      <c r="N933" s="4" t="inlineStr">
        <is>
          <t>CIUDAD / Gasto Personal Sol</t>
        </is>
      </c>
      <c r="O933" s="4" t="n">
        <v>854</v>
      </c>
    </row>
    <row r="934">
      <c r="A934" s="4" t="n">
        <v>933</v>
      </c>
      <c r="B934" s="15" t="n">
        <v>46272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TRANSPORTE</t>
        </is>
      </c>
      <c r="G934" s="4" t="inlineStr">
        <is>
          <t>TRANSPORTE · Uber</t>
        </is>
      </c>
      <c r="H934" s="5" t="n">
        <v>6948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TRANSPORTE · Uber · Ebanx (=Uber) · gasto personal Sol · dinero en cuenta MP screenshot</t>
        </is>
      </c>
      <c r="N934" s="4" t="inlineStr">
        <is>
          <t>CIUDAD / Gasto Personal Sol</t>
        </is>
      </c>
      <c r="O934" s="4" t="n">
        <v>850</v>
      </c>
    </row>
    <row r="935">
      <c r="A935" s="4" t="n">
        <v>934</v>
      </c>
      <c r="B935" s="15" t="n">
        <v>46272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809200</v>
      </c>
      <c r="I935" s="16" t="n"/>
      <c r="J935" s="4" t="inlineStr">
        <is>
          <t>REAL</t>
        </is>
      </c>
      <c r="K935" s="4" t="inlineStr">
        <is>
          <t>BBVA VISA</t>
        </is>
      </c>
      <c r="L935" s="4" t="inlineStr">
        <is>
          <t>BBVA</t>
        </is>
      </c>
      <c r="M935" s="4" t="inlineStr">
        <is>
          <t>VESTIMENTA · Markova · BBVA VISA · MERPAGO*MARKOVA · alerta Gmail · REVISAR ítem</t>
        </is>
      </c>
      <c r="N935" s="4" t="inlineStr">
        <is>
          <t>CIUDAD / Gasto Personal Sol</t>
        </is>
      </c>
      <c r="O935" s="4" t="n">
        <v>931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ENTRETENIMIENTO SOCIAL</t>
        </is>
      </c>
      <c r="G936" s="4" t="inlineStr">
        <is>
          <t>ENTRETENIMIENTO · Social</t>
        </is>
      </c>
      <c r="H936" s="5" t="n">
        <v>8248</v>
      </c>
      <c r="I936" s="16" t="n"/>
      <c r="J936" s="4" t="inlineStr">
        <is>
          <t>REAL</t>
        </is>
      </c>
      <c r="K936" s="17" t="n"/>
      <c r="L936" s="4" t="inlineStr">
        <is>
          <t>Mercado Pago</t>
        </is>
      </c>
      <c r="M936" s="4" t="inlineStr">
        <is>
          <t>ENTRETENIMIENTO · Social · la monumental · Mercado Pago · dinero en cuenta MP screenshot</t>
        </is>
      </c>
      <c r="N936" s="4" t="inlineStr">
        <is>
          <t>CIUDAD / Almacen Detalle</t>
        </is>
      </c>
      <c r="O936" s="4" t="n">
        <v>363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REPUESTOS</t>
        </is>
      </c>
      <c r="G937" s="4" t="inlineStr">
        <is>
          <t>REPUESTOS · Sodastream</t>
        </is>
      </c>
      <c r="H937" s="5" t="n">
        <v>88659</v>
      </c>
      <c r="I937" s="16" t="n"/>
      <c r="J937" s="4" t="inlineStr">
        <is>
          <t>REAL</t>
        </is>
      </c>
      <c r="K937" s="17" t="n"/>
      <c r="L937" s="4" t="inlineStr">
        <is>
          <t>Mercado Pago</t>
        </is>
      </c>
      <c r="M937" s="4" t="inlineStr">
        <is>
          <t>REPUESTOS · Sodastream · Mercado Pago · Gmail Pago aprobado · REVISAR vs settlement</t>
        </is>
      </c>
      <c r="N937" s="4" t="inlineStr">
        <is>
          <t>CIUDAD / Almacen Detalle</t>
        </is>
      </c>
      <c r="O937" s="4" t="n">
        <v>357</v>
      </c>
    </row>
    <row r="938">
      <c r="A938" s="4" t="n">
        <v>937</v>
      </c>
      <c r="B938" s="15" t="n">
        <v>46273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4866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2026-09-08 · gasto personal Sol · dinero en cuenta MP screenshot</t>
        </is>
      </c>
      <c r="N938" s="4" t="inlineStr">
        <is>
          <t>CIUDAD / Gasto Personal Sol</t>
        </is>
      </c>
      <c r="O938" s="4" t="n">
        <v>855</v>
      </c>
    </row>
    <row r="939">
      <c r="A939" s="4" t="n">
        <v>938</v>
      </c>
      <c r="B939" s="15" t="n">
        <v>46273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VESTIMENTA</t>
        </is>
      </c>
      <c r="G939" s="4" t="inlineStr">
        <is>
          <t>VESTIMENTA</t>
        </is>
      </c>
      <c r="H939" s="5" t="n">
        <v>28199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VESTIMENTA · OZZ · gasto personal Sol · dinero en cuenta MP screenshot</t>
        </is>
      </c>
      <c r="N939" s="4" t="inlineStr">
        <is>
          <t>CIUDAD / Gasto Personal Sol</t>
        </is>
      </c>
      <c r="O939" s="4" t="n">
        <v>856</v>
      </c>
    </row>
    <row r="940">
      <c r="A940" s="4" t="n">
        <v>939</v>
      </c>
      <c r="B940" s="15" t="n">
        <v>46274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</t>
        </is>
      </c>
      <c r="G940" s="4" t="inlineStr">
        <is>
          <t>PEDIDOS YA · COMIDA</t>
        </is>
      </c>
      <c r="H940" s="5" t="n">
        <v>39819</v>
      </c>
      <c r="I940" s="16" t="n"/>
      <c r="J940" s="4" t="inlineStr">
        <is>
          <t>REAL</t>
        </is>
      </c>
      <c r="K940" s="17" t="n"/>
      <c r="L940" s="4" t="inlineStr">
        <is>
          <t>Sin identificar</t>
        </is>
      </c>
      <c r="M940" s="4" t="inlineStr">
        <is>
          <t>PEDIDOS YA · COMIDA · screenshot · dinero en cuenta MP screenshot</t>
        </is>
      </c>
      <c r="N940" s="4" t="inlineStr">
        <is>
          <t>CIUDAD / Almacen Detalle</t>
        </is>
      </c>
      <c r="O940" s="4" t="n">
        <v>364</v>
      </c>
    </row>
    <row r="941">
      <c r="A941" s="4" t="n">
        <v>940</v>
      </c>
      <c r="B941" s="15" t="n">
        <v>46274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PEDIDOS YA · COMIDA · propina</t>
        </is>
      </c>
      <c r="H941" s="5" t="n">
        <v>900</v>
      </c>
      <c r="I941" s="16" t="n"/>
      <c r="J941" s="4" t="inlineStr">
        <is>
          <t>REAL</t>
        </is>
      </c>
      <c r="K941" s="17" t="n"/>
      <c r="L941" s="4" t="inlineStr">
        <is>
          <t>Sin identificar</t>
        </is>
      </c>
      <c r="M941" s="4" t="inlineStr">
        <is>
          <t>PEDIDOS YA · COMIDA · propina · screenshot · dinero en cuenta MP screenshot</t>
        </is>
      </c>
      <c r="N941" s="4" t="inlineStr">
        <is>
          <t>CIUDAD / Almacen Detalle</t>
        </is>
      </c>
      <c r="O941" s="4" t="n">
        <v>365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RAMON · COMIDA</t>
        </is>
      </c>
      <c r="G942" s="4" t="inlineStr">
        <is>
          <t>RAMON · Comida</t>
        </is>
      </c>
      <c r="H942" s="5" t="n">
        <v>131000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RAMON · Comida · DR BARF · Cova Abreu Gibiana Del Valle · transferencia MP · ALMACEN SOL</t>
        </is>
      </c>
      <c r="N942" s="4" t="inlineStr">
        <is>
          <t>CIUDAD / Almacen Detalle</t>
        </is>
      </c>
      <c r="O942" s="4" t="n">
        <v>410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163350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COMPRAS · ZILVER SA · gasto personal Sol · REVISAR ítem · dinero en cuenta MP screenshot</t>
        </is>
      </c>
      <c r="N943" s="4" t="inlineStr">
        <is>
          <t>CIUDAD / Gasto Personal Sol</t>
        </is>
      </c>
      <c r="O943" s="4" t="n">
        <v>862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OTROS PERSONALES</t>
        </is>
      </c>
      <c r="G944" s="4" t="inlineStr">
        <is>
          <t>IMPUESTOS · ARCA</t>
        </is>
      </c>
      <c r="H944" s="5" t="n">
        <v>43083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IMPUESTOS · ARCA / AFIP · MP 2026-09-10 · gasto personal Sol · dinero en cuenta MP screenshot</t>
        </is>
      </c>
      <c r="N944" s="4" t="inlineStr">
        <is>
          <t>CIUDAD / Gasto Personal Sol</t>
        </is>
      </c>
      <c r="O944" s="4" t="n">
        <v>857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5612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858</v>
      </c>
    </row>
    <row r="946">
      <c r="A946" s="4" t="n">
        <v>945</v>
      </c>
      <c r="B946" s="15" t="n">
        <v>46275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Uber</t>
        </is>
      </c>
      <c r="H946" s="5" t="n">
        <v>7155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Uber · Ebanx (=Uber) · gasto personal Sol · dinero en cuenta MP screenshot</t>
        </is>
      </c>
      <c r="N946" s="4" t="inlineStr">
        <is>
          <t>CIUDAD / Gasto Personal Sol</t>
        </is>
      </c>
      <c r="O946" s="4" t="n">
        <v>859</v>
      </c>
    </row>
    <row r="947">
      <c r="A947" s="4" t="n">
        <v>946</v>
      </c>
      <c r="B947" s="15" t="n">
        <v>46275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Uber</t>
        </is>
      </c>
      <c r="H947" s="5" t="n">
        <v>81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Uber · Ebanx (=Uber) · gasto personal Sol · dinero en cuenta MP screenshot</t>
        </is>
      </c>
      <c r="N947" s="4" t="inlineStr">
        <is>
          <t>CIUDAD / Gasto Personal Sol</t>
        </is>
      </c>
      <c r="O947" s="4" t="n">
        <v>860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SUSCRIPCIONES · APPLE</t>
        </is>
      </c>
      <c r="G948" s="4" t="inlineStr">
        <is>
          <t>SUSCRIPCIONES · Apple</t>
        </is>
      </c>
      <c r="H948" s="5" t="n">
        <v>29331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SUSCRIPCIONES · Apple · Mercado Pago · gasto personal Sol · dinero en cuenta MP screenshot</t>
        </is>
      </c>
      <c r="N948" s="4" t="inlineStr">
        <is>
          <t>CIUDAD / Gasto Personal Sol</t>
        </is>
      </c>
      <c r="O948" s="4" t="n">
        <v>863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TRANSFERENCIAS</t>
        </is>
      </c>
      <c r="G949" s="4" t="inlineStr">
        <is>
          <t>TRANSFERENCIAS</t>
        </is>
      </c>
      <c r="H949" s="5" t="n">
        <v>185288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Sanbras oficial · Transferencia enviada · gasto personal Sol · dinero en cuenta MP screenshot</t>
        </is>
      </c>
      <c r="N949" s="4" t="inlineStr">
        <is>
          <t>CIUDAD / Gasto Personal Sol</t>
        </is>
      </c>
      <c r="O949" s="4" t="n">
        <v>867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TRANSFERENCIAS</t>
        </is>
      </c>
      <c r="G950" s="4" t="inlineStr">
        <is>
          <t>TRANSFERENCIAS</t>
        </is>
      </c>
      <c r="H950" s="5" t="n">
        <v>135000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Paula Carolina Fasanella · Transferencia enviada · gasto personal Sol · dinero en cuenta MP screenshot</t>
        </is>
      </c>
      <c r="N950" s="4" t="inlineStr">
        <is>
          <t>CIUDAD / Gasto Personal Sol</t>
        </is>
      </c>
      <c r="O950" s="4" t="n">
        <v>868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Didi</t>
        </is>
      </c>
      <c r="H951" s="5" t="n">
        <v>5800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Didi · gasto personal Sol · dinero en cuenta MP screenshot</t>
        </is>
      </c>
      <c r="N951" s="4" t="inlineStr">
        <is>
          <t>CIUDAD / Gasto Personal Sol</t>
        </is>
      </c>
      <c r="O951" s="4" t="n">
        <v>864</v>
      </c>
    </row>
    <row r="952">
      <c r="A952" s="4" t="n">
        <v>951</v>
      </c>
      <c r="B952" s="15" t="n">
        <v>46276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TRANSPORTE</t>
        </is>
      </c>
      <c r="G952" s="4" t="inlineStr">
        <is>
          <t>TRANSPORTE · Didi</t>
        </is>
      </c>
      <c r="H952" s="5" t="n">
        <v>4500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TRANSPORTE · Didi · gasto personal Sol · dinero en cuenta MP screenshot</t>
        </is>
      </c>
      <c r="N952" s="4" t="inlineStr">
        <is>
          <t>CIUDAD / Gasto Personal Sol</t>
        </is>
      </c>
      <c r="O952" s="4" t="n">
        <v>865</v>
      </c>
    </row>
    <row r="953">
      <c r="A953" s="4" t="n">
        <v>952</v>
      </c>
      <c r="B953" s="15" t="n">
        <v>46276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TRANSPORTE</t>
        </is>
      </c>
      <c r="G953" s="4" t="inlineStr">
        <is>
          <t>TRANSPORTE · Uber</t>
        </is>
      </c>
      <c r="H953" s="5" t="n">
        <v>7758</v>
      </c>
      <c r="I953" s="16" t="n"/>
      <c r="J953" s="4" t="inlineStr">
        <is>
          <t>REAL</t>
        </is>
      </c>
      <c r="K953" s="4" t="inlineStr">
        <is>
          <t>Mercado Pago</t>
        </is>
      </c>
      <c r="L953" s="4" t="inlineStr">
        <is>
          <t>Mercado Pago</t>
        </is>
      </c>
      <c r="M953" s="4" t="inlineStr">
        <is>
          <t>TRANSPORTE · Uber · Ebanx (=Uber) · gasto personal Sol · dinero en cuenta MP screenshot</t>
        </is>
      </c>
      <c r="N953" s="4" t="inlineStr">
        <is>
          <t>CIUDAD / Gasto Personal Sol</t>
        </is>
      </c>
      <c r="O953" s="4" t="n">
        <v>866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 · BARRITAS PROTEICAS</t>
        </is>
      </c>
      <c r="G954" s="4" t="inlineStr">
        <is>
          <t>COMIDA · Barritas proteicas</t>
        </is>
      </c>
      <c r="H954" s="5" t="n">
        <v>66527</v>
      </c>
      <c r="I954" s="16" t="n"/>
      <c r="J954" s="4" t="inlineStr">
        <is>
          <t>REAL</t>
        </is>
      </c>
      <c r="K954" s="17" t="n"/>
      <c r="L954" s="4" t="inlineStr">
        <is>
          <t>TC Mercado Pago</t>
        </is>
      </c>
      <c r="M954" s="4" t="inlineStr">
        <is>
          <t>COMIDA · Barritas proteicas · Enerfit · TC Mercado Pago · C.10/12 · compra 2025-11-26 · cierre 2026-09-12</t>
        </is>
      </c>
      <c r="N954" s="4" t="inlineStr">
        <is>
          <t>CIUDAD / Almacen Detalle</t>
        </is>
      </c>
      <c r="O954" s="4" t="n">
        <v>379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COMIDA</t>
        </is>
      </c>
      <c r="G955" s="4" t="inlineStr">
        <is>
          <t>COMIDA · McDonald's</t>
        </is>
      </c>
      <c r="H955" s="5" t="n">
        <v>8010</v>
      </c>
      <c r="I955" s="16" t="n"/>
      <c r="J955" s="4" t="inlineStr">
        <is>
          <t>REAL</t>
        </is>
      </c>
      <c r="K955" s="17" t="n"/>
      <c r="L955" s="4" t="inlineStr">
        <is>
          <t>Mercado Pago</t>
        </is>
      </c>
      <c r="M955" s="4" t="inlineStr">
        <is>
          <t>COMIDA · McDonald's · Mercado Pago · dinero en cuenta MP screenshot</t>
        </is>
      </c>
      <c r="N955" s="4" t="inlineStr">
        <is>
          <t>CIUDAD / Almacen Detalle</t>
        </is>
      </c>
      <c r="O955" s="4" t="n">
        <v>367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ALMACÉN SOL</t>
        </is>
      </c>
      <c r="F956" s="4" t="inlineStr">
        <is>
          <t>STREAMING TV</t>
        </is>
      </c>
      <c r="G956" s="4" t="inlineStr">
        <is>
          <t>STREAMING TV</t>
        </is>
      </c>
      <c r="H956" s="5" t="n">
        <v>97393</v>
      </c>
      <c r="I956" s="16" t="n"/>
      <c r="J956" s="4" t="inlineStr">
        <is>
          <t>REAL</t>
        </is>
      </c>
      <c r="K956" s="17" t="n"/>
      <c r="L956" s="4" t="inlineStr">
        <is>
          <t>TC Mercado Pago</t>
        </is>
      </c>
      <c r="M956" s="4" t="inlineStr">
        <is>
          <t>STREAMING TV · HBO Max · TC Mercado Pago · compra 2026-09-05 · cierre 2026-09-12</t>
        </is>
      </c>
      <c r="N956" s="4" t="inlineStr">
        <is>
          <t>CIUDAD / Almacen Detalle</t>
        </is>
      </c>
      <c r="O956" s="4" t="n">
        <v>380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31450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PPNL · TC Mercado Pago · C.2/2 · REVISAR ítem · compra 2026-07-16 · cierre 2026-09-12</t>
        </is>
      </c>
      <c r="N957" s="4" t="inlineStr">
        <is>
          <t>CIUDAD / Gasto Personal Sol</t>
        </is>
      </c>
      <c r="O957" s="4" t="n">
        <v>907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126325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LG Distribuidor · TC Mercado Pago · C.2/3 · REVISAR ítem · compra 2026-07-29 · cierre 2026-09-12</t>
        </is>
      </c>
      <c r="N958" s="4" t="inlineStr">
        <is>
          <t>CIUDAD / Gasto Personal Sol</t>
        </is>
      </c>
      <c r="O958" s="4" t="n">
        <v>908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58430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Central Store · TC Mercado Pago · C.2/6 · compra 2026-08-01 · cierre 2026-09-12</t>
        </is>
      </c>
      <c r="N959" s="4" t="inlineStr">
        <is>
          <t>CIUDAD / Gasto Personal Sol</t>
        </is>
      </c>
      <c r="O959" s="4" t="n">
        <v>912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290000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914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52624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Mac Station · TC Mercado Pago · C.1/2 · compra 2026-08-13 · cierre 2026-09-12</t>
        </is>
      </c>
      <c r="N961" s="4" t="inlineStr">
        <is>
          <t>CIUDAD / Gasto Personal Sol</t>
        </is>
      </c>
      <c r="O961" s="4" t="n">
        <v>915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40000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Celugadgets · TC Mercado Pago · compra 2026-08-22 · cierre 2026-09-12</t>
        </is>
      </c>
      <c r="N962" s="4" t="inlineStr">
        <is>
          <t>CIUDAD / Gasto Personal Sol</t>
        </is>
      </c>
      <c r="O962" s="4" t="n">
        <v>919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57725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Juan Cornacchi · TC Mercado Pago · REVISAR ítem · compra 2026-08-27 · cierre 2026-09-12</t>
        </is>
      </c>
      <c r="N963" s="4" t="inlineStr">
        <is>
          <t>CIUDAD / Gasto Personal Sol</t>
        </is>
      </c>
      <c r="O963" s="4" t="n">
        <v>921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922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-39000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COMPRAS · Megaventas HM · TC Mercado Pago · compra 2026-08-27 · cierre 2026-09-12</t>
        </is>
      </c>
      <c r="N965" s="4" t="inlineStr">
        <is>
          <t>CIUDAD / Gasto Personal Sol</t>
        </is>
      </c>
      <c r="O965" s="4" t="n">
        <v>925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HOGAR</t>
        </is>
      </c>
      <c r="G966" s="4" t="inlineStr">
        <is>
          <t>HOGAR</t>
        </is>
      </c>
      <c r="H966" s="5" t="n">
        <v>256862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HOGAR · Banchero Sanitarios · TC Mercado Pago · C.1/3 · compra 2026-08-18 · cierre 2026-09-12</t>
        </is>
      </c>
      <c r="N966" s="4" t="inlineStr">
        <is>
          <t>CIUDAD / Gasto Personal Sol</t>
        </is>
      </c>
      <c r="O966" s="4" t="n">
        <v>916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MERCADO LIBRE</t>
        </is>
      </c>
      <c r="G967" s="4" t="inlineStr">
        <is>
          <t>MERCADO LIBRE</t>
        </is>
      </c>
      <c r="H967" s="5" t="n">
        <v>107500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Mercado Libre · TC Mercado Pago · C.1/2 · compra 2026-08-22 · cierre 2026-09-12</t>
        </is>
      </c>
      <c r="N967" s="4" t="inlineStr">
        <is>
          <t>CIUDAD / Gasto Personal Sol</t>
        </is>
      </c>
      <c r="O967" s="4" t="n">
        <v>918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33500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909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546850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REGALOS</t>
        </is>
      </c>
      <c r="G970" s="4" t="inlineStr">
        <is>
          <t>REGALOS</t>
        </is>
      </c>
      <c r="H970" s="5" t="n">
        <v>62500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REGALOS · Regalos Dalila · TC Mercado Pago · C.2/2 · compra 2026-07-31 · cierre 2026-09-12</t>
        </is>
      </c>
      <c r="N970" s="4" t="inlineStr">
        <is>
          <t>CIUDAD / Gasto Personal Sol</t>
        </is>
      </c>
      <c r="O970" s="4" t="n">
        <v>911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41715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Loccitane · TC Mercado Pago · C.6/6 · compra 2026-03-20 · cierre 2026-09-12</t>
        </is>
      </c>
      <c r="N971" s="4" t="inlineStr">
        <is>
          <t>CIUDAD / Gasto Personal Sol</t>
        </is>
      </c>
      <c r="O971" s="4" t="n">
        <v>899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23000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Adidas · TC Mercado Pago · C.6/6 · compra 2026-03-23 · cierre 2026-09-12</t>
        </is>
      </c>
      <c r="N972" s="4" t="inlineStr">
        <is>
          <t>CIUDAD / Gasto Personal Sol</t>
        </is>
      </c>
      <c r="O972" s="4" t="n">
        <v>900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67112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Awada · TC Mercado Pago · C.6/9 · compra 2026-03-23 · cierre 2026-09-12</t>
        </is>
      </c>
      <c r="N973" s="4" t="inlineStr">
        <is>
          <t>CIUDAD / Gasto Personal Sol</t>
        </is>
      </c>
      <c r="O973" s="4" t="n">
        <v>901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41345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Laparfumerie · TC Mercado Pago · C.6/6 · compra 2026-03-30 · cierre 2026-09-12</t>
        </is>
      </c>
      <c r="N974" s="4" t="inlineStr">
        <is>
          <t>CIUDAD / Gasto Personal Sol</t>
        </is>
      </c>
      <c r="O974" s="4" t="n">
        <v>902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297891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Pandora · TC Mercado Pago · C.3/6 · compra 2026-07-09 · cierre 2026-09-12</t>
        </is>
      </c>
      <c r="N975" s="4" t="inlineStr">
        <is>
          <t>CIUDAD / Gasto Personal Sol</t>
        </is>
      </c>
      <c r="O975" s="4" t="n">
        <v>906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82742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Monofuk · TC Mercado Pago · C.2/12 · compra 2026-08-04 · cierre 2026-09-12</t>
        </is>
      </c>
      <c r="N976" s="4" t="inlineStr">
        <is>
          <t>CIUDAD / Gasto Personal Sol</t>
        </is>
      </c>
      <c r="O976" s="4" t="n">
        <v>913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418000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ROPA · Galeon Joyas · TC Mercado Pago · C.1/3 · compra 2026-09-10 · cierre 2026-09-12</t>
        </is>
      </c>
      <c r="N977" s="4" t="inlineStr">
        <is>
          <t>CIUDAD / Gasto Personal Sol</t>
        </is>
      </c>
      <c r="O977" s="4" t="n">
        <v>923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ROPA</t>
        </is>
      </c>
      <c r="G978" s="4" t="inlineStr">
        <is>
          <t>ROPA</t>
        </is>
      </c>
      <c r="H978" s="5" t="n">
        <v>-795614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REEMBOLSO · ROPA · Zara · TC Mercado Pago · compra 2026-08-19 · cierre 2026-09-12</t>
        </is>
      </c>
      <c r="N978" s="4" t="inlineStr">
        <is>
          <t>CIUDAD / Gasto Personal Sol</t>
        </is>
      </c>
      <c r="O978" s="4" t="n">
        <v>924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55707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Laboratorio · TC Mercado Pago · C.3/9 · compra 2026-06-23 · cierre 2026-09-12</t>
        </is>
      </c>
      <c r="N979" s="4" t="inlineStr">
        <is>
          <t>CIUDAD / Gasto Personal Sol</t>
        </is>
      </c>
      <c r="O979" s="4" t="n">
        <v>904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</t>
        </is>
      </c>
      <c r="G980" s="4" t="inlineStr">
        <is>
          <t>SALUD</t>
        </is>
      </c>
      <c r="H980" s="5" t="n">
        <v>58334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Biodepot · TC Mercado Pago · C.3/3 · compra 2026-06-25 · cierre 2026-09-12</t>
        </is>
      </c>
      <c r="N980" s="4" t="inlineStr">
        <is>
          <t>CIUDAD / Gasto Personal Sol</t>
        </is>
      </c>
      <c r="O980" s="4" t="n">
        <v>905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SALUD · Vitaminas</t>
        </is>
      </c>
      <c r="G981" s="4" t="inlineStr">
        <is>
          <t>SALUD · Vitaminas</t>
        </is>
      </c>
      <c r="H981" s="5" t="n">
        <v>87900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SALUD · Vitaminas · Promarine · TC Mercado Pago · C.6/6 · compra 2026-04-04 · cierre 2026-09-12</t>
        </is>
      </c>
      <c r="N981" s="4" t="inlineStr">
        <is>
          <t>CIUDAD / Gasto Personal Sol</t>
        </is>
      </c>
      <c r="O981" s="4" t="n">
        <v>903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SUSCRIPCIONES · APPLE</t>
        </is>
      </c>
      <c r="G982" s="4" t="inlineStr">
        <is>
          <t>SUSCRIPCIONES · Apple</t>
        </is>
      </c>
      <c r="H982" s="5" t="n">
        <v>19749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SUSCRIPCIONES · Apple · Mercado Pago · gasto personal Sol · dinero en cuenta MP screenshot</t>
        </is>
      </c>
      <c r="N982" s="4" t="inlineStr">
        <is>
          <t>CIUDAD / Gasto Personal Sol</t>
        </is>
      </c>
      <c r="O982" s="4" t="n">
        <v>869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ROPA</t>
        </is>
      </c>
      <c r="G983" s="4" t="inlineStr">
        <is>
          <t>TRANSFERENCIAS</t>
        </is>
      </c>
      <c r="H983" s="5" t="n">
        <v>140000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Eva Graciela Zarate Valdovino · Transferencia enviada · gasto personal Sol · dinero en cuenta MP screenshot</t>
        </is>
      </c>
      <c r="N983" s="4" t="inlineStr">
        <is>
          <t>CIUDAD / Gasto Personal Sol</t>
        </is>
      </c>
      <c r="O983" s="4" t="n">
        <v>870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VESTIMENTA</t>
        </is>
      </c>
      <c r="G984" s="4" t="inlineStr">
        <is>
          <t>VESTIMENTA</t>
        </is>
      </c>
      <c r="H984" s="5" t="n">
        <v>72000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VESTIMENTA · Etiqueta Negra · TC Mercado Pago · C.1/6 · compra 2026-08-25 · cierre 2026-09-12</t>
        </is>
      </c>
      <c r="N984" s="4" t="inlineStr">
        <is>
          <t>CIUDAD / Gasto Personal Sol</t>
        </is>
      </c>
      <c r="O984" s="4" t="n">
        <v>920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OTROS PERSONALES</t>
        </is>
      </c>
      <c r="G985" s="4" t="inlineStr">
        <is>
          <t>VIAJES</t>
        </is>
      </c>
      <c r="H985" s="5" t="n">
        <v>1633555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VIAJES · Aerolíneas Argentinas · TC Mercado Pago · compra 2026-08-22 · cierre 2026-09-12</t>
        </is>
      </c>
      <c r="N985" s="4" t="inlineStr">
        <is>
          <t>CIUDAD / Gasto Personal Sol</t>
        </is>
      </c>
      <c r="O985" s="4" t="n">
        <v>917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ALMACÉN SOL</t>
        </is>
      </c>
      <c r="F986" s="4" t="inlineStr">
        <is>
          <t>COMIDA</t>
        </is>
      </c>
      <c r="G986" s="4" t="inlineStr">
        <is>
          <t>COMIDA · VERDULERÍA</t>
        </is>
      </c>
      <c r="H986" s="5" t="n">
        <v>5900</v>
      </c>
      <c r="I986" s="16" t="n"/>
      <c r="J986" s="4" t="inlineStr">
        <is>
          <t>REAL</t>
        </is>
      </c>
      <c r="K986" s="17" t="n"/>
      <c r="L986" s="4" t="inlineStr">
        <is>
          <t>Mercado Pago</t>
        </is>
      </c>
      <c r="M986" s="4" t="inlineStr">
        <is>
          <t>COMIDA · VERDULERÍA · Noelia Caballero · Mercado Pago · dinero en cuenta MP screenshot</t>
        </is>
      </c>
      <c r="N986" s="4" t="inlineStr">
        <is>
          <t>CIUDAD / Almacen Detalle</t>
        </is>
      </c>
      <c r="O986" s="4" t="n">
        <v>368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176509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COMPRAS · El Bazar Digital · gasto personal Sol · REVISAR ítem · dinero en cuenta MP screenshot</t>
        </is>
      </c>
      <c r="N987" s="4" t="inlineStr">
        <is>
          <t>CIUDAD / Gasto Personal Sol</t>
        </is>
      </c>
      <c r="O987" s="4" t="n">
        <v>871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71250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873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76742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Pago · Pago · gasto personal Sol · REVISAR ítem · dinero en cuenta MP screenshot</t>
        </is>
      </c>
      <c r="N989" s="4" t="inlineStr">
        <is>
          <t>CIUDAD / Gasto Personal Sol</t>
        </is>
      </c>
      <c r="O989" s="4" t="n">
        <v>874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COMPRAS</t>
        </is>
      </c>
      <c r="G990" s="4" t="inlineStr">
        <is>
          <t>COMPRAS</t>
        </is>
      </c>
      <c r="H990" s="5" t="n">
        <v>629985</v>
      </c>
      <c r="I990" s="16" t="n"/>
      <c r="J990" s="4" t="inlineStr">
        <is>
          <t>REAL</t>
        </is>
      </c>
      <c r="K990" s="4" t="inlineStr">
        <is>
          <t>BBVA VISA</t>
        </is>
      </c>
      <c r="L990" s="4" t="inlineStr">
        <is>
          <t>BBVA</t>
        </is>
      </c>
      <c r="M990" s="4" t="inlineStr">
        <is>
          <t>COMPRAS · dhgate.com · BBVA VISA · USD 409.57 × TC MEP 1538.16 · importación · MEP 11/09 (13/09 domingo) · alerta Gmail Compra aprobada · REVISAR vs resumen BBVA</t>
        </is>
      </c>
      <c r="N990" s="4" t="inlineStr">
        <is>
          <t>CIUDAD / Gasto Personal Sol</t>
        </is>
      </c>
      <c r="O990" s="4" t="n">
        <v>927</v>
      </c>
    </row>
    <row r="991">
      <c r="A991" s="4" t="n">
        <v>990</v>
      </c>
      <c r="B991" s="15" t="n">
        <v>46278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PELUQUERÍA</t>
        </is>
      </c>
      <c r="G991" s="4" t="inlineStr">
        <is>
          <t>PELUQUERÍA</t>
        </is>
      </c>
      <c r="H991" s="5" t="n">
        <v>12720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PELUQUERÍA · Megapeluquerías CABA · gasto personal Sol · dinero en cuenta MP screenshot</t>
        </is>
      </c>
      <c r="N991" s="4" t="inlineStr">
        <is>
          <t>CIUDAD / Gasto Personal Sol</t>
        </is>
      </c>
      <c r="O991" s="4" t="n">
        <v>872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8520</v>
      </c>
      <c r="I992" s="16" t="n"/>
      <c r="J992" s="4" t="inlineStr">
        <is>
          <t>REAL</t>
        </is>
      </c>
      <c r="K992" s="4" t="inlineStr">
        <is>
          <t>BBVA VISA</t>
        </is>
      </c>
      <c r="L992" s="4" t="inlineStr">
        <is>
          <t>BBVA</t>
        </is>
      </c>
      <c r="M992" s="4" t="inlineStr">
        <is>
          <t>COMPRAS · La Obanesad · BBVA VISA · MERPAGO*LAOBANESAD · alerta Gmail · REVISAR ítem</t>
        </is>
      </c>
      <c r="N992" s="4" t="inlineStr">
        <is>
          <t>CIUDAD / Gasto Personal Sol</t>
        </is>
      </c>
      <c r="O992" s="4" t="n">
        <v>933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85000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 Celeste Gonzalez · Transferencia enviada · gasto personal Sol · dinero en cuenta MP screenshot</t>
        </is>
      </c>
      <c r="N993" s="4" t="inlineStr">
        <is>
          <t>CIUDAD / Gasto Personal Sol</t>
        </is>
      </c>
      <c r="O993" s="4" t="n">
        <v>875</v>
      </c>
    </row>
    <row r="994">
      <c r="A994" s="4" t="n">
        <v>993</v>
      </c>
      <c r="B994" s="15" t="n">
        <v>46279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1000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Mariano Morales · Transferencia enviada · gasto personal Sol · dinero en cuenta MP screenshot</t>
        </is>
      </c>
      <c r="N994" s="4" t="inlineStr">
        <is>
          <t>CIUDAD / Gasto Personal Sol</t>
        </is>
      </c>
      <c r="O994" s="4" t="n">
        <v>876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COMIDA · CASAARISTOBULO017</t>
        </is>
      </c>
      <c r="H995" s="5" t="n">
        <v>43667</v>
      </c>
      <c r="I995" s="16" t="n"/>
      <c r="J995" s="4" t="inlineStr">
        <is>
          <t>REAL</t>
        </is>
      </c>
      <c r="K995" s="17" t="n"/>
      <c r="L995" s="4" t="inlineStr">
        <is>
          <t>Mercado Pago</t>
        </is>
      </c>
      <c r="M995" s="4" t="inlineStr">
        <is>
          <t>COMIDA · CASAARISTOBULO017 · QR · Mercado Pago · dinero en cuenta MP screenshot</t>
        </is>
      </c>
      <c r="N995" s="4" t="inlineStr">
        <is>
          <t>CIUDAD / Almacen Detalle</t>
        </is>
      </c>
      <c r="O995" s="4" t="n">
        <v>371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</t>
        </is>
      </c>
      <c r="H996" s="5" t="n">
        <v>26019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screenshot · dinero en cuenta MP screenshot</t>
        </is>
      </c>
      <c r="N996" s="4" t="inlineStr">
        <is>
          <t>CIUDAD / Almacen Detalle</t>
        </is>
      </c>
      <c r="O996" s="4" t="n">
        <v>369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PEDIDOS YA · COMIDA · propina</t>
        </is>
      </c>
      <c r="H997" s="5" t="n">
        <v>1050</v>
      </c>
      <c r="I997" s="16" t="n"/>
      <c r="J997" s="4" t="inlineStr">
        <is>
          <t>REAL</t>
        </is>
      </c>
      <c r="K997" s="17" t="n"/>
      <c r="L997" s="4" t="inlineStr">
        <is>
          <t>Sin identificar</t>
        </is>
      </c>
      <c r="M997" s="4" t="inlineStr">
        <is>
          <t>PEDIDOS YA · COMIDA · propina · screenshot · dinero en cuenta MP screenshot</t>
        </is>
      </c>
      <c r="N997" s="4" t="inlineStr">
        <is>
          <t>CIUDAD / Almacen Detalle</t>
        </is>
      </c>
      <c r="O997" s="4" t="n">
        <v>370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COMPRAS</t>
        </is>
      </c>
      <c r="G998" s="4" t="inlineStr">
        <is>
          <t>COMPRAS</t>
        </is>
      </c>
      <c r="H998" s="5" t="n">
        <v>40900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COMPRAS · Happy buy · gasto personal Sol · REVISAR ítem · dinero en cuenta MP screenshot</t>
        </is>
      </c>
      <c r="N998" s="4" t="inlineStr">
        <is>
          <t>CIUDAD / Gasto Personal Sol</t>
        </is>
      </c>
      <c r="O998" s="4" t="n">
        <v>878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OTROS PERSONALES</t>
        </is>
      </c>
      <c r="G999" s="4" t="inlineStr">
        <is>
          <t>IMPUESTOS · Epagos</t>
        </is>
      </c>
      <c r="H999" s="5" t="n">
        <v>10150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IMPUESTOS · Epagos · gasto personal Sol · dinero en cuenta MP screenshot</t>
        </is>
      </c>
      <c r="N999" s="4" t="inlineStr">
        <is>
          <t>CIUDAD / Gasto Personal Sol</t>
        </is>
      </c>
      <c r="O999" s="4" t="n">
        <v>880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TRANSFERENCIAS</t>
        </is>
      </c>
      <c r="G1000" s="4" t="inlineStr">
        <is>
          <t>TRANSFERENCIAS</t>
        </is>
      </c>
      <c r="H1000" s="5" t="n">
        <v>4000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Gaston Osvaldo Roca · Transferencia enviada · gasto personal Sol · dinero en cuenta MP screenshot</t>
        </is>
      </c>
      <c r="N1000" s="4" t="inlineStr">
        <is>
          <t>CIUDAD / Gasto Personal Sol</t>
        </is>
      </c>
      <c r="O1000" s="4" t="n">
        <v>881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5500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879</v>
      </c>
    </row>
    <row r="1002">
      <c r="A1002" s="4" t="n">
        <v>1001</v>
      </c>
      <c r="B1002" s="15" t="n">
        <v>46280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4980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877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COMIDA · McDonald's</t>
        </is>
      </c>
      <c r="H1003" s="5" t="n">
        <v>1900</v>
      </c>
      <c r="I1003" s="16" t="n"/>
      <c r="J1003" s="4" t="inlineStr">
        <is>
          <t>REAL</t>
        </is>
      </c>
      <c r="K1003" s="17" t="n"/>
      <c r="L1003" s="4" t="inlineStr">
        <is>
          <t>Mercado Pago</t>
        </is>
      </c>
      <c r="M1003" s="4" t="inlineStr">
        <is>
          <t>COMIDA · McDonald's · Mercado Pago · dinero en cuenta MP screenshot</t>
        </is>
      </c>
      <c r="N1003" s="4" t="inlineStr">
        <is>
          <t>CIUDAD / Almacen Detalle</t>
        </is>
      </c>
      <c r="O1003" s="4" t="n">
        <v>372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6200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883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7257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882</v>
      </c>
    </row>
    <row r="1006">
      <c r="A1006" s="4" t="n">
        <v>1005</v>
      </c>
      <c r="B1006" s="15" t="n">
        <v>46282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VESTIMENTA</t>
        </is>
      </c>
      <c r="G1006" s="4" t="inlineStr">
        <is>
          <t>VESTIMENTA</t>
        </is>
      </c>
      <c r="H1006" s="5" t="n">
        <v>719990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VESTIMENTA · Itsclassic · TC Mercado Pago · Gmail Pago aprobado · REVISAR (también alerta BBVA MERPAGO*ITSCLASSIC) · post-cierre 12/09 → confirmar en resumen TC MP octubre</t>
        </is>
      </c>
      <c r="N1006" s="4" t="inlineStr">
        <is>
          <t>CIUDAD / Gasto Personal Sol</t>
        </is>
      </c>
      <c r="O1006" s="4" t="n">
        <v>831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4900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885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OTROS</t>
        </is>
      </c>
      <c r="G1026" s="4" t="inlineStr">
        <is>
          <t>RAMON · Otros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Otros · Paws Pet Market · PetShop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46293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ALMACÉN SOL</t>
        </is>
      </c>
      <c r="F1034" s="4" t="inlineStr">
        <is>
          <t>COMIDA</t>
        </is>
      </c>
      <c r="G1034" s="4" t="inlineStr">
        <is>
          <t>COMIDA · pollo</t>
        </is>
      </c>
      <c r="H1034" s="5" t="n">
        <v>10900</v>
      </c>
      <c r="I1034" s="16" t="n"/>
      <c r="J1034" s="4" t="inlineStr">
        <is>
          <t>REAL</t>
        </is>
      </c>
      <c r="K1034" s="17" t="n"/>
      <c r="L1034" s="4" t="inlineStr">
        <is>
          <t>Sin identificar</t>
        </is>
      </c>
      <c r="M1034" s="4" t="inlineStr">
        <is>
          <t>COMIDA · pollo · Súper Pollo · QR · resumen oficial cuenta MP 1–30 sep 2026</t>
        </is>
      </c>
      <c r="N1034" s="4" t="inlineStr">
        <is>
          <t>CIUDAD / Almacen Detalle</t>
        </is>
      </c>
      <c r="O1034" s="4" t="n">
        <v>381</v>
      </c>
    </row>
    <row r="1035">
      <c r="A1035" s="4" t="n">
        <v>1034</v>
      </c>
      <c r="B1035" s="15" t="n">
        <v>46293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TRANSFERENCIAS</t>
        </is>
      </c>
      <c r="G1035" s="4" t="inlineStr">
        <is>
          <t>TRANSFERENCIAS</t>
        </is>
      </c>
      <c r="H1035" s="5" t="n">
        <v>69900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TRANSFERENCIAS · Camilo Carlos Ihan · REVISAR ítem · resumen oficial cuenta MP 1–30 sep 2026</t>
        </is>
      </c>
      <c r="N1035" s="4" t="inlineStr">
        <is>
          <t>CIUDAD / Gasto Personal Sol</t>
        </is>
      </c>
      <c r="O1035" s="4" t="n">
        <v>938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HOGAR</t>
        </is>
      </c>
      <c r="G1036" s="4" t="inlineStr">
        <is>
          <t>HOGAR</t>
        </is>
      </c>
      <c r="H1036" s="5" t="n">
        <v>134572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HOGAR · ViennaHogar · TC Mercado Pago · 3 cuotas · Gmail Pago aprobado · post-cierre 12/09 → confirmar resumen octubre</t>
        </is>
      </c>
      <c r="N1036" s="4" t="inlineStr">
        <is>
          <t>CIUDAD / Gasto Personal Sol</t>
        </is>
      </c>
      <c r="O1036" s="4" t="n">
        <v>937</v>
      </c>
    </row>
    <row r="1037">
      <c r="A1037" s="4" t="n">
        <v>1036</v>
      </c>
      <c r="B1037" s="15" t="n">
        <v>46294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TRANSPORTE</t>
        </is>
      </c>
      <c r="G1037" s="4" t="inlineStr">
        <is>
          <t>TRANSPORTE · Didi</t>
        </is>
      </c>
      <c r="H1037" s="5" t="n">
        <v>5700</v>
      </c>
      <c r="I1037" s="16" t="n"/>
      <c r="J1037" s="4" t="inlineStr">
        <is>
          <t>REAL</t>
        </is>
      </c>
      <c r="K1037" s="4" t="inlineStr">
        <is>
          <t>Mercado Pago</t>
        </is>
      </c>
      <c r="L1037" s="4" t="inlineStr">
        <is>
          <t>Mercado Pago</t>
        </is>
      </c>
      <c r="M1037" s="4" t="inlineStr">
        <is>
          <t>TRANSPORTE · Didi · resumen oficial cuenta MP 1–30 sep 2026</t>
        </is>
      </c>
      <c r="N1037" s="4" t="inlineStr">
        <is>
          <t>CIUDAD / Gasto Personal Sol</t>
        </is>
      </c>
      <c r="O1037" s="4" t="n">
        <v>940</v>
      </c>
    </row>
    <row r="1038">
      <c r="A1038" s="4" t="n">
        <v>1037</v>
      </c>
      <c r="B1038" s="15" t="n">
        <v>46294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4000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resumen oficial cuenta MP 1–30 sep 2026</t>
        </is>
      </c>
      <c r="N1038" s="4" t="inlineStr">
        <is>
          <t>CIUDAD / Gasto Personal Sol</t>
        </is>
      </c>
      <c r="O1038" s="4" t="n">
        <v>941</v>
      </c>
    </row>
    <row r="1039">
      <c r="A1039" s="4" t="n">
        <v>1038</v>
      </c>
      <c r="B1039" s="15" t="n">
        <v>46294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7230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resumen oficial cuenta MP 1–30 sep 2026</t>
        </is>
      </c>
      <c r="N1039" s="4" t="inlineStr">
        <is>
          <t>CIUDAD / Gasto Personal Sol</t>
        </is>
      </c>
      <c r="O1039" s="4" t="n">
        <v>939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1039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resumen oficial cuenta MP 1–30 sep 2026</t>
        </is>
      </c>
      <c r="N1040" s="4" t="inlineStr">
        <is>
          <t>CIUDAD / Almacen Detalle</t>
        </is>
      </c>
      <c r="O1040" s="4" t="n">
        <v>382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COMBUSTIBLE</t>
        </is>
      </c>
      <c r="G1041" s="4" t="inlineStr">
        <is>
          <t>Combustible — Shell</t>
        </is>
      </c>
      <c r="H1041" s="5" t="n">
        <v>288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Combustible — Shell · QR · ceil 287.50 · resumen oficial cuenta MP 1–30 sep 2026</t>
        </is>
      </c>
      <c r="N1041" s="4" t="inlineStr">
        <is>
          <t>CIUDAD / Almacen Detalle</t>
        </is>
      </c>
      <c r="O1041" s="4" t="n">
        <v>383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COMBUSTIBLE</t>
        </is>
      </c>
      <c r="G1042" s="4" t="inlineStr">
        <is>
          <t>Combustible — Shell</t>
        </is>
      </c>
      <c r="H1042" s="5" t="n">
        <v>1126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Combustible — Shell · QR · resumen oficial cuenta MP 1–30 sep 2026</t>
        </is>
      </c>
      <c r="N1042" s="4" t="inlineStr">
        <is>
          <t>CIUDAD / Almacen Detalle</t>
        </is>
      </c>
      <c r="O1042" s="4" t="n">
        <v>384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ALMACÉN SOL</t>
        </is>
      </c>
      <c r="F1043" s="4" t="inlineStr">
        <is>
          <t>COMBUSTIBLE</t>
        </is>
      </c>
      <c r="G1043" s="4" t="inlineStr">
        <is>
          <t>Combustible — Shell</t>
        </is>
      </c>
      <c r="H1043" s="5" t="n">
        <v>62548</v>
      </c>
      <c r="I1043" s="16" t="n"/>
      <c r="J1043" s="4" t="inlineStr">
        <is>
          <t>REAL</t>
        </is>
      </c>
      <c r="K1043" s="17" t="n"/>
      <c r="L1043" s="4" t="inlineStr">
        <is>
          <t>Sin identificar</t>
        </is>
      </c>
      <c r="M1043" s="4" t="inlineStr">
        <is>
          <t>Combustible — Shell · QR · ceil 62547.50 · resumen oficial cuenta MP 1–30 sep 2026</t>
        </is>
      </c>
      <c r="N1043" s="4" t="inlineStr">
        <is>
          <t>CIUDAD / Almacen Detalle</t>
        </is>
      </c>
      <c r="O1043" s="4" t="n">
        <v>385</v>
      </c>
    </row>
    <row r="1044">
      <c r="A1044" s="4" t="n">
        <v>1043</v>
      </c>
      <c r="B1044" s="15" t="n">
        <v>46295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SUSCRIPCIONES · IA</t>
        </is>
      </c>
      <c r="G1044" s="4" t="inlineStr">
        <is>
          <t>SUSCRIPCIONES · IA</t>
        </is>
      </c>
      <c r="H1044" s="5" t="n">
        <v>30852</v>
      </c>
      <c r="I1044" s="16" t="n"/>
      <c r="J1044" s="4" t="inlineStr">
        <is>
          <t>REAL</t>
        </is>
      </c>
      <c r="K1044" s="4" t="inlineStr">
        <is>
          <t>BBVA VISA</t>
        </is>
      </c>
      <c r="L1044" s="4" t="inlineStr">
        <is>
          <t>BBVA</t>
        </is>
      </c>
      <c r="M1044" s="4" t="inlineStr">
        <is>
          <t>SUSCRIPCIONES · IA · ChatGPT / OpenAI · BBVA VISA · USD 20.00 × TC MEP 1542.56 · alerta Gmail Compra aprobada · REVISAR vs resumen BBVA</t>
        </is>
      </c>
      <c r="N1044" s="4" t="inlineStr">
        <is>
          <t>CIUDAD / Gasto Personal Sol</t>
        </is>
      </c>
      <c r="O1044" s="4" t="n">
        <v>930</v>
      </c>
    </row>
    <row r="1045">
      <c r="A1045" s="4" t="n">
        <v>1044</v>
      </c>
      <c r="B1045" s="15" t="n">
        <v>46295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Sol Estética</t>
        </is>
      </c>
      <c r="H1045" s="5" t="n">
        <v>20000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Sol Estética · Kelly · $20.000 · resumen oficial cuenta MP 1–30 sep 2026</t>
        </is>
      </c>
      <c r="N1045" s="4" t="inlineStr">
        <is>
          <t>CIUDAD / Gasto Personal Sol</t>
        </is>
      </c>
      <c r="O1045" s="4" t="n">
        <v>942</v>
      </c>
    </row>
    <row r="1046">
      <c r="A1046" s="4" t="n">
        <v>1045</v>
      </c>
      <c r="B1046" s="15" t="n">
        <v>46295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Sol Estética</t>
        </is>
      </c>
      <c r="H1046" s="5" t="n">
        <v>86000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Sol Estética · Kelly · $86.000 · resumen oficial cuenta MP 1–30 sep 2026</t>
        </is>
      </c>
      <c r="N1046" s="4" t="inlineStr">
        <is>
          <t>CIUDAD / Gasto Personal Sol</t>
        </is>
      </c>
      <c r="O1046" s="4" t="n">
        <v>943</v>
      </c>
    </row>
    <row r="1047">
      <c r="A1047" s="4" t="n">
        <v>1046</v>
      </c>
      <c r="B1047" s="15" t="n">
        <v>46299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FARMACIA SALUD</t>
        </is>
      </c>
      <c r="G1047" s="4" t="inlineStr">
        <is>
          <t>FARMACIA SALUD</t>
        </is>
      </c>
      <c r="H1047" s="5" t="n">
        <v>17038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FARMACIA SALUD · Hiperfarmaceutica Temperley · Gmail Pago aprobado</t>
        </is>
      </c>
      <c r="N1047" s="4" t="inlineStr">
        <is>
          <t>CIUDAD / Gasto Personal Sol</t>
        </is>
      </c>
      <c r="O1047" s="4" t="n">
        <v>954</v>
      </c>
    </row>
    <row r="1048">
      <c r="A1048" s="4" t="n">
        <v>1047</v>
      </c>
      <c r="B1048" s="15" t="n">
        <v>46300</v>
      </c>
      <c r="C1048" s="4" t="inlineStr">
        <is>
          <t>2026-10</t>
        </is>
      </c>
      <c r="D1048" s="4" t="inlineStr">
        <is>
          <t>Octubre</t>
        </is>
      </c>
      <c r="E1048" s="4" t="inlineStr">
        <is>
          <t>GASTO PERSONAL</t>
        </is>
      </c>
      <c r="F1048" s="4" t="inlineStr">
        <is>
          <t>OTROS PERSONALES</t>
        </is>
      </c>
      <c r="G1048" s="4" t="inlineStr">
        <is>
          <t>VIAJES</t>
        </is>
      </c>
      <c r="H1048" s="5" t="n">
        <v>1430000</v>
      </c>
      <c r="I1048" s="16" t="n"/>
      <c r="J1048" s="4" t="inlineStr">
        <is>
          <t>REAL</t>
        </is>
      </c>
      <c r="K1048" s="4" t="inlineStr">
        <is>
          <t>TC Mercado Pago</t>
        </is>
      </c>
      <c r="L1048" s="4" t="inlineStr">
        <is>
          <t>TC Mercado Pago</t>
        </is>
      </c>
      <c r="M1048" s="4" t="inlineStr">
        <is>
          <t>VIAJES · regalo Chris Cumple 50 · MARPATAG SRL · Gmail Pago aprobado · gasto personal Sol</t>
        </is>
      </c>
      <c r="N1048" s="4" t="inlineStr">
        <is>
          <t>CIUDAD / Gasto Personal Sol</t>
        </is>
      </c>
      <c r="O1048" s="4" t="n">
        <v>955</v>
      </c>
    </row>
    <row r="1049">
      <c r="A1049" s="4" t="n">
        <v>1048</v>
      </c>
      <c r="B1049" s="15" t="n">
        <v>46304</v>
      </c>
      <c r="C1049" s="4" t="inlineStr">
        <is>
          <t>2026-10</t>
        </is>
      </c>
      <c r="D1049" s="4" t="inlineStr">
        <is>
          <t>Octubre</t>
        </is>
      </c>
      <c r="E1049" s="4" t="inlineStr">
        <is>
          <t>GASTO PERSONAL</t>
        </is>
      </c>
      <c r="F1049" s="4" t="inlineStr">
        <is>
          <t>PELUQUERÍA</t>
        </is>
      </c>
      <c r="G1049" s="4" t="inlineStr">
        <is>
          <t>PELUQUERÍA</t>
        </is>
      </c>
      <c r="H1049" s="5" t="n">
        <v>7000</v>
      </c>
      <c r="I1049" s="16" t="n"/>
      <c r="J1049" s="4" t="inlineStr">
        <is>
          <t>REAL</t>
        </is>
      </c>
      <c r="K1049" s="4" t="inlineStr">
        <is>
          <t>Mercado Pago</t>
        </is>
      </c>
      <c r="L1049" s="4" t="inlineStr">
        <is>
          <t>Mercado Pago</t>
        </is>
      </c>
      <c r="M1049" s="4" t="inlineStr">
        <is>
          <t>PELUQUERÍA · Soy lashista · Gmail Pago aprobado (2 mails mismo monto; se carga 1)</t>
        </is>
      </c>
      <c r="N1049" s="4" t="inlineStr">
        <is>
          <t>CIUDAD / Gasto Personal Sol</t>
        </is>
      </c>
      <c r="O1049" s="4" t="n">
        <v>956</v>
      </c>
    </row>
    <row r="1050">
      <c r="A1050" s="4" t="n">
        <v>1049</v>
      </c>
      <c r="B1050" s="15" t="n">
        <v>46306</v>
      </c>
      <c r="C1050" s="4" t="inlineStr">
        <is>
          <t>2026-10</t>
        </is>
      </c>
      <c r="D1050" s="4" t="inlineStr">
        <is>
          <t>Octubre</t>
        </is>
      </c>
      <c r="E1050" s="4" t="inlineStr">
        <is>
          <t>GASTO PERSONAL</t>
        </is>
      </c>
      <c r="F1050" s="4" t="inlineStr">
        <is>
          <t>OTROS PERSONALES</t>
        </is>
      </c>
      <c r="G1050" s="4" t="inlineStr">
        <is>
          <t>VIAJES</t>
        </is>
      </c>
      <c r="H1050" s="5" t="n">
        <v>1143000</v>
      </c>
      <c r="I1050" s="16" t="n"/>
      <c r="J1050" s="4" t="inlineStr">
        <is>
          <t>REAL</t>
        </is>
      </c>
      <c r="K1050" s="4" t="inlineStr">
        <is>
          <t>BBVA Crédito ****3200</t>
        </is>
      </c>
      <c r="L1050" s="4" t="inlineStr">
        <is>
          <t>BBVA</t>
        </is>
      </c>
      <c r="M1050" s="4" t="inlineStr">
        <is>
          <t>VIAJES · regalo Chris Cumple 50 · Patagonia Chic Excursiones · Gmail Pago aprobado · 1 cuota · gasto personal Sol</t>
        </is>
      </c>
      <c r="N1050" s="4" t="inlineStr">
        <is>
          <t>CIUDAD / Gasto Personal Sol</t>
        </is>
      </c>
      <c r="O1050" s="4" t="n">
        <v>957</v>
      </c>
    </row>
    <row r="1051">
      <c r="A1051" s="4" t="n">
        <v>1050</v>
      </c>
      <c r="B1051" s="15" t="n">
        <v>46307</v>
      </c>
      <c r="C1051" s="4" t="inlineStr">
        <is>
          <t>2026-10</t>
        </is>
      </c>
      <c r="D1051" s="4" t="inlineStr">
        <is>
          <t>Octubre</t>
        </is>
      </c>
      <c r="E1051" s="4" t="inlineStr">
        <is>
          <t>ALMACÉN SOL</t>
        </is>
      </c>
      <c r="F1051" s="4" t="inlineStr">
        <is>
          <t>RAMON · COMIDA</t>
        </is>
      </c>
      <c r="G1051" s="4" t="inlineStr">
        <is>
          <t>RAMON · Comida</t>
        </is>
      </c>
      <c r="H1051" s="5" t="n">
        <v>139100</v>
      </c>
      <c r="I1051" s="16" t="n"/>
      <c r="J1051" s="4" t="inlineStr">
        <is>
          <t>REAL</t>
        </is>
      </c>
      <c r="K1051" s="17" t="n"/>
      <c r="L1051" s="4" t="inlineStr">
        <is>
          <t>Sin identificar</t>
        </is>
      </c>
      <c r="M1051" s="4" t="inlineStr">
        <is>
          <t>RAMON · Comida · Almacén CIUDAD · carga 12/10/2026 · ALMACEN SOL</t>
        </is>
      </c>
      <c r="N1051" s="4" t="inlineStr">
        <is>
          <t>CIUDAD / Almacen Detalle</t>
        </is>
      </c>
      <c r="O1051" s="4" t="n">
        <v>428</v>
      </c>
    </row>
  </sheetData>
  <autoFilter ref="A1:O10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ROPA</t>
        </is>
      </c>
      <c r="E33" s="4" t="inlineStr">
        <is>
          <t>VESTIMENTA</t>
        </is>
      </c>
      <c r="F33" s="5" t="n">
        <v>395000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ROPA · Ceferina · hoja Gasto Personal Sol</t>
        </is>
      </c>
      <c r="L33" s="4" t="n">
        <v>32</v>
      </c>
    </row>
    <row r="34">
      <c r="A34" s="15" t="n">
        <v>46031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COMPRAS</t>
        </is>
      </c>
      <c r="E34" s="4" t="inlineStr">
        <is>
          <t>COMPRAS</t>
        </is>
      </c>
      <c r="F34" s="5" t="n">
        <v>44000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COMPRAS · Catore · transferencia · gasto personal Sol (ex-PENDIENTE)</t>
        </is>
      </c>
      <c r="L34" s="4" t="n">
        <v>34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3490</v>
      </c>
      <c r="G35" s="16" t="n"/>
      <c r="H35" s="4" t="inlineStr">
        <is>
          <t>REAL</t>
        </is>
      </c>
      <c r="I35" s="4" t="inlineStr">
        <is>
          <t>BBVA VISA</t>
        </is>
      </c>
      <c r="J35" s="4" t="inlineStr">
        <is>
          <t>BBVA</t>
        </is>
      </c>
      <c r="K35" s="4" t="inlineStr">
        <is>
          <t>MP vía TC · MERPAGO*MELI 674711</t>
        </is>
      </c>
      <c r="L35" s="4" t="n">
        <v>283</v>
      </c>
    </row>
    <row r="36">
      <c r="A36" s="15" t="n">
        <v>46032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40334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DLO*SANBRAS C.03/03 005390</t>
        </is>
      </c>
      <c r="L36" s="4" t="n">
        <v>270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FARMACIA SALUD</t>
        </is>
      </c>
      <c r="E37" s="4" t="inlineStr">
        <is>
          <t>FARMACIA SALUD</t>
        </is>
      </c>
      <c r="F37" s="5" t="n">
        <v>116500</v>
      </c>
      <c r="G37" s="16" t="n"/>
      <c r="H37" s="4" t="inlineStr">
        <is>
          <t>REAL</t>
        </is>
      </c>
      <c r="I37" s="4" t="inlineStr">
        <is>
          <t>Mercado Pago</t>
        </is>
      </c>
      <c r="J37" s="4" t="inlineStr">
        <is>
          <t>Mercado Pago</t>
        </is>
      </c>
      <c r="K37" s="4" t="inlineStr">
        <is>
          <t>FARMACIA SALUD · Farmacia Maure · resumen MP cuenta</t>
        </is>
      </c>
      <c r="L37" s="4" t="n">
        <v>761</v>
      </c>
    </row>
    <row r="38">
      <c r="A38" s="15" t="n">
        <v>46033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HOGAR</t>
        </is>
      </c>
      <c r="E38" s="4" t="inlineStr">
        <is>
          <t>HOGAR</t>
        </is>
      </c>
      <c r="F38" s="5" t="n">
        <v>24800</v>
      </c>
      <c r="G38" s="16" t="n"/>
      <c r="H38" s="4" t="inlineStr">
        <is>
          <t>REAL</t>
        </is>
      </c>
      <c r="I38" s="4" t="inlineStr">
        <is>
          <t>BBVA MASTERCARD</t>
        </is>
      </c>
      <c r="J38" s="4" t="inlineStr">
        <is>
          <t>BBVA</t>
        </is>
      </c>
      <c r="K38" s="4" t="inlineStr">
        <is>
          <t>MP vía TC · MERPAGO*ARTEREGAL C.03/03 432527</t>
        </is>
      </c>
      <c r="L38" s="4" t="n">
        <v>292</v>
      </c>
    </row>
    <row r="39">
      <c r="A39" s="15" t="n">
        <v>46034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47500</v>
      </c>
      <c r="G39" s="16" t="n"/>
      <c r="H39" s="4" t="inlineStr">
        <is>
          <t>REAL</t>
        </is>
      </c>
      <c r="I39" s="4" t="inlineStr">
        <is>
          <t>TC Mercado Pago</t>
        </is>
      </c>
      <c r="J39" s="4" t="inlineStr">
        <is>
          <t>TC Mercado Pago</t>
        </is>
      </c>
      <c r="K39" s="4" t="inlineStr">
        <is>
          <t>HOGAR · Textilhogar · MERPAGO*TEXTILHOGAR · TC Mercado Pago · cuota 2 de 3 · compra 2025-11-13</t>
        </is>
      </c>
      <c r="L39" s="4" t="n">
        <v>646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MERCADO LIBRE</t>
        </is>
      </c>
      <c r="E40" s="4" t="inlineStr">
        <is>
          <t>MERCADO LIBRE</t>
        </is>
      </c>
      <c r="F40" s="5" t="n">
        <v>72964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Mercado Libre · TC Mercado Pago · cuota 2 de 3 · compra 2025-11-26 · ex `Mercado Libre · C.02/03`</t>
        </is>
      </c>
      <c r="L40" s="4" t="n">
        <v>647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32941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2025-11-29 · ex `Mercado Libre · C.02/03`</t>
        </is>
      </c>
      <c r="L41" s="4" t="n">
        <v>649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PERCEPCIONES USD</t>
        </is>
      </c>
      <c r="E42" s="4" t="inlineStr">
        <is>
          <t>PERCEPCIÓN USD · DB RG 5617 · TC Mercado Pago</t>
        </is>
      </c>
      <c r="F42" s="5" t="n">
        <v>466850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PERCEPCIÓN USD · DB RG 5617 · TC Mercado Pago · cierre 2026-01-12 · compra 2026-01-12</t>
        </is>
      </c>
      <c r="L42" s="4" t="n">
        <v>654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ROPA</t>
        </is>
      </c>
      <c r="E43" s="4" t="inlineStr">
        <is>
          <t>ROPA</t>
        </is>
      </c>
      <c r="F43" s="5" t="n">
        <v>50000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ROPA · Pallars · MERPAGO*PALLARS · TC Mercado Pago · cuota 1 de 3 · compra 2025-12-13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SALUD · Vitaminas</t>
        </is>
      </c>
      <c r="E44" s="4" t="inlineStr">
        <is>
          <t>SALUD · Vitaminas</t>
        </is>
      </c>
      <c r="F44" s="5" t="n">
        <v>58334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SALUD · Vitaminas · Promarine · TC Mercado Pago · C.01/06 · gasto personal Sol</t>
        </is>
      </c>
      <c r="L44" s="4" t="n">
        <v>653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TECNOLOGÍA</t>
        </is>
      </c>
      <c r="E45" s="4" t="inlineStr">
        <is>
          <t>TECNOLOGÍA</t>
        </is>
      </c>
      <c r="F45" s="5" t="n">
        <v>140650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TECNOLOGÍA · Mophie · MERPAGO*MOPHIE · TC Mercado Pago · cuota 2 de 3 · compra 2025-11-28</t>
        </is>
      </c>
      <c r="L45" s="4" t="n">
        <v>648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VESTIMENTA</t>
        </is>
      </c>
      <c r="E46" s="4" t="inlineStr">
        <is>
          <t>VESTIMENTA</t>
        </is>
      </c>
      <c r="F46" s="5" t="n">
        <v>63750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VESTIMENTA · Longchamp · TC Mercado Pago · C.01/06 · gasto personal Sol</t>
        </is>
      </c>
      <c r="L46" s="4" t="n">
        <v>652</v>
      </c>
    </row>
    <row r="47">
      <c r="A47" s="15" t="n">
        <v>46035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COMIDA · OFICINA</t>
        </is>
      </c>
      <c r="E47" s="4" t="inlineStr">
        <is>
          <t>COMIDA · Oficina</t>
        </is>
      </c>
      <c r="F47" s="5" t="n">
        <v>2940</v>
      </c>
      <c r="G47" s="16" t="n"/>
      <c r="H47" s="4" t="inlineStr">
        <is>
          <t>REAL</t>
        </is>
      </c>
      <c r="I47" s="4" t="inlineStr">
        <is>
          <t>Mercado Pago</t>
        </is>
      </c>
      <c r="J47" s="4" t="inlineStr">
        <is>
          <t>Mercado Pago</t>
        </is>
      </c>
      <c r="K47" s="4" t="inlineStr">
        <is>
          <t>COMIDA · Oficina · Copetin Catering · gasto personal Sol</t>
        </is>
      </c>
      <c r="L47" s="4" t="n">
        <v>791</v>
      </c>
    </row>
    <row r="48">
      <c r="A48" s="15" t="n">
        <v>46036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MASCOTAS</t>
        </is>
      </c>
      <c r="E48" s="4" t="inlineStr">
        <is>
          <t>COMPRAS</t>
        </is>
      </c>
      <c r="F48" s="5" t="n">
        <v>56161</v>
      </c>
      <c r="G48" s="16" t="n"/>
      <c r="H48" s="4" t="inlineStr">
        <is>
          <t>REAL</t>
        </is>
      </c>
      <c r="I48" s="4" t="inlineStr">
        <is>
          <t>BBVA MASTERCARD</t>
        </is>
      </c>
      <c r="J48" s="4" t="inlineStr">
        <is>
          <t>BBVA</t>
        </is>
      </c>
      <c r="K48" s="4" t="inlineStr">
        <is>
          <t>Mascotas · Felix y Fido · ex `MBX*FELIXYFIDO SA 003170`</t>
        </is>
      </c>
      <c r="L48" s="4" t="n">
        <v>319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TRANSPORTE</t>
        </is>
      </c>
      <c r="E49" s="4" t="inlineStr">
        <is>
          <t>TRANSPORTE · Cabify</t>
        </is>
      </c>
      <c r="F49" s="5" t="n">
        <v>4966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BBVA</t>
        </is>
      </c>
      <c r="K49" s="4" t="inlineStr">
        <is>
          <t>Cabify · BBVA MASTERCARD (BBVA-MASTERCARD-2026-01-14-4966) · gasto personal Sol</t>
        </is>
      </c>
      <c r="L49" s="4" t="n">
        <v>508</v>
      </c>
    </row>
    <row r="50">
      <c r="A50" s="15" t="n">
        <v>46037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MERCADO LIBRE</t>
        </is>
      </c>
      <c r="E50" s="4" t="inlineStr">
        <is>
          <t>MERCADO LIBRE</t>
        </is>
      </c>
      <c r="F50" s="5" t="n">
        <v>95930</v>
      </c>
      <c r="G50" s="16" t="n"/>
      <c r="H50" s="4" t="inlineStr">
        <is>
          <t>REAL</t>
        </is>
      </c>
      <c r="I50" s="4" t="inlineStr">
        <is>
          <t>Mercado Pago</t>
        </is>
      </c>
      <c r="J50" s="4" t="inlineStr">
        <is>
          <t>Mercado Pago</t>
        </is>
      </c>
      <c r="K50" s="4" t="inlineStr">
        <is>
          <t>MERCADO LIBRE · gasto personal Sol</t>
        </is>
      </c>
      <c r="L50" s="4" t="n">
        <v>39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SALUD</t>
        </is>
      </c>
      <c r="E51" s="4" t="inlineStr">
        <is>
          <t>SALUD</t>
        </is>
      </c>
      <c r="F51" s="5" t="n">
        <v>16245</v>
      </c>
      <c r="G51" s="16" t="n"/>
      <c r="H51" s="4" t="inlineStr">
        <is>
          <t>REAL</t>
        </is>
      </c>
      <c r="I51" s="4" t="inlineStr">
        <is>
          <t>BBVA MASTERCARD</t>
        </is>
      </c>
      <c r="J51" s="4" t="inlineStr">
        <is>
          <t>BBVA</t>
        </is>
      </c>
      <c r="K51" s="4" t="inlineStr">
        <is>
          <t>SALUD · Hospital Italiano · Salud · Hospital Italiano</t>
        </is>
      </c>
      <c r="L51" s="4" t="n">
        <v>320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TRANSPORTE</t>
        </is>
      </c>
      <c r="E52" s="4" t="inlineStr">
        <is>
          <t>TRANSPORTE · Cabify</t>
        </is>
      </c>
      <c r="F52" s="5" t="n">
        <v>4237</v>
      </c>
      <c r="G52" s="16" t="n"/>
      <c r="H52" s="4" t="inlineStr">
        <is>
          <t>REAL</t>
        </is>
      </c>
      <c r="I52" s="4" t="inlineStr">
        <is>
          <t>BBVA</t>
        </is>
      </c>
      <c r="J52" s="4" t="inlineStr">
        <is>
          <t>BBVA</t>
        </is>
      </c>
      <c r="K52" s="4" t="inlineStr">
        <is>
          <t>Cabify · BBVA MASTERCARD (BBVA-MASTERCARD-2026-01-15-4237) · gasto personal Sol</t>
        </is>
      </c>
      <c r="L52" s="4" t="n">
        <v>484</v>
      </c>
    </row>
    <row r="53">
      <c r="A53" s="15" t="n">
        <v>46038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4959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(BBVA-MASTERCARD-2026-01-16-4959) · gasto personal Sol</t>
        </is>
      </c>
      <c r="L53" s="4" t="n">
        <v>509</v>
      </c>
    </row>
    <row r="54">
      <c r="A54" s="15" t="n">
        <v>46039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COMPRAS</t>
        </is>
      </c>
      <c r="E54" s="4" t="inlineStr">
        <is>
          <t>COMPRAS</t>
        </is>
      </c>
      <c r="F54" s="5" t="n">
        <v>4100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Mercado Pago</t>
        </is>
      </c>
      <c r="K54" s="4" t="inlineStr">
        <is>
          <t>COMPRAS · Estefania Ibanez · pago QR Victoria Estefania Ibanez · gasto personal Sol</t>
        </is>
      </c>
      <c r="L54" s="4" t="n">
        <v>824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TRANSFERENCIAS</t>
        </is>
      </c>
      <c r="E55" s="4" t="inlineStr">
        <is>
          <t>TRANSFERENCIAS</t>
        </is>
      </c>
      <c r="F55" s="5" t="n">
        <v>22000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transferencia · gasto personal Sol (ex-PENDIENTE) · ex `Veronica Alejandra Mendez`</t>
        </is>
      </c>
      <c r="L55" s="4" t="n">
        <v>40</v>
      </c>
    </row>
    <row r="56">
      <c r="A56" s="15" t="n">
        <v>46040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TRANSPORTE</t>
        </is>
      </c>
      <c r="E56" s="4" t="inlineStr">
        <is>
          <t>TRANSPORTE · Cabify</t>
        </is>
      </c>
      <c r="F56" s="5" t="n">
        <v>5529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BBVA</t>
        </is>
      </c>
      <c r="K56" s="4" t="inlineStr">
        <is>
          <t>Cabify · BBVA MASTERCARD (BBVA-MASTERCARD-2026-01-18-5529) · gasto personal Sol</t>
        </is>
      </c>
      <c r="L56" s="4" t="n">
        <v>510</v>
      </c>
    </row>
    <row r="57">
      <c r="A57" s="15" t="n">
        <v>46041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COMIDA · OFICINA</t>
        </is>
      </c>
      <c r="E57" s="4" t="inlineStr">
        <is>
          <t>COMIDA · Oficina</t>
        </is>
      </c>
      <c r="F57" s="5" t="n">
        <v>3585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COMIDA · Oficina · Copetin Catering · gasto personal Sol</t>
        </is>
      </c>
      <c r="L57" s="4" t="n">
        <v>792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Didi</t>
        </is>
      </c>
      <c r="F58" s="5" t="n">
        <v>5227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Didi · gasto personal Sol</t>
        </is>
      </c>
      <c r="L58" s="4" t="n">
        <v>358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83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359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4123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360</v>
      </c>
    </row>
    <row r="61">
      <c r="A61" s="15" t="n">
        <v>46042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COMIDA · OFICINA</t>
        </is>
      </c>
      <c r="E61" s="4" t="inlineStr">
        <is>
          <t>COMIDA · Oficina</t>
        </is>
      </c>
      <c r="F61" s="5" t="n">
        <v>3585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COMIDA · Oficina · Copetin Catering · gasto personal Sol</t>
        </is>
      </c>
      <c r="L61" s="4" t="n">
        <v>793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TRANSFERENCIAS</t>
        </is>
      </c>
      <c r="E62" s="4" t="inlineStr">
        <is>
          <t>TRANSFERENCIAS</t>
        </is>
      </c>
      <c r="F62" s="5" t="n">
        <v>6605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transferencia · gasto personal Sol (ex-PENDIENTE) · ex `Yenny Paola Calisaya Cquispe`</t>
        </is>
      </c>
      <c r="L62" s="4" t="n">
        <v>41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TRANSPORTE</t>
        </is>
      </c>
      <c r="E63" s="4" t="inlineStr">
        <is>
          <t>TRANSPORTE · Didi</t>
        </is>
      </c>
      <c r="F63" s="5" t="n">
        <v>5170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Didi · gasto personal Sol</t>
        </is>
      </c>
      <c r="L63" s="4" t="n">
        <v>361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3633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362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VESTIMENTA</t>
        </is>
      </c>
      <c r="E65" s="4" t="inlineStr">
        <is>
          <t>VESTIMENTA</t>
        </is>
      </c>
      <c r="F65" s="5" t="n">
        <v>249990</v>
      </c>
      <c r="G65" s="16" t="n"/>
      <c r="H65" s="4" t="inlineStr">
        <is>
          <t>REAL</t>
        </is>
      </c>
      <c r="I65" s="4" t="inlineStr">
        <is>
          <t>BBVA MASTERCARD</t>
        </is>
      </c>
      <c r="J65" s="4" t="inlineStr">
        <is>
          <t>BBVA</t>
        </is>
      </c>
      <c r="K65" s="4" t="inlineStr">
        <is>
          <t>VESTIMENTA · Itsclassic · BBVA MASTERCARD · gasto personal Sol</t>
        </is>
      </c>
      <c r="L65" s="4" t="n">
        <v>321</v>
      </c>
    </row>
    <row r="66">
      <c r="A66" s="15" t="n">
        <v>46043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Cabify</t>
        </is>
      </c>
      <c r="F66" s="5" t="n">
        <v>4447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BBVA</t>
        </is>
      </c>
      <c r="K66" s="4" t="inlineStr">
        <is>
          <t>Cabify · BBVA MASTERCARD (BBVA-MASTERCARD-2026-01-21-4447) · gasto personal Sol</t>
        </is>
      </c>
      <c r="L66" s="4" t="n">
        <v>511</v>
      </c>
    </row>
    <row r="67">
      <c r="A67" s="15" t="n">
        <v>46044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COMIDA · OFICINA</t>
        </is>
      </c>
      <c r="E67" s="4" t="inlineStr">
        <is>
          <t>COMIDA · Oficina</t>
        </is>
      </c>
      <c r="F67" s="5" t="n">
        <v>11950</v>
      </c>
      <c r="G67" s="16" t="n"/>
      <c r="H67" s="4" t="inlineStr">
        <is>
          <t>REAL</t>
        </is>
      </c>
      <c r="I67" s="4" t="inlineStr">
        <is>
          <t>Mercado Pago</t>
        </is>
      </c>
      <c r="J67" s="4" t="inlineStr">
        <is>
          <t>Mercado Pago</t>
        </is>
      </c>
      <c r="K67" s="4" t="inlineStr">
        <is>
          <t>COMIDA · Oficina · Copetin Catering · gasto personal Sol</t>
        </is>
      </c>
      <c r="L67" s="4" t="n">
        <v>794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SEGUROS / RETIRO</t>
        </is>
      </c>
      <c r="E68" s="4" t="inlineStr">
        <is>
          <t>SEGUROS · Retiro</t>
        </is>
      </c>
      <c r="F68" s="5" t="n">
        <v>343237</v>
      </c>
      <c r="G68" s="16" t="n"/>
      <c r="H68" s="4" t="inlineStr">
        <is>
          <t>REAL</t>
        </is>
      </c>
      <c r="I68" s="4" t="inlineStr">
        <is>
          <t>BBVA Visa</t>
        </is>
      </c>
      <c r="J68" s="4" t="inlineStr">
        <is>
          <t>BBVA</t>
        </is>
      </c>
      <c r="K68" s="4" t="inlineStr">
        <is>
          <t>SEGUROS · Retiro · Zurich · Seguro de retiro Zurich · gasto personal Sol</t>
        </is>
      </c>
      <c r="L68" s="4" t="n">
        <v>284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TRANSFERENCIAS</t>
        </is>
      </c>
      <c r="E69" s="4" t="inlineStr">
        <is>
          <t>TRANSFERENCIAS</t>
        </is>
      </c>
      <c r="F69" s="5" t="n">
        <v>17000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transferencia · gasto personal Sol (ex-PENDIENTE) · ex `Mercurio Furchi`</t>
        </is>
      </c>
      <c r="L69" s="4" t="n">
        <v>42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TRANSPORTE</t>
        </is>
      </c>
      <c r="E70" s="4" t="inlineStr">
        <is>
          <t>TRANSPORTE · Didi</t>
        </is>
      </c>
      <c r="F70" s="5" t="n">
        <v>4820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Didi · gasto personal Sol</t>
        </is>
      </c>
      <c r="L70" s="4" t="n">
        <v>363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3876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TRANSPORTE · Didi · gasto personal Sol</t>
        </is>
      </c>
      <c r="L71" s="4" t="n">
        <v>809</v>
      </c>
    </row>
    <row r="72">
      <c r="A72" s="15" t="n">
        <v>46045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SALUD</t>
        </is>
      </c>
      <c r="E72" s="4" t="inlineStr">
        <is>
          <t>SALUD</t>
        </is>
      </c>
      <c r="F72" s="5" t="n">
        <v>409880</v>
      </c>
      <c r="G72" s="16" t="n"/>
      <c r="H72" s="4" t="inlineStr">
        <is>
          <t>REAL</t>
        </is>
      </c>
      <c r="I72" s="4" t="inlineStr">
        <is>
          <t>BBVA MASTERCARD</t>
        </is>
      </c>
      <c r="J72" s="4" t="inlineStr">
        <is>
          <t>BBVA</t>
        </is>
      </c>
      <c r="K72" s="4" t="inlineStr">
        <is>
          <t>SALUD · Hospital Italiano · Salud · Hospital Italiano</t>
        </is>
      </c>
      <c r="L72" s="4" t="n">
        <v>324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Cabify</t>
        </is>
      </c>
      <c r="F73" s="5" t="n">
        <v>5484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BBVA</t>
        </is>
      </c>
      <c r="K73" s="4" t="inlineStr">
        <is>
          <t>Cabify · BBVA MASTERCARD (BBVA-MASTERCARD-2026-01-23-5484) · gasto personal Sol</t>
        </is>
      </c>
      <c r="L73" s="4" t="n">
        <v>512</v>
      </c>
    </row>
    <row r="74">
      <c r="A74" s="15" t="n">
        <v>46046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ENTRETENIMIENTO · COMIDAS</t>
        </is>
      </c>
      <c r="E74" s="4" t="inlineStr">
        <is>
          <t>ENTRETENIMIENTO · Comidas</t>
        </is>
      </c>
      <c r="F74" s="5" t="n">
        <v>37767</v>
      </c>
      <c r="G74" s="16" t="n"/>
      <c r="H74" s="4" t="inlineStr">
        <is>
          <t>REAL</t>
        </is>
      </c>
      <c r="I74" s="4" t="inlineStr">
        <is>
          <t>Mercado Pago</t>
        </is>
      </c>
      <c r="J74" s="4" t="inlineStr">
        <is>
          <t>Mercado Pago</t>
        </is>
      </c>
      <c r="K74" s="4" t="inlineStr">
        <is>
          <t>ENTRETENIMIENTO · Comidas · Oporto Almacen · gasto personal Sol</t>
        </is>
      </c>
      <c r="L74" s="4" t="n">
        <v>779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MERCADO LIBRE</t>
        </is>
      </c>
      <c r="E75" s="4" t="inlineStr">
        <is>
          <t>MERCADO LIBRE</t>
        </is>
      </c>
      <c r="F75" s="5" t="n">
        <v>243997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MERCADO LIBRE · gasto personal Sol</t>
        </is>
      </c>
      <c r="L75" s="4" t="n">
        <v>44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TECNOLOGÍA</t>
        </is>
      </c>
      <c r="E76" s="4" t="inlineStr">
        <is>
          <t>TECNOLOGÍA</t>
        </is>
      </c>
      <c r="F76" s="5" t="n">
        <v>28999</v>
      </c>
      <c r="G76" s="16" t="n"/>
      <c r="H76" s="4" t="inlineStr">
        <is>
          <t>REAL</t>
        </is>
      </c>
      <c r="I76" s="4" t="inlineStr">
        <is>
          <t>BBVA MASTERCARD</t>
        </is>
      </c>
      <c r="J76" s="4" t="inlineStr">
        <is>
          <t>BBVA</t>
        </is>
      </c>
      <c r="K76" s="4" t="inlineStr">
        <is>
          <t>MP vía TC · MERPAGO*TODOVISION C.02/02 554518</t>
        </is>
      </c>
      <c r="L76" s="4" t="n">
        <v>300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TRANSFERENCIAS</t>
        </is>
      </c>
      <c r="E77" s="4" t="inlineStr">
        <is>
          <t>TRANSFERENCIAS</t>
        </is>
      </c>
      <c r="F77" s="5" t="n">
        <v>58000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transferencia · gasto personal Sol (ex-PENDIENTE) · ex `Gabriel Anibal Fradkin`</t>
        </is>
      </c>
      <c r="L77" s="4" t="n">
        <v>43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TRANSPORTE</t>
        </is>
      </c>
      <c r="E78" s="4" t="inlineStr">
        <is>
          <t>TRANSPORTE · Cabify</t>
        </is>
      </c>
      <c r="F78" s="5" t="n">
        <v>3335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BBVA</t>
        </is>
      </c>
      <c r="K78" s="4" t="inlineStr">
        <is>
          <t>Cabify · BBVA MASTERCARD (BBVA-MASTERCARD-2026-01-24-3335) · gasto personal Sol</t>
        </is>
      </c>
      <c r="L78" s="4" t="n">
        <v>485</v>
      </c>
    </row>
    <row r="79">
      <c r="A79" s="15" t="n">
        <v>46047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MERCADO LIBRE</t>
        </is>
      </c>
      <c r="E79" s="4" t="inlineStr">
        <is>
          <t>MERCADO LIBRE</t>
        </is>
      </c>
      <c r="F79" s="5" t="n">
        <v>63647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MERCADO LIBRE · gasto personal Sol</t>
        </is>
      </c>
      <c r="L79" s="4" t="n">
        <v>46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43300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47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113472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48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24562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49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TRANSPORTE</t>
        </is>
      </c>
      <c r="E83" s="4" t="inlineStr">
        <is>
          <t>TRANSPORTE · Cabify</t>
        </is>
      </c>
      <c r="F83" s="5" t="n">
        <v>4317</v>
      </c>
      <c r="G83" s="16" t="n"/>
      <c r="H83" s="4" t="inlineStr">
        <is>
          <t>REAL</t>
        </is>
      </c>
      <c r="I83" s="4" t="inlineStr">
        <is>
          <t>BBVA</t>
        </is>
      </c>
      <c r="J83" s="4" t="inlineStr">
        <is>
          <t>BBVA</t>
        </is>
      </c>
      <c r="K83" s="4" t="inlineStr">
        <is>
          <t>Cabify · BBVA MASTERCARD (BBVA-MASTERCARD-2026-01-25-4317) · gasto personal Sol</t>
        </is>
      </c>
      <c r="L83" s="4" t="n">
        <v>513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4799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(BBVA-MASTERCARD-2026-01-25-4799) · gasto personal Sol</t>
        </is>
      </c>
      <c r="L84" s="4" t="n">
        <v>514</v>
      </c>
    </row>
    <row r="85">
      <c r="A85" s="15" t="n">
        <v>46049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Didi</t>
        </is>
      </c>
      <c r="F85" s="5" t="n">
        <v>3892</v>
      </c>
      <c r="G85" s="16" t="n"/>
      <c r="H85" s="4" t="inlineStr">
        <is>
          <t>REAL</t>
        </is>
      </c>
      <c r="I85" s="4" t="inlineStr">
        <is>
          <t>Mercado Pago</t>
        </is>
      </c>
      <c r="J85" s="4" t="inlineStr">
        <is>
          <t>Mercado Pago</t>
        </is>
      </c>
      <c r="K85" s="4" t="inlineStr">
        <is>
          <t>Didi · gasto personal Sol</t>
        </is>
      </c>
      <c r="L85" s="4" t="n">
        <v>364</v>
      </c>
    </row>
    <row r="86">
      <c r="A86" s="15" t="n">
        <v>46050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TRANSFERENCIAS</t>
        </is>
      </c>
      <c r="E86" s="4" t="inlineStr">
        <is>
          <t>TRANSFERENCIAS</t>
        </is>
      </c>
      <c r="F86" s="5" t="n">
        <v>45000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transferencia · gasto personal Sol (ex-PENDIENTE) · ex `Luna Maria Laur`</t>
        </is>
      </c>
      <c r="L86" s="4" t="n">
        <v>50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Cabify</t>
        </is>
      </c>
      <c r="F87" s="5" t="n">
        <v>4454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BBVA</t>
        </is>
      </c>
      <c r="K87" s="4" t="inlineStr">
        <is>
          <t>Cabify · BBVA MASTERCARD (BBVA-MASTERCARD-2026-01-28-4454) · gasto personal Sol</t>
        </is>
      </c>
      <c r="L87" s="4" t="n">
        <v>515</v>
      </c>
    </row>
    <row r="88">
      <c r="A88" s="15" t="n">
        <v>46051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COMIDA · OFICINA</t>
        </is>
      </c>
      <c r="E88" s="4" t="inlineStr">
        <is>
          <t>COMIDA · Oficina</t>
        </is>
      </c>
      <c r="F88" s="5" t="n">
        <v>2150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COMIDA · Oficina · Feed · gasto personal Sol</t>
        </is>
      </c>
      <c r="L88" s="4" t="n">
        <v>781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2350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782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9800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Copetin Catering · gasto personal Sol</t>
        </is>
      </c>
      <c r="L90" s="4" t="n">
        <v>795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PERCEPCIONES USD</t>
        </is>
      </c>
      <c r="E91" s="4" t="inlineStr">
        <is>
          <t>PERCEPCIÓN USD · DB RG 5617 30%</t>
        </is>
      </c>
      <c r="F91" s="5" t="n">
        <v>10826</v>
      </c>
      <c r="G91" s="16" t="n"/>
      <c r="H91" s="4" t="inlineStr">
        <is>
          <t>REAL</t>
        </is>
      </c>
      <c r="I91" s="4" t="inlineStr">
        <is>
          <t>BBVA MASTERCARD</t>
        </is>
      </c>
      <c r="J91" s="4" t="inlineStr">
        <is>
          <t>BBVA</t>
        </is>
      </c>
      <c r="K91" s="4" t="inlineStr">
        <is>
          <t>PERCEPCIÓN USD · DB RG 5617 30% · base $36,083.61 · cierre 29-Ene-26 · percepciones por consumos en USD · gasto personal Sol</t>
        </is>
      </c>
      <c r="L91" s="4" t="n">
        <v>615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10002</v>
      </c>
      <c r="G92" s="16" t="n"/>
      <c r="H92" s="4" t="inlineStr">
        <is>
          <t>REAL</t>
        </is>
      </c>
      <c r="I92" s="4" t="inlineStr">
        <is>
          <t>BBVA VISA</t>
        </is>
      </c>
      <c r="J92" s="4" t="inlineStr">
        <is>
          <t>BBVA</t>
        </is>
      </c>
      <c r="K92" s="4" t="inlineStr">
        <is>
          <t>PERCEPCIÓN USD · DB RG 5617 30% · base $33,339.06 · cierre 29-Ene-26 · percepciones por consumos en USD · gasto personal Sol</t>
        </is>
      </c>
      <c r="L92" s="4" t="n">
        <v>618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IIBB CABA 2%</t>
        </is>
      </c>
      <c r="F93" s="5" t="n">
        <v>578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IIBB CABA 2% · base $28,875.55 · cierre 29-Ene-26 · percepciones por consumos en USD · gasto personal Sol</t>
        </is>
      </c>
      <c r="L93" s="4" t="n">
        <v>613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89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IIBB CABA 2% · base $4,449.06 · cierre 29-Ene-26 · percepciones por consumos en USD · gasto personal Sol</t>
        </is>
      </c>
      <c r="L94" s="4" t="n">
        <v>616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IVA RG 4240 21%</t>
        </is>
      </c>
      <c r="F95" s="5" t="n">
        <v>6064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IVA RG 4240 21%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935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IVA RG 4240 21%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TRANSPORTE</t>
        </is>
      </c>
      <c r="E97" s="4" t="inlineStr">
        <is>
          <t>TRANSPORTE · Cabify</t>
        </is>
      </c>
      <c r="F97" s="5" t="n">
        <v>6144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BBVA</t>
        </is>
      </c>
      <c r="K97" s="4" t="inlineStr">
        <is>
          <t>Cabify · BBVA MASTERCARD (BBVA-MASTERCARD-2026-01-29-6144) · gasto personal Sol</t>
        </is>
      </c>
      <c r="L97" s="4" t="n">
        <v>483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Didi</t>
        </is>
      </c>
      <c r="F98" s="5" t="n">
        <v>6282</v>
      </c>
      <c r="G98" s="16" t="n"/>
      <c r="H98" s="4" t="inlineStr">
        <is>
          <t>REAL</t>
        </is>
      </c>
      <c r="I98" s="4" t="inlineStr">
        <is>
          <t>Mercado Pago</t>
        </is>
      </c>
      <c r="J98" s="4" t="inlineStr">
        <is>
          <t>Mercado Pago</t>
        </is>
      </c>
      <c r="K98" s="4" t="inlineStr">
        <is>
          <t>Didi · gasto personal Sol</t>
        </is>
      </c>
      <c r="L98" s="4" t="n">
        <v>366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Uber</t>
        </is>
      </c>
      <c r="F99" s="5" t="n">
        <v>7260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TRANSPORTE · Uber · Ebanx (=Uber) · gasto personal Sol</t>
        </is>
      </c>
      <c r="L99" s="4" t="n">
        <v>365</v>
      </c>
    </row>
    <row r="100">
      <c r="A100" s="15" t="n">
        <v>46052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AUTO</t>
        </is>
      </c>
      <c r="E100" s="4" t="inlineStr">
        <is>
          <t>AUTO</t>
        </is>
      </c>
      <c r="F100" s="5" t="n">
        <v>47740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Mercedes · AUTO/ACA · gasto personal Sol · ex `Mercedes Srl`</t>
        </is>
      </c>
      <c r="L100" s="4" t="n">
        <v>53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TRANSFERENCIAS</t>
        </is>
      </c>
      <c r="E101" s="4" t="inlineStr">
        <is>
          <t>TRANSFERENCIAS</t>
        </is>
      </c>
      <c r="F101" s="5" t="n">
        <v>4600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transferencia · gasto personal Sol (ex-PENDIENTE) · ex `Gabriela Reggio`</t>
        </is>
      </c>
      <c r="L101" s="4" t="n">
        <v>52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TRANSPORTE</t>
        </is>
      </c>
      <c r="E102" s="4" t="inlineStr">
        <is>
          <t>TRANSPORTE · Cabify</t>
        </is>
      </c>
      <c r="F102" s="5" t="n">
        <v>6569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BBVA</t>
        </is>
      </c>
      <c r="K102" s="4" t="inlineStr">
        <is>
          <t>Cabify · BBVA MASTERCARD (BBVA-MASTERCARD-2026-01-30-6569) · gasto personal Sol</t>
        </is>
      </c>
      <c r="L102" s="4" t="n">
        <v>499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5463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(BBVA-MASTERCARD-2026-01-30-5463) · gasto personal Sol</t>
        </is>
      </c>
      <c r="L103" s="4" t="n">
        <v>500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Didi</t>
        </is>
      </c>
      <c r="F104" s="5" t="n">
        <v>2745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Mercado Pago</t>
        </is>
      </c>
      <c r="K104" s="4" t="inlineStr">
        <is>
          <t>Didi · gasto personal Sol</t>
        </is>
      </c>
      <c r="L104" s="4" t="n">
        <v>367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2565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368</v>
      </c>
    </row>
    <row r="106">
      <c r="A106" s="15" t="n">
        <v>46054</v>
      </c>
      <c r="B106" s="4" t="inlineStr">
        <is>
          <t>2026-02</t>
        </is>
      </c>
      <c r="C106" s="4" t="inlineStr">
        <is>
          <t>Febrero</t>
        </is>
      </c>
      <c r="D106" s="4" t="inlineStr">
        <is>
          <t>FARMACIA SALUD</t>
        </is>
      </c>
      <c r="E106" s="4" t="inlineStr">
        <is>
          <t>FARMACIA SALUD</t>
        </is>
      </c>
      <c r="F106" s="5" t="n">
        <v>25259</v>
      </c>
      <c r="G106" s="16" t="n"/>
      <c r="H106" s="4" t="inlineStr">
        <is>
          <t>REAL</t>
        </is>
      </c>
      <c r="I106" s="4" t="inlineStr">
        <is>
          <t>BBVA VISA</t>
        </is>
      </c>
      <c r="J106" s="4" t="inlineStr">
        <is>
          <t>BBVA</t>
        </is>
      </c>
      <c r="K106" s="4" t="inlineStr">
        <is>
          <t>FARMACIA SALUD · Farmacia Selma · C.05/06 · cashflow BBVA PAGADO · gasto personal Sol</t>
        </is>
      </c>
      <c r="L106" s="4" t="n">
        <v>766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SUSCRIPCIONES · APPLE</t>
        </is>
      </c>
      <c r="E107" s="4" t="inlineStr">
        <is>
          <t>SUSCRIPCIONES · Apple</t>
        </is>
      </c>
      <c r="F107" s="5" t="n">
        <v>45711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SUSCRIPCIONES · Apple · gasto personal Sol</t>
        </is>
      </c>
      <c r="L107" s="4" t="n">
        <v>54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TRANSPORTE</t>
        </is>
      </c>
      <c r="E108" s="4" t="inlineStr">
        <is>
          <t>TRANSPORTE · Didi</t>
        </is>
      </c>
      <c r="F108" s="5" t="n">
        <v>3570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Didi · gasto personal Sol</t>
        </is>
      </c>
      <c r="L108" s="4" t="n">
        <v>369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4421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370</v>
      </c>
    </row>
    <row r="110">
      <c r="A110" s="15" t="n">
        <v>46055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MERCADO LIBRE</t>
        </is>
      </c>
      <c r="E110" s="4" t="inlineStr">
        <is>
          <t>MERCADO LIBRE</t>
        </is>
      </c>
      <c r="F110" s="5" t="n">
        <v>19652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MERCADO LIBRE · gasto personal Sol</t>
        </is>
      </c>
      <c r="L110" s="4" t="n">
        <v>56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SUSCRIPCIONES · APPLE</t>
        </is>
      </c>
      <c r="E111" s="4" t="inlineStr">
        <is>
          <t>SUSCRIPCIONES · Apple</t>
        </is>
      </c>
      <c r="F111" s="5" t="n">
        <v>5553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SUSCRIPCIONES · Apple · gasto personal Sol</t>
        </is>
      </c>
      <c r="L111" s="4" t="n">
        <v>55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TRANSPORTE</t>
        </is>
      </c>
      <c r="E112" s="4" t="inlineStr">
        <is>
          <t>TRANSPORTE · Cabify</t>
        </is>
      </c>
      <c r="F112" s="5" t="n">
        <v>4971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Cabify · gasto personal Sol</t>
        </is>
      </c>
      <c r="L112" s="4" t="n">
        <v>371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4447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372</v>
      </c>
    </row>
    <row r="114">
      <c r="A114" s="15" t="n">
        <v>46056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COMIDA · OFICINA</t>
        </is>
      </c>
      <c r="E114" s="4" t="inlineStr">
        <is>
          <t>COMIDA · Oficina</t>
        </is>
      </c>
      <c r="F114" s="5" t="n">
        <v>645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COMIDA · Oficina · Feed · gasto personal Sol</t>
        </is>
      </c>
      <c r="L114" s="4" t="n">
        <v>785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3585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Copetin Catering · gasto personal Sol</t>
        </is>
      </c>
      <c r="L115" s="4" t="n">
        <v>796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TRANSPORTE</t>
        </is>
      </c>
      <c r="E116" s="4" t="inlineStr">
        <is>
          <t>TRANSPORTE · Didi</t>
        </is>
      </c>
      <c r="F116" s="5" t="n">
        <v>4760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Didi · gasto personal Sol</t>
        </is>
      </c>
      <c r="L116" s="4" t="n">
        <v>373</v>
      </c>
    </row>
    <row r="117">
      <c r="A117" s="15" t="n">
        <v>46057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AVA FIDEICOMISO</t>
        </is>
      </c>
      <c r="E117" s="4" t="inlineStr">
        <is>
          <t>AVA FIDEICOMISO</t>
        </is>
      </c>
      <c r="F117" s="5" t="n">
        <v>2680133</v>
      </c>
      <c r="G117" s="16" t="n"/>
      <c r="H117" s="4" t="inlineStr">
        <is>
          <t>REAL</t>
        </is>
      </c>
      <c r="I117" s="4" t="inlineStr">
        <is>
          <t>Mercado Pago / TC MEP</t>
        </is>
      </c>
      <c r="J117" s="4" t="inlineStr">
        <is>
          <t>Mercado Pago</t>
        </is>
      </c>
      <c r="K117" s="4" t="inlineStr">
        <is>
          <t>50% Sol de $5,360,265 · AVA Palpa (Chris el otro 50%) · ex `AVA Fideicomiso · cuota 4 · febrero 2026`</t>
        </is>
      </c>
      <c r="L117" s="4" t="n">
        <v>329</v>
      </c>
    </row>
    <row r="118">
      <c r="A118" s="15" t="n">
        <v>46058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COMIDA · OFICINA</t>
        </is>
      </c>
      <c r="E118" s="4" t="inlineStr">
        <is>
          <t>COMIDA · Oficina</t>
        </is>
      </c>
      <c r="F118" s="5" t="n">
        <v>645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COMIDA · Oficina · Feed · gasto personal Sol</t>
        </is>
      </c>
      <c r="L118" s="4" t="n">
        <v>784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2940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Copetin Catering · gasto personal Sol</t>
        </is>
      </c>
      <c r="L119" s="4" t="n">
        <v>797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TRANSPORTE</t>
        </is>
      </c>
      <c r="E120" s="4" t="inlineStr">
        <is>
          <t>TRANSPORTE · Didi</t>
        </is>
      </c>
      <c r="F120" s="5" t="n">
        <v>4600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Didi · gasto personal Sol</t>
        </is>
      </c>
      <c r="L120" s="4" t="n">
        <v>374</v>
      </c>
    </row>
    <row r="121">
      <c r="A121" s="15" t="n">
        <v>46059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COMPRAS</t>
        </is>
      </c>
      <c r="E121" s="4" t="inlineStr">
        <is>
          <t>COMPRAS</t>
        </is>
      </c>
      <c r="F121" s="5" t="n">
        <v>3490</v>
      </c>
      <c r="G121" s="16" t="n"/>
      <c r="H121" s="4" t="inlineStr">
        <is>
          <t>REAL</t>
        </is>
      </c>
      <c r="I121" s="4" t="inlineStr">
        <is>
          <t>BBVA VISA</t>
        </is>
      </c>
      <c r="J121" s="4" t="inlineStr">
        <is>
          <t>BBVA</t>
        </is>
      </c>
      <c r="K121" s="4" t="inlineStr">
        <is>
          <t>MP vía TC · MERPAGO*MELI 986662</t>
        </is>
      </c>
      <c r="L121" s="4" t="n">
        <v>277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TRANSPORTE</t>
        </is>
      </c>
      <c r="E122" s="4" t="inlineStr">
        <is>
          <t>TRANSPORTE · Cabify</t>
        </is>
      </c>
      <c r="F122" s="5" t="n">
        <v>6466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Cabify · gasto personal Sol</t>
        </is>
      </c>
      <c r="L122" s="4" t="n">
        <v>375</v>
      </c>
    </row>
    <row r="123">
      <c r="A123" s="15" t="n">
        <v>46060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7000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transferencia · gasto personal Sol · MP cuenta · ex `Lenac`</t>
        </is>
      </c>
      <c r="L123" s="4" t="n">
        <v>745</v>
      </c>
    </row>
    <row r="124">
      <c r="A124" s="15" t="n">
        <v>46060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4950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376</v>
      </c>
    </row>
    <row r="125">
      <c r="A125" s="15" t="n">
        <v>46061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MERCADO LIBRE</t>
        </is>
      </c>
      <c r="E125" s="4" t="inlineStr">
        <is>
          <t>MERCADO LIBRE</t>
        </is>
      </c>
      <c r="F125" s="5" t="n">
        <v>24035</v>
      </c>
      <c r="G125" s="16" t="n"/>
      <c r="H125" s="4" t="inlineStr">
        <is>
          <t>REAL</t>
        </is>
      </c>
      <c r="I125" s="4" t="inlineStr">
        <is>
          <t>BBVA MASTERCARD</t>
        </is>
      </c>
      <c r="J125" s="4" t="inlineStr">
        <is>
          <t>BBVA</t>
        </is>
      </c>
      <c r="K125" s="4" t="inlineStr">
        <is>
          <t>MP vía TC · MERPAGO*ADRIANAMONICA 734684</t>
        </is>
      </c>
      <c r="L125" s="4" t="n">
        <v>301</v>
      </c>
    </row>
    <row r="126">
      <c r="A126" s="15" t="n">
        <v>46061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MERCADO LIBRE</t>
        </is>
      </c>
      <c r="E126" s="4" t="inlineStr">
        <is>
          <t>MERCADO LIBRE</t>
        </is>
      </c>
      <c r="F126" s="5" t="n">
        <v>38000</v>
      </c>
      <c r="G126" s="16" t="n"/>
      <c r="H126" s="4" t="inlineStr">
        <is>
          <t>REAL</t>
        </is>
      </c>
      <c r="I126" s="4" t="inlineStr">
        <is>
          <t>BBVA MASTERCARD</t>
        </is>
      </c>
      <c r="J126" s="4" t="inlineStr">
        <is>
          <t>BBVA</t>
        </is>
      </c>
      <c r="K126" s="4" t="inlineStr">
        <is>
          <t>MP vía TC · MERPAGO*SCOMBRO 802663</t>
        </is>
      </c>
      <c r="L126" s="4" t="n">
        <v>302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TELECOMUNICACIONES</t>
        </is>
      </c>
      <c r="E127" s="4" t="inlineStr">
        <is>
          <t>Servicio - Telefonía</t>
        </is>
      </c>
      <c r="F127" s="5" t="n">
        <v>14700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Mercado Pago</t>
        </is>
      </c>
      <c r="K127" s="4" t="inlineStr">
        <is>
          <t>Tuenti · gasto personal Sol · hoja Gasto Personal Sol</t>
        </is>
      </c>
      <c r="L127" s="4" t="n">
        <v>59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(ex-PENDIENTE) · ex `Carlos Leonardo Farinella`</t>
        </is>
      </c>
      <c r="L128" s="4" t="n">
        <v>58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5992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ROPA</t>
        </is>
      </c>
      <c r="E130" s="4" t="inlineStr">
        <is>
          <t>VESTIMENTA</t>
        </is>
      </c>
      <c r="F130" s="5" t="n">
        <v>74667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VESTIMENTA · Levis · MP vía TC · MERPAGO*LEVIS C.03/03 096550</t>
        </is>
      </c>
      <c r="L130" s="4" t="n">
        <v>290</v>
      </c>
    </row>
    <row r="131">
      <c r="A131" s="15" t="n">
        <v>46062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4955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379</v>
      </c>
    </row>
    <row r="132">
      <c r="A132" s="15" t="n">
        <v>46062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TRANSPORTE</t>
        </is>
      </c>
      <c r="E132" s="4" t="inlineStr">
        <is>
          <t>TRANSPORTE · Didi</t>
        </is>
      </c>
      <c r="F132" s="5" t="n">
        <v>4320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Didi · gasto personal Sol</t>
        </is>
      </c>
      <c r="L132" s="4" t="n">
        <v>378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Didi</t>
        </is>
      </c>
      <c r="F133" s="5" t="n">
        <v>4710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Didi · gasto personal Sol</t>
        </is>
      </c>
      <c r="L133" s="4" t="n">
        <v>380</v>
      </c>
    </row>
    <row r="134">
      <c r="A134" s="15" t="n">
        <v>46063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COMIDA · OFICINA</t>
        </is>
      </c>
      <c r="E134" s="4" t="inlineStr">
        <is>
          <t>COMIDA · Oficina</t>
        </is>
      </c>
      <c r="F134" s="5" t="n">
        <v>645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COMIDA · Oficina · Feed · gasto personal Sol</t>
        </is>
      </c>
      <c r="L134" s="4" t="n">
        <v>783</v>
      </c>
    </row>
    <row r="135">
      <c r="A135" s="15" t="n">
        <v>46063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COMIDA · OFICINA</t>
        </is>
      </c>
      <c r="E135" s="4" t="inlineStr">
        <is>
          <t>COMIDA · Oficina</t>
        </is>
      </c>
      <c r="F135" s="5" t="n">
        <v>1770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COMIDA · Oficina · Copetin Catering · gasto personal Sol</t>
        </is>
      </c>
      <c r="L135" s="4" t="n">
        <v>798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2940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Copetin Catering · gasto personal Sol</t>
        </is>
      </c>
      <c r="L136" s="4" t="n">
        <v>808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MERCADO LIBRE</t>
        </is>
      </c>
      <c r="E137" s="4" t="inlineStr">
        <is>
          <t>MERCADO LIBRE</t>
        </is>
      </c>
      <c r="F137" s="5" t="n">
        <v>84075</v>
      </c>
      <c r="G137" s="16" t="n"/>
      <c r="H137" s="4" t="inlineStr">
        <is>
          <t>REAL</t>
        </is>
      </c>
      <c r="I137" s="4" t="inlineStr">
        <is>
          <t>BBVA MASTERCARD</t>
        </is>
      </c>
      <c r="J137" s="4" t="inlineStr">
        <is>
          <t>BBVA</t>
        </is>
      </c>
      <c r="K137" s="4" t="inlineStr">
        <is>
          <t>ADRIAN CUDLY-ECOMMERCE 044999</t>
        </is>
      </c>
      <c r="L137" s="4" t="n">
        <v>303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ROPA</t>
        </is>
      </c>
      <c r="E138" s="4" t="inlineStr">
        <is>
          <t>ROPA</t>
        </is>
      </c>
      <c r="F138" s="5" t="n">
        <v>62397</v>
      </c>
      <c r="G138" s="16" t="n"/>
      <c r="H138" s="4" t="inlineStr">
        <is>
          <t>REAL</t>
        </is>
      </c>
      <c r="I138" s="4" t="inlineStr">
        <is>
          <t>BBVA MASTERCARD</t>
        </is>
      </c>
      <c r="J138" s="4" t="inlineStr">
        <is>
          <t>BBVA</t>
        </is>
      </c>
      <c r="K138" s="4" t="inlineStr">
        <is>
          <t>OPENPAY*TIENDA NOV 004173 · neto (bonif 11003) · resumen BBVA</t>
        </is>
      </c>
      <c r="L138" s="4" t="n">
        <v>304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TRANSPORTE</t>
        </is>
      </c>
      <c r="E139" s="4" t="inlineStr">
        <is>
          <t>TRANSPORTE · Didi</t>
        </is>
      </c>
      <c r="F139" s="5" t="n">
        <v>3976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Didi · gasto personal Sol</t>
        </is>
      </c>
      <c r="L139" s="4" t="n">
        <v>381</v>
      </c>
    </row>
    <row r="140">
      <c r="A140" s="15" t="n">
        <v>46064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TRANSPORTE</t>
        </is>
      </c>
      <c r="E140" s="4" t="inlineStr">
        <is>
          <t>TRANSPORTE · Didi</t>
        </is>
      </c>
      <c r="F140" s="5" t="n">
        <v>5830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Didi · gasto personal Sol</t>
        </is>
      </c>
      <c r="L140" s="4" t="n">
        <v>382</v>
      </c>
    </row>
    <row r="141">
      <c r="A141" s="15" t="n">
        <v>46064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4590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383</v>
      </c>
    </row>
    <row r="142">
      <c r="A142" s="15" t="n">
        <v>46065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HOGAR</t>
        </is>
      </c>
      <c r="E142" s="4" t="inlineStr">
        <is>
          <t>HOGAR</t>
        </is>
      </c>
      <c r="F142" s="5" t="n">
        <v>47500</v>
      </c>
      <c r="G142" s="16" t="n"/>
      <c r="H142" s="4" t="inlineStr">
        <is>
          <t>REAL</t>
        </is>
      </c>
      <c r="I142" s="4" t="inlineStr">
        <is>
          <t>TC Mercado Pago</t>
        </is>
      </c>
      <c r="J142" s="4" t="inlineStr">
        <is>
          <t>TC Mercado Pago</t>
        </is>
      </c>
      <c r="K142" s="4" t="inlineStr">
        <is>
          <t>HOGAR · Textilhogar · MERPAGO*TEXTILHOGAR · TC Mercado Pago · cuota 3 de 3 · compra 2025-11-13</t>
        </is>
      </c>
      <c r="L142" s="4" t="n">
        <v>655</v>
      </c>
    </row>
    <row r="143">
      <c r="A143" s="15" t="n">
        <v>46065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MERCADO LIBRE</t>
        </is>
      </c>
      <c r="E143" s="4" t="inlineStr">
        <is>
          <t>MERCADO LIBRE</t>
        </is>
      </c>
      <c r="F143" s="5" t="n">
        <v>72964</v>
      </c>
      <c r="G143" s="16" t="n"/>
      <c r="H143" s="4" t="inlineStr">
        <is>
          <t>REAL</t>
        </is>
      </c>
      <c r="I143" s="4" t="inlineStr">
        <is>
          <t>TC Mercado Pago</t>
        </is>
      </c>
      <c r="J143" s="4" t="inlineStr">
        <is>
          <t>TC Mercado Pago</t>
        </is>
      </c>
      <c r="K143" s="4" t="inlineStr">
        <is>
          <t>Mercado Libre · TC Mercado Pago · cuota 3 de 3 · compra 2025-11-26 · ex `Mercado Libre · C.03/03`</t>
        </is>
      </c>
      <c r="L143" s="4" t="n">
        <v>656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MERCADO LIBRE</t>
        </is>
      </c>
      <c r="E144" s="4" t="inlineStr">
        <is>
          <t>MERCADO LIBRE</t>
        </is>
      </c>
      <c r="F144" s="5" t="n">
        <v>32941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Mercado Libre · TC Mercado Pago · cuota 3 de 3 · compra 2025-11-29 · ex `Mercado Libre · C.03/03`</t>
        </is>
      </c>
      <c r="L144" s="4" t="n">
        <v>658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47965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1 de 2 · compra 2026-01-15 · ex `Mercado Libre · C.01/02`</t>
        </is>
      </c>
      <c r="L145" s="4" t="n">
        <v>662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113472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compra 2026-01-25</t>
        </is>
      </c>
      <c r="L146" s="4" t="n">
        <v>664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43300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compra 2026-01-25</t>
        </is>
      </c>
      <c r="L147" s="4" t="n">
        <v>665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24562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MERPAGO*ZAVAGLIA · TC Mercado Pago · compra 2026-01-25</t>
        </is>
      </c>
      <c r="L148" s="4" t="n">
        <v>666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63647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MERPAGO*SELLERPRO · TC Mercado Pago · compra 2026-01-26</t>
        </is>
      </c>
      <c r="L149" s="4" t="n">
        <v>667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ROPA</t>
        </is>
      </c>
      <c r="E150" s="4" t="inlineStr">
        <is>
          <t>ROPA</t>
        </is>
      </c>
      <c r="F150" s="5" t="n">
        <v>50000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ROPA · Pallars · MERPAGO*PALLARS · TC Mercado Pago · cuota 2 de 3 · compra 2025-12-13</t>
        </is>
      </c>
      <c r="L150" s="4" t="n">
        <v>659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ROPA</t>
        </is>
      </c>
      <c r="E151" s="4" t="inlineStr">
        <is>
          <t>ROPA</t>
        </is>
      </c>
      <c r="F151" s="5" t="n">
        <v>19550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ROPA · MERPAGO*POLO · TC Mercado Pago · compra 2026-01-27</t>
        </is>
      </c>
      <c r="L151" s="4" t="n">
        <v>668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SALUD · Vitaminas</t>
        </is>
      </c>
      <c r="E152" s="4" t="inlineStr">
        <is>
          <t>SALUD · Vitaminas</t>
        </is>
      </c>
      <c r="F152" s="5" t="n">
        <v>58334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SALUD · Vitaminas · Promarine · TC Mercado Pago · C.02/06 · gasto personal Sol</t>
        </is>
      </c>
      <c r="L152" s="4" t="n">
        <v>661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TECNOLOGÍA</t>
        </is>
      </c>
      <c r="E153" s="4" t="inlineStr">
        <is>
          <t>TECNOLOGÍA</t>
        </is>
      </c>
      <c r="F153" s="5" t="n">
        <v>140650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TECNOLOGÍA · Mophie · MERPAGO*MOPHIE · TC Mercado Pago · cuota 3 de 3 · compra 2025-11-28</t>
        </is>
      </c>
      <c r="L153" s="4" t="n">
        <v>657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TECNOLOGÍA</t>
        </is>
      </c>
      <c r="E154" s="4" t="inlineStr">
        <is>
          <t>TECNOLOGÍA</t>
        </is>
      </c>
      <c r="F154" s="5" t="n">
        <v>81333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TECNOLOGÍA · Todovision · MERPAGO*TODOVISION · TC Mercado Pago · cuota 1 de 3 · compra 2026-01-24</t>
        </is>
      </c>
      <c r="L154" s="4" t="n">
        <v>663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VESTIMENTA</t>
        </is>
      </c>
      <c r="E155" s="4" t="inlineStr">
        <is>
          <t>VESTIMENTA</t>
        </is>
      </c>
      <c r="F155" s="5" t="n">
        <v>63750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VESTIMENTA · Longchamp · TC Mercado Pago · C.02/06 · gasto personal Sol</t>
        </is>
      </c>
      <c r="L155" s="4" t="n">
        <v>660</v>
      </c>
    </row>
    <row r="156">
      <c r="A156" s="15" t="n">
        <v>46066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TRANSFERENCIAS</t>
        </is>
      </c>
      <c r="E156" s="4" t="inlineStr">
        <is>
          <t>TRANSFERENCIAS</t>
        </is>
      </c>
      <c r="F156" s="5" t="n">
        <v>60000</v>
      </c>
      <c r="G156" s="16" t="n"/>
      <c r="H156" s="4" t="inlineStr">
        <is>
          <t>REAL</t>
        </is>
      </c>
      <c r="I156" s="4" t="inlineStr">
        <is>
          <t>Mercado Pago</t>
        </is>
      </c>
      <c r="J156" s="4" t="inlineStr">
        <is>
          <t>Mercado Pago</t>
        </is>
      </c>
      <c r="K156" s="4" t="inlineStr">
        <is>
          <t>transferencia · gasto personal Sol (ex-PENDIENTE) · ex `Pablo Ezequiel Alderetes`</t>
        </is>
      </c>
      <c r="L156" s="4" t="n">
        <v>62</v>
      </c>
    </row>
    <row r="157">
      <c r="A157" s="15" t="n">
        <v>46066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TRANSPORTE</t>
        </is>
      </c>
      <c r="E157" s="4" t="inlineStr">
        <is>
          <t>TRANSPORTE · Cabify</t>
        </is>
      </c>
      <c r="F157" s="5" t="n">
        <v>5479</v>
      </c>
      <c r="G157" s="16" t="n"/>
      <c r="H157" s="4" t="inlineStr">
        <is>
          <t>REAL</t>
        </is>
      </c>
      <c r="I157" s="4" t="inlineStr">
        <is>
          <t>Mercado Pago</t>
        </is>
      </c>
      <c r="J157" s="4" t="inlineStr">
        <is>
          <t>Mercado Pago</t>
        </is>
      </c>
      <c r="K157" s="4" t="inlineStr">
        <is>
          <t>Cabify · gasto personal Sol</t>
        </is>
      </c>
      <c r="L157" s="4" t="n">
        <v>384</v>
      </c>
    </row>
    <row r="158">
      <c r="A158" s="15" t="n">
        <v>46067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LIBRERÍA</t>
        </is>
      </c>
      <c r="E158" s="4" t="inlineStr">
        <is>
          <t>LIBRERÍA</t>
        </is>
      </c>
      <c r="F158" s="5" t="n">
        <v>43100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librería/papelera · gasto personal Sol</t>
        </is>
      </c>
      <c r="L158" s="4" t="n">
        <v>63</v>
      </c>
    </row>
    <row r="159">
      <c r="A159" s="15" t="n">
        <v>46067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TRANSFERENCIAS</t>
        </is>
      </c>
      <c r="E159" s="4" t="inlineStr">
        <is>
          <t>TRANSFERENCIAS</t>
        </is>
      </c>
      <c r="F159" s="5" t="n">
        <v>3500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transferencia · gasto personal Sol (ex-PENDIENTE) · ex `Veronica Alejandra Mendez`</t>
        </is>
      </c>
      <c r="L159" s="4" t="n">
        <v>64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TRANSFERENCIAS</t>
        </is>
      </c>
      <c r="E160" s="4" t="inlineStr">
        <is>
          <t>TRANSFERENCIAS</t>
        </is>
      </c>
      <c r="F160" s="5" t="n">
        <v>9500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transferencia · gasto personal Sol (ex-PENDIENTE) · ex `Veronica Alejandra Mendez`</t>
        </is>
      </c>
      <c r="L160" s="4" t="n">
        <v>65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TRANSPORTE</t>
        </is>
      </c>
      <c r="E161" s="4" t="inlineStr">
        <is>
          <t>TRANSPORTE · Didi</t>
        </is>
      </c>
      <c r="F161" s="5" t="n">
        <v>6780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Didi · gasto personal Sol</t>
        </is>
      </c>
      <c r="L161" s="4" t="n">
        <v>385</v>
      </c>
    </row>
    <row r="162">
      <c r="A162" s="15" t="n">
        <v>46069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AUTO</t>
        </is>
      </c>
      <c r="E162" s="4" t="inlineStr">
        <is>
          <t>AUTO</t>
        </is>
      </c>
      <c r="F162" s="5" t="n">
        <v>721</v>
      </c>
      <c r="G162" s="16" t="n"/>
      <c r="H162" s="4" t="inlineStr">
        <is>
          <t>REAL</t>
        </is>
      </c>
      <c r="I162" s="4" t="inlineStr">
        <is>
          <t>BBVA MASTERCARD</t>
        </is>
      </c>
      <c r="J162" s="4" t="inlineStr">
        <is>
          <t>BBVA</t>
        </is>
      </c>
      <c r="K162" s="4" t="inlineStr">
        <is>
          <t>MP vía TC · MERPAGO*ACA 719195</t>
        </is>
      </c>
      <c r="L162" s="4" t="n">
        <v>306</v>
      </c>
    </row>
    <row r="163">
      <c r="A163" s="15" t="n">
        <v>46069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MERCADO LIBRE</t>
        </is>
      </c>
      <c r="E163" s="4" t="inlineStr">
        <is>
          <t>COMPRAS</t>
        </is>
      </c>
      <c r="F163" s="5" t="n">
        <v>17360</v>
      </c>
      <c r="G163" s="16" t="n"/>
      <c r="H163" s="4" t="inlineStr">
        <is>
          <t>REAL</t>
        </is>
      </c>
      <c r="I163" s="4" t="inlineStr">
        <is>
          <t>BBVA MASTERCARD</t>
        </is>
      </c>
      <c r="J163" s="4" t="inlineStr">
        <is>
          <t>BBVA</t>
        </is>
      </c>
      <c r="K163" s="4" t="inlineStr">
        <is>
          <t>Mercado Libre · ex `MERCADOLIBRE C.05/09 536000`</t>
        </is>
      </c>
      <c r="L163" s="4" t="n">
        <v>242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COMPRAS</t>
        </is>
      </c>
      <c r="E164" s="4" t="inlineStr">
        <is>
          <t>COMPRAS</t>
        </is>
      </c>
      <c r="F164" s="5" t="n">
        <v>104260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MERPAGO*HENRYCOLOMERA C.03/03 572277</t>
        </is>
      </c>
      <c r="L164" s="4" t="n">
        <v>291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177503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504929`</t>
        </is>
      </c>
      <c r="L165" s="4" t="n">
        <v>305</v>
      </c>
    </row>
    <row r="166">
      <c r="A166" s="15" t="n">
        <v>46070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MERCADO LIBRE</t>
        </is>
      </c>
      <c r="E166" s="4" t="inlineStr">
        <is>
          <t>MERCADO LIBRE</t>
        </is>
      </c>
      <c r="F166" s="5" t="n">
        <v>35070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MERCADO LIBRE · gasto personal Sol</t>
        </is>
      </c>
      <c r="L166" s="4" t="n">
        <v>820</v>
      </c>
    </row>
    <row r="167">
      <c r="A167" s="15" t="n">
        <v>46070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TRANSFERENCIAS</t>
        </is>
      </c>
      <c r="E167" s="4" t="inlineStr">
        <is>
          <t>TRANSFERENCIAS</t>
        </is>
      </c>
      <c r="F167" s="5" t="n">
        <v>30000</v>
      </c>
      <c r="G167" s="16" t="n"/>
      <c r="H167" s="4" t="inlineStr">
        <is>
          <t>REAL</t>
        </is>
      </c>
      <c r="I167" s="4" t="inlineStr">
        <is>
          <t>Mercado Pago</t>
        </is>
      </c>
      <c r="J167" s="4" t="inlineStr">
        <is>
          <t>Mercado Pago</t>
        </is>
      </c>
      <c r="K167" s="4" t="inlineStr">
        <is>
          <t>transferencia · gasto personal Sol (ex-PENDIENTE) · ex `Alberto Roque Sachetti`</t>
        </is>
      </c>
      <c r="L167" s="4" t="n">
        <v>66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TRANSPORTE</t>
        </is>
      </c>
      <c r="E168" s="4" t="inlineStr">
        <is>
          <t>TRANSPORTE · Cabify</t>
        </is>
      </c>
      <c r="F168" s="5" t="n">
        <v>4447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BBVA</t>
        </is>
      </c>
      <c r="K168" s="4" t="inlineStr">
        <is>
          <t>Cabify · BBVA MASTERCARD (BBVA-MASTERCARD-2026-02-17-4447) · gasto personal Sol</t>
        </is>
      </c>
      <c r="L168" s="4" t="n">
        <v>501</v>
      </c>
    </row>
    <row r="169">
      <c r="A169" s="15" t="n">
        <v>46071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COMIDA · OFICINA</t>
        </is>
      </c>
      <c r="E169" s="4" t="inlineStr">
        <is>
          <t>COMIDA · Oficina</t>
        </is>
      </c>
      <c r="F169" s="5" t="n">
        <v>2703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COMIDA · Oficina · Copetin Catering · gasto personal Sol</t>
        </is>
      </c>
      <c r="L169" s="4" t="n">
        <v>799</v>
      </c>
    </row>
    <row r="170">
      <c r="A170" s="15" t="n">
        <v>46071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4445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(BBVA-MASTERCARD-2026-02-18-4445) · gasto personal Sol</t>
        </is>
      </c>
      <c r="L170" s="4" t="n">
        <v>502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TRANSPORTE</t>
        </is>
      </c>
      <c r="E171" s="4" t="inlineStr">
        <is>
          <t>TRANSPORTE · Cabify</t>
        </is>
      </c>
      <c r="F171" s="5" t="n">
        <v>5694</v>
      </c>
      <c r="G171" s="16" t="n"/>
      <c r="H171" s="4" t="inlineStr">
        <is>
          <t>REAL</t>
        </is>
      </c>
      <c r="I171" s="4" t="inlineStr">
        <is>
          <t>BBVA</t>
        </is>
      </c>
      <c r="J171" s="4" t="inlineStr">
        <is>
          <t>BBVA</t>
        </is>
      </c>
      <c r="K171" s="4" t="inlineStr">
        <is>
          <t>Cabify · BBVA MASTERCARD (BBVA-MASTERCARD-2026-02-18-5694) · gasto personal Sol</t>
        </is>
      </c>
      <c r="L171" s="4" t="n">
        <v>503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Didi</t>
        </is>
      </c>
      <c r="F172" s="5" t="n">
        <v>6090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Didi · gasto personal Sol</t>
        </is>
      </c>
      <c r="L172" s="4" t="n">
        <v>386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Uber</t>
        </is>
      </c>
      <c r="F173" s="5" t="n">
        <v>2590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Mercado Pago</t>
        </is>
      </c>
      <c r="K173" s="4" t="inlineStr">
        <is>
          <t>TRANSPORTE · Uber · Ebanx (=Uber) · gasto personal Sol</t>
        </is>
      </c>
      <c r="L173" s="4" t="n">
        <v>387</v>
      </c>
    </row>
    <row r="174">
      <c r="A174" s="15" t="n">
        <v>46072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COMPRAS</t>
        </is>
      </c>
      <c r="E174" s="4" t="inlineStr">
        <is>
          <t>COMPRAS</t>
        </is>
      </c>
      <c r="F174" s="5" t="n">
        <v>1796</v>
      </c>
      <c r="G174" s="16" t="n"/>
      <c r="H174" s="4" t="inlineStr">
        <is>
          <t>REAL</t>
        </is>
      </c>
      <c r="I174" s="4" t="inlineStr">
        <is>
          <t>BBVA MASTERCARD</t>
        </is>
      </c>
      <c r="J174" s="4" t="inlineStr">
        <is>
          <t>BBVA</t>
        </is>
      </c>
      <c r="K174" s="4" t="inlineStr">
        <is>
          <t>COMERCIAL CARP 000036</t>
        </is>
      </c>
      <c r="L174" s="4" t="n">
        <v>307</v>
      </c>
    </row>
    <row r="175">
      <c r="A175" s="15" t="n">
        <v>46072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TRANSFERENCIAS</t>
        </is>
      </c>
      <c r="E175" s="4" t="inlineStr">
        <is>
          <t>TRANSFERENCIAS</t>
        </is>
      </c>
      <c r="F175" s="5" t="n">
        <v>6500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transferencia · gasto personal Sol (ex-PENDIENTE) · ex `Marcelo Fabian Ronzano`</t>
        </is>
      </c>
      <c r="L175" s="4" t="n">
        <v>67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TRANSFERENCIAS</t>
        </is>
      </c>
      <c r="E176" s="4" t="inlineStr">
        <is>
          <t>TRANSFERENCIAS</t>
        </is>
      </c>
      <c r="F176" s="5" t="n">
        <v>30000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Mercado Pago</t>
        </is>
      </c>
      <c r="K176" s="4" t="inlineStr">
        <is>
          <t>transferencia · gasto personal Sol (ex-PENDIENTE) · ex `Quiche Sibulka Marcelo Gaston`</t>
        </is>
      </c>
      <c r="L176" s="4" t="n">
        <v>68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Cabify</t>
        </is>
      </c>
      <c r="F177" s="5" t="n">
        <v>3905</v>
      </c>
      <c r="G177" s="16" t="n"/>
      <c r="H177" s="4" t="inlineStr">
        <is>
          <t>REAL</t>
        </is>
      </c>
      <c r="I177" s="4" t="inlineStr">
        <is>
          <t>BBVA</t>
        </is>
      </c>
      <c r="J177" s="4" t="inlineStr">
        <is>
          <t>BBVA</t>
        </is>
      </c>
      <c r="K177" s="4" t="inlineStr">
        <is>
          <t>Cabify · BBVA MASTERCARD (BBVA-MASTERCARD-2026-02-19-3905) · gasto personal Sol</t>
        </is>
      </c>
      <c r="L177" s="4" t="n">
        <v>504</v>
      </c>
    </row>
    <row r="178">
      <c r="A178" s="15" t="n">
        <v>46073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FARMACIA SALUD</t>
        </is>
      </c>
      <c r="E178" s="4" t="inlineStr">
        <is>
          <t>FARMACIA SALUD</t>
        </is>
      </c>
      <c r="F178" s="5" t="n">
        <v>124100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FARMACIA SALUD · Farmacia Maure · resumen MP cuenta</t>
        </is>
      </c>
      <c r="L178" s="4" t="n">
        <v>762</v>
      </c>
    </row>
    <row r="179">
      <c r="A179" s="15" t="n">
        <v>46073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SEGUROS / RETIRO</t>
        </is>
      </c>
      <c r="E179" s="4" t="inlineStr">
        <is>
          <t>SEGUROS · Retiro</t>
        </is>
      </c>
      <c r="F179" s="5" t="n">
        <v>343237</v>
      </c>
      <c r="G179" s="16" t="n"/>
      <c r="H179" s="4" t="inlineStr">
        <is>
          <t>REAL</t>
        </is>
      </c>
      <c r="I179" s="4" t="inlineStr">
        <is>
          <t>BBVA Visa</t>
        </is>
      </c>
      <c r="J179" s="4" t="inlineStr">
        <is>
          <t>BBVA</t>
        </is>
      </c>
      <c r="K179" s="4" t="inlineStr">
        <is>
          <t>SEGUROS · Retiro · Zurich · Seguro de retiro Zurich · gasto personal Sol</t>
        </is>
      </c>
      <c r="L179" s="4" t="n">
        <v>278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18500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`Lourdes Elizabeth Tadeo Salvador`</t>
        </is>
      </c>
      <c r="L180" s="4" t="n">
        <v>69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TRANSPORTE</t>
        </is>
      </c>
      <c r="E181" s="4" t="inlineStr">
        <is>
          <t>TRANSPORTE · Cabify</t>
        </is>
      </c>
      <c r="F181" s="5" t="n">
        <v>5489</v>
      </c>
      <c r="G181" s="16" t="n"/>
      <c r="H181" s="4" t="inlineStr">
        <is>
          <t>REAL</t>
        </is>
      </c>
      <c r="I181" s="4" t="inlineStr">
        <is>
          <t>BBVA</t>
        </is>
      </c>
      <c r="J181" s="4" t="inlineStr">
        <is>
          <t>BBVA</t>
        </is>
      </c>
      <c r="K181" s="4" t="inlineStr">
        <is>
          <t>Cabify · BBVA MASTERCARD (BBVA-MASTERCARD-2026-02-20-5489) · gasto personal Sol</t>
        </is>
      </c>
      <c r="L181" s="4" t="n">
        <v>505</v>
      </c>
    </row>
    <row r="182">
      <c r="A182" s="15" t="n">
        <v>46074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PELUQUERÍA</t>
        </is>
      </c>
      <c r="E182" s="4" t="inlineStr">
        <is>
          <t>PELUQUERÍA</t>
        </is>
      </c>
      <c r="F182" s="5" t="n">
        <v>116640</v>
      </c>
      <c r="G182" s="16" t="n"/>
      <c r="H182" s="4" t="inlineStr">
        <is>
          <t>REAL</t>
        </is>
      </c>
      <c r="I182" s="4" t="inlineStr">
        <is>
          <t>BBVA MASTERCARD</t>
        </is>
      </c>
      <c r="J182" s="4" t="inlineStr">
        <is>
          <t>BBVA</t>
        </is>
      </c>
      <c r="K182" s="4" t="inlineStr">
        <is>
          <t>PELUQUERÍA · Newplamier · BBVA MASTERCARD · gasto personal Sol</t>
        </is>
      </c>
      <c r="L182" s="4" t="n">
        <v>309</v>
      </c>
    </row>
    <row r="183">
      <c r="A183" s="15" t="n">
        <v>46074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SALUD</t>
        </is>
      </c>
      <c r="E183" s="4" t="inlineStr">
        <is>
          <t>SALUD</t>
        </is>
      </c>
      <c r="F183" s="5" t="n">
        <v>40000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salud · gasto personal Sol</t>
        </is>
      </c>
      <c r="L183" s="4" t="n">
        <v>70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SALUD</t>
        </is>
      </c>
      <c r="E184" s="4" t="inlineStr">
        <is>
          <t>SALUD</t>
        </is>
      </c>
      <c r="F184" s="5" t="n">
        <v>421783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SALUD · Hospital Italiano · Salud · Hospital Italiano</t>
        </is>
      </c>
      <c r="L184" s="4" t="n">
        <v>308</v>
      </c>
    </row>
    <row r="185">
      <c r="A185" s="15" t="n">
        <v>46075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MERCADO LIBRE</t>
        </is>
      </c>
      <c r="E185" s="4" t="inlineStr">
        <is>
          <t>MERCADO LIBRE</t>
        </is>
      </c>
      <c r="F185" s="5" t="n">
        <v>54390</v>
      </c>
      <c r="G185" s="16" t="n"/>
      <c r="H185" s="4" t="inlineStr">
        <is>
          <t>REAL</t>
        </is>
      </c>
      <c r="I185" s="4" t="inlineStr">
        <is>
          <t>BBVA MASTERCARD</t>
        </is>
      </c>
      <c r="J185" s="4" t="inlineStr">
        <is>
          <t>BBVA</t>
        </is>
      </c>
      <c r="K185" s="4" t="inlineStr">
        <is>
          <t>MP vía TC · MERPAGO*PETROLEO 011164</t>
        </is>
      </c>
      <c r="L185" s="4" t="n">
        <v>310</v>
      </c>
    </row>
    <row r="186">
      <c r="A186" s="15" t="n">
        <v>46075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4960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(BBVA-MASTERCARD-2026-02-22-4960) · gasto personal Sol</t>
        </is>
      </c>
      <c r="L186" s="4" t="n">
        <v>506</v>
      </c>
    </row>
    <row r="187">
      <c r="A187" s="15" t="n">
        <v>46076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COMPRAS</t>
        </is>
      </c>
      <c r="F187" s="5" t="n">
        <v>76529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Mercado Libre · ex `MERCADOLIBRE 859953`</t>
        </is>
      </c>
      <c r="L187" s="4" t="n">
        <v>311</v>
      </c>
    </row>
    <row r="188">
      <c r="A188" s="15" t="n">
        <v>46076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SUSCRIPCIONES · APPLE</t>
        </is>
      </c>
      <c r="E188" s="4" t="inlineStr">
        <is>
          <t>SUSCRIPCIONES · Apple</t>
        </is>
      </c>
      <c r="F188" s="5" t="n">
        <v>17631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SUSCRIPCIONES · Apple · gasto personal Sol</t>
        </is>
      </c>
      <c r="L188" s="4" t="n">
        <v>71</v>
      </c>
    </row>
    <row r="189">
      <c r="A189" s="15" t="n">
        <v>46077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COMIDA · OFICINA</t>
        </is>
      </c>
      <c r="E189" s="4" t="inlineStr">
        <is>
          <t>COMIDA · Oficina</t>
        </is>
      </c>
      <c r="F189" s="5" t="n">
        <v>13500</v>
      </c>
      <c r="G189" s="16" t="n"/>
      <c r="H189" s="4" t="inlineStr">
        <is>
          <t>REAL</t>
        </is>
      </c>
      <c r="I189" s="4" t="inlineStr">
        <is>
          <t>Mercado Pago</t>
        </is>
      </c>
      <c r="J189" s="4" t="inlineStr">
        <is>
          <t>Mercado Pago</t>
        </is>
      </c>
      <c r="K189" s="4" t="inlineStr">
        <is>
          <t>COMIDA · Oficina · Copetin Catering · gasto personal Sol</t>
        </is>
      </c>
      <c r="L189" s="4" t="n">
        <v>800</v>
      </c>
    </row>
    <row r="190">
      <c r="A190" s="15" t="n">
        <v>46077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COMPRAS</t>
        </is>
      </c>
      <c r="F190" s="5" t="n">
        <v>16950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Mercado Libre · ex `MERCADOLIBRE C.04/09 538284`</t>
        </is>
      </c>
      <c r="L190" s="4" t="n">
        <v>243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MERCADO LIBRE</t>
        </is>
      </c>
      <c r="E191" s="4" t="inlineStr">
        <is>
          <t>COMPRAS</t>
        </is>
      </c>
      <c r="F191" s="5" t="n">
        <v>96094</v>
      </c>
      <c r="G191" s="16" t="n"/>
      <c r="H191" s="4" t="inlineStr">
        <is>
          <t>REAL</t>
        </is>
      </c>
      <c r="I191" s="4" t="inlineStr">
        <is>
          <t>BBVA MASTERCARD</t>
        </is>
      </c>
      <c r="J191" s="4" t="inlineStr">
        <is>
          <t>BBVA</t>
        </is>
      </c>
      <c r="K191" s="4" t="inlineStr">
        <is>
          <t>Mercado Libre · ex `MERCADOLIBRE 196966`</t>
        </is>
      </c>
      <c r="L191" s="4" t="n">
        <v>312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HOGAR</t>
        </is>
      </c>
      <c r="E192" s="4" t="inlineStr">
        <is>
          <t>HOGAR</t>
        </is>
      </c>
      <c r="F192" s="5" t="n">
        <v>36800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PANALERA PANOLINO-PANA 035244</t>
        </is>
      </c>
      <c r="L192" s="4" t="n">
        <v>313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TELECOMUNICACIONES</t>
        </is>
      </c>
      <c r="E193" s="4" t="inlineStr">
        <is>
          <t>Servicio - Telefonía</t>
        </is>
      </c>
      <c r="F193" s="5" t="n">
        <v>4000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Tuenti · gasto personal Sol · hoja Gasto Personal Sol</t>
        </is>
      </c>
      <c r="L193" s="4" t="n">
        <v>73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TRANSPORTE</t>
        </is>
      </c>
      <c r="E194" s="4" t="inlineStr">
        <is>
          <t>TRANSPORTE · Cabify</t>
        </is>
      </c>
      <c r="F194" s="5" t="n">
        <v>3899</v>
      </c>
      <c r="G194" s="16" t="n"/>
      <c r="H194" s="4" t="inlineStr">
        <is>
          <t>REAL</t>
        </is>
      </c>
      <c r="I194" s="4" t="inlineStr">
        <is>
          <t>BBVA</t>
        </is>
      </c>
      <c r="J194" s="4" t="inlineStr">
        <is>
          <t>BBVA</t>
        </is>
      </c>
      <c r="K194" s="4" t="inlineStr">
        <is>
          <t>Cabify · BBVA MASTERCARD (BBVA-MASTERCARD-2026-02-24-3899) · gasto personal Sol</t>
        </is>
      </c>
      <c r="L194" s="4" t="n">
        <v>507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TRANSPORTE</t>
        </is>
      </c>
      <c r="E195" s="4" t="inlineStr">
        <is>
          <t>TRANSPORTE · Didi</t>
        </is>
      </c>
      <c r="F195" s="5" t="n">
        <v>4564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Didi · gasto personal Sol</t>
        </is>
      </c>
      <c r="L195" s="4" t="n">
        <v>388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Uber</t>
        </is>
      </c>
      <c r="F196" s="5" t="n">
        <v>3092</v>
      </c>
      <c r="G196" s="16" t="n"/>
      <c r="H196" s="4" t="inlineStr">
        <is>
          <t>REAL</t>
        </is>
      </c>
      <c r="I196" s="4" t="inlineStr">
        <is>
          <t>Mercado Pago</t>
        </is>
      </c>
      <c r="J196" s="4" t="inlineStr">
        <is>
          <t>Mercado Pago</t>
        </is>
      </c>
      <c r="K196" s="4" t="inlineStr">
        <is>
          <t>TRANSPORTE · Uber · Ebanx (=Uber) · gasto personal Sol</t>
        </is>
      </c>
      <c r="L196" s="4" t="n">
        <v>389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Uber</t>
        </is>
      </c>
      <c r="F197" s="5" t="n">
        <v>4690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TRANSPORTE · Uber · Ebanx (=Uber) · gasto personal Sol</t>
        </is>
      </c>
      <c r="L197" s="4" t="n">
        <v>390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6167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810</v>
      </c>
    </row>
    <row r="199">
      <c r="A199" s="15" t="n">
        <v>46078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PELUQUERÍA</t>
        </is>
      </c>
      <c r="E199" s="4" t="inlineStr">
        <is>
          <t>PELUQUERÍA</t>
        </is>
      </c>
      <c r="F199" s="5" t="n">
        <v>107650</v>
      </c>
      <c r="G199" s="16" t="n"/>
      <c r="H199" s="4" t="inlineStr">
        <is>
          <t>REAL</t>
        </is>
      </c>
      <c r="I199" s="4" t="inlineStr">
        <is>
          <t>BBVA MASTERCARD</t>
        </is>
      </c>
      <c r="J199" s="4" t="inlineStr">
        <is>
          <t>BBVA</t>
        </is>
      </c>
      <c r="K199" s="4" t="inlineStr">
        <is>
          <t>PELUQUERÍA · Newplamier · BBVA MASTERCARD · gasto personal Sol</t>
        </is>
      </c>
      <c r="L199" s="4" t="n">
        <v>314</v>
      </c>
    </row>
    <row r="200">
      <c r="A200" s="15" t="n">
        <v>46078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PELUQUERÍA</t>
        </is>
      </c>
      <c r="E200" s="4" t="inlineStr">
        <is>
          <t>PELUQUERÍA</t>
        </is>
      </c>
      <c r="F200" s="5" t="n">
        <v>116640</v>
      </c>
      <c r="G200" s="16" t="n"/>
      <c r="H200" s="4" t="inlineStr">
        <is>
          <t>REAL</t>
        </is>
      </c>
      <c r="I200" s="4" t="inlineStr">
        <is>
          <t>BBVA MASTERCARD</t>
        </is>
      </c>
      <c r="J200" s="4" t="inlineStr">
        <is>
          <t>BBVA</t>
        </is>
      </c>
      <c r="K200" s="4" t="inlineStr">
        <is>
          <t>PELUQUERÍA · Newplamier · MERPAGO*NEWPLAMIER 738243 · BBVA · gasto personal Sol</t>
        </is>
      </c>
      <c r="L200" s="4" t="n">
        <v>315</v>
      </c>
    </row>
    <row r="201">
      <c r="A201" s="15" t="n">
        <v>46079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EVENTOS DEPORTIVOS - RIVER</t>
        </is>
      </c>
      <c r="E201" s="4" t="inlineStr">
        <is>
          <t>Eventos deportivos - River</t>
        </is>
      </c>
      <c r="F201" s="5" t="n">
        <v>29700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Eventos deportivos - River · Tu Lugar en el Monumental / cuota social CARP · BBVA MASTERCARD</t>
        </is>
      </c>
      <c r="L201" s="4" t="n">
        <v>294</v>
      </c>
    </row>
    <row r="202">
      <c r="A202" s="15" t="n">
        <v>46079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PERCEPCIONES USD</t>
        </is>
      </c>
      <c r="E202" s="4" t="inlineStr">
        <is>
          <t>PERCEPCIÓN USD · DB RG 5617 30%</t>
        </is>
      </c>
      <c r="F202" s="5" t="n">
        <v>16784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PERCEPCIÓN USD · DB RG 5617 30% · base $55,946.01 · cierre 26-Feb-26 · percepciones por consumos en USD · gasto personal Sol</t>
        </is>
      </c>
      <c r="L202" s="4" t="n">
        <v>621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PERCEPCIONES USD</t>
        </is>
      </c>
      <c r="E203" s="4" t="inlineStr">
        <is>
          <t>PERCEPCIÓN USD · IIBB CABA 2%</t>
        </is>
      </c>
      <c r="F203" s="5" t="n">
        <v>560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PERCEPCIÓN USD · IIBB CABA 2% · base $27,966.01 · cierre 26-Feb-26 · percepciones por consumos en USD · gasto personal Sol</t>
        </is>
      </c>
      <c r="L203" s="4" t="n">
        <v>619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IVA RG 4240 21%</t>
        </is>
      </c>
      <c r="F204" s="5" t="n">
        <v>5873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IVA RG 4240 21% · base $27,966.01 · cierre 26-Feb-26 · percepciones por consumos en USD · gasto personal Sol</t>
        </is>
      </c>
      <c r="L204" s="4" t="n">
        <v>620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ROPA</t>
        </is>
      </c>
      <c r="E205" s="4" t="inlineStr">
        <is>
          <t>ROPA</t>
        </is>
      </c>
      <c r="F205" s="5" t="n">
        <v>11050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MP vía TC · MERPAGO*POLO 475668</t>
        </is>
      </c>
      <c r="L205" s="4" t="n">
        <v>293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TRANSPORTE</t>
        </is>
      </c>
      <c r="E206" s="4" t="inlineStr">
        <is>
          <t>TRANSPORTE · Didi</t>
        </is>
      </c>
      <c r="F206" s="5" t="n">
        <v>4870</v>
      </c>
      <c r="G206" s="16" t="n"/>
      <c r="H206" s="4" t="inlineStr">
        <is>
          <t>REAL</t>
        </is>
      </c>
      <c r="I206" s="4" t="inlineStr">
        <is>
          <t>Mercado Pago</t>
        </is>
      </c>
      <c r="J206" s="4" t="inlineStr">
        <is>
          <t>Mercado Pago</t>
        </is>
      </c>
      <c r="K206" s="4" t="inlineStr">
        <is>
          <t>Didi · gasto personal Sol</t>
        </is>
      </c>
      <c r="L206" s="4" t="n">
        <v>391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TRANSPORTE</t>
        </is>
      </c>
      <c r="E207" s="4" t="inlineStr">
        <is>
          <t>TRANSPORTE · Didi</t>
        </is>
      </c>
      <c r="F207" s="5" t="n">
        <v>5080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Mercado Pago</t>
        </is>
      </c>
      <c r="K207" s="4" t="inlineStr">
        <is>
          <t>Didi · gasto personal Sol</t>
        </is>
      </c>
      <c r="L207" s="4" t="n">
        <v>392</v>
      </c>
    </row>
    <row r="208">
      <c r="A208" s="15" t="n">
        <v>46080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TELECOMUNICACIONES</t>
        </is>
      </c>
      <c r="E208" s="4" t="inlineStr">
        <is>
          <t>Servicio - Telefonía</t>
        </is>
      </c>
      <c r="F208" s="5" t="n">
        <v>4000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Tuenti · gasto personal Sol · hoja Gasto Personal Sol</t>
        </is>
      </c>
      <c r="L208" s="4" t="n">
        <v>75</v>
      </c>
    </row>
    <row r="209">
      <c r="A209" s="15" t="n">
        <v>46080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TRANSFERENCIAS</t>
        </is>
      </c>
      <c r="E209" s="4" t="inlineStr">
        <is>
          <t>TRANSFERENCIAS</t>
        </is>
      </c>
      <c r="F209" s="5" t="n">
        <v>310000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transferencia · gasto personal Sol (ex-PENDIENTE) · ex `Cesar David Ledesma`</t>
        </is>
      </c>
      <c r="L209" s="4" t="n">
        <v>74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TRANSPORTE</t>
        </is>
      </c>
      <c r="E210" s="4" t="inlineStr">
        <is>
          <t>TRANSPORTE · Cabify</t>
        </is>
      </c>
      <c r="F210" s="5" t="n">
        <v>6003</v>
      </c>
      <c r="G210" s="16" t="n"/>
      <c r="H210" s="4" t="inlineStr">
        <is>
          <t>REAL</t>
        </is>
      </c>
      <c r="I210" s="4" t="inlineStr">
        <is>
          <t>BBVA</t>
        </is>
      </c>
      <c r="J210" s="4" t="inlineStr">
        <is>
          <t>BBVA</t>
        </is>
      </c>
      <c r="K210" s="4" t="inlineStr">
        <is>
          <t>Cabify · BBVA MASTERCARD (BBVA-MASTERCARD-2026-02-27-6003) · gasto personal Sol</t>
        </is>
      </c>
      <c r="L210" s="4" t="n">
        <v>491</v>
      </c>
    </row>
    <row r="211">
      <c r="A211" s="15" t="n">
        <v>46081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Cabify</t>
        </is>
      </c>
      <c r="F211" s="5" t="n">
        <v>4955</v>
      </c>
      <c r="G211" s="16" t="n"/>
      <c r="H211" s="4" t="inlineStr">
        <is>
          <t>REAL</t>
        </is>
      </c>
      <c r="I211" s="4" t="inlineStr">
        <is>
          <t>BBVA</t>
        </is>
      </c>
      <c r="J211" s="4" t="inlineStr">
        <is>
          <t>BBVA</t>
        </is>
      </c>
      <c r="K211" s="4" t="inlineStr">
        <is>
          <t>Cabify · BBVA MASTERCARD (BBVA-MASTERCARD-2026-02-28-4955) · gasto personal Sol</t>
        </is>
      </c>
      <c r="L211" s="4" t="n">
        <v>492</v>
      </c>
    </row>
    <row r="212">
      <c r="A212" s="15" t="n">
        <v>46082</v>
      </c>
      <c r="B212" s="4" t="inlineStr">
        <is>
          <t>2026-03</t>
        </is>
      </c>
      <c r="C212" s="4" t="inlineStr">
        <is>
          <t>Marzo</t>
        </is>
      </c>
      <c r="D212" s="4" t="inlineStr">
        <is>
          <t>COMPRAS</t>
        </is>
      </c>
      <c r="E212" s="4" t="inlineStr">
        <is>
          <t>COMPRAS</t>
        </is>
      </c>
      <c r="F212" s="5" t="n">
        <v>25000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tienda física · gasto personal Sol (ex-PENDIENTE) · ex `Ricardo Rodriguez`</t>
        </is>
      </c>
      <c r="L212" s="4" t="n">
        <v>78</v>
      </c>
    </row>
    <row r="213">
      <c r="A213" s="15" t="n">
        <v>46082</v>
      </c>
      <c r="B213" s="4" t="inlineStr">
        <is>
          <t>2026-03</t>
        </is>
      </c>
      <c r="C213" s="4" t="inlineStr">
        <is>
          <t>Marzo</t>
        </is>
      </c>
      <c r="D213" s="4" t="inlineStr">
        <is>
          <t>FARMACIA SALUD</t>
        </is>
      </c>
      <c r="E213" s="4" t="inlineStr">
        <is>
          <t>FARMACIA SALUD</t>
        </is>
      </c>
      <c r="F213" s="5" t="n">
        <v>25259</v>
      </c>
      <c r="G213" s="16" t="n"/>
      <c r="H213" s="4" t="inlineStr">
        <is>
          <t>REAL</t>
        </is>
      </c>
      <c r="I213" s="4" t="inlineStr">
        <is>
          <t>BBVA VISA</t>
        </is>
      </c>
      <c r="J213" s="4" t="inlineStr">
        <is>
          <t>BBVA</t>
        </is>
      </c>
      <c r="K213" s="4" t="inlineStr">
        <is>
          <t>MP vía TC · MERPAGO*SELMAMARTINEZ C.06/06 411560 · FARMACIA SALUD · Farmacia Selma</t>
        </is>
      </c>
      <c r="L213" s="4" t="n">
        <v>269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120000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`Christian Pablo Ventura`</t>
        </is>
      </c>
      <c r="L214" s="4" t="n">
        <v>76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TRANSFERENCIAS</t>
        </is>
      </c>
      <c r="E215" s="4" t="inlineStr">
        <is>
          <t>TRANSFERENCIAS</t>
        </is>
      </c>
      <c r="F215" s="5" t="n">
        <v>2000</v>
      </c>
      <c r="G215" s="16" t="n"/>
      <c r="H215" s="4" t="inlineStr">
        <is>
          <t>REAL</t>
        </is>
      </c>
      <c r="I215" s="4" t="inlineStr">
        <is>
          <t>Mercado Pago</t>
        </is>
      </c>
      <c r="J215" s="4" t="inlineStr">
        <is>
          <t>Mercado Pago</t>
        </is>
      </c>
      <c r="K215" s="4" t="inlineStr">
        <is>
          <t>transferencia · gasto personal Sol (ex-PENDIENTE) · ex `Evelyn Rosana Tolaba`</t>
        </is>
      </c>
      <c r="L215" s="4" t="n">
        <v>77</v>
      </c>
    </row>
    <row r="216">
      <c r="A216" s="15" t="n">
        <v>46083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SUSCRIPCIONES · APPLE</t>
        </is>
      </c>
      <c r="E216" s="4" t="inlineStr">
        <is>
          <t>SUSCRIPCIONES · Apple</t>
        </is>
      </c>
      <c r="F216" s="5" t="n">
        <v>5453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SUSCRIPCIONES · Apple · gasto personal Sol</t>
        </is>
      </c>
      <c r="L216" s="4" t="n">
        <v>79</v>
      </c>
    </row>
    <row r="217">
      <c r="A217" s="15" t="n">
        <v>46083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400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`Lourdes Elizabeth Tadeo Salvador`</t>
        </is>
      </c>
      <c r="L217" s="4" t="n">
        <v>80</v>
      </c>
    </row>
    <row r="218">
      <c r="A218" s="15" t="n">
        <v>46084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TRANSPORTE</t>
        </is>
      </c>
      <c r="E218" s="4" t="inlineStr">
        <is>
          <t>TRANSPORTE · Cabify</t>
        </is>
      </c>
      <c r="F218" s="5" t="n">
        <v>6170</v>
      </c>
      <c r="G218" s="16" t="n"/>
      <c r="H218" s="4" t="inlineStr">
        <is>
          <t>REAL</t>
        </is>
      </c>
      <c r="I218" s="4" t="inlineStr">
        <is>
          <t>BBVA</t>
        </is>
      </c>
      <c r="J218" s="4" t="inlineStr">
        <is>
          <t>BBVA</t>
        </is>
      </c>
      <c r="K218" s="4" t="inlineStr">
        <is>
          <t>Cabify · BBVA MASTERCARD (BBVA-MASTERCARD-2026-03-03-6170) · gasto personal Sol</t>
        </is>
      </c>
      <c r="L218" s="4" t="n">
        <v>493</v>
      </c>
    </row>
    <row r="219">
      <c r="A219" s="15" t="n">
        <v>46084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TRANSPORTE</t>
        </is>
      </c>
      <c r="E219" s="4" t="inlineStr">
        <is>
          <t>TRANSPORTE · Cabify</t>
        </is>
      </c>
      <c r="F219" s="5" t="n">
        <v>7046</v>
      </c>
      <c r="G219" s="16" t="n"/>
      <c r="H219" s="4" t="inlineStr">
        <is>
          <t>REAL</t>
        </is>
      </c>
      <c r="I219" s="4" t="inlineStr">
        <is>
          <t>BBVA</t>
        </is>
      </c>
      <c r="J219" s="4" t="inlineStr">
        <is>
          <t>BBVA</t>
        </is>
      </c>
      <c r="K219" s="4" t="inlineStr">
        <is>
          <t>Cabify · BBVA MASTERCARD (BBVA-MASTERCARD-2026-03-03-7046) · gasto personal Sol</t>
        </is>
      </c>
      <c r="L219" s="4" t="n">
        <v>494</v>
      </c>
    </row>
    <row r="220">
      <c r="A220" s="15" t="n">
        <v>46085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AVA FIDEICOMISO</t>
        </is>
      </c>
      <c r="E220" s="4" t="inlineStr">
        <is>
          <t>AVA FIDEICOMISO</t>
        </is>
      </c>
      <c r="F220" s="5" t="n">
        <v>2742034</v>
      </c>
      <c r="G220" s="16" t="n"/>
      <c r="H220" s="4" t="inlineStr">
        <is>
          <t>REAL</t>
        </is>
      </c>
      <c r="I220" s="4" t="inlineStr">
        <is>
          <t>Mercado Pago / TC MEP</t>
        </is>
      </c>
      <c r="J220" s="4" t="inlineStr">
        <is>
          <t>Mercado Pago</t>
        </is>
      </c>
      <c r="K220" s="4" t="inlineStr">
        <is>
          <t>50% Sol de $5,484,067 · AVA Palpa (Chris el otro 50%) · ex `AVA Fideicomiso · cuota 5 · marzo 2026`</t>
        </is>
      </c>
      <c r="L220" s="4" t="n">
        <v>330</v>
      </c>
    </row>
    <row r="221">
      <c r="A221" s="15" t="n">
        <v>46085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FUNERAL</t>
        </is>
      </c>
      <c r="E221" s="4" t="inlineStr">
        <is>
          <t>FUNERAL</t>
        </is>
      </c>
      <c r="F221" s="5" t="n">
        <v>4000000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FUNERAL · Jardin Del Pilar · Mercado Pago · gasto personal Sol</t>
        </is>
      </c>
      <c r="L221" s="4" t="n">
        <v>81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TRANSPORTE</t>
        </is>
      </c>
      <c r="E222" s="4" t="inlineStr">
        <is>
          <t>TRANSPORTE · Cabify</t>
        </is>
      </c>
      <c r="F222" s="5" t="n">
        <v>4440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BBVA</t>
        </is>
      </c>
      <c r="K222" s="4" t="inlineStr">
        <is>
          <t>Cabify · BBVA MASTERCARD (BBVA-MASTERCARD-2026-03-04-4440) · gasto personal Sol</t>
        </is>
      </c>
      <c r="L222" s="4" t="n">
        <v>495</v>
      </c>
    </row>
    <row r="223">
      <c r="A223" s="15" t="n">
        <v>46087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TELECOMUNICACIONES</t>
        </is>
      </c>
      <c r="E223" s="4" t="inlineStr">
        <is>
          <t>Servicio - Telefonía</t>
        </is>
      </c>
      <c r="F223" s="5" t="n">
        <v>4000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Tuenti · gasto personal Sol · hoja Gasto Personal Sol</t>
        </is>
      </c>
      <c r="L223" s="4" t="n">
        <v>83</v>
      </c>
    </row>
    <row r="224">
      <c r="A224" s="15" t="n">
        <v>46089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COMPRAS</t>
        </is>
      </c>
      <c r="E224" s="4" t="inlineStr">
        <is>
          <t>COMPRAS</t>
        </is>
      </c>
      <c r="F224" s="5" t="n">
        <v>3490</v>
      </c>
      <c r="G224" s="16" t="n"/>
      <c r="H224" s="4" t="inlineStr">
        <is>
          <t>REAL</t>
        </is>
      </c>
      <c r="I224" s="4" t="inlineStr">
        <is>
          <t>BBVA VISA</t>
        </is>
      </c>
      <c r="J224" s="4" t="inlineStr">
        <is>
          <t>BBVA</t>
        </is>
      </c>
      <c r="K224" s="4" t="inlineStr">
        <is>
          <t>MP vía TC · MERPAGO*MELI 534382</t>
        </is>
      </c>
      <c r="L224" s="4" t="n">
        <v>271</v>
      </c>
    </row>
    <row r="225">
      <c r="A225" s="15" t="n">
        <v>46090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8821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(BBVA-MASTERCARD-2026-03-09-8821) · gasto personal Sol</t>
        </is>
      </c>
      <c r="L225" s="4" t="n">
        <v>496</v>
      </c>
    </row>
    <row r="226">
      <c r="A226" s="15" t="n">
        <v>46090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TRANSPORTE</t>
        </is>
      </c>
      <c r="E226" s="4" t="inlineStr">
        <is>
          <t>TRANSPORTE · Didi</t>
        </is>
      </c>
      <c r="F226" s="5" t="n">
        <v>5980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Mercado Pago</t>
        </is>
      </c>
      <c r="K226" s="4" t="inlineStr">
        <is>
          <t>Didi · gasto personal Sol</t>
        </is>
      </c>
      <c r="L226" s="4" t="n">
        <v>393</v>
      </c>
    </row>
    <row r="227">
      <c r="A227" s="15" t="n">
        <v>46091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TELECOMUNICACIONES</t>
        </is>
      </c>
      <c r="E227" s="4" t="inlineStr">
        <is>
          <t>Servicio - Telefonía</t>
        </is>
      </c>
      <c r="F227" s="5" t="n">
        <v>16000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Tuenti · gasto personal Sol · hoja Gasto Personal Sol</t>
        </is>
      </c>
      <c r="L227" s="4" t="n">
        <v>84</v>
      </c>
    </row>
    <row r="228">
      <c r="A228" s="15" t="n">
        <v>46092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MERCADO LIBRE</t>
        </is>
      </c>
      <c r="E228" s="4" t="inlineStr">
        <is>
          <t>MERCADO LIBRE</t>
        </is>
      </c>
      <c r="F228" s="5" t="n">
        <v>10946</v>
      </c>
      <c r="G228" s="16" t="n"/>
      <c r="H228" s="4" t="inlineStr">
        <is>
          <t>REAL</t>
        </is>
      </c>
      <c r="I228" s="4" t="inlineStr">
        <is>
          <t>BBVA MASTERCARD</t>
        </is>
      </c>
      <c r="J228" s="4" t="inlineStr">
        <is>
          <t>BBVA</t>
        </is>
      </c>
      <c r="K228" s="4" t="inlineStr">
        <is>
          <t>MP vía TC · MERPAGO*NOELIASOLEDAD 911046</t>
        </is>
      </c>
      <c r="L228" s="4" t="n">
        <v>296</v>
      </c>
    </row>
    <row r="229">
      <c r="A229" s="15" t="n">
        <v>46092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TRANSPORTE</t>
        </is>
      </c>
      <c r="E229" s="4" t="inlineStr">
        <is>
          <t>TRANSPORTE · Didi</t>
        </is>
      </c>
      <c r="F229" s="5" t="n">
        <v>3941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Didi · gasto personal Sol</t>
        </is>
      </c>
      <c r="L229" s="4" t="n">
        <v>394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TRANSPORTE</t>
        </is>
      </c>
      <c r="E230" s="4" t="inlineStr">
        <is>
          <t>TRANSPORTE · Didi</t>
        </is>
      </c>
      <c r="F230" s="5" t="n">
        <v>3312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Mercado Pago</t>
        </is>
      </c>
      <c r="K230" s="4" t="inlineStr">
        <is>
          <t>Didi · gasto personal Sol</t>
        </is>
      </c>
      <c r="L230" s="4" t="n">
        <v>395</v>
      </c>
    </row>
    <row r="231">
      <c r="A231" s="15" t="n">
        <v>46093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MERCADO LIBRE</t>
        </is>
      </c>
      <c r="E231" s="4" t="inlineStr">
        <is>
          <t>MERCADO LIBRE</t>
        </is>
      </c>
      <c r="F231" s="5" t="n">
        <v>47965</v>
      </c>
      <c r="G231" s="16" t="n"/>
      <c r="H231" s="4" t="inlineStr">
        <is>
          <t>REAL</t>
        </is>
      </c>
      <c r="I231" s="4" t="inlineStr">
        <is>
          <t>TC Mercado Pago</t>
        </is>
      </c>
      <c r="J231" s="4" t="inlineStr">
        <is>
          <t>TC Mercado Pago</t>
        </is>
      </c>
      <c r="K231" s="4" t="inlineStr">
        <is>
          <t>Mercado Libre · TC Mercado Pago · cuota 2 de 2 · compra 2026-01-15 · ex `Mercado Libre · C.02/02`</t>
        </is>
      </c>
      <c r="L231" s="4" t="n">
        <v>672</v>
      </c>
    </row>
    <row r="232">
      <c r="A232" s="15" t="n">
        <v>46093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ROPA</t>
        </is>
      </c>
      <c r="E232" s="4" t="inlineStr">
        <is>
          <t>ROPA</t>
        </is>
      </c>
      <c r="F232" s="5" t="n">
        <v>50000</v>
      </c>
      <c r="G232" s="16" t="n"/>
      <c r="H232" s="4" t="inlineStr">
        <is>
          <t>REAL</t>
        </is>
      </c>
      <c r="I232" s="4" t="inlineStr">
        <is>
          <t>TC Mercado Pago</t>
        </is>
      </c>
      <c r="J232" s="4" t="inlineStr">
        <is>
          <t>TC Mercado Pago</t>
        </is>
      </c>
      <c r="K232" s="4" t="inlineStr">
        <is>
          <t>ROPA · Pallars · MERPAGO*PALLARS · TC Mercado Pago · cuota 3 de 3 · compra 2025-12-13</t>
        </is>
      </c>
      <c r="L232" s="4" t="n">
        <v>669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SALUD · Vitaminas</t>
        </is>
      </c>
      <c r="E233" s="4" t="inlineStr">
        <is>
          <t>SALUD · Vitaminas</t>
        </is>
      </c>
      <c r="F233" s="5" t="n">
        <v>58334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SALUD · Vitaminas · Promarine · TC Mercado Pago · C.03/06 · gasto personal Sol</t>
        </is>
      </c>
      <c r="L233" s="4" t="n">
        <v>671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TECNOLOGÍA</t>
        </is>
      </c>
      <c r="E234" s="4" t="inlineStr">
        <is>
          <t>TECNOLOGÍA</t>
        </is>
      </c>
      <c r="F234" s="5" t="n">
        <v>81333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TECNOLOGÍA · Todovision · MERPAGO*TODOVISION · TC Mercado Pago · cuota 2 de 3 · compra 2026-01-24</t>
        </is>
      </c>
      <c r="L234" s="4" t="n">
        <v>673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VESTIMENTA</t>
        </is>
      </c>
      <c r="E235" s="4" t="inlineStr">
        <is>
          <t>VESTIMENTA</t>
        </is>
      </c>
      <c r="F235" s="5" t="n">
        <v>63750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VESTIMENTA · Longchamp · TC Mercado Pago · C.03/06 · gasto personal Sol</t>
        </is>
      </c>
      <c r="L235" s="4" t="n">
        <v>670</v>
      </c>
    </row>
    <row r="236">
      <c r="A236" s="15" t="n">
        <v>46094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COMPRAS</t>
        </is>
      </c>
      <c r="E236" s="4" t="inlineStr">
        <is>
          <t>COMPRAS</t>
        </is>
      </c>
      <c r="F236" s="5" t="n">
        <v>14000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COMPRAS · Ronda · tienda física ¿qué es? · gasto personal Sol (ex-PENDIENTE)</t>
        </is>
      </c>
      <c r="L236" s="4" t="n">
        <v>87</v>
      </c>
    </row>
    <row r="237">
      <c r="A237" s="15" t="n">
        <v>46094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MERCADO LIBRE</t>
        </is>
      </c>
      <c r="E237" s="4" t="inlineStr">
        <is>
          <t>COMPRAS</t>
        </is>
      </c>
      <c r="F237" s="5" t="n">
        <v>275000</v>
      </c>
      <c r="G237" s="16" t="n"/>
      <c r="H237" s="4" t="inlineStr">
        <is>
          <t>REAL</t>
        </is>
      </c>
      <c r="I237" s="4" t="inlineStr">
        <is>
          <t>BBVA MASTERCARD</t>
        </is>
      </c>
      <c r="J237" s="4" t="inlineStr">
        <is>
          <t>BBVA</t>
        </is>
      </c>
      <c r="K237" s="4" t="inlineStr">
        <is>
          <t>Mercado Libre · ex `MERCADOLIBRE C.04/12 289170`</t>
        </is>
      </c>
      <c r="L237" s="4" t="n">
        <v>244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TRANSFERENCIAS</t>
        </is>
      </c>
      <c r="E238" s="4" t="inlineStr">
        <is>
          <t>TRANSFERENCIAS</t>
        </is>
      </c>
      <c r="F238" s="5" t="n">
        <v>40000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transferencia · gasto personal Sol (ex-PENDIENTE) · ex `Fernando Paredes Aguilar`</t>
        </is>
      </c>
      <c r="L238" s="4" t="n">
        <v>85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TRANSFERENCIAS</t>
        </is>
      </c>
      <c r="E239" s="4" t="inlineStr">
        <is>
          <t>TRANSFERENCIAS</t>
        </is>
      </c>
      <c r="F239" s="5" t="n">
        <v>27500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Mercado Pago</t>
        </is>
      </c>
      <c r="K239" s="4" t="inlineStr">
        <is>
          <t>transferencia · gasto personal Sol (ex-PENDIENTE) · ex `Maria Soledad Martinez`</t>
        </is>
      </c>
      <c r="L239" s="4" t="n">
        <v>86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TRANSPORTE</t>
        </is>
      </c>
      <c r="E240" s="4" t="inlineStr">
        <is>
          <t>TRANSPORTE · Didi</t>
        </is>
      </c>
      <c r="F240" s="5" t="n">
        <v>8410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Didi · gasto personal Sol</t>
        </is>
      </c>
      <c r="L240" s="4" t="n">
        <v>396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TRANSPORTE</t>
        </is>
      </c>
      <c r="E241" s="4" t="inlineStr">
        <is>
          <t>TRANSPORTE · Uber</t>
        </is>
      </c>
      <c r="F241" s="5" t="n">
        <v>5757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TRANSPORTE · Uber · Ebanx (=Uber) · gasto personal Sol</t>
        </is>
      </c>
      <c r="L241" s="4" t="n">
        <v>397</v>
      </c>
    </row>
    <row r="242">
      <c r="A242" s="15" t="n">
        <v>46095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ENTRETENIMIENTO · COMIDAS</t>
        </is>
      </c>
      <c r="E242" s="4" t="inlineStr">
        <is>
          <t>ENTRETENIMIENTO · Comidas</t>
        </is>
      </c>
      <c r="F242" s="5" t="n">
        <v>51920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ENTRETENIMIENTO · Comidas · Oporto Almacen · gasto personal Sol</t>
        </is>
      </c>
      <c r="L242" s="4" t="n">
        <v>780</v>
      </c>
    </row>
    <row r="243">
      <c r="A243" s="15" t="n">
        <v>46095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Didi</t>
        </is>
      </c>
      <c r="F243" s="5" t="n">
        <v>4590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Didi · gasto personal Sol</t>
        </is>
      </c>
      <c r="L243" s="4" t="n">
        <v>398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TRANSPORTE</t>
        </is>
      </c>
      <c r="E244" s="4" t="inlineStr">
        <is>
          <t>TRANSPORTE · Didi</t>
        </is>
      </c>
      <c r="F244" s="5" t="n">
        <v>4450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Didi · gasto personal Sol</t>
        </is>
      </c>
      <c r="L244" s="4" t="n">
        <v>399</v>
      </c>
    </row>
    <row r="245">
      <c r="A245" s="15" t="n">
        <v>46096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COMPRAS</t>
        </is>
      </c>
      <c r="E245" s="4" t="inlineStr">
        <is>
          <t>COMPRAS</t>
        </is>
      </c>
      <c r="F245" s="5" t="n">
        <v>23000</v>
      </c>
      <c r="G245" s="16" t="n"/>
      <c r="H245" s="4" t="inlineStr">
        <is>
          <t>REAL</t>
        </is>
      </c>
      <c r="I245" s="4" t="inlineStr">
        <is>
          <t>BBVA VISA</t>
        </is>
      </c>
      <c r="J245" s="4" t="inlineStr">
        <is>
          <t>BBVA</t>
        </is>
      </c>
      <c r="K245" s="4" t="inlineStr">
        <is>
          <t>CPCECABA DEP-DAU 000000000129060 000001</t>
        </is>
      </c>
      <c r="L245" s="4" t="n">
        <v>272</v>
      </c>
    </row>
    <row r="246">
      <c r="A246" s="15" t="n">
        <v>46096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SALUD</t>
        </is>
      </c>
      <c r="E246" s="4" t="inlineStr">
        <is>
          <t>SALUD</t>
        </is>
      </c>
      <c r="F246" s="5" t="n">
        <v>26489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fitness · gasto personal Sol</t>
        </is>
      </c>
      <c r="L246" s="4" t="n">
        <v>89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TRANSFERENCIAS</t>
        </is>
      </c>
      <c r="E247" s="4" t="inlineStr">
        <is>
          <t>TRANSFERENCIAS</t>
        </is>
      </c>
      <c r="F247" s="5" t="n">
        <v>100000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transferencia · gasto personal Sol (ex-PENDIENTE) · ex `Jorge Celso Doben`</t>
        </is>
      </c>
      <c r="L247" s="4" t="n">
        <v>88</v>
      </c>
    </row>
    <row r="248">
      <c r="A248" s="15" t="n">
        <v>46097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AUTO</t>
        </is>
      </c>
      <c r="E248" s="4" t="inlineStr">
        <is>
          <t>AUTO</t>
        </is>
      </c>
      <c r="F248" s="5" t="n">
        <v>661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ACA · AUTO/ACA · gasto personal Sol</t>
        </is>
      </c>
      <c r="L248" s="4" t="n">
        <v>90</v>
      </c>
    </row>
    <row r="249">
      <c r="A249" s="15" t="n">
        <v>46097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AUTO</t>
        </is>
      </c>
      <c r="E249" s="4" t="inlineStr">
        <is>
          <t>AUTO</t>
        </is>
      </c>
      <c r="F249" s="5" t="n">
        <v>8700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peaje · AUTO/ACA · gasto personal Sol · ex `Telepase`</t>
        </is>
      </c>
      <c r="L249" s="4" t="n">
        <v>94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COMPRAS</t>
        </is>
      </c>
      <c r="E250" s="4" t="inlineStr">
        <is>
          <t>COMPRAS</t>
        </is>
      </c>
      <c r="F250" s="5" t="n">
        <v>30600</v>
      </c>
      <c r="G250" s="16" t="n"/>
      <c r="H250" s="4" t="inlineStr">
        <is>
          <t>REAL</t>
        </is>
      </c>
      <c r="I250" s="4" t="inlineStr">
        <is>
          <t>BBVA MASTERCARD</t>
        </is>
      </c>
      <c r="J250" s="4" t="inlineStr">
        <is>
          <t>BBVA</t>
        </is>
      </c>
      <c r="K250" s="4" t="inlineStr">
        <is>
          <t>MP vía TC · MERPAGO*BITGENIA 323061</t>
        </is>
      </c>
      <c r="L250" s="4" t="n">
        <v>297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HOGAR</t>
        </is>
      </c>
      <c r="E251" s="4" t="inlineStr">
        <is>
          <t>HOGAR</t>
        </is>
      </c>
      <c r="F251" s="5" t="n">
        <v>40000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plantas · gasto personal Sol · ex `Locky Plantas`</t>
        </is>
      </c>
      <c r="L251" s="4" t="n">
        <v>92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TRANSFERENCIAS</t>
        </is>
      </c>
      <c r="E252" s="4" t="inlineStr">
        <is>
          <t>TRANSFERENCIAS</t>
        </is>
      </c>
      <c r="F252" s="5" t="n">
        <v>50000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Mercado Pago</t>
        </is>
      </c>
      <c r="K252" s="4" t="inlineStr">
        <is>
          <t>transferencia · gasto personal Sol (ex-PENDIENTE) · ex `Andrea Palacios`</t>
        </is>
      </c>
      <c r="L252" s="4" t="n">
        <v>91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TRANSFERENCIAS</t>
        </is>
      </c>
      <c r="E253" s="4" t="inlineStr">
        <is>
          <t>TRANSFERENCIAS</t>
        </is>
      </c>
      <c r="F253" s="5" t="n">
        <v>10000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transferencia · gasto personal Sol (ex-PENDIENTE) · ex `Mesarina Castro Kimberly Juliet`</t>
        </is>
      </c>
      <c r="L253" s="4" t="n">
        <v>93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TRANSPORTE</t>
        </is>
      </c>
      <c r="E254" s="4" t="inlineStr">
        <is>
          <t>TRANSPORTE · Cabify</t>
        </is>
      </c>
      <c r="F254" s="5" t="n">
        <v>6427</v>
      </c>
      <c r="G254" s="16" t="n"/>
      <c r="H254" s="4" t="inlineStr">
        <is>
          <t>REAL</t>
        </is>
      </c>
      <c r="I254" s="4" t="inlineStr">
        <is>
          <t>BBVA</t>
        </is>
      </c>
      <c r="J254" s="4" t="inlineStr">
        <is>
          <t>BBVA</t>
        </is>
      </c>
      <c r="K254" s="4" t="inlineStr">
        <is>
          <t>Cabify · BBVA MASTERCARD (BBVA-MASTERCARD-2026-03-16-6427) · gasto personal Sol</t>
        </is>
      </c>
      <c r="L254" s="4" t="n">
        <v>497</v>
      </c>
    </row>
    <row r="255">
      <c r="A255" s="15" t="n">
        <v>46098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8900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`Bin Chen`</t>
        </is>
      </c>
      <c r="L255" s="4" t="n">
        <v>95</v>
      </c>
    </row>
    <row r="256">
      <c r="A256" s="15" t="n">
        <v>46098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9209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(BBVA-MASTERCARD-2026-03-17-9209) · gasto personal Sol</t>
        </is>
      </c>
      <c r="L256" s="4" t="n">
        <v>498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TRANSPORTE</t>
        </is>
      </c>
      <c r="E257" s="4" t="inlineStr">
        <is>
          <t>TRANSPORTE · Didi</t>
        </is>
      </c>
      <c r="F257" s="5" t="n">
        <v>5084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Didi · gasto personal Sol</t>
        </is>
      </c>
      <c r="L257" s="4" t="n">
        <v>400</v>
      </c>
    </row>
    <row r="258">
      <c r="A258" s="15" t="n">
        <v>46099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COMPRAS</t>
        </is>
      </c>
      <c r="E258" s="4" t="inlineStr">
        <is>
          <t>COMPRAS</t>
        </is>
      </c>
      <c r="F258" s="5" t="n">
        <v>28400</v>
      </c>
      <c r="G258" s="16" t="n"/>
      <c r="H258" s="4" t="inlineStr">
        <is>
          <t>REAL</t>
        </is>
      </c>
      <c r="I258" s="4" t="inlineStr">
        <is>
          <t>BBVA MASTERCARD</t>
        </is>
      </c>
      <c r="J258" s="4" t="inlineStr">
        <is>
          <t>BBVA</t>
        </is>
      </c>
      <c r="K258" s="4" t="inlineStr">
        <is>
          <t>CASA REGGIA SRL 003512</t>
        </is>
      </c>
      <c r="L258" s="4" t="n">
        <v>298</v>
      </c>
    </row>
    <row r="259">
      <c r="A259" s="15" t="n">
        <v>46099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COMPRAS</t>
        </is>
      </c>
      <c r="E259" s="4" t="inlineStr">
        <is>
          <t>COMPRAS</t>
        </is>
      </c>
      <c r="F259" s="5" t="n">
        <v>48334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COMPRAS · Catore · pago QR CATORE · gasto personal Sol · resumen MP</t>
        </is>
      </c>
      <c r="L259" s="4" t="n">
        <v>769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89261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`Cecilia Pons`</t>
        </is>
      </c>
      <c r="L260" s="4" t="n">
        <v>96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TRANSFERENCIAS</t>
        </is>
      </c>
      <c r="E261" s="4" t="inlineStr">
        <is>
          <t>TRANSFERENCIAS</t>
        </is>
      </c>
      <c r="F261" s="5" t="n">
        <v>528698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 · gasto personal Sol (ex-PENDIENTE) · ex `Sofía Entivero`</t>
        </is>
      </c>
      <c r="L261" s="4" t="n">
        <v>97</v>
      </c>
    </row>
    <row r="262">
      <c r="A262" s="15" t="n">
        <v>46100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SEGUROS / RETIRO</t>
        </is>
      </c>
      <c r="E262" s="4" t="inlineStr">
        <is>
          <t>SEGUROS · Retiro</t>
        </is>
      </c>
      <c r="F262" s="5" t="n">
        <v>343237</v>
      </c>
      <c r="G262" s="16" t="n"/>
      <c r="H262" s="4" t="inlineStr">
        <is>
          <t>REAL</t>
        </is>
      </c>
      <c r="I262" s="4" t="inlineStr">
        <is>
          <t>BBVA Visa</t>
        </is>
      </c>
      <c r="J262" s="4" t="inlineStr">
        <is>
          <t>BBVA</t>
        </is>
      </c>
      <c r="K262" s="4" t="inlineStr">
        <is>
          <t>SEGUROS · Retiro · Zurich · Seguro de retiro Zurich · gasto personal Sol</t>
        </is>
      </c>
      <c r="L262" s="4" t="n">
        <v>273</v>
      </c>
    </row>
    <row r="263">
      <c r="A263" s="15" t="n">
        <v>46100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Didi</t>
        </is>
      </c>
      <c r="F263" s="5" t="n">
        <v>6070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Didi · gasto personal Sol</t>
        </is>
      </c>
      <c r="L263" s="4" t="n">
        <v>401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4122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402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5160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403</v>
      </c>
    </row>
    <row r="266">
      <c r="A266" s="15" t="n">
        <v>46101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5680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405</v>
      </c>
    </row>
    <row r="267">
      <c r="A267" s="15" t="n">
        <v>46101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4960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406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5800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407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6420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408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Uber</t>
        </is>
      </c>
      <c r="F270" s="5" t="n">
        <v>5745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TRANSPORTE · Uber · Ebanx (=Uber) · gasto personal Sol</t>
        </is>
      </c>
      <c r="L270" s="4" t="n">
        <v>404</v>
      </c>
    </row>
    <row r="271">
      <c r="A271" s="15" t="n">
        <v>46102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COMPRAS</t>
        </is>
      </c>
      <c r="E271" s="4" t="inlineStr">
        <is>
          <t>COMPRAS</t>
        </is>
      </c>
      <c r="F271" s="5" t="n">
        <v>37000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pago QR · gasto personal Sol · MP cuenta · ex `Joaquin Vazco`</t>
        </is>
      </c>
      <c r="L271" s="4" t="n">
        <v>746</v>
      </c>
    </row>
    <row r="272">
      <c r="A272" s="15" t="n">
        <v>46102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4230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409</v>
      </c>
    </row>
    <row r="273">
      <c r="A273" s="15" t="n">
        <v>46103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ROPA</t>
        </is>
      </c>
      <c r="E273" s="4" t="inlineStr">
        <is>
          <t>ROPA</t>
        </is>
      </c>
      <c r="F273" s="5" t="n">
        <v>137998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ropa · gasto personal Sol</t>
        </is>
      </c>
      <c r="L273" s="4" t="n">
        <v>98</v>
      </c>
    </row>
    <row r="274">
      <c r="A274" s="15" t="n">
        <v>46103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SUSCRIPCIONES · APPLE</t>
        </is>
      </c>
      <c r="E274" s="4" t="inlineStr">
        <is>
          <t>SUSCRIPCIONES · Apple</t>
        </is>
      </c>
      <c r="F274" s="5" t="n">
        <v>29810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SUSCRIPCIONES · Apple · gasto personal Sol</t>
        </is>
      </c>
      <c r="L274" s="4" t="n">
        <v>99</v>
      </c>
    </row>
    <row r="275">
      <c r="A275" s="15" t="n">
        <v>46104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604001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 · ex `Awada`</t>
        </is>
      </c>
      <c r="L275" s="4" t="n">
        <v>100</v>
      </c>
    </row>
    <row r="276">
      <c r="A276" s="15" t="n">
        <v>46104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IA</t>
        </is>
      </c>
      <c r="E276" s="4" t="inlineStr">
        <is>
          <t>SUSCRIPCIONES · IA</t>
        </is>
      </c>
      <c r="F276" s="5" t="n">
        <v>286822</v>
      </c>
      <c r="G276" s="16" t="n"/>
      <c r="H276" s="4" t="inlineStr">
        <is>
          <t>REAL</t>
        </is>
      </c>
      <c r="I276" s="4" t="inlineStr">
        <is>
          <t>Mercado Pago / USD</t>
        </is>
      </c>
      <c r="J276" s="4" t="inlineStr">
        <is>
          <t>Mercado Pago</t>
        </is>
      </c>
      <c r="K276" s="4" t="inlineStr">
        <is>
          <t>SUSCRIPCIONES · IA · Claude · gasto personal Sol · USD 200 × TC MEP 1434.11 · suscripción · gasto personal Sol</t>
        </is>
      </c>
      <c r="L276" s="4" t="n">
        <v>351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TECNOLOGÍA</t>
        </is>
      </c>
      <c r="E277" s="4" t="inlineStr">
        <is>
          <t>TECNOLOGÍA</t>
        </is>
      </c>
      <c r="F277" s="5" t="n">
        <v>9900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accesorio · gasto personal Sol · ex `Carcasa`</t>
        </is>
      </c>
      <c r="L277" s="4" t="n">
        <v>101</v>
      </c>
    </row>
    <row r="278">
      <c r="A278" s="15" t="n">
        <v>46105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MERCADO LIBRE</t>
        </is>
      </c>
      <c r="E278" s="4" t="inlineStr">
        <is>
          <t>MERCADO LIBRE</t>
        </is>
      </c>
      <c r="F278" s="5" t="n">
        <v>60193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MERCADO LIBRE · gasto personal Sol</t>
        </is>
      </c>
      <c r="L278" s="4" t="n">
        <v>102</v>
      </c>
    </row>
    <row r="279">
      <c r="A279" s="15" t="n">
        <v>46105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MERCADO LIBRE</t>
        </is>
      </c>
      <c r="E279" s="4" t="inlineStr">
        <is>
          <t>MERCADO LIBRE</t>
        </is>
      </c>
      <c r="F279" s="5" t="n">
        <v>377337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MERCADO LIBRE · gasto personal Sol</t>
        </is>
      </c>
      <c r="L279" s="4" t="n">
        <v>103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101899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104</v>
      </c>
    </row>
    <row r="281">
      <c r="A281" s="15" t="n">
        <v>46106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COMPRAS</t>
        </is>
      </c>
      <c r="E281" s="4" t="inlineStr">
        <is>
          <t>COMPRAS</t>
        </is>
      </c>
      <c r="F281" s="5" t="n">
        <v>49999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pago QR · gasto personal Sol · MP cuenta · ex `Enzo Cabildo`</t>
        </is>
      </c>
      <c r="L281" s="4" t="n">
        <v>747</v>
      </c>
    </row>
    <row r="282">
      <c r="A282" s="15" t="n">
        <v>46106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COMPRAS</t>
        </is>
      </c>
      <c r="E282" s="4" t="inlineStr">
        <is>
          <t>COMPRAS</t>
        </is>
      </c>
      <c r="F282" s="5" t="n">
        <v>84400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COMPRAS · BDM Proyects · pago QR BDM PROYECTS · gasto personal Sol</t>
        </is>
      </c>
      <c r="L282" s="4" t="n">
        <v>821</v>
      </c>
    </row>
    <row r="283">
      <c r="A283" s="15" t="n">
        <v>46107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PELUQUERÍA</t>
        </is>
      </c>
      <c r="E283" s="4" t="inlineStr">
        <is>
          <t>PELUQUERÍA</t>
        </is>
      </c>
      <c r="F283" s="5" t="n">
        <v>75000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PELUQUERÍA · Agustina Vissani (ex AGUS/PSA · ex CASA matriz 2026)</t>
        </is>
      </c>
      <c r="L283" s="4" t="n">
        <v>35</v>
      </c>
    </row>
    <row r="284">
      <c r="A284" s="15" t="n">
        <v>46107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PERCEPCIONES USD</t>
        </is>
      </c>
      <c r="E284" s="4" t="inlineStr">
        <is>
          <t>PERCEPCIÓN USD · DB RG 5617 30%</t>
        </is>
      </c>
      <c r="F284" s="5" t="n">
        <v>16526</v>
      </c>
      <c r="G284" s="16" t="n"/>
      <c r="H284" s="4" t="inlineStr">
        <is>
          <t>REAL</t>
        </is>
      </c>
      <c r="I284" s="4" t="inlineStr">
        <is>
          <t>BBVA MASTERCARD</t>
        </is>
      </c>
      <c r="J284" s="4" t="inlineStr">
        <is>
          <t>BBVA</t>
        </is>
      </c>
      <c r="K284" s="4" t="inlineStr">
        <is>
          <t>PERCEPCIÓN USD · DB RG 5617 30% · base $55,086.22 · cierre 26-Mar-26 · percepciones por consumos en USD · gasto personal Sol</t>
        </is>
      </c>
      <c r="L284" s="4" t="n">
        <v>624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PERCEPCIONES USD</t>
        </is>
      </c>
      <c r="E285" s="4" t="inlineStr">
        <is>
          <t>PERCEPCIÓN USD · DB RG 5617 30%</t>
        </is>
      </c>
      <c r="F285" s="5" t="n">
        <v>1302</v>
      </c>
      <c r="G285" s="16" t="n"/>
      <c r="H285" s="4" t="inlineStr">
        <is>
          <t>REAL</t>
        </is>
      </c>
      <c r="I285" s="4" t="inlineStr">
        <is>
          <t>BBVA VISA</t>
        </is>
      </c>
      <c r="J285" s="4" t="inlineStr">
        <is>
          <t>BBVA</t>
        </is>
      </c>
      <c r="K285" s="4" t="inlineStr">
        <is>
          <t>PERCEPCIÓN USD · DB RG 5617 30% · base $4,339.12 · cierre 26-Mar-26 · percepciones por consumos en USD · gasto personal Sol</t>
        </is>
      </c>
      <c r="L285" s="4" t="n">
        <v>627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IIBB CABA 2%</t>
        </is>
      </c>
      <c r="F286" s="5" t="n">
        <v>551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IIBB CABA 2% · base $27,536.22 · cierre 26-Mar-26 · percepciones por consumos en USD · gasto personal Sol</t>
        </is>
      </c>
      <c r="L286" s="4" t="n">
        <v>622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IIBB CABA 2%</t>
        </is>
      </c>
      <c r="F287" s="5" t="n">
        <v>87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IIBB CABA 2% · base $4,339.12 · cierre 26-Mar-26 · percepciones por consumos en USD · gasto personal Sol</t>
        </is>
      </c>
      <c r="L287" s="4" t="n">
        <v>625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IVA RG 4240 21%</t>
        </is>
      </c>
      <c r="F288" s="5" t="n">
        <v>5783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IVA RG 4240 21% · base $27,536.22 · cierre 26-Mar-26 · percepciones por consumos en USD · gasto personal Sol</t>
        </is>
      </c>
      <c r="L288" s="4" t="n">
        <v>623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IVA RG 4240 21%</t>
        </is>
      </c>
      <c r="F289" s="5" t="n">
        <v>912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IVA RG 4240 21% · base $4,339.12 · cierre 26-Mar-26 · percepciones por consumos en USD · gasto personal Sol</t>
        </is>
      </c>
      <c r="L289" s="4" t="n">
        <v>626</v>
      </c>
    </row>
    <row r="290">
      <c r="A290" s="15" t="n">
        <v>46108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TELECOMUNICACIONES</t>
        </is>
      </c>
      <c r="E290" s="4" t="inlineStr">
        <is>
          <t>Servicio - Telefonía</t>
        </is>
      </c>
      <c r="F290" s="5" t="n">
        <v>4000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Tuenti · gasto personal Sol · hoja Gasto Personal Sol</t>
        </is>
      </c>
      <c r="L290" s="4" t="n">
        <v>106</v>
      </c>
    </row>
    <row r="291">
      <c r="A291" s="15" t="n">
        <v>46111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EVENTOS DEPORTIVOS - RIVER</t>
        </is>
      </c>
      <c r="E291" s="4" t="inlineStr">
        <is>
          <t>Eventos deportivos - River</t>
        </is>
      </c>
      <c r="F291" s="5" t="n">
        <v>30560</v>
      </c>
      <c r="G291" s="16" t="n"/>
      <c r="H291" s="4" t="inlineStr">
        <is>
          <t>REAL</t>
        </is>
      </c>
      <c r="I291" s="4" t="inlineStr">
        <is>
          <t>Mercado Pago</t>
        </is>
      </c>
      <c r="J291" s="4" t="inlineStr">
        <is>
          <t>Mercado Pago</t>
        </is>
      </c>
      <c r="K291" s="4" t="inlineStr">
        <is>
          <t>Eventos deportivos - River · Tu Lugar en el Monumental / cuota social CARP · Mercado Pago</t>
        </is>
      </c>
      <c r="L291" s="4" t="n">
        <v>107</v>
      </c>
    </row>
    <row r="292">
      <c r="A292" s="15" t="n">
        <v>46111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MERCADO LIBRE</t>
        </is>
      </c>
      <c r="E292" s="4" t="inlineStr">
        <is>
          <t>MERCADO LIBRE</t>
        </is>
      </c>
      <c r="F292" s="5" t="n">
        <v>248070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MERCADO LIBRE · gasto personal Sol</t>
        </is>
      </c>
      <c r="L292" s="4" t="n">
        <v>108</v>
      </c>
    </row>
    <row r="293">
      <c r="A293" s="15" t="n">
        <v>46112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COMIDA · OFICINA</t>
        </is>
      </c>
      <c r="E293" s="4" t="inlineStr">
        <is>
          <t>COMIDA · Oficina</t>
        </is>
      </c>
      <c r="F293" s="5" t="n">
        <v>13500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COMIDA · Oficina · Copetin Catering · gasto personal Sol</t>
        </is>
      </c>
      <c r="L293" s="4" t="n">
        <v>801</v>
      </c>
    </row>
    <row r="294">
      <c r="A294" s="15" t="n">
        <v>46112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TRANSPORTE</t>
        </is>
      </c>
      <c r="E294" s="4" t="inlineStr">
        <is>
          <t>TRANSPORTE · Didi</t>
        </is>
      </c>
      <c r="F294" s="5" t="n">
        <v>6540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Didi · gasto personal Sol</t>
        </is>
      </c>
      <c r="L294" s="4" t="n">
        <v>411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TRANSPORTE</t>
        </is>
      </c>
      <c r="E295" s="4" t="inlineStr">
        <is>
          <t>TRANSPORTE · Uber</t>
        </is>
      </c>
      <c r="F295" s="5" t="n">
        <v>10839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TRANSPORTE · Uber · Ebanx (=Uber) · gasto personal Sol</t>
        </is>
      </c>
      <c r="L295" s="4" t="n">
        <v>410</v>
      </c>
    </row>
    <row r="296">
      <c r="A296" s="15" t="n">
        <v>46113</v>
      </c>
      <c r="B296" s="4" t="inlineStr">
        <is>
          <t>2026-04</t>
        </is>
      </c>
      <c r="C296" s="4" t="inlineStr">
        <is>
          <t>Abril</t>
        </is>
      </c>
      <c r="D296" s="4" t="inlineStr">
        <is>
          <t>LIBRERÍA</t>
        </is>
      </c>
      <c r="E296" s="4" t="inlineStr">
        <is>
          <t>LIBRERÍA</t>
        </is>
      </c>
      <c r="F296" s="5" t="n">
        <v>1500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librería · gasto personal Sol</t>
        </is>
      </c>
      <c r="L296" s="4" t="n">
        <v>109</v>
      </c>
    </row>
    <row r="297">
      <c r="A297" s="15" t="n">
        <v>46113</v>
      </c>
      <c r="B297" s="4" t="inlineStr">
        <is>
          <t>2026-04</t>
        </is>
      </c>
      <c r="C297" s="4" t="inlineStr">
        <is>
          <t>Abril</t>
        </is>
      </c>
      <c r="D297" s="4" t="inlineStr">
        <is>
          <t>MERCADO LIBRE</t>
        </is>
      </c>
      <c r="E297" s="4" t="inlineStr">
        <is>
          <t>MERCADO LIBRE</t>
        </is>
      </c>
      <c r="F297" s="5" t="n">
        <v>427718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MERCADO LIBRE · gasto personal Sol</t>
        </is>
      </c>
      <c r="L297" s="4" t="n">
        <v>110</v>
      </c>
    </row>
    <row r="298">
      <c r="A298" s="15" t="n">
        <v>46114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SUSCRIPCIONES · APPLE</t>
        </is>
      </c>
      <c r="E298" s="4" t="inlineStr">
        <is>
          <t>SUSCRIPCIONES · Apple</t>
        </is>
      </c>
      <c r="F298" s="5" t="n">
        <v>5448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SUSCRIPCIONES · Apple · gasto personal Sol</t>
        </is>
      </c>
      <c r="L298" s="4" t="n">
        <v>111</v>
      </c>
    </row>
    <row r="299">
      <c r="A299" s="15" t="n">
        <v>46115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AUTO</t>
        </is>
      </c>
      <c r="E299" s="4" t="inlineStr">
        <is>
          <t>AUTO</t>
        </is>
      </c>
      <c r="F299" s="5" t="n">
        <v>881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ACA · AUTO/ACA · gasto personal Sol</t>
        </is>
      </c>
      <c r="L299" s="4" t="n">
        <v>112</v>
      </c>
    </row>
    <row r="300">
      <c r="A300" s="15" t="n">
        <v>46116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COMPRAS</t>
        </is>
      </c>
      <c r="E300" s="4" t="inlineStr">
        <is>
          <t>COMPRAS</t>
        </is>
      </c>
      <c r="F300" s="5" t="n">
        <v>115500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pago QR TICORRICOSA · gasto personal Sol</t>
        </is>
      </c>
      <c r="L300" s="4" t="n">
        <v>767</v>
      </c>
    </row>
    <row r="301">
      <c r="A301" s="15" t="n">
        <v>46116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TRANSFERENCIAS</t>
        </is>
      </c>
      <c r="E301" s="4" t="inlineStr">
        <is>
          <t>TRANSFERENCIAS</t>
        </is>
      </c>
      <c r="F301" s="5" t="n">
        <v>519441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compra · gasto personal Sol (ex-PENDIENTE) · ex `Sofía Entivero`</t>
        </is>
      </c>
      <c r="L301" s="4" t="n">
        <v>113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4207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412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TRANSPORTE</t>
        </is>
      </c>
      <c r="E303" s="4" t="inlineStr">
        <is>
          <t>TRANSPORTE · Uber</t>
        </is>
      </c>
      <c r="F303" s="5" t="n">
        <v>4691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TRANSPORTE · Uber · Ebanx (=Uber) · gasto personal Sol</t>
        </is>
      </c>
      <c r="L303" s="4" t="n">
        <v>413</v>
      </c>
    </row>
    <row r="304">
      <c r="A304" s="15" t="n">
        <v>46117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TRANSFERENCIAS</t>
        </is>
      </c>
      <c r="E304" s="4" t="inlineStr">
        <is>
          <t>TRANSFERENCIAS</t>
        </is>
      </c>
      <c r="F304" s="5" t="n">
        <v>7000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transferencia · gasto personal Sol (ex-PENDIENTE) · ex `Ema Maldonado`</t>
        </is>
      </c>
      <c r="L304" s="4" t="n">
        <v>114</v>
      </c>
    </row>
    <row r="305">
      <c r="A305" s="15" t="n">
        <v>46118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AVA FIDEICOMISO</t>
        </is>
      </c>
      <c r="E305" s="4" t="inlineStr">
        <is>
          <t>AVA FIDEICOMISO</t>
        </is>
      </c>
      <c r="F305" s="5" t="n">
        <v>2776853</v>
      </c>
      <c r="G305" s="16" t="n"/>
      <c r="H305" s="4" t="inlineStr">
        <is>
          <t>REAL</t>
        </is>
      </c>
      <c r="I305" s="4" t="inlineStr">
        <is>
          <t>Mercado Pago / TC MEP</t>
        </is>
      </c>
      <c r="J305" s="4" t="inlineStr">
        <is>
          <t>Mercado Pago</t>
        </is>
      </c>
      <c r="K305" s="4" t="inlineStr">
        <is>
          <t>50% Sol de $5,553,706 · AVA Palpa (Chris el otro 50%) · ex `AVA Fideicomiso · cuota 6 · abril 2026`</t>
        </is>
      </c>
      <c r="L305" s="4" t="n">
        <v>331</v>
      </c>
    </row>
    <row r="306">
      <c r="A306" s="15" t="n">
        <v>46118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COMIDA · OFICINA</t>
        </is>
      </c>
      <c r="E306" s="4" t="inlineStr">
        <is>
          <t>COMIDA · Oficina</t>
        </is>
      </c>
      <c r="F306" s="5" t="n">
        <v>12650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COMIDA · Oficina · Copetin Catering · gasto personal Sol</t>
        </is>
      </c>
      <c r="L306" s="4" t="n">
        <v>802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FARMACIA SALUD</t>
        </is>
      </c>
      <c r="E307" s="4" t="inlineStr">
        <is>
          <t>FARMACIA SALUD</t>
        </is>
      </c>
      <c r="F307" s="5" t="n">
        <v>191500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FARMACIA SALUD · Farmacia Maure · resumen MP cuenta</t>
        </is>
      </c>
      <c r="L307" s="4" t="n">
        <v>763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TRANSPORTE</t>
        </is>
      </c>
      <c r="E308" s="4" t="inlineStr">
        <is>
          <t>TRANSPORTE · Didi</t>
        </is>
      </c>
      <c r="F308" s="5" t="n">
        <v>9800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Didi · gasto personal Sol</t>
        </is>
      </c>
      <c r="L308" s="4" t="n">
        <v>415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6793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414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136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811</v>
      </c>
    </row>
    <row r="311">
      <c r="A311" s="15" t="n">
        <v>46119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COMPRAS</t>
        </is>
      </c>
      <c r="E311" s="4" t="inlineStr">
        <is>
          <t>COMPRAS</t>
        </is>
      </c>
      <c r="F311" s="5" t="n">
        <v>3490</v>
      </c>
      <c r="G311" s="16" t="n"/>
      <c r="H311" s="4" t="inlineStr">
        <is>
          <t>REAL</t>
        </is>
      </c>
      <c r="I311" s="4" t="inlineStr">
        <is>
          <t>BBVA VISA</t>
        </is>
      </c>
      <c r="J311" s="4" t="inlineStr">
        <is>
          <t>BBVA</t>
        </is>
      </c>
      <c r="K311" s="4" t="inlineStr">
        <is>
          <t>MP vía TC · MERPAGO*MELI 683987</t>
        </is>
      </c>
      <c r="L311" s="4" t="n">
        <v>263</v>
      </c>
    </row>
    <row r="312">
      <c r="A312" s="15" t="n">
        <v>46119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MERCADO LIBRE</t>
        </is>
      </c>
      <c r="E312" s="4" t="inlineStr">
        <is>
          <t>MERCADO LIBRE</t>
        </is>
      </c>
      <c r="F312" s="5" t="n">
        <v>29725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MERCADO LIBRE · gasto personal Sol</t>
        </is>
      </c>
      <c r="L312" s="4" t="n">
        <v>117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TECNOLOGÍA</t>
        </is>
      </c>
      <c r="E313" s="4" t="inlineStr">
        <is>
          <t>TECNOLOGÍA</t>
        </is>
      </c>
      <c r="F313" s="5" t="n">
        <v>16500</v>
      </c>
      <c r="G313" s="16" t="n"/>
      <c r="H313" s="4" t="inlineStr">
        <is>
          <t>REAL</t>
        </is>
      </c>
      <c r="I313" s="4" t="inlineStr">
        <is>
          <t>Mercado Pago</t>
        </is>
      </c>
      <c r="J313" s="4" t="inlineStr">
        <is>
          <t>Mercado Pago</t>
        </is>
      </c>
      <c r="K313" s="4" t="inlineStr">
        <is>
          <t>TECNOLOGÍA · Smartcell · celular tienda · celular · gasto personal Sol</t>
        </is>
      </c>
      <c r="L313" s="4" t="n">
        <v>118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TRANSFERENCIAS</t>
        </is>
      </c>
      <c r="E314" s="4" t="inlineStr">
        <is>
          <t>TRANSFERENCIAS</t>
        </is>
      </c>
      <c r="F314" s="5" t="n">
        <v>79000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transferencia · gasto personal Sol (ex-PENDIENTE) · ex `Ana Silvia Castillo`</t>
        </is>
      </c>
      <c r="L314" s="4" t="n">
        <v>115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TRANSFERENCIAS</t>
        </is>
      </c>
      <c r="E315" s="4" t="inlineStr">
        <is>
          <t>TRANSFERENCIAS</t>
        </is>
      </c>
      <c r="F315" s="5" t="n">
        <v>110000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transferencia · gasto personal Sol (ex-PENDIENTE) · ex `Gabriel Fradkin`</t>
        </is>
      </c>
      <c r="L315" s="4" t="n">
        <v>116</v>
      </c>
    </row>
    <row r="316">
      <c r="A316" s="15" t="n">
        <v>46120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COMIDA · OFICINA</t>
        </is>
      </c>
      <c r="E316" s="4" t="inlineStr">
        <is>
          <t>COMIDA · Oficina</t>
        </is>
      </c>
      <c r="F316" s="5" t="n">
        <v>17050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COMIDA · Oficina · Copetin Catering · gasto personal Sol</t>
        </is>
      </c>
      <c r="L316" s="4" t="n">
        <v>803</v>
      </c>
    </row>
    <row r="317">
      <c r="A317" s="15" t="n">
        <v>46120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15120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`Yenny Paola Calisaya`</t>
        </is>
      </c>
      <c r="L317" s="4" t="n">
        <v>119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Didi</t>
        </is>
      </c>
      <c r="F318" s="5" t="n">
        <v>4450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Didi · gasto personal Sol</t>
        </is>
      </c>
      <c r="L318" s="4" t="n">
        <v>416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TRANSPORTE</t>
        </is>
      </c>
      <c r="E319" s="4" t="inlineStr">
        <is>
          <t>TRANSPORTE · Uber</t>
        </is>
      </c>
      <c r="F319" s="5" t="n">
        <v>6351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TRANSPORTE · Uber · Ebanx (=Uber) · gasto personal Sol</t>
        </is>
      </c>
      <c r="L319" s="4" t="n">
        <v>417</v>
      </c>
    </row>
    <row r="320">
      <c r="A320" s="15" t="n">
        <v>46121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TELECOMUNICACIONES</t>
        </is>
      </c>
      <c r="E320" s="4" t="inlineStr">
        <is>
          <t>Servicio - Telefonía</t>
        </is>
      </c>
      <c r="F320" s="5" t="n">
        <v>16650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Tuenti · gasto personal Sol · hoja Gasto Personal Sol</t>
        </is>
      </c>
      <c r="L320" s="4" t="n">
        <v>120</v>
      </c>
    </row>
    <row r="321">
      <c r="A321" s="15" t="n">
        <v>46122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COMPRAS</t>
        </is>
      </c>
      <c r="E321" s="4" t="inlineStr">
        <is>
          <t>COMPRAS</t>
        </is>
      </c>
      <c r="F321" s="5" t="n">
        <v>560000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pago QR · gasto personal Sol · MP cuenta · ex `Burtextil SRL`</t>
        </is>
      </c>
      <c r="L321" s="4" t="n">
        <v>748</v>
      </c>
    </row>
    <row r="322">
      <c r="A322" s="15" t="n">
        <v>46122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MERCADO LIBRE</t>
        </is>
      </c>
      <c r="E322" s="4" t="inlineStr">
        <is>
          <t>MERCADO LIBRE</t>
        </is>
      </c>
      <c r="F322" s="5" t="n">
        <v>17041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MERCADO LIBRE · gasto personal Sol</t>
        </is>
      </c>
      <c r="L322" s="4" t="n">
        <v>122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MERCADO LIBRE</t>
        </is>
      </c>
      <c r="E323" s="4" t="inlineStr">
        <is>
          <t>MERCADO LIBRE</t>
        </is>
      </c>
      <c r="F323" s="5" t="n">
        <v>126540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MERCADO LIBRE · gasto personal Sol</t>
        </is>
      </c>
      <c r="L323" s="4" t="n">
        <v>123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129200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124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OTROS PERSONALES</t>
        </is>
      </c>
      <c r="E325" s="4" t="inlineStr">
        <is>
          <t>REVISAR</t>
        </is>
      </c>
      <c r="F325" s="5" t="n">
        <v>3153</v>
      </c>
      <c r="G325" s="16" t="n"/>
      <c r="H325" s="4" t="inlineStr">
        <is>
          <t>REAL</t>
        </is>
      </c>
      <c r="I325" s="4" t="inlineStr">
        <is>
          <t>BBVA MASTERCARD</t>
        </is>
      </c>
      <c r="J325" s="4" t="inlineStr">
        <is>
          <t>BBVA</t>
        </is>
      </c>
      <c r="K325" s="4" t="inlineStr">
        <is>
          <t>REVISAR · comercio ilegible · comercio ilegible en resumen</t>
        </is>
      </c>
      <c r="L325" s="4" t="n">
        <v>325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SUSCRIPCIONES · APPLE</t>
        </is>
      </c>
      <c r="E326" s="4" t="inlineStr">
        <is>
          <t>SUSCRIPCIONES · Apple</t>
        </is>
      </c>
      <c r="F326" s="5" t="n">
        <v>359951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SUSCRIPCIONES · Apple · gasto personal Sol</t>
        </is>
      </c>
      <c r="L326" s="4" t="n">
        <v>121</v>
      </c>
    </row>
    <row r="327">
      <c r="A327" s="15" t="n">
        <v>46123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7200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transporte · gasto personal Sol</t>
        </is>
      </c>
      <c r="L327" s="4" t="n">
        <v>420</v>
      </c>
    </row>
    <row r="328">
      <c r="A328" s="15" t="n">
        <v>46123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356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Uber</t>
        </is>
      </c>
      <c r="F329" s="5" t="n">
        <v>9962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Uber · Ebanx (=Uber) · gasto personal Sol</t>
        </is>
      </c>
      <c r="L329" s="4" t="n">
        <v>419</v>
      </c>
    </row>
    <row r="330">
      <c r="A330" s="15" t="n">
        <v>46124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30097</v>
      </c>
      <c r="G330" s="16" t="n"/>
      <c r="H330" s="4" t="inlineStr">
        <is>
          <t>REAL</t>
        </is>
      </c>
      <c r="I330" s="4" t="inlineStr">
        <is>
          <t>TC Mercado Pago</t>
        </is>
      </c>
      <c r="J330" s="4" t="inlineStr">
        <is>
          <t>TC Mercado Pago</t>
        </is>
      </c>
      <c r="K330" s="4" t="inlineStr">
        <is>
          <t>MERPAGO*GASTROHOGAR · TC Mercado Pago · cuota 1 de 2 · compra 2026-03-24 · ex `Gastrohogar · C.01/02`</t>
        </is>
      </c>
      <c r="L330" s="4" t="n">
        <v>684</v>
      </c>
    </row>
    <row r="331">
      <c r="A331" s="15" t="n">
        <v>46124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75000</v>
      </c>
      <c r="G331" s="16" t="n"/>
      <c r="H331" s="4" t="inlineStr">
        <is>
          <t>REAL</t>
        </is>
      </c>
      <c r="I331" s="4" t="inlineStr">
        <is>
          <t>TC Mercado Pago</t>
        </is>
      </c>
      <c r="J331" s="4" t="inlineStr">
        <is>
          <t>TC Mercado Pago</t>
        </is>
      </c>
      <c r="K331" s="4" t="inlineStr">
        <is>
          <t>MERPAGO*MARTINA19 · TC Mercado Pago · compra 2026-03-21</t>
        </is>
      </c>
      <c r="L331" s="4" t="n">
        <v>681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50950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Mercado Libre · TC Mercado Pago · cuota 1 de 2 · compra 2026-03-24 · ex `Mercado Libre · C.01/02`</t>
        </is>
      </c>
      <c r="L332" s="4" t="n">
        <v>685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125779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Mercado Libre · TC Mercado Pago · cuota 1 de 3 · compra 2026-03-24 · ex `Mercado Libre · C.01/03`</t>
        </is>
      </c>
      <c r="L333" s="4" t="n">
        <v>686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PERCEPCIONES USD</t>
        </is>
      </c>
      <c r="E334" s="4" t="inlineStr">
        <is>
          <t>PERCEPCIÓN USD · DB RG 5617 · TC Mercado Pago</t>
        </is>
      </c>
      <c r="F334" s="5" t="n">
        <v>175908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PERCEPCIÓN USD · DB RG 5617 · TC Mercado Pago · cierre 2026-04-12 · compra 2026-04-12</t>
        </is>
      </c>
      <c r="L334" s="4" t="n">
        <v>694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PERCEPCIONES USD</t>
        </is>
      </c>
      <c r="E335" s="4" t="inlineStr">
        <is>
          <t>PERCEPCIÓN USD · IIBB · TC Mercado Pago</t>
        </is>
      </c>
      <c r="F335" s="5" t="n">
        <v>6248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PERCEPCIÓN USD · IIBB · TC Mercado Pago · cierre 2026-04-12 · compra 2026-04-12</t>
        </is>
      </c>
      <c r="L335" s="4" t="n">
        <v>692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IVA RG 4240 · TC Mercado Pago</t>
        </is>
      </c>
      <c r="F336" s="5" t="n">
        <v>65596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IVA RG 4240 · TC Mercado Pago · cierre 2026-04-12 · compra 2026-04-12</t>
        </is>
      </c>
      <c r="L336" s="4" t="n">
        <v>693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ROPA</t>
        </is>
      </c>
      <c r="E337" s="4" t="inlineStr">
        <is>
          <t>ROPA</t>
        </is>
      </c>
      <c r="F337" s="5" t="n">
        <v>528698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ROPA · MERPAGO*CAMBIODEAIRES · TC Mercado Pago · compra 2026-03-19</t>
        </is>
      </c>
      <c r="L337" s="4" t="n">
        <v>679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ROPA</t>
        </is>
      </c>
      <c r="E338" s="4" t="inlineStr">
        <is>
          <t>ROPA</t>
        </is>
      </c>
      <c r="F338" s="5" t="n">
        <v>41715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ROPA · MERPAGO*LOCCITANE · TC Mercado Pago · cuota 1 de 6 · compra 2026-03-20</t>
        </is>
      </c>
      <c r="L338" s="4" t="n">
        <v>680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67112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MERPAGO*AWADA · TC Mercado Pago · cuota 1 de 9 · compra 2026-03-23</t>
        </is>
      </c>
      <c r="L339" s="4" t="n">
        <v>682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23000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Adidas · TC Mercado Pago · cuota 1 de 6 · compra 2026-03-23</t>
        </is>
      </c>
      <c r="L340" s="4" t="n">
        <v>683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41345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MERPAGO*LAPARFUMERIE · TC Mercado Pago · cuota 1 de 6 · compra 2026-03-30</t>
        </is>
      </c>
      <c r="L341" s="4" t="n">
        <v>687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142573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MERPAGO*MRPERFUMERIAS · TC Mercado Pago · cuota 1 de 3 · compra 2026-04-01</t>
        </is>
      </c>
      <c r="L342" s="4" t="n">
        <v>688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173147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MERPAGO*CAMBIODEAIRES · TC Mercado Pago · cuota 1 de 3 · compra 2026-04-04</t>
        </is>
      </c>
      <c r="L343" s="4" t="n">
        <v>689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SALUD · Vitaminas</t>
        </is>
      </c>
      <c r="E344" s="4" t="inlineStr">
        <is>
          <t>SALUD · Vitaminas</t>
        </is>
      </c>
      <c r="F344" s="5" t="n">
        <v>58334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SALUD · Vitaminas · Promarine · TC Mercado Pago · C.04/06 · gasto personal Sol</t>
        </is>
      </c>
      <c r="L344" s="4" t="n">
        <v>675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SALUD · Vitaminas</t>
        </is>
      </c>
      <c r="E345" s="4" t="inlineStr">
        <is>
          <t>SALUD · Vitaminas</t>
        </is>
      </c>
      <c r="F345" s="5" t="n">
        <v>87900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SALUD · Vitaminas · Promarine · TC Mercado Pago · C.01/06 · gasto personal Sol</t>
        </is>
      </c>
      <c r="L345" s="4" t="n">
        <v>690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SUSCRIPCIONES · APPLE</t>
        </is>
      </c>
      <c r="E346" s="4" t="inlineStr">
        <is>
          <t>SUSCRIPCIONES · Apple</t>
        </is>
      </c>
      <c r="F346" s="5" t="n">
        <v>14520</v>
      </c>
      <c r="G346" s="16" t="n"/>
      <c r="H346" s="4" t="inlineStr">
        <is>
          <t>REAL</t>
        </is>
      </c>
      <c r="I346" s="4" t="inlineStr">
        <is>
          <t>Mercado Pago</t>
        </is>
      </c>
      <c r="J346" s="4" t="inlineStr">
        <is>
          <t>Mercado Pago</t>
        </is>
      </c>
      <c r="K346" s="4" t="inlineStr">
        <is>
          <t>SUSCRIPCIONES · Apple · gasto personal Sol</t>
        </is>
      </c>
      <c r="L346" s="4" t="n">
        <v>126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SUSCRIPCIONES · IA</t>
        </is>
      </c>
      <c r="E347" s="4" t="inlineStr">
        <is>
          <t>SUSCRIPCIONES · IA</t>
        </is>
      </c>
      <c r="F347" s="5" t="n">
        <v>30000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SUSCRIPCIONES · IA · Vercel · gasto personal Sol · Vercel · TC Mercado Pago · cuota 1 de 3 · compra 2026-03-14</t>
        </is>
      </c>
      <c r="L347" s="4" t="n">
        <v>677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IA</t>
        </is>
      </c>
      <c r="E348" s="4" t="inlineStr">
        <is>
          <t>SUSCRIPCIONES · IA</t>
        </is>
      </c>
      <c r="F348" s="5" t="n">
        <v>45000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SUSCRIPCIONES · IA · Vercel · gasto personal Sol</t>
        </is>
      </c>
      <c r="L348" s="4" t="n">
        <v>678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TECNOLOGÍA</t>
        </is>
      </c>
      <c r="E349" s="4" t="inlineStr">
        <is>
          <t>TECNOLOGÍA</t>
        </is>
      </c>
      <c r="F349" s="5" t="n">
        <v>81333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TECNOLOGÍA · Todovision · MERPAGO*TODOVISION · TC Mercado Pago · cuota 3 de 3 · compra 2026-01-24</t>
        </is>
      </c>
      <c r="L349" s="4" t="n">
        <v>676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VESTIMENTA</t>
        </is>
      </c>
      <c r="E350" s="4" t="inlineStr">
        <is>
          <t>VESTIMENTA</t>
        </is>
      </c>
      <c r="F350" s="5" t="n">
        <v>63750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VESTIMENTA · Longchamp · TC Mercado Pago · C.04/06 · gasto personal Sol</t>
        </is>
      </c>
      <c r="L350" s="4" t="n">
        <v>674</v>
      </c>
    </row>
    <row r="351">
      <c r="A351" s="15" t="n">
        <v>46125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MERCADO LIBRE</t>
        </is>
      </c>
      <c r="E351" s="4" t="inlineStr">
        <is>
          <t>MERCADO LIBRE</t>
        </is>
      </c>
      <c r="F351" s="5" t="n">
        <v>13989</v>
      </c>
      <c r="G351" s="16" t="n"/>
      <c r="H351" s="4" t="inlineStr">
        <is>
          <t>REAL</t>
        </is>
      </c>
      <c r="I351" s="4" t="inlineStr">
        <is>
          <t>Mercado Pago</t>
        </is>
      </c>
      <c r="J351" s="4" t="inlineStr">
        <is>
          <t>Mercado Pago</t>
        </is>
      </c>
      <c r="K351" s="4" t="inlineStr">
        <is>
          <t>MERCADO LIBRE · gasto personal Sol</t>
        </is>
      </c>
      <c r="L351" s="4" t="n">
        <v>127</v>
      </c>
    </row>
    <row r="352">
      <c r="A352" s="15" t="n">
        <v>46125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95984</v>
      </c>
      <c r="G352" s="16" t="n"/>
      <c r="H352" s="4" t="inlineStr">
        <is>
          <t>REAL</t>
        </is>
      </c>
      <c r="I352" s="4" t="inlineStr">
        <is>
          <t>BBVA MASTERCARD</t>
        </is>
      </c>
      <c r="J352" s="4" t="inlineStr">
        <is>
          <t>BBVA</t>
        </is>
      </c>
      <c r="K352" s="4" t="inlineStr">
        <is>
          <t>MERPAGO*MONOFUK C.03/06 914462</t>
        </is>
      </c>
      <c r="L352" s="4" t="n">
        <v>245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TRANSPORTE</t>
        </is>
      </c>
      <c r="E353" s="4" t="inlineStr">
        <is>
          <t>TRANSPORTE · Didi</t>
        </is>
      </c>
      <c r="F353" s="5" t="n">
        <v>6620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transporte · gasto personal Sol</t>
        </is>
      </c>
      <c r="L353" s="4" t="n">
        <v>421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TRANSPORTE</t>
        </is>
      </c>
      <c r="E354" s="4" t="inlineStr">
        <is>
          <t>TRANSPORTE · Didi</t>
        </is>
      </c>
      <c r="F354" s="5" t="n">
        <v>8590</v>
      </c>
      <c r="G354" s="16" t="n"/>
      <c r="H354" s="4" t="inlineStr">
        <is>
          <t>REAL</t>
        </is>
      </c>
      <c r="I354" s="4" t="inlineStr">
        <is>
          <t>Mercado Pago</t>
        </is>
      </c>
      <c r="J354" s="4" t="inlineStr">
        <is>
          <t>Mercado Pago</t>
        </is>
      </c>
      <c r="K354" s="4" t="inlineStr">
        <is>
          <t>transporte · gasto personal Sol</t>
        </is>
      </c>
      <c r="L354" s="4" t="n">
        <v>422</v>
      </c>
    </row>
    <row r="355">
      <c r="A355" s="15" t="n">
        <v>46126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MERCADO LIBRE</t>
        </is>
      </c>
      <c r="E355" s="4" t="inlineStr">
        <is>
          <t>MERCADO LIBRE</t>
        </is>
      </c>
      <c r="F355" s="5" t="n">
        <v>119000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MERCADO LIBRE · gasto personal Sol</t>
        </is>
      </c>
      <c r="L355" s="4" t="n">
        <v>128</v>
      </c>
    </row>
    <row r="356">
      <c r="A356" s="15" t="n">
        <v>46127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DONACIONES</t>
        </is>
      </c>
      <c r="E356" s="4" t="inlineStr">
        <is>
          <t>DONACIONES</t>
        </is>
      </c>
      <c r="F356" s="5" t="n">
        <v>100000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donación · gasto personal Sol · ex `Fundacion Soplo De Vida`</t>
        </is>
      </c>
      <c r="L356" s="4" t="n">
        <v>129</v>
      </c>
    </row>
    <row r="357">
      <c r="A357" s="15" t="n">
        <v>46127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TRANSPORTE</t>
        </is>
      </c>
      <c r="E357" s="4" t="inlineStr">
        <is>
          <t>TRANSPORTE · Didi</t>
        </is>
      </c>
      <c r="F357" s="5" t="n">
        <v>5550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transporte · gasto personal Sol</t>
        </is>
      </c>
      <c r="L357" s="4" t="n">
        <v>423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TRANSPORTE</t>
        </is>
      </c>
      <c r="E358" s="4" t="inlineStr">
        <is>
          <t>TRANSPORTE · Didi</t>
        </is>
      </c>
      <c r="F358" s="5" t="n">
        <v>4955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transporte · gasto personal Sol</t>
        </is>
      </c>
      <c r="L358" s="4" t="n">
        <v>424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Uber</t>
        </is>
      </c>
      <c r="F359" s="5" t="n">
        <v>20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Uber · Ebanx (=Uber) · gasto personal Sol</t>
        </is>
      </c>
      <c r="L359" s="4" t="n">
        <v>425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Uber</t>
        </is>
      </c>
      <c r="F360" s="5" t="n">
        <v>4919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Uber · Ebanx (=Uber) · gasto personal Sol</t>
        </is>
      </c>
      <c r="L360" s="4" t="n">
        <v>426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5910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427</v>
      </c>
    </row>
    <row r="362">
      <c r="A362" s="15" t="n">
        <v>46128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8578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428</v>
      </c>
    </row>
    <row r="363">
      <c r="A363" s="15" t="n">
        <v>46128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67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812</v>
      </c>
    </row>
    <row r="364">
      <c r="A364" s="15" t="n">
        <v>46129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PELUQUERÍA</t>
        </is>
      </c>
      <c r="E364" s="4" t="inlineStr">
        <is>
          <t>PELUQUERÍA</t>
        </is>
      </c>
      <c r="F364" s="5" t="n">
        <v>155000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PELUQUERÍA · Agustina Vissani (ex AGUS/PSA · ex CASA matriz 2026)</t>
        </is>
      </c>
      <c r="L364" s="4" t="n">
        <v>36</v>
      </c>
    </row>
    <row r="365">
      <c r="A365" s="15" t="n">
        <v>46130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EDUCACIÓN</t>
        </is>
      </c>
      <c r="E365" s="4" t="inlineStr">
        <is>
          <t>EDUCACIÓN</t>
        </is>
      </c>
      <c r="F365" s="5" t="n">
        <v>151214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EDUCACIÓN · UADE · gasto personal Sol</t>
        </is>
      </c>
      <c r="L365" s="4" t="n">
        <v>749</v>
      </c>
    </row>
    <row r="366">
      <c r="A366" s="15" t="n">
        <v>46130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EDUCACIÓN</t>
        </is>
      </c>
      <c r="E366" s="4" t="inlineStr">
        <is>
          <t>EDUCACIÓN</t>
        </is>
      </c>
      <c r="F366" s="5" t="n">
        <v>269460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EDUCACIÓN · UADE · gasto personal Sol</t>
        </is>
      </c>
      <c r="L366" s="4" t="n">
        <v>750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226820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751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Uber</t>
        </is>
      </c>
      <c r="F368" s="5" t="n">
        <v>18208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Uber · Ebanx (=Uber) · gasto personal Sol</t>
        </is>
      </c>
      <c r="L368" s="4" t="n">
        <v>429</v>
      </c>
    </row>
    <row r="369">
      <c r="A369" s="15" t="n">
        <v>46131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TRANSFERENCIAS</t>
        </is>
      </c>
      <c r="E369" s="4" t="inlineStr">
        <is>
          <t>TRANSFERENCIAS</t>
        </is>
      </c>
      <c r="F369" s="5" t="n">
        <v>50000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transferencia · gasto personal Sol (ex-PENDIENTE) · ex `Negri Telma`</t>
        </is>
      </c>
      <c r="L369" s="4" t="n">
        <v>132</v>
      </c>
    </row>
    <row r="370">
      <c r="A370" s="15" t="n">
        <v>46131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Emova</t>
        </is>
      </c>
      <c r="F370" s="5" t="n">
        <v>795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SUBE · gasto personal Sol</t>
        </is>
      </c>
      <c r="L370" s="4" t="n">
        <v>133</v>
      </c>
    </row>
    <row r="371">
      <c r="A371" s="15" t="n">
        <v>46132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COMIDA · OFICINA</t>
        </is>
      </c>
      <c r="E371" s="4" t="inlineStr">
        <is>
          <t>COMIDA · Oficina</t>
        </is>
      </c>
      <c r="F371" s="5" t="n">
        <v>2400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COMIDA · Oficina · Feed · gasto personal Sol</t>
        </is>
      </c>
      <c r="L371" s="4" t="n">
        <v>786</v>
      </c>
    </row>
    <row r="372">
      <c r="A372" s="15" t="n">
        <v>46132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COMIDA · OFICINA</t>
        </is>
      </c>
      <c r="E372" s="4" t="inlineStr">
        <is>
          <t>COMIDA · Oficina</t>
        </is>
      </c>
      <c r="F372" s="5" t="n">
        <v>12650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COMIDA · Oficina · Copetin Catering · gasto personal Sol</t>
        </is>
      </c>
      <c r="L372" s="4" t="n">
        <v>804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MERCADO LIBRE</t>
        </is>
      </c>
      <c r="E373" s="4" t="inlineStr">
        <is>
          <t>MERCADO LIBRE</t>
        </is>
      </c>
      <c r="F373" s="5" t="n">
        <v>156237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MERCADO LIBRE · gasto personal Sol</t>
        </is>
      </c>
      <c r="L373" s="4" t="n">
        <v>134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MERCADO LIBRE</t>
        </is>
      </c>
      <c r="E374" s="4" t="inlineStr">
        <is>
          <t>MERCADO LIBRE</t>
        </is>
      </c>
      <c r="F374" s="5" t="n">
        <v>185340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MERCADO LIBRE · gasto personal Sol</t>
        </is>
      </c>
      <c r="L374" s="4" t="n">
        <v>135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SALUD</t>
        </is>
      </c>
      <c r="E375" s="4" t="inlineStr">
        <is>
          <t>SALUD</t>
        </is>
      </c>
      <c r="F375" s="5" t="n">
        <v>54033</v>
      </c>
      <c r="G375" s="16" t="n"/>
      <c r="H375" s="4" t="inlineStr">
        <is>
          <t>REAL</t>
        </is>
      </c>
      <c r="I375" s="4" t="inlineStr">
        <is>
          <t>BBVA MASTERCARD</t>
        </is>
      </c>
      <c r="J375" s="4" t="inlineStr">
        <is>
          <t>BBVA</t>
        </is>
      </c>
      <c r="K375" s="4" t="inlineStr">
        <is>
          <t>MERPAGO*LABORATORIOBE C.03/06 817086</t>
        </is>
      </c>
      <c r="L375" s="4" t="n">
        <v>246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TRANSPORTE</t>
        </is>
      </c>
      <c r="E376" s="4" t="inlineStr">
        <is>
          <t>TRANSPORTE · Cabify</t>
        </is>
      </c>
      <c r="F376" s="5" t="n">
        <v>6641</v>
      </c>
      <c r="G376" s="16" t="n"/>
      <c r="H376" s="4" t="inlineStr">
        <is>
          <t>REAL</t>
        </is>
      </c>
      <c r="I376" s="4" t="inlineStr">
        <is>
          <t>BBVA</t>
        </is>
      </c>
      <c r="J376" s="4" t="inlineStr">
        <is>
          <t>BBVA</t>
        </is>
      </c>
      <c r="K376" s="4" t="inlineStr">
        <is>
          <t>Cabify · BBVA VISA (BBVA-VISA-2026-04-20-6641) · gasto personal Sol</t>
        </is>
      </c>
      <c r="L376" s="4" t="n">
        <v>489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TRANSPORTE</t>
        </is>
      </c>
      <c r="E377" s="4" t="inlineStr">
        <is>
          <t>TRANSPORTE · Didi</t>
        </is>
      </c>
      <c r="F377" s="5" t="n">
        <v>5330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transporte · gasto personal Sol</t>
        </is>
      </c>
      <c r="L377" s="4" t="n">
        <v>430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Didi</t>
        </is>
      </c>
      <c r="F378" s="5" t="n">
        <v>5992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transporte · gasto personal Sol</t>
        </is>
      </c>
      <c r="L378" s="4" t="n">
        <v>431</v>
      </c>
    </row>
    <row r="379">
      <c r="A379" s="15" t="n">
        <v>46133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TRANSFERENCIAS</t>
        </is>
      </c>
      <c r="E379" s="4" t="inlineStr">
        <is>
          <t>TRANSFERENCIAS</t>
        </is>
      </c>
      <c r="F379" s="5" t="n">
        <v>200000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transferencia · gasto personal Sol (ex-PENDIENTE) · ex `Negri Telma`</t>
        </is>
      </c>
      <c r="L379" s="4" t="n">
        <v>136</v>
      </c>
    </row>
    <row r="380">
      <c r="A380" s="15" t="n">
        <v>46134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HOGAR</t>
        </is>
      </c>
      <c r="E380" s="4" t="inlineStr">
        <is>
          <t>HOGAR</t>
        </is>
      </c>
      <c r="F380" s="5" t="n">
        <v>18334</v>
      </c>
      <c r="G380" s="16" t="n"/>
      <c r="H380" s="4" t="inlineStr">
        <is>
          <t>REAL</t>
        </is>
      </c>
      <c r="I380" s="4" t="inlineStr">
        <is>
          <t>BBVA MASTERCARD</t>
        </is>
      </c>
      <c r="J380" s="4" t="inlineStr">
        <is>
          <t>BBVA</t>
        </is>
      </c>
      <c r="K380" s="4" t="inlineStr">
        <is>
          <t>MERPAGO*STANLEYARGENT C.03/06 249663</t>
        </is>
      </c>
      <c r="L380" s="4" t="n">
        <v>247</v>
      </c>
    </row>
    <row r="381">
      <c r="A381" s="15" t="n">
        <v>46134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153480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compra · gasto personal Sol (ex-PENDIENTE) · ex `Martina Chippano`</t>
        </is>
      </c>
      <c r="L381" s="4" t="n">
        <v>137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TRANSPORTE</t>
        </is>
      </c>
      <c r="E382" s="4" t="inlineStr">
        <is>
          <t>TRANSPORTE · Didi</t>
        </is>
      </c>
      <c r="F382" s="5" t="n">
        <v>7610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transporte · gasto personal Sol</t>
        </is>
      </c>
      <c r="L382" s="4" t="n">
        <v>432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TRANSPORTE</t>
        </is>
      </c>
      <c r="E383" s="4" t="inlineStr">
        <is>
          <t>TRANSPORTE · Uber</t>
        </is>
      </c>
      <c r="F383" s="5" t="n">
        <v>6397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TRANSPORTE · Uber · Ebanx (=Uber) · gasto personal Sol</t>
        </is>
      </c>
      <c r="L383" s="4" t="n">
        <v>433</v>
      </c>
    </row>
    <row r="384">
      <c r="A384" s="15" t="n">
        <v>46135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TRAÍDO DE MIAMI</t>
        </is>
      </c>
      <c r="E384" s="4" t="inlineStr">
        <is>
          <t>ENVÍOS</t>
        </is>
      </c>
      <c r="F384" s="5" t="n">
        <v>26593</v>
      </c>
      <c r="G384" s="16" t="n"/>
      <c r="H384" s="4" t="inlineStr">
        <is>
          <t>REAL</t>
        </is>
      </c>
      <c r="I384" s="4" t="inlineStr">
        <is>
          <t>BBVA VISA</t>
        </is>
      </c>
      <c r="J384" s="4" t="inlineStr">
        <is>
          <t>BBVA</t>
        </is>
      </c>
      <c r="K384" s="4" t="inlineStr">
        <is>
          <t>ENVÍOS · DHL Express · similar USA BOX / TRAÍDO DE MIAMI · MP vía TC · MERPAGO*DHLEXPRESSARGE 248841</t>
        </is>
      </c>
      <c r="L384" s="4" t="n">
        <v>265</v>
      </c>
    </row>
    <row r="385">
      <c r="A385" s="15" t="n">
        <v>46135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SEGUROS / RETIRO</t>
        </is>
      </c>
      <c r="E385" s="4" t="inlineStr">
        <is>
          <t>SEGUROS · Retiro</t>
        </is>
      </c>
      <c r="F385" s="5" t="n">
        <v>343237</v>
      </c>
      <c r="G385" s="16" t="n"/>
      <c r="H385" s="4" t="inlineStr">
        <is>
          <t>REAL</t>
        </is>
      </c>
      <c r="I385" s="4" t="inlineStr">
        <is>
          <t>BBVA Visa</t>
        </is>
      </c>
      <c r="J385" s="4" t="inlineStr">
        <is>
          <t>BBVA</t>
        </is>
      </c>
      <c r="K385" s="4" t="inlineStr">
        <is>
          <t>SEGUROS · Retiro · Zurich · Seguro de retiro Zurich · gasto personal Sol</t>
        </is>
      </c>
      <c r="L385" s="4" t="n">
        <v>264</v>
      </c>
    </row>
    <row r="386">
      <c r="A386" s="15" t="n">
        <v>46136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DONACIONES</t>
        </is>
      </c>
      <c r="E386" s="4" t="inlineStr">
        <is>
          <t>DONACIONES</t>
        </is>
      </c>
      <c r="F386" s="5" t="n">
        <v>40000</v>
      </c>
      <c r="G386" s="16" t="n"/>
      <c r="H386" s="4" t="inlineStr">
        <is>
          <t>REAL</t>
        </is>
      </c>
      <c r="I386" s="4" t="inlineStr">
        <is>
          <t>Mercado Pago</t>
        </is>
      </c>
      <c r="J386" s="4" t="inlineStr">
        <is>
          <t>Mercado Pago</t>
        </is>
      </c>
      <c r="K386" s="4" t="inlineStr">
        <is>
          <t>donación · gasto personal Sol · ex `Fundacion Soplo De Vida`</t>
        </is>
      </c>
      <c r="L386" s="4" t="n">
        <v>138</v>
      </c>
    </row>
    <row r="387">
      <c r="A387" s="15" t="n">
        <v>46136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Didi</t>
        </is>
      </c>
      <c r="F387" s="5" t="n">
        <v>5420</v>
      </c>
      <c r="G387" s="16" t="n"/>
      <c r="H387" s="4" t="inlineStr">
        <is>
          <t>REAL</t>
        </is>
      </c>
      <c r="I387" s="4" t="inlineStr">
        <is>
          <t>Mercado Pago</t>
        </is>
      </c>
      <c r="J387" s="4" t="inlineStr">
        <is>
          <t>Mercado Pago</t>
        </is>
      </c>
      <c r="K387" s="4" t="inlineStr">
        <is>
          <t>transporte · gasto personal Sol</t>
        </is>
      </c>
      <c r="L387" s="4" t="n">
        <v>434</v>
      </c>
    </row>
    <row r="388">
      <c r="A388" s="15" t="n">
        <v>46137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EVENTOS DEPORTIVOS - RIVER</t>
        </is>
      </c>
      <c r="E388" s="4" t="inlineStr">
        <is>
          <t>Eventos deportivos - River</t>
        </is>
      </c>
      <c r="F388" s="5" t="n">
        <v>31450</v>
      </c>
      <c r="G388" s="16" t="n"/>
      <c r="H388" s="4" t="inlineStr">
        <is>
          <t>REAL</t>
        </is>
      </c>
      <c r="I388" s="4" t="inlineStr">
        <is>
          <t>BBVA VISA</t>
        </is>
      </c>
      <c r="J388" s="4" t="inlineStr">
        <is>
          <t>BBVA</t>
        </is>
      </c>
      <c r="K388" s="4" t="inlineStr">
        <is>
          <t>Eventos deportivos - River · Tu Lugar en el Monumental / cuota social CARP · BBVA VISA</t>
        </is>
      </c>
      <c r="L388" s="4" t="n">
        <v>266</v>
      </c>
    </row>
    <row r="389">
      <c r="A389" s="15" t="n">
        <v>46137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TELECOMUNICACIONES</t>
        </is>
      </c>
      <c r="E389" s="4" t="inlineStr">
        <is>
          <t>Servicio - Telefonía</t>
        </is>
      </c>
      <c r="F389" s="5" t="n">
        <v>4200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Tuenti · gasto personal Sol · hoja Gasto Personal Sol</t>
        </is>
      </c>
      <c r="L389" s="4" t="n">
        <v>139</v>
      </c>
    </row>
    <row r="390">
      <c r="A390" s="15" t="n">
        <v>46138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COMPRAS</t>
        </is>
      </c>
      <c r="E390" s="4" t="inlineStr">
        <is>
          <t>COMPRAS</t>
        </is>
      </c>
      <c r="F390" s="5" t="n">
        <v>21600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pago QR · gasto personal Sol · MP cuenta</t>
        </is>
      </c>
      <c r="L390" s="4" t="n">
        <v>752</v>
      </c>
    </row>
    <row r="391">
      <c r="A391" s="15" t="n">
        <v>46138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SALUD · Vitaminas</t>
        </is>
      </c>
      <c r="E391" s="4" t="inlineStr">
        <is>
          <t>SALUD · Vitaminas</t>
        </is>
      </c>
      <c r="F391" s="5" t="n">
        <v>87900</v>
      </c>
      <c r="G391" s="16" t="n"/>
      <c r="H391" s="4" t="inlineStr">
        <is>
          <t>REAL</t>
        </is>
      </c>
      <c r="I391" s="4" t="inlineStr">
        <is>
          <t>BBVA Visa</t>
        </is>
      </c>
      <c r="J391" s="4" t="inlineStr">
        <is>
          <t>BBVA</t>
        </is>
      </c>
      <c r="K391" s="4" t="inlineStr">
        <is>
          <t>SALUD · Vitaminas · Promarine · BBVA · C.01/06 · gasto personal Sol</t>
        </is>
      </c>
      <c r="L391" s="4" t="n">
        <v>225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2100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transferencia · gasto personal Sol (ex-PENDIENTE) · ex `Mauro Ascunce`</t>
        </is>
      </c>
      <c r="L392" s="4" t="n">
        <v>140</v>
      </c>
    </row>
    <row r="393">
      <c r="A393" s="15" t="n">
        <v>46139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MERCADO LIBRE</t>
        </is>
      </c>
      <c r="E393" s="4" t="inlineStr">
        <is>
          <t>MERCADO LIBRE</t>
        </is>
      </c>
      <c r="F393" s="5" t="n">
        <v>45000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MP vía TC · MERPAGO*MARTINA19 130592</t>
        </is>
      </c>
      <c r="L393" s="4" t="n">
        <v>267</v>
      </c>
    </row>
    <row r="394">
      <c r="A394" s="15" t="n">
        <v>46139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Didi</t>
        </is>
      </c>
      <c r="F394" s="5" t="n">
        <v>5100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gasto personal Sol</t>
        </is>
      </c>
      <c r="L394" s="4" t="n">
        <v>435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TRANSPORTE</t>
        </is>
      </c>
      <c r="E395" s="4" t="inlineStr">
        <is>
          <t>TRANSPORTE · Uber</t>
        </is>
      </c>
      <c r="F395" s="5" t="n">
        <v>6321</v>
      </c>
      <c r="G395" s="16" t="n"/>
      <c r="H395" s="4" t="inlineStr">
        <is>
          <t>REAL</t>
        </is>
      </c>
      <c r="I395" s="4" t="inlineStr">
        <is>
          <t>Mercado Pago</t>
        </is>
      </c>
      <c r="J395" s="4" t="inlineStr">
        <is>
          <t>Mercado Pago</t>
        </is>
      </c>
      <c r="K395" s="4" t="inlineStr">
        <is>
          <t>TRANSPORTE · Uber · Ebanx (=Uber) · gasto personal Sol</t>
        </is>
      </c>
      <c r="L395" s="4" t="n">
        <v>436</v>
      </c>
    </row>
    <row r="396">
      <c r="A396" s="15" t="n">
        <v>46140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SUSCRIPCIONES · IA</t>
        </is>
      </c>
      <c r="E396" s="4" t="inlineStr">
        <is>
          <t>SUSCRIPCIONES · IA</t>
        </is>
      </c>
      <c r="F396" s="5" t="n">
        <v>192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SUSCRIPCIONES · IA · Cursor · gasto personal Sol · Suscripción · CURSOR, AI POWER in1TRJqfBUSD  714395</t>
        </is>
      </c>
      <c r="L396" s="4" t="n">
        <v>268</v>
      </c>
    </row>
    <row r="397">
      <c r="A397" s="15" t="n">
        <v>46140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SUSCRIPCIONES · IA</t>
        </is>
      </c>
      <c r="E397" s="4" t="inlineStr">
        <is>
          <t>SUSCRIPCIONES · IA</t>
        </is>
      </c>
      <c r="F397" s="5" t="n">
        <v>275336</v>
      </c>
      <c r="G397" s="16" t="n"/>
      <c r="H397" s="4" t="inlineStr">
        <is>
          <t>REAL</t>
        </is>
      </c>
      <c r="I397" s="4" t="inlineStr">
        <is>
          <t>BBVA Visa · USD</t>
        </is>
      </c>
      <c r="J397" s="4" t="inlineStr">
        <is>
          <t>BBVA</t>
        </is>
      </c>
      <c r="K397" s="4" t="inlineStr">
        <is>
          <t>SUSCRIPCIONES · IA · Cursor · gasto personal Sol · USD 192.00 × TC MEP 1434.04 · suscripción · gasto personal Sol</t>
        </is>
      </c>
      <c r="L397" s="4" t="n">
        <v>338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Uber</t>
        </is>
      </c>
      <c r="F398" s="5" t="n">
        <v>5273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Uber · Ebanx (=Uber) · gasto personal Sol</t>
        </is>
      </c>
      <c r="L398" s="4" t="n">
        <v>813</v>
      </c>
    </row>
    <row r="399">
      <c r="A399" s="15" t="n">
        <v>46141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TRANSPORTE</t>
        </is>
      </c>
      <c r="E399" s="4" t="inlineStr">
        <is>
          <t>TRANSPORTE · Didi</t>
        </is>
      </c>
      <c r="F399" s="5" t="n">
        <v>4520</v>
      </c>
      <c r="G399" s="16" t="n"/>
      <c r="H399" s="4" t="inlineStr">
        <is>
          <t>REAL</t>
        </is>
      </c>
      <c r="I399" s="4" t="inlineStr">
        <is>
          <t>Mercado Pago</t>
        </is>
      </c>
      <c r="J399" s="4" t="inlineStr">
        <is>
          <t>Mercado Pago</t>
        </is>
      </c>
      <c r="K399" s="4" t="inlineStr">
        <is>
          <t>transporte · gasto personal Sol</t>
        </is>
      </c>
      <c r="L399" s="4" t="n">
        <v>437</v>
      </c>
    </row>
    <row r="400">
      <c r="A400" s="15" t="n">
        <v>46141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Didi</t>
        </is>
      </c>
      <c r="F400" s="5" t="n">
        <v>3904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gasto personal Sol</t>
        </is>
      </c>
      <c r="L400" s="4" t="n">
        <v>438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4670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439</v>
      </c>
    </row>
    <row r="402">
      <c r="A402" s="15" t="n">
        <v>46142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PERCEPCIONES USD</t>
        </is>
      </c>
      <c r="E402" s="4" t="inlineStr">
        <is>
          <t>PERCEPCIÓN USD · DB RG 5617 30%</t>
        </is>
      </c>
      <c r="F402" s="5" t="n">
        <v>16694</v>
      </c>
      <c r="G402" s="16" t="n"/>
      <c r="H402" s="4" t="inlineStr">
        <is>
          <t>REAL</t>
        </is>
      </c>
      <c r="I402" s="4" t="inlineStr">
        <is>
          <t>BBVA MASTERCARD</t>
        </is>
      </c>
      <c r="J402" s="4" t="inlineStr">
        <is>
          <t>BBVA</t>
        </is>
      </c>
      <c r="K402" s="4" t="inlineStr">
        <is>
          <t>PERCEPCIÓN USD · DB RG 5617 30% · base $55,646.08 · cierre 30-Abr-26 · percepciones por consumos en USD · gasto personal Sol</t>
        </is>
      </c>
      <c r="L402" s="4" t="n">
        <v>630</v>
      </c>
    </row>
    <row r="403">
      <c r="A403" s="15" t="n">
        <v>46142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PERCEPCIONES USD</t>
        </is>
      </c>
      <c r="E403" s="4" t="inlineStr">
        <is>
          <t>PERCEPCIÓN USD · DB RG 5617 30%</t>
        </is>
      </c>
      <c r="F403" s="5" t="n">
        <v>95329</v>
      </c>
      <c r="G403" s="16" t="n"/>
      <c r="H403" s="4" t="inlineStr">
        <is>
          <t>REAL</t>
        </is>
      </c>
      <c r="I403" s="4" t="inlineStr">
        <is>
          <t>BBVA VISA</t>
        </is>
      </c>
      <c r="J403" s="4" t="inlineStr">
        <is>
          <t>BBVA</t>
        </is>
      </c>
      <c r="K403" s="4" t="inlineStr">
        <is>
          <t>PERCEPCIÓN USD · DB RG 5617 30% · base $317,762.94 · cierre 30-Abr-26 · percepciones por consumos en USD · gasto personal Sol</t>
        </is>
      </c>
      <c r="L403" s="4" t="n">
        <v>635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IIBB CABA 2%</t>
        </is>
      </c>
      <c r="F404" s="5" t="n">
        <v>1303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IIBB CABA 2% · base $65,150.03 · cierre 30-Abr-26 · percepciones por consumos en USD · gasto personal Sol</t>
        </is>
      </c>
      <c r="L404" s="4" t="n">
        <v>628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IIBB CABA 2%</t>
        </is>
      </c>
      <c r="F405" s="5" t="n">
        <v>90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IIBB CABA 2% · base $4,494.54 · cierre 30-Abr-26 · percepciones por consumos en USD · gasto personal Sol</t>
        </is>
      </c>
      <c r="L405" s="4" t="n">
        <v>631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88</v>
      </c>
      <c r="G406" s="16" t="n"/>
      <c r="H406" s="4" t="inlineStr">
        <is>
          <t>REAL</t>
        </is>
      </c>
      <c r="I406" s="4" t="inlineStr">
        <is>
          <t>BBVA VISA</t>
        </is>
      </c>
      <c r="J406" s="4" t="inlineStr">
        <is>
          <t>BBVA</t>
        </is>
      </c>
      <c r="K406" s="4" t="inlineStr">
        <is>
          <t>PERCEPCIÓN USD · IIBB CABA 2% · base $4,369.31 · cierre 30-Abr-26 · percepciones por consumos en USD · gasto personal Sol</t>
        </is>
      </c>
      <c r="L406" s="4" t="n">
        <v>632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IVA RG 4240 21%</t>
        </is>
      </c>
      <c r="F407" s="5" t="n">
        <v>13682</v>
      </c>
      <c r="G407" s="16" t="n"/>
      <c r="H407" s="4" t="inlineStr">
        <is>
          <t>REAL</t>
        </is>
      </c>
      <c r="I407" s="4" t="inlineStr">
        <is>
          <t>BBVA MASTERCARD</t>
        </is>
      </c>
      <c r="J407" s="4" t="inlineStr">
        <is>
          <t>BBVA</t>
        </is>
      </c>
      <c r="K407" s="4" t="inlineStr">
        <is>
          <t>PERCEPCIÓN USD · IVA RG 4240 21% · base $65,150.03 · cierre 30-Abr-26 · percepciones por consumos en USD · gasto personal Sol</t>
        </is>
      </c>
      <c r="L407" s="4" t="n">
        <v>629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IVA RG 4240 21%</t>
        </is>
      </c>
      <c r="F408" s="5" t="n">
        <v>944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IVA RG 4240 21% · base $4,494.54 · cierre 30-Abr-26 · percepciones por consumos en USD · gasto personal Sol</t>
        </is>
      </c>
      <c r="L408" s="4" t="n">
        <v>633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918</v>
      </c>
      <c r="G409" s="16" t="n"/>
      <c r="H409" s="4" t="inlineStr">
        <is>
          <t>REAL</t>
        </is>
      </c>
      <c r="I409" s="4" t="inlineStr">
        <is>
          <t>BBVA VISA</t>
        </is>
      </c>
      <c r="J409" s="4" t="inlineStr">
        <is>
          <t>BBVA</t>
        </is>
      </c>
      <c r="K409" s="4" t="inlineStr">
        <is>
          <t>PERCEPCIÓN USD · IVA RG 4240 21% · base $4,369.31 · cierre 30-Abr-26 · percepciones por consumos en USD · gasto personal Sol</t>
        </is>
      </c>
      <c r="L409" s="4" t="n">
        <v>634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SUSCRIPCIONES · IA</t>
        </is>
      </c>
      <c r="E410" s="4" t="inlineStr">
        <is>
          <t>SUSCRIPCIONES · IA</t>
        </is>
      </c>
      <c r="F410" s="5" t="n">
        <v>28681</v>
      </c>
      <c r="G410" s="16" t="n"/>
      <c r="H410" s="4" t="inlineStr">
        <is>
          <t>REAL</t>
        </is>
      </c>
      <c r="I410" s="4" t="inlineStr">
        <is>
          <t>BBVA</t>
        </is>
      </c>
      <c r="J410" s="4" t="inlineStr">
        <is>
          <t>BBVA</t>
        </is>
      </c>
      <c r="K410" s="4" t="inlineStr">
        <is>
          <t>SUSCRIPCIONES · IA · ChatGPT / OpenAI · gasto personal Sol</t>
        </is>
      </c>
      <c r="L410" s="4" t="n">
        <v>776</v>
      </c>
    </row>
    <row r="411">
      <c r="A411" s="15" t="n">
        <v>46143</v>
      </c>
      <c r="B411" s="4" t="inlineStr">
        <is>
          <t>2026-05</t>
        </is>
      </c>
      <c r="C411" s="4" t="inlineStr">
        <is>
          <t>Mayo</t>
        </is>
      </c>
      <c r="D411" s="4" t="inlineStr">
        <is>
          <t>SUSCRIPCIONES · IA</t>
        </is>
      </c>
      <c r="E411" s="4" t="inlineStr">
        <is>
          <t>SUSCRIPCIONES · IA</t>
        </is>
      </c>
      <c r="F411" s="5" t="n">
        <v>20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SUSCRIPCIONES · IA · Vercel · gasto personal Sol · Suscripción · VERCEL INC. in1TSPl7GUSD  055058</t>
        </is>
      </c>
      <c r="L411" s="4" t="n">
        <v>252</v>
      </c>
    </row>
    <row r="412">
      <c r="A412" s="15" t="n">
        <v>46143</v>
      </c>
      <c r="B412" s="4" t="inlineStr">
        <is>
          <t>2026-05</t>
        </is>
      </c>
      <c r="C412" s="4" t="inlineStr">
        <is>
          <t>Mayo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28593</v>
      </c>
      <c r="G412" s="16" t="n"/>
      <c r="H412" s="4" t="inlineStr">
        <is>
          <t>REAL</t>
        </is>
      </c>
      <c r="I412" s="4" t="inlineStr">
        <is>
          <t>BBVA Visa · USD</t>
        </is>
      </c>
      <c r="J412" s="4" t="inlineStr">
        <is>
          <t>BBVA</t>
        </is>
      </c>
      <c r="K412" s="4" t="inlineStr">
        <is>
          <t>SUSCRIPCIONES · IA · Vercel · gasto personal Sol · USD 20.00 × TC MEP 1429.65 · suscripción · gasto personal Sol</t>
        </is>
      </c>
      <c r="L412" s="4" t="n">
        <v>339</v>
      </c>
    </row>
    <row r="413">
      <c r="A413" s="15" t="n">
        <v>46144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AUTO</t>
        </is>
      </c>
      <c r="E413" s="4" t="inlineStr">
        <is>
          <t>AUTO</t>
        </is>
      </c>
      <c r="F413" s="5" t="n">
        <v>751</v>
      </c>
      <c r="G413" s="16" t="n"/>
      <c r="H413" s="4" t="inlineStr">
        <is>
          <t>REAL</t>
        </is>
      </c>
      <c r="I413" s="4" t="inlineStr">
        <is>
          <t>Mercado Pago</t>
        </is>
      </c>
      <c r="J413" s="4" t="inlineStr">
        <is>
          <t>Mercado Pago</t>
        </is>
      </c>
      <c r="K413" s="4" t="inlineStr">
        <is>
          <t>ACA · AUTO/ACA · gasto personal Sol</t>
        </is>
      </c>
      <c r="L413" s="4" t="n">
        <v>143</v>
      </c>
    </row>
    <row r="414">
      <c r="A414" s="15" t="n">
        <v>46144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ROPA</t>
        </is>
      </c>
      <c r="E414" s="4" t="inlineStr">
        <is>
          <t>ROPA</t>
        </is>
      </c>
      <c r="F414" s="5" t="n">
        <v>36667</v>
      </c>
      <c r="G414" s="16" t="n"/>
      <c r="H414" s="4" t="inlineStr">
        <is>
          <t>REAL</t>
        </is>
      </c>
      <c r="I414" s="4" t="inlineStr">
        <is>
          <t>BBVA MASTERCARD</t>
        </is>
      </c>
      <c r="J414" s="4" t="inlineStr">
        <is>
          <t>BBVA</t>
        </is>
      </c>
      <c r="K414" s="4" t="inlineStr">
        <is>
          <t>SPORTING C.02/06 004150</t>
        </is>
      </c>
      <c r="L414" s="4" t="n">
        <v>248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SALUD</t>
        </is>
      </c>
      <c r="E415" s="4" t="inlineStr">
        <is>
          <t>SALUD</t>
        </is>
      </c>
      <c r="F415" s="5" t="n">
        <v>72249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¿farmacia? · gasto personal Sol</t>
        </is>
      </c>
      <c r="L415" s="4" t="n">
        <v>145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TELECOMUNICACIONES</t>
        </is>
      </c>
      <c r="E416" s="4" t="inlineStr">
        <is>
          <t>Servicio - Telefonía</t>
        </is>
      </c>
      <c r="F416" s="5" t="n">
        <v>4200</v>
      </c>
      <c r="G416" s="16" t="n"/>
      <c r="H416" s="4" t="inlineStr">
        <is>
          <t>REAL</t>
        </is>
      </c>
      <c r="I416" s="4" t="inlineStr">
        <is>
          <t>Mercado Pago</t>
        </is>
      </c>
      <c r="J416" s="4" t="inlineStr">
        <is>
          <t>Mercado Pago</t>
        </is>
      </c>
      <c r="K416" s="4" t="inlineStr">
        <is>
          <t>Tuenti · gasto personal Sol · hoja Gasto Personal Sol</t>
        </is>
      </c>
      <c r="L416" s="4" t="n">
        <v>146</v>
      </c>
    </row>
    <row r="417">
      <c r="A417" s="15" t="n">
        <v>46145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EVENTOS DEPORTIVOS - RIVER</t>
        </is>
      </c>
      <c r="E417" s="4" t="inlineStr">
        <is>
          <t>Eventos deportivos - River</t>
        </is>
      </c>
      <c r="F417" s="5" t="n">
        <v>32500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Eventos deportivos - River · Tu Lugar en el Monumental / cuota social CARP · BBVA VISA</t>
        </is>
      </c>
      <c r="L417" s="4" t="n">
        <v>255</v>
      </c>
    </row>
    <row r="418">
      <c r="A418" s="15" t="n">
        <v>46145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ROPA</t>
        </is>
      </c>
      <c r="E418" s="4" t="inlineStr">
        <is>
          <t>ROPA</t>
        </is>
      </c>
      <c r="F418" s="5" t="n">
        <v>73333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ROPA · Adidas · Adidas · ROPA</t>
        </is>
      </c>
      <c r="L418" s="4" t="n">
        <v>285</v>
      </c>
    </row>
    <row r="419">
      <c r="A419" s="15" t="n">
        <v>46146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SALUD</t>
        </is>
      </c>
      <c r="E419" s="4" t="inlineStr">
        <is>
          <t>SALUD</t>
        </is>
      </c>
      <c r="F419" s="5" t="n">
        <v>40000</v>
      </c>
      <c r="G419" s="16" t="n"/>
      <c r="H419" s="4" t="inlineStr">
        <is>
          <t>REAL</t>
        </is>
      </c>
      <c r="I419" s="4" t="inlineStr">
        <is>
          <t>Mercado Pago</t>
        </is>
      </c>
      <c r="J419" s="4" t="inlineStr">
        <is>
          <t>Mercado Pago</t>
        </is>
      </c>
      <c r="K419" s="4" t="inlineStr">
        <is>
          <t>salud · gasto personal Sol</t>
        </is>
      </c>
      <c r="L419" s="4" t="n">
        <v>147</v>
      </c>
    </row>
    <row r="420">
      <c r="A420" s="15" t="n">
        <v>46147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95000</v>
      </c>
      <c r="G420" s="16" t="n"/>
      <c r="H420" s="4" t="inlineStr">
        <is>
          <t>REAL</t>
        </is>
      </c>
      <c r="I420" s="4" t="inlineStr">
        <is>
          <t>Mercado Pago</t>
        </is>
      </c>
      <c r="J420" s="4" t="inlineStr">
        <is>
          <t>Mercado Pago</t>
        </is>
      </c>
      <c r="K420" s="4" t="inlineStr">
        <is>
          <t>ROPA · Zara · transferencia · gasto personal Sol (ex-PENDIENTE)</t>
        </is>
      </c>
      <c r="L420" s="4" t="n">
        <v>148</v>
      </c>
    </row>
    <row r="421">
      <c r="A421" s="15" t="n">
        <v>46147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TRANSPORTE</t>
        </is>
      </c>
      <c r="E421" s="4" t="inlineStr">
        <is>
          <t>TRANSPORTE · Didi</t>
        </is>
      </c>
      <c r="F421" s="5" t="n">
        <v>6050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transporte · gasto personal Sol</t>
        </is>
      </c>
      <c r="L421" s="4" t="n">
        <v>440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TRANSPORTE</t>
        </is>
      </c>
      <c r="E422" s="4" t="inlineStr">
        <is>
          <t>TRANSPORTE · Uber</t>
        </is>
      </c>
      <c r="F422" s="5" t="n">
        <v>4890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TRANSPORTE · Uber · Ebanx (=Uber) · gasto personal Sol</t>
        </is>
      </c>
      <c r="L422" s="4" t="n">
        <v>441</v>
      </c>
    </row>
    <row r="423">
      <c r="A423" s="15" t="n">
        <v>46148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AVA FIDEICOMISO</t>
        </is>
      </c>
      <c r="E423" s="4" t="inlineStr">
        <is>
          <t>AVA FIDEICOMISO</t>
        </is>
      </c>
      <c r="F423" s="5" t="n">
        <v>2822312</v>
      </c>
      <c r="G423" s="16" t="n"/>
      <c r="H423" s="4" t="inlineStr">
        <is>
          <t>REAL</t>
        </is>
      </c>
      <c r="I423" s="4" t="inlineStr">
        <is>
          <t>Mercado Pago / TC MEP</t>
        </is>
      </c>
      <c r="J423" s="4" t="inlineStr">
        <is>
          <t>Mercado Pago</t>
        </is>
      </c>
      <c r="K423" s="4" t="inlineStr">
        <is>
          <t>50% Sol de $5,644,624 · AVA Palpa (Chris el otro 50%) · ex `AVA Fideicomiso · cuota 7 · mayo 2026`</t>
        </is>
      </c>
      <c r="L423" s="4" t="n">
        <v>332</v>
      </c>
    </row>
    <row r="424">
      <c r="A424" s="15" t="n">
        <v>46148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COMPRAS</t>
        </is>
      </c>
      <c r="E424" s="4" t="inlineStr">
        <is>
          <t>COMPRAS</t>
        </is>
      </c>
      <c r="F424" s="5" t="n">
        <v>129190</v>
      </c>
      <c r="G424" s="16" t="n"/>
      <c r="H424" s="4" t="inlineStr">
        <is>
          <t>REAL</t>
        </is>
      </c>
      <c r="I424" s="4" t="inlineStr">
        <is>
          <t>BBVA MASTERCARD</t>
        </is>
      </c>
      <c r="J424" s="4" t="inlineStr">
        <is>
          <t>BBVA</t>
        </is>
      </c>
      <c r="K424" s="4" t="inlineStr">
        <is>
          <t>GRECIA TEAM-TIENDANUBE 048177</t>
        </is>
      </c>
      <c r="L424" s="4" t="n">
        <v>286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60917</v>
      </c>
      <c r="G425" s="16" t="n"/>
      <c r="H425" s="4" t="inlineStr">
        <is>
          <t>REAL</t>
        </is>
      </c>
      <c r="I425" s="4" t="inlineStr">
        <is>
          <t>BBVA VISA</t>
        </is>
      </c>
      <c r="J425" s="4" t="inlineStr">
        <is>
          <t>BBVA</t>
        </is>
      </c>
      <c r="K425" s="4" t="inlineStr">
        <is>
          <t>MERPAGO*ZADIG C.02/12 039423</t>
        </is>
      </c>
      <c r="L425" s="4" t="n">
        <v>226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TRANSPORTE</t>
        </is>
      </c>
      <c r="E426" s="4" t="inlineStr">
        <is>
          <t>TRANSPORTE · Uber</t>
        </is>
      </c>
      <c r="F426" s="5" t="n">
        <v>5747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TRANSPORTE · Uber · Ebanx (=Uber) · gasto personal Sol</t>
        </is>
      </c>
      <c r="L426" s="4" t="n">
        <v>442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TRANSPORTE</t>
        </is>
      </c>
      <c r="E427" s="4" t="inlineStr">
        <is>
          <t>TRANSPORTE · Uber</t>
        </is>
      </c>
      <c r="F427" s="5" t="n">
        <v>255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TRANSPORTE · Uber · Ebanx (=Uber) · gasto personal Sol</t>
        </is>
      </c>
      <c r="L427" s="4" t="n">
        <v>443</v>
      </c>
    </row>
    <row r="428">
      <c r="A428" s="15" t="n">
        <v>46149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SUSCRIPCIONES · IA</t>
        </is>
      </c>
      <c r="E428" s="4" t="inlineStr">
        <is>
          <t>SUSCRIPCIONES · IA</t>
        </is>
      </c>
      <c r="F428" s="5" t="n">
        <v>28579</v>
      </c>
      <c r="G428" s="16" t="n"/>
      <c r="H428" s="4" t="inlineStr">
        <is>
          <t>REAL</t>
        </is>
      </c>
      <c r="I428" s="4" t="inlineStr">
        <is>
          <t>BBVA Visa · USD</t>
        </is>
      </c>
      <c r="J428" s="4" t="inlineStr">
        <is>
          <t>BBVA</t>
        </is>
      </c>
      <c r="K428" s="4" t="inlineStr">
        <is>
          <t>SUSCRIPCIONES · IA · Google One / Gemini · gasto personal Sol · USD 19.99 × TC MEP 1429.65 · Gemini Advanced / Google One · gasto personal Sol</t>
        </is>
      </c>
      <c r="L428" s="4" t="n">
        <v>356</v>
      </c>
    </row>
    <row r="429">
      <c r="A429" s="15" t="n">
        <v>46149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TELECOMUNICACIONES</t>
        </is>
      </c>
      <c r="E429" s="4" t="inlineStr">
        <is>
          <t>Servicio - Telefonía</t>
        </is>
      </c>
      <c r="F429" s="5" t="n">
        <v>16650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Tuenti · gasto personal Sol · hoja Gasto Personal Sol</t>
        </is>
      </c>
      <c r="L429" s="4" t="n">
        <v>149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TRANSPORTE</t>
        </is>
      </c>
      <c r="E430" s="4" t="inlineStr">
        <is>
          <t>TRANSPORTE · Uber</t>
        </is>
      </c>
      <c r="F430" s="5" t="n">
        <v>7442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TRANSPORTE · Uber · Ebanx (=Uber) · gasto personal Sol</t>
        </is>
      </c>
      <c r="L430" s="4" t="n">
        <v>444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TRANSPORTE</t>
        </is>
      </c>
      <c r="E431" s="4" t="inlineStr">
        <is>
          <t>TRANSPORTE · Uber</t>
        </is>
      </c>
      <c r="F431" s="5" t="n">
        <v>6706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TRANSPORTE · Uber · Ebanx (=Uber) · gasto personal Sol</t>
        </is>
      </c>
      <c r="L431" s="4" t="n">
        <v>445</v>
      </c>
    </row>
    <row r="432">
      <c r="A432" s="15" t="n">
        <v>46150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COMPRAS</t>
        </is>
      </c>
      <c r="E432" s="4" t="inlineStr">
        <is>
          <t>COMPRAS</t>
        </is>
      </c>
      <c r="F432" s="5" t="n">
        <v>63000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COMPRAS · Casareggia · pago QR CASAREGGIA · gasto personal Sol</t>
        </is>
      </c>
      <c r="L432" s="4" t="n">
        <v>768</v>
      </c>
    </row>
    <row r="433">
      <c r="A433" s="15" t="n">
        <v>46150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TRANSFERENCIAS</t>
        </is>
      </c>
      <c r="E433" s="4" t="inlineStr">
        <is>
          <t>TRANSFERENCIAS</t>
        </is>
      </c>
      <c r="F433" s="5" t="n">
        <v>60900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transferencia · gasto personal Sol (ex-PENDIENTE) · ex `Florencia Risi`</t>
        </is>
      </c>
      <c r="L433" s="4" t="n">
        <v>150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TRANSFERENCIAS</t>
        </is>
      </c>
      <c r="E434" s="4" t="inlineStr">
        <is>
          <t>TRANSFERENCIAS</t>
        </is>
      </c>
      <c r="F434" s="5" t="n">
        <v>266443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 · gasto personal Sol (ex-PENDIENTE) · ex `Ruth Calvetti`</t>
        </is>
      </c>
      <c r="L434" s="4" t="n">
        <v>151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TRANSPORTE</t>
        </is>
      </c>
      <c r="E435" s="4" t="inlineStr">
        <is>
          <t>TRANSPORTE · Didi</t>
        </is>
      </c>
      <c r="F435" s="5" t="n">
        <v>1500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transporte · gasto personal Sol</t>
        </is>
      </c>
      <c r="L435" s="4" t="n">
        <v>446</v>
      </c>
    </row>
    <row r="436">
      <c r="A436" s="15" t="n">
        <v>46151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COMPRAS</t>
        </is>
      </c>
      <c r="E436" s="4" t="inlineStr">
        <is>
          <t>COMPRAS</t>
        </is>
      </c>
      <c r="F436" s="5" t="n">
        <v>329986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MERPAGO*CAMBIODEAIRES C.02/03 239415</t>
        </is>
      </c>
      <c r="L436" s="4" t="n">
        <v>228</v>
      </c>
    </row>
    <row r="437">
      <c r="A437" s="15" t="n">
        <v>46151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MERCADO LIBRE</t>
        </is>
      </c>
      <c r="E437" s="4" t="inlineStr">
        <is>
          <t>MERCADO LIBRE</t>
        </is>
      </c>
      <c r="F437" s="5" t="n">
        <v>38637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MERCADO LIBRE · gasto personal Sol</t>
        </is>
      </c>
      <c r="L437" s="4" t="n">
        <v>152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ROPA</t>
        </is>
      </c>
      <c r="E438" s="4" t="inlineStr">
        <is>
          <t>ROPA</t>
        </is>
      </c>
      <c r="F438" s="5" t="n">
        <v>69750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MERPAGO*ZADIG C.02/12 223597</t>
        </is>
      </c>
      <c r="L438" s="4" t="n">
        <v>227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ROPA</t>
        </is>
      </c>
      <c r="E439" s="4" t="inlineStr">
        <is>
          <t>ROPA</t>
        </is>
      </c>
      <c r="F439" s="5" t="n">
        <v>80834</v>
      </c>
      <c r="G439" s="16" t="n"/>
      <c r="H439" s="4" t="inlineStr">
        <is>
          <t>REAL</t>
        </is>
      </c>
      <c r="I439" s="4" t="inlineStr">
        <is>
          <t>BBVA MASTERCARD</t>
        </is>
      </c>
      <c r="J439" s="4" t="inlineStr">
        <is>
          <t>BBVA</t>
        </is>
      </c>
      <c r="K439" s="4" t="inlineStr">
        <is>
          <t>JUSTA OSADIA C.02/06 001218</t>
        </is>
      </c>
      <c r="L439" s="4" t="n">
        <v>249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SUSCRIPCIONES · IA</t>
        </is>
      </c>
      <c r="E440" s="4" t="inlineStr">
        <is>
          <t>SUSCRIPCIONES · IA</t>
        </is>
      </c>
      <c r="F440" s="5" t="n">
        <v>60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SUSCRIPCIONES · IA · Cursor · gasto personal Sol · Suscripción · CURSOR, AI POWER in1TVBmDBUSD  953034</t>
        </is>
      </c>
      <c r="L440" s="4" t="n">
        <v>256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SUSCRIPCIONES · IA</t>
        </is>
      </c>
      <c r="E441" s="4" t="inlineStr">
        <is>
          <t>SUSCRIPCIONES · IA</t>
        </is>
      </c>
      <c r="F441" s="5" t="n">
        <v>85779</v>
      </c>
      <c r="G441" s="16" t="n"/>
      <c r="H441" s="4" t="inlineStr">
        <is>
          <t>REAL</t>
        </is>
      </c>
      <c r="I441" s="4" t="inlineStr">
        <is>
          <t>BBVA Visa · USD</t>
        </is>
      </c>
      <c r="J441" s="4" t="inlineStr">
        <is>
          <t>BBVA</t>
        </is>
      </c>
      <c r="K441" s="4" t="inlineStr">
        <is>
          <t>SUSCRIPCIONES · IA · Cursor · gasto personal Sol · USD 60.00 × TC MEP 1429.65 · suscripción · gasto personal Sol</t>
        </is>
      </c>
      <c r="L441" s="4" t="n">
        <v>340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-266473</v>
      </c>
      <c r="G442" s="16" t="n"/>
      <c r="H442" s="4" t="inlineStr">
        <is>
          <t>REAL</t>
        </is>
      </c>
      <c r="I442" s="4" t="inlineStr">
        <is>
          <t>BBVA Visa · USD</t>
        </is>
      </c>
      <c r="J442" s="4" t="inlineStr">
        <is>
          <t>BBVA</t>
        </is>
      </c>
      <c r="K442" s="4" t="inlineStr">
        <is>
          <t>SUSCRIPCIONES · IA · Cursor · gasto personal Sol · crédito USD 186.39 × TC MEP 1429.65 · suscripción · gasto personal Sol</t>
        </is>
      </c>
      <c r="L442" s="4" t="n">
        <v>341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TELECOMUNICACIONES</t>
        </is>
      </c>
      <c r="E443" s="4" t="inlineStr">
        <is>
          <t>Servicio - Telefonía</t>
        </is>
      </c>
      <c r="F443" s="5" t="n">
        <v>16650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Tuenti · gasto personal Sol · hoja Gasto Personal Sol</t>
        </is>
      </c>
      <c r="L443" s="4" t="n">
        <v>153</v>
      </c>
    </row>
    <row r="444">
      <c r="A444" s="15" t="n">
        <v>46152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OTROS PERSONALES</t>
        </is>
      </c>
      <c r="E444" s="4" t="inlineStr">
        <is>
          <t>ENTRETENIMIENTO · Eventos</t>
        </is>
      </c>
      <c r="F444" s="5" t="n">
        <v>117000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salida/evento · gasto personal Sol</t>
        </is>
      </c>
      <c r="L444" s="4" t="n">
        <v>154</v>
      </c>
    </row>
    <row r="445">
      <c r="A445" s="15" t="n">
        <v>46152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ROPA</t>
        </is>
      </c>
      <c r="E445" s="4" t="inlineStr">
        <is>
          <t>ROPA</t>
        </is>
      </c>
      <c r="F445" s="5" t="n">
        <v>84216</v>
      </c>
      <c r="G445" s="16" t="n"/>
      <c r="H445" s="4" t="inlineStr">
        <is>
          <t>REAL</t>
        </is>
      </c>
      <c r="I445" s="4" t="inlineStr">
        <is>
          <t>BBVA MASTERCARD</t>
        </is>
      </c>
      <c r="J445" s="4" t="inlineStr">
        <is>
          <t>BBVA</t>
        </is>
      </c>
      <c r="K445" s="4" t="inlineStr">
        <is>
          <t>MERPAGO*TIENDARIVER C.02/03 688750</t>
        </is>
      </c>
      <c r="L445" s="4" t="n">
        <v>250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VESTIMENTA</t>
        </is>
      </c>
      <c r="E446" s="4" t="inlineStr">
        <is>
          <t>VESTIMENTA</t>
        </is>
      </c>
      <c r="F446" s="5" t="n">
        <v>880000</v>
      </c>
      <c r="G446" s="16" t="n"/>
      <c r="H446" s="4" t="inlineStr">
        <is>
          <t>REAL</t>
        </is>
      </c>
      <c r="I446" s="4" t="inlineStr">
        <is>
          <t>BBVA VISA</t>
        </is>
      </c>
      <c r="J446" s="4" t="inlineStr">
        <is>
          <t>BBVA</t>
        </is>
      </c>
      <c r="K446" s="4" t="inlineStr">
        <is>
          <t>VESTIMENTA · Jazmin Chebar · BBVA VISA · gasto personal Sol</t>
        </is>
      </c>
      <c r="L446" s="4" t="n">
        <v>257</v>
      </c>
    </row>
    <row r="447">
      <c r="A447" s="15" t="n">
        <v>46153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LIBRERÍA</t>
        </is>
      </c>
      <c r="E447" s="4" t="inlineStr">
        <is>
          <t>LIBRERÍA</t>
        </is>
      </c>
      <c r="F447" s="5" t="n">
        <v>16200</v>
      </c>
      <c r="G447" s="16" t="n"/>
      <c r="H447" s="4" t="inlineStr">
        <is>
          <t>REAL</t>
        </is>
      </c>
      <c r="I447" s="4" t="inlineStr">
        <is>
          <t>Mercado Pago</t>
        </is>
      </c>
      <c r="J447" s="4" t="inlineStr">
        <is>
          <t>Mercado Pago</t>
        </is>
      </c>
      <c r="K447" s="4" t="inlineStr">
        <is>
          <t>librería · gasto personal Sol · MP cuenta</t>
        </is>
      </c>
      <c r="L447" s="4" t="n">
        <v>753</v>
      </c>
    </row>
    <row r="448">
      <c r="A448" s="15" t="n">
        <v>46153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TRANSPORTE</t>
        </is>
      </c>
      <c r="E448" s="4" t="inlineStr">
        <is>
          <t>TRANSPORTE · Didi</t>
        </is>
      </c>
      <c r="F448" s="5" t="n">
        <v>3912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transporte · gasto personal Sol</t>
        </is>
      </c>
      <c r="L448" s="4" t="n">
        <v>447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TRANSPORTE</t>
        </is>
      </c>
      <c r="E449" s="4" t="inlineStr">
        <is>
          <t>TRANSPORTE · Didi</t>
        </is>
      </c>
      <c r="F449" s="5" t="n">
        <v>6810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transporte · gasto personal Sol</t>
        </is>
      </c>
      <c r="L449" s="4" t="n">
        <v>448</v>
      </c>
    </row>
    <row r="450">
      <c r="A450" s="15" t="n">
        <v>46154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COMPRAS</t>
        </is>
      </c>
      <c r="E450" s="4" t="inlineStr">
        <is>
          <t>COMPRAS</t>
        </is>
      </c>
      <c r="F450" s="5" t="n">
        <v>30097</v>
      </c>
      <c r="G450" s="16" t="n"/>
      <c r="H450" s="4" t="inlineStr">
        <is>
          <t>REAL</t>
        </is>
      </c>
      <c r="I450" s="4" t="inlineStr">
        <is>
          <t>TC Mercado Pago</t>
        </is>
      </c>
      <c r="J450" s="4" t="inlineStr">
        <is>
          <t>TC Mercado Pago</t>
        </is>
      </c>
      <c r="K450" s="4" t="inlineStr">
        <is>
          <t>MERPAGO*GASTROHOGAR · TC Mercado Pago · cuota 2 de 2 · compra 2026-03-24 · ex `Gastrohogar · C.02/02`</t>
        </is>
      </c>
      <c r="L450" s="4" t="n">
        <v>701</v>
      </c>
    </row>
    <row r="451">
      <c r="A451" s="15" t="n">
        <v>46154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SALUD</t>
        </is>
      </c>
      <c r="E451" s="4" t="inlineStr">
        <is>
          <t>COMPRAS</t>
        </is>
      </c>
      <c r="F451" s="5" t="n">
        <v>52079</v>
      </c>
      <c r="G451" s="16" t="n"/>
      <c r="H451" s="4" t="inlineStr">
        <is>
          <t>REAL</t>
        </is>
      </c>
      <c r="I451" s="4" t="inlineStr">
        <is>
          <t>TC Mercado Pago</t>
        </is>
      </c>
      <c r="J451" s="4" t="inlineStr">
        <is>
          <t>TC Mercado Pago</t>
        </is>
      </c>
      <c r="K451" s="4" t="inlineStr">
        <is>
          <t>SALUD · MERPAGO*SUPLEMENTOSCO · TC Mercado Pago · cuota 1 de 3 · compra 2026-04-20 · ex `SALUD · Suplementosco · C.01/03`</t>
        </is>
      </c>
      <c r="L451" s="4" t="n">
        <v>708</v>
      </c>
    </row>
    <row r="452">
      <c r="A452" s="15" t="n">
        <v>46154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MERCADO LIBRE</t>
        </is>
      </c>
      <c r="E452" s="4" t="inlineStr">
        <is>
          <t>MERCADO LIBRE</t>
        </is>
      </c>
      <c r="F452" s="5" t="n">
        <v>50950</v>
      </c>
      <c r="G452" s="16" t="n"/>
      <c r="H452" s="4" t="inlineStr">
        <is>
          <t>REAL</t>
        </is>
      </c>
      <c r="I452" s="4" t="inlineStr">
        <is>
          <t>TC Mercado Pago</t>
        </is>
      </c>
      <c r="J452" s="4" t="inlineStr">
        <is>
          <t>TC Mercado Pago</t>
        </is>
      </c>
      <c r="K452" s="4" t="inlineStr">
        <is>
          <t>Mercado Libre · TC Mercado Pago · cuota 2 de 2 · compra 2026-03-24 · ex `Mercado Libre · C.02/02`</t>
        </is>
      </c>
      <c r="L452" s="4" t="n">
        <v>702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MERCADO LIBRE</t>
        </is>
      </c>
      <c r="E453" s="4" t="inlineStr">
        <is>
          <t>MERCADO LIBRE</t>
        </is>
      </c>
      <c r="F453" s="5" t="n">
        <v>125779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Mercado Libre · TC Mercado Pago · cuota 2 de 3 · compra 2026-03-24 · ex `Mercado Libre · C.02/03`</t>
        </is>
      </c>
      <c r="L453" s="4" t="n">
        <v>703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MERCADO LIBRE</t>
        </is>
      </c>
      <c r="E454" s="4" t="inlineStr">
        <is>
          <t>MERCADO LIBRE</t>
        </is>
      </c>
      <c r="F454" s="5" t="n">
        <v>2349995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Mercado Libre · TC Mercado Pago · cuota 2 de 2 · compra 2026-05-09 · ex `Mercado Libre · C.02/02`</t>
        </is>
      </c>
      <c r="L454" s="4" t="n">
        <v>710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2349995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1 de 2 · compra 2026-05-09 · ex `Mercado Libre · C.01/02`</t>
        </is>
      </c>
      <c r="L455" s="4" t="n">
        <v>711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-4699990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REEMBOLSO · Mercado Libre · TC Mercado Pago · compra 2026-05-11</t>
        </is>
      </c>
      <c r="L456" s="4" t="n">
        <v>713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ROPA</t>
        </is>
      </c>
      <c r="E457" s="4" t="inlineStr">
        <is>
          <t>ROPA</t>
        </is>
      </c>
      <c r="F457" s="5" t="n">
        <v>41715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ROPA · MERPAGO*LOCCITANE · TC Mercado Pago · cuota 2 de 6 · compra 2026-03-20</t>
        </is>
      </c>
      <c r="L457" s="4" t="n">
        <v>698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ROPA</t>
        </is>
      </c>
      <c r="E458" s="4" t="inlineStr">
        <is>
          <t>ROPA</t>
        </is>
      </c>
      <c r="F458" s="5" t="n">
        <v>67112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ROPA · MERPAGO*AWADA · TC Mercado Pago · cuota 2 de 9 · compra 2026-03-23</t>
        </is>
      </c>
      <c r="L458" s="4" t="n">
        <v>699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ROPA</t>
        </is>
      </c>
      <c r="E459" s="4" t="inlineStr">
        <is>
          <t>ROPA</t>
        </is>
      </c>
      <c r="F459" s="5" t="n">
        <v>23000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ROPA · Adidas · TC Mercado Pago · cuota 2 de 6 · compra 2026-03-23</t>
        </is>
      </c>
      <c r="L459" s="4" t="n">
        <v>700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41345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MERPAGO*LAPARFUMERIE · TC Mercado Pago · cuota 2 de 6 · compra 2026-03-30</t>
        </is>
      </c>
      <c r="L460" s="4" t="n">
        <v>704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142573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MERPAGO*MRPERFUMERIAS · TC Mercado Pago · cuota 2 de 3 · compra 2026-04-01</t>
        </is>
      </c>
      <c r="L461" s="4" t="n">
        <v>705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173147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MERPAGO*CAMBIODEAIRES · TC Mercado Pago · cuota 2 de 3 · compra 2026-04-04</t>
        </is>
      </c>
      <c r="L462" s="4" t="n">
        <v>706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88815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Tilgorita · MERPAGO*TILGORITA · TC Mercado Pago · cuota 1 de 3 · compra 2026-05-09</t>
        </is>
      </c>
      <c r="L463" s="4" t="n">
        <v>712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SALUD · Vitaminas</t>
        </is>
      </c>
      <c r="E464" s="4" t="inlineStr">
        <is>
          <t>SALUD · Vitaminas</t>
        </is>
      </c>
      <c r="F464" s="5" t="n">
        <v>58334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SALUD · Vitaminas · Promarine · TC Mercado Pago · C.05/06 · gasto personal Sol</t>
        </is>
      </c>
      <c r="L464" s="4" t="n">
        <v>696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SALUD · Vitaminas</t>
        </is>
      </c>
      <c r="E465" s="4" t="inlineStr">
        <is>
          <t>SALUD · Vitaminas</t>
        </is>
      </c>
      <c r="F465" s="5" t="n">
        <v>87900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SALUD · Vitaminas · Promarine · TC Mercado Pago · C.02/06 · gasto personal Sol</t>
        </is>
      </c>
      <c r="L465" s="4" t="n">
        <v>707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SALUD · Vitaminas</t>
        </is>
      </c>
      <c r="E466" s="4" t="inlineStr">
        <is>
          <t>SALUD · Vitaminas</t>
        </is>
      </c>
      <c r="F466" s="5" t="n">
        <v>-527400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REEMBOLSO · SALUD · Vitaminas · Promarine · TC Mercado Pago · gasto personal Sol</t>
        </is>
      </c>
      <c r="L466" s="4" t="n">
        <v>709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SUSCRIPCIONES · APPLE</t>
        </is>
      </c>
      <c r="E467" s="4" t="inlineStr">
        <is>
          <t>SUSCRIPCIONES · Apple</t>
        </is>
      </c>
      <c r="F467" s="5" t="n">
        <v>18353</v>
      </c>
      <c r="G467" s="16" t="n"/>
      <c r="H467" s="4" t="inlineStr">
        <is>
          <t>REAL</t>
        </is>
      </c>
      <c r="I467" s="4" t="inlineStr">
        <is>
          <t>Mercado Pago</t>
        </is>
      </c>
      <c r="J467" s="4" t="inlineStr">
        <is>
          <t>Mercado Pago</t>
        </is>
      </c>
      <c r="K467" s="4" t="inlineStr">
        <is>
          <t>SUSCRIPCIONES · Apple · gasto personal Sol</t>
        </is>
      </c>
      <c r="L467" s="4" t="n">
        <v>157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SUSCRIPCIONES · IA</t>
        </is>
      </c>
      <c r="E468" s="4" t="inlineStr">
        <is>
          <t>SUSCRIPCIONES · IA</t>
        </is>
      </c>
      <c r="F468" s="5" t="n">
        <v>30000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SUSCRIPCIONES · IA · Vercel · gasto personal Sol · Vercel · TC Mercado Pago · cuota 2 de 3 · compra 2026-03-14</t>
        </is>
      </c>
      <c r="L468" s="4" t="n">
        <v>697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TRANSPORTE</t>
        </is>
      </c>
      <c r="E469" s="4" t="inlineStr">
        <is>
          <t>TRANSPORTE · Didi</t>
        </is>
      </c>
      <c r="F469" s="5" t="n">
        <v>3912</v>
      </c>
      <c r="G469" s="16" t="n"/>
      <c r="H469" s="4" t="inlineStr">
        <is>
          <t>REAL</t>
        </is>
      </c>
      <c r="I469" s="4" t="inlineStr">
        <is>
          <t>Mercado Pago</t>
        </is>
      </c>
      <c r="J469" s="4" t="inlineStr">
        <is>
          <t>Mercado Pago</t>
        </is>
      </c>
      <c r="K469" s="4" t="inlineStr">
        <is>
          <t>transporte · gasto personal Sol</t>
        </is>
      </c>
      <c r="L469" s="4" t="n">
        <v>449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TRANSPORTE</t>
        </is>
      </c>
      <c r="E470" s="4" t="inlineStr">
        <is>
          <t>TRANSPORTE · Didi</t>
        </is>
      </c>
      <c r="F470" s="5" t="n">
        <v>200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transporte · gasto personal Sol</t>
        </is>
      </c>
      <c r="L470" s="4" t="n">
        <v>450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TRANSPORTE</t>
        </is>
      </c>
      <c r="E471" s="4" t="inlineStr">
        <is>
          <t>TRANSPORTE · Didi</t>
        </is>
      </c>
      <c r="F471" s="5" t="n">
        <v>6180</v>
      </c>
      <c r="G471" s="16" t="n"/>
      <c r="H471" s="4" t="inlineStr">
        <is>
          <t>REAL</t>
        </is>
      </c>
      <c r="I471" s="4" t="inlineStr">
        <is>
          <t>Mercado Pago</t>
        </is>
      </c>
      <c r="J471" s="4" t="inlineStr">
        <is>
          <t>Mercado Pago</t>
        </is>
      </c>
      <c r="K471" s="4" t="inlineStr">
        <is>
          <t>transporte · gasto personal Sol</t>
        </is>
      </c>
      <c r="L471" s="4" t="n">
        <v>451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VESTIMENTA</t>
        </is>
      </c>
      <c r="E472" s="4" t="inlineStr">
        <is>
          <t>VESTIMENTA</t>
        </is>
      </c>
      <c r="F472" s="5" t="n">
        <v>63750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VESTIMENTA · Longchamp · TC Mercado Pago · C.05/06 · gasto personal Sol</t>
        </is>
      </c>
      <c r="L472" s="4" t="n">
        <v>695</v>
      </c>
    </row>
    <row r="473">
      <c r="A473" s="15" t="n">
        <v>46155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COMPRAS</t>
        </is>
      </c>
      <c r="E473" s="4" t="inlineStr">
        <is>
          <t>COMPRAS</t>
        </is>
      </c>
      <c r="F473" s="5" t="n">
        <v>6000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pago QR · gasto personal Sol · MP cuenta · ex `Lenac`</t>
        </is>
      </c>
      <c r="L473" s="4" t="n">
        <v>754</v>
      </c>
    </row>
    <row r="474">
      <c r="A474" s="15" t="n">
        <v>46155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MERCADO LIBRE</t>
        </is>
      </c>
      <c r="E474" s="4" t="inlineStr">
        <is>
          <t>MERCADO LIBRE</t>
        </is>
      </c>
      <c r="F474" s="5" t="n">
        <v>132299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MERCADO LIBRE · gasto personal Sol</t>
        </is>
      </c>
      <c r="L474" s="4" t="n">
        <v>159</v>
      </c>
    </row>
    <row r="475">
      <c r="A475" s="15" t="n">
        <v>46155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TRANSFERENCIAS</t>
        </is>
      </c>
      <c r="E475" s="4" t="inlineStr">
        <is>
          <t>TRANSFERENCIAS</t>
        </is>
      </c>
      <c r="F475" s="5" t="n">
        <v>3100</v>
      </c>
      <c r="G475" s="16" t="n"/>
      <c r="H475" s="4" t="inlineStr">
        <is>
          <t>REAL</t>
        </is>
      </c>
      <c r="I475" s="4" t="inlineStr">
        <is>
          <t>Mercado Pago</t>
        </is>
      </c>
      <c r="J475" s="4" t="inlineStr">
        <is>
          <t>Mercado Pago</t>
        </is>
      </c>
      <c r="K475" s="4" t="inlineStr">
        <is>
          <t>transferencia · gasto personal Sol (ex-PENDIENTE) · ex `Daniela Lopez`</t>
        </is>
      </c>
      <c r="L475" s="4" t="n">
        <v>158</v>
      </c>
    </row>
    <row r="476">
      <c r="A476" s="15" t="n">
        <v>46156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431184</v>
      </c>
      <c r="G476" s="16" t="n"/>
      <c r="H476" s="4" t="inlineStr">
        <is>
          <t>REAL</t>
        </is>
      </c>
      <c r="I476" s="4" t="inlineStr">
        <is>
          <t>BBVA VISA</t>
        </is>
      </c>
      <c r="J476" s="4" t="inlineStr">
        <is>
          <t>BBVA</t>
        </is>
      </c>
      <c r="K476" s="4" t="inlineStr">
        <is>
          <t>MP vía TC · MERPAGO*CONFECTIONERY 549734</t>
        </is>
      </c>
      <c r="L476" s="4" t="n">
        <v>258</v>
      </c>
    </row>
    <row r="477">
      <c r="A477" s="15" t="n">
        <v>46156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COMPRAS</t>
        </is>
      </c>
      <c r="E477" s="4" t="inlineStr">
        <is>
          <t>COMPRAS</t>
        </is>
      </c>
      <c r="F477" s="5" t="n">
        <v>231666</v>
      </c>
      <c r="G477" s="16" t="n"/>
      <c r="H477" s="4" t="inlineStr">
        <is>
          <t>REAL</t>
        </is>
      </c>
      <c r="I477" s="4" t="inlineStr">
        <is>
          <t>BBVA MASTERCARD</t>
        </is>
      </c>
      <c r="J477" s="4" t="inlineStr">
        <is>
          <t>BBVA</t>
        </is>
      </c>
      <c r="K477" s="4" t="inlineStr">
        <is>
          <t>MOD*AVENIDA MAIPU 001405</t>
        </is>
      </c>
      <c r="L477" s="4" t="n">
        <v>287</v>
      </c>
    </row>
    <row r="478">
      <c r="A478" s="15" t="n">
        <v>46157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PELUQUERÍA</t>
        </is>
      </c>
      <c r="E478" s="4" t="inlineStr">
        <is>
          <t>PELUQUERÍA</t>
        </is>
      </c>
      <c r="F478" s="5" t="n">
        <v>125000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PELUQUERÍA · Agustina Vissani (ex AGUS/PSA · ex CASA matriz 2026)</t>
        </is>
      </c>
      <c r="L478" s="4" t="n">
        <v>37</v>
      </c>
    </row>
    <row r="479">
      <c r="A479" s="15" t="n">
        <v>46157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TRANSFERENCIAS</t>
        </is>
      </c>
      <c r="E479" s="4" t="inlineStr">
        <is>
          <t>TRANSFERENCIAS</t>
        </is>
      </c>
      <c r="F479" s="5" t="n">
        <v>2496700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cobranza · gasto personal Sol (ex-PENDIENTE) · ex `General Collect`</t>
        </is>
      </c>
      <c r="L479" s="4" t="n">
        <v>161</v>
      </c>
    </row>
    <row r="480">
      <c r="A480" s="15" t="n">
        <v>46158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TRANSPORTE</t>
        </is>
      </c>
      <c r="E480" s="4" t="inlineStr">
        <is>
          <t>TRANSPORTE · Cabify</t>
        </is>
      </c>
      <c r="F480" s="5" t="n">
        <v>5198</v>
      </c>
      <c r="G480" s="16" t="n"/>
      <c r="H480" s="4" t="inlineStr">
        <is>
          <t>REAL</t>
        </is>
      </c>
      <c r="I480" s="4" t="inlineStr">
        <is>
          <t>BBVA</t>
        </is>
      </c>
      <c r="J480" s="4" t="inlineStr">
        <is>
          <t>BBVA</t>
        </is>
      </c>
      <c r="K480" s="4" t="inlineStr">
        <is>
          <t>Cabify · BBVA VISA (BBVA-VISA-2026-05-16-5198) · gasto personal Sol</t>
        </is>
      </c>
      <c r="L480" s="4" t="n">
        <v>487</v>
      </c>
    </row>
    <row r="481">
      <c r="A481" s="15" t="n">
        <v>46158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VESTIMENTA</t>
        </is>
      </c>
      <c r="E481" s="4" t="inlineStr">
        <is>
          <t>VESTIMENTA</t>
        </is>
      </c>
      <c r="F481" s="5" t="n">
        <v>98334</v>
      </c>
      <c r="G481" s="16" t="n"/>
      <c r="H481" s="4" t="inlineStr">
        <is>
          <t>REAL</t>
        </is>
      </c>
      <c r="I481" s="4" t="inlineStr">
        <is>
          <t>BBVA VISA</t>
        </is>
      </c>
      <c r="J481" s="4" t="inlineStr">
        <is>
          <t>BBVA</t>
        </is>
      </c>
      <c r="K481" s="4" t="inlineStr">
        <is>
          <t>MERPAGO*BOKENVORENO C.02/06 483639</t>
        </is>
      </c>
      <c r="L481" s="4" t="n">
        <v>229</v>
      </c>
    </row>
    <row r="482">
      <c r="A482" s="15" t="n">
        <v>46159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ROPA</t>
        </is>
      </c>
      <c r="E482" s="4" t="inlineStr">
        <is>
          <t>ROPA</t>
        </is>
      </c>
      <c r="F482" s="5" t="n">
        <v>40004</v>
      </c>
      <c r="G482" s="16" t="n"/>
      <c r="H482" s="4" t="inlineStr">
        <is>
          <t>REAL</t>
        </is>
      </c>
      <c r="I482" s="4" t="inlineStr">
        <is>
          <t>BBVA Mastercard</t>
        </is>
      </c>
      <c r="J482" s="4" t="inlineStr">
        <is>
          <t>BBVA</t>
        </is>
      </c>
      <c r="K482" s="4" t="inlineStr">
        <is>
          <t>ROPA · Zara · cuota 01/03 · gasto personal Sol</t>
        </is>
      </c>
      <c r="L482" s="4" t="n">
        <v>251</v>
      </c>
    </row>
    <row r="483">
      <c r="A483" s="15" t="n">
        <v>46160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6030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46160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TRANSPORTE</t>
        </is>
      </c>
      <c r="E484" s="4" t="inlineStr">
        <is>
          <t>TRANSPORTE · Didi</t>
        </is>
      </c>
      <c r="F484" s="5" t="n">
        <v>6880</v>
      </c>
      <c r="G484" s="16" t="n"/>
      <c r="H484" s="4" t="inlineStr">
        <is>
          <t>REAL</t>
        </is>
      </c>
      <c r="I484" s="4" t="inlineStr">
        <is>
          <t>Mercado Pago</t>
        </is>
      </c>
      <c r="J484" s="4" t="inlineStr">
        <is>
          <t>Mercado Pago</t>
        </is>
      </c>
      <c r="K484" s="4" t="inlineStr">
        <is>
          <t>transporte · gasto personal Sol</t>
        </is>
      </c>
      <c r="L484" s="4" t="n">
        <v>453</v>
      </c>
    </row>
    <row r="485">
      <c r="A485" s="15" t="n">
        <v>46161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35700</v>
      </c>
      <c r="G485" s="16" t="n"/>
      <c r="H485" s="4" t="inlineStr">
        <is>
          <t>REAL</t>
        </is>
      </c>
      <c r="I485" s="4" t="inlineStr">
        <is>
          <t>BBVA VISA</t>
        </is>
      </c>
      <c r="J485" s="4" t="inlineStr">
        <is>
          <t>BBVA</t>
        </is>
      </c>
      <c r="K485" s="4" t="inlineStr">
        <is>
          <t>COMPRAS · Dodoche · Dodoche</t>
        </is>
      </c>
      <c r="L485" s="4" t="n">
        <v>259</v>
      </c>
    </row>
    <row r="486">
      <c r="A486" s="15" t="n">
        <v>46161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4157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454</v>
      </c>
    </row>
    <row r="487">
      <c r="A487" s="15" t="n">
        <v>46161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5720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Didi · gasto personal Sol</t>
        </is>
      </c>
      <c r="L487" s="4" t="n">
        <v>814</v>
      </c>
    </row>
    <row r="488">
      <c r="A488" s="15" t="n">
        <v>46163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SEGUROS / RETIRO</t>
        </is>
      </c>
      <c r="E488" s="4" t="inlineStr">
        <is>
          <t>SEGUROS · Retiro</t>
        </is>
      </c>
      <c r="F488" s="5" t="n">
        <v>343237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SEGUROS · Retiro · Zurich · Seguro de retiro Zurich · gasto personal Sol</t>
        </is>
      </c>
      <c r="L488" s="4" t="n">
        <v>260</v>
      </c>
    </row>
    <row r="489">
      <c r="A489" s="15" t="n">
        <v>46163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TRANSFERENCIAS</t>
        </is>
      </c>
      <c r="E489" s="4" t="inlineStr">
        <is>
          <t>TRANSFERENCIAS</t>
        </is>
      </c>
      <c r="F489" s="5" t="n">
        <v>755800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transferencia · gasto personal Sol (ex-PENDIENTE) · ex `Federico Cabral`</t>
        </is>
      </c>
      <c r="L489" s="4" t="n">
        <v>164</v>
      </c>
    </row>
    <row r="490">
      <c r="A490" s="15" t="n">
        <v>46164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SUSCRIPCIONES · IA</t>
        </is>
      </c>
      <c r="E490" s="4" t="inlineStr">
        <is>
          <t>SUSCRIPCIONES · IA</t>
        </is>
      </c>
      <c r="F490" s="5" t="n">
        <v>42890</v>
      </c>
      <c r="G490" s="16" t="n"/>
      <c r="H490" s="4" t="inlineStr">
        <is>
          <t>REAL</t>
        </is>
      </c>
      <c r="I490" s="4" t="inlineStr">
        <is>
          <t>BBVA Visa · USD</t>
        </is>
      </c>
      <c r="J490" s="4" t="inlineStr">
        <is>
          <t>BBVA</t>
        </is>
      </c>
      <c r="K490" s="4" t="inlineStr">
        <is>
          <t>SUSCRIPCIONES · IA · Vercel · gasto personal Sol · USD 30.00 × TC MEP 1429.65 · suscripción · gasto personal Sol</t>
        </is>
      </c>
      <c r="L490" s="4" t="n">
        <v>344</v>
      </c>
    </row>
    <row r="491">
      <c r="A491" s="15" t="n">
        <v>46164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TRANSPORTE</t>
        </is>
      </c>
      <c r="E491" s="4" t="inlineStr">
        <is>
          <t>TRANSPORTE · Cabify</t>
        </is>
      </c>
      <c r="F491" s="5" t="n">
        <v>16195</v>
      </c>
      <c r="G491" s="16" t="n"/>
      <c r="H491" s="4" t="inlineStr">
        <is>
          <t>REAL</t>
        </is>
      </c>
      <c r="I491" s="4" t="inlineStr">
        <is>
          <t>BBVA</t>
        </is>
      </c>
      <c r="J491" s="4" t="inlineStr">
        <is>
          <t>BBVA</t>
        </is>
      </c>
      <c r="K491" s="4" t="inlineStr">
        <is>
          <t>Cabify · BBVA VISA (BBVA-VISA-2026-05-22-16195) · gasto personal Sol</t>
        </is>
      </c>
      <c r="L491" s="4" t="n">
        <v>488</v>
      </c>
    </row>
    <row r="492">
      <c r="A492" s="15" t="n">
        <v>46164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Didi</t>
        </is>
      </c>
      <c r="F492" s="5" t="n">
        <v>5700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transporte · gasto personal Sol</t>
        </is>
      </c>
      <c r="L492" s="4" t="n">
        <v>455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TRANSPORTE</t>
        </is>
      </c>
      <c r="E493" s="4" t="inlineStr">
        <is>
          <t>TRANSPORTE · Uber</t>
        </is>
      </c>
      <c r="F493" s="5" t="n">
        <v>6782</v>
      </c>
      <c r="G493" s="16" t="n"/>
      <c r="H493" s="4" t="inlineStr">
        <is>
          <t>REAL</t>
        </is>
      </c>
      <c r="I493" s="4" t="inlineStr">
        <is>
          <t>Mercado Pago</t>
        </is>
      </c>
      <c r="J493" s="4" t="inlineStr">
        <is>
          <t>Mercado Pago</t>
        </is>
      </c>
      <c r="K493" s="4" t="inlineStr">
        <is>
          <t>TRANSPORTE · Uber · Ebanx (=Uber) · gasto personal Sol</t>
        </is>
      </c>
      <c r="L493" s="4" t="n">
        <v>456</v>
      </c>
    </row>
    <row r="494">
      <c r="A494" s="15" t="n">
        <v>46165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MERCADO LIBRE</t>
        </is>
      </c>
      <c r="E494" s="4" t="inlineStr">
        <is>
          <t>MERCADO LIBRE</t>
        </is>
      </c>
      <c r="F494" s="5" t="n">
        <v>35544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MERCADO LIBRE · gasto personal Sol</t>
        </is>
      </c>
      <c r="L494" s="4" t="n">
        <v>167</v>
      </c>
    </row>
    <row r="495">
      <c r="A495" s="15" t="n">
        <v>46165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ROPA</t>
        </is>
      </c>
      <c r="E495" s="4" t="inlineStr">
        <is>
          <t>ROPA</t>
        </is>
      </c>
      <c r="F495" s="5" t="n">
        <v>748000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ROPA · Bimbaylola · ropa · gasto personal Sol</t>
        </is>
      </c>
      <c r="L495" s="4" t="n">
        <v>165</v>
      </c>
    </row>
    <row r="496">
      <c r="A496" s="15" t="n">
        <v>46165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TRANSFERENCIAS</t>
        </is>
      </c>
      <c r="E496" s="4" t="inlineStr">
        <is>
          <t>TRANSFERENCIAS</t>
        </is>
      </c>
      <c r="F496" s="5" t="n">
        <v>300000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transferencia · gasto personal Sol (ex-PENDIENTE) · ex `Christian Ventura`</t>
        </is>
      </c>
      <c r="L496" s="4" t="n">
        <v>166</v>
      </c>
    </row>
    <row r="497">
      <c r="A497" s="15" t="n">
        <v>46166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ROPA</t>
        </is>
      </c>
      <c r="E497" s="4" t="inlineStr">
        <is>
          <t>ROPA</t>
        </is>
      </c>
      <c r="F497" s="5" t="n">
        <v>124667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MERPAGO*BIMBAYLOLA C.02/06 192628</t>
        </is>
      </c>
      <c r="L497" s="4" t="n">
        <v>230</v>
      </c>
    </row>
    <row r="498">
      <c r="A498" s="15" t="n">
        <v>46166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87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457</v>
      </c>
    </row>
    <row r="499">
      <c r="A499" s="15" t="n">
        <v>46166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6820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gasto personal Sol</t>
        </is>
      </c>
      <c r="L499" s="4" t="n">
        <v>458</v>
      </c>
    </row>
    <row r="500">
      <c r="A500" s="15" t="n">
        <v>46167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TRANSFERENCIAS</t>
        </is>
      </c>
      <c r="E500" s="4" t="inlineStr">
        <is>
          <t>TRANSFERENCIAS</t>
        </is>
      </c>
      <c r="F500" s="5" t="n">
        <v>16990</v>
      </c>
      <c r="G500" s="16" t="n"/>
      <c r="H500" s="4" t="inlineStr">
        <is>
          <t>REAL</t>
        </is>
      </c>
      <c r="I500" s="4" t="inlineStr">
        <is>
          <t>Mercado Pago</t>
        </is>
      </c>
      <c r="J500" s="4" t="inlineStr">
        <is>
          <t>Mercado Pago</t>
        </is>
      </c>
      <c r="K500" s="4" t="inlineStr">
        <is>
          <t>transferencia Guillermo Galarraga · gasto personal Sol · ex `TRANSFERENCIA`</t>
        </is>
      </c>
      <c r="L500" s="4" t="n">
        <v>822</v>
      </c>
    </row>
    <row r="501">
      <c r="A501" s="15" t="n">
        <v>46168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SALUD · Vitaminas</t>
        </is>
      </c>
      <c r="E501" s="4" t="inlineStr">
        <is>
          <t>SALUD · Vitaminas</t>
        </is>
      </c>
      <c r="F501" s="5" t="n">
        <v>87900</v>
      </c>
      <c r="G501" s="16" t="n"/>
      <c r="H501" s="4" t="inlineStr">
        <is>
          <t>REAL</t>
        </is>
      </c>
      <c r="I501" s="4" t="inlineStr">
        <is>
          <t>BBVA Visa</t>
        </is>
      </c>
      <c r="J501" s="4" t="inlineStr">
        <is>
          <t>BBVA</t>
        </is>
      </c>
      <c r="K501" s="4" t="inlineStr">
        <is>
          <t>SALUD · Vitaminas · Promarine · BBVA · C.02/06 · gasto personal Sol</t>
        </is>
      </c>
      <c r="L501" s="4" t="n">
        <v>517</v>
      </c>
    </row>
    <row r="502">
      <c r="A502" s="15" t="n">
        <v>46168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6990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459</v>
      </c>
    </row>
    <row r="503">
      <c r="A503" s="15" t="n">
        <v>46168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TRANSPORTE</t>
        </is>
      </c>
      <c r="E503" s="4" t="inlineStr">
        <is>
          <t>TRANSPORTE · Didi</t>
        </is>
      </c>
      <c r="F503" s="5" t="n">
        <v>4880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transporte · gasto personal Sol</t>
        </is>
      </c>
      <c r="L503" s="4" t="n">
        <v>460</v>
      </c>
    </row>
    <row r="504">
      <c r="A504" s="15" t="n">
        <v>46169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ENTRETENIMIENTO · COMIDAS</t>
        </is>
      </c>
      <c r="E504" s="4" t="inlineStr">
        <is>
          <t>ENTRETENIMIENTO · Comidas</t>
        </is>
      </c>
      <c r="F504" s="5" t="n">
        <v>5790</v>
      </c>
      <c r="G504" s="16" t="n"/>
      <c r="H504" s="4" t="inlineStr">
        <is>
          <t>REAL</t>
        </is>
      </c>
      <c r="I504" s="4" t="inlineStr">
        <is>
          <t>Mercado Pago</t>
        </is>
      </c>
      <c r="J504" s="4" t="inlineStr">
        <is>
          <t>Mercado Pago</t>
        </is>
      </c>
      <c r="K504" s="4" t="inlineStr">
        <is>
          <t>ENTRETENIMIENTO · Comidas · Magic Dragon</t>
        </is>
      </c>
      <c r="L504" s="4" t="n">
        <v>169</v>
      </c>
    </row>
    <row r="505">
      <c r="A505" s="15" t="n">
        <v>46169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SUSCRIPCIONES · IA</t>
        </is>
      </c>
      <c r="E505" s="4" t="inlineStr">
        <is>
          <t>SUSCRIPCIONES · IA</t>
        </is>
      </c>
      <c r="F505" s="5" t="n">
        <v>200</v>
      </c>
      <c r="G505" s="16" t="n"/>
      <c r="H505" s="4" t="inlineStr">
        <is>
          <t>REAL</t>
        </is>
      </c>
      <c r="I505" s="4" t="inlineStr">
        <is>
          <t>BBVA VISA</t>
        </is>
      </c>
      <c r="J505" s="4" t="inlineStr">
        <is>
          <t>BBVA</t>
        </is>
      </c>
      <c r="K505" s="4" t="inlineStr">
        <is>
          <t>SUSCRIPCIONES · IA · Cursor · gasto personal Sol · Suscripción · CURSOR, AI POWER in1TbeoWBUSD  204262</t>
        </is>
      </c>
      <c r="L505" s="4" t="n">
        <v>261</v>
      </c>
    </row>
    <row r="506">
      <c r="A506" s="15" t="n">
        <v>46169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SUSCRIPCIONES · IA</t>
        </is>
      </c>
      <c r="E506" s="4" t="inlineStr">
        <is>
          <t>SUSCRIPCIONES · IA</t>
        </is>
      </c>
      <c r="F506" s="5" t="n">
        <v>285930</v>
      </c>
      <c r="G506" s="16" t="n"/>
      <c r="H506" s="4" t="inlineStr">
        <is>
          <t>REAL</t>
        </is>
      </c>
      <c r="I506" s="4" t="inlineStr">
        <is>
          <t>BBVA Visa · USD</t>
        </is>
      </c>
      <c r="J506" s="4" t="inlineStr">
        <is>
          <t>BBVA</t>
        </is>
      </c>
      <c r="K506" s="4" t="inlineStr">
        <is>
          <t>SUSCRIPCIONES · IA · Cursor · gasto personal Sol · USD 200.00 × TC MEP 1429.65 · suscripción · gasto personal Sol</t>
        </is>
      </c>
      <c r="L506" s="4" t="n">
        <v>345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SUSCRIPCIONES · IA</t>
        </is>
      </c>
      <c r="E507" s="4" t="inlineStr">
        <is>
          <t>SUSCRIPCIONES · IA</t>
        </is>
      </c>
      <c r="F507" s="5" t="n">
        <v>-36414</v>
      </c>
      <c r="G507" s="16" t="n"/>
      <c r="H507" s="4" t="inlineStr">
        <is>
          <t>REAL</t>
        </is>
      </c>
      <c r="I507" s="4" t="inlineStr">
        <is>
          <t>BBVA Visa · USD</t>
        </is>
      </c>
      <c r="J507" s="4" t="inlineStr">
        <is>
          <t>BBVA</t>
        </is>
      </c>
      <c r="K507" s="4" t="inlineStr">
        <is>
          <t>SUSCRIPCIONES · IA · Cursor · gasto personal Sol · crédito USD 25.47 × TC MEP 1429.65 · suscripción · gasto personal Sol</t>
        </is>
      </c>
      <c r="L507" s="4" t="n">
        <v>346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TRANSPORTE</t>
        </is>
      </c>
      <c r="E508" s="4" t="inlineStr">
        <is>
          <t>TRANSPORTE · Didi</t>
        </is>
      </c>
      <c r="F508" s="5" t="n">
        <v>6640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transporte · gasto personal Sol</t>
        </is>
      </c>
      <c r="L508" s="4" t="n">
        <v>463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TRANSPORTE</t>
        </is>
      </c>
      <c r="E509" s="4" t="inlineStr">
        <is>
          <t>TRANSPORTE · Uber</t>
        </is>
      </c>
      <c r="F509" s="5" t="n">
        <v>35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TRANSPORTE · Uber · Ebanx (=Uber) · gasto personal Sol</t>
        </is>
      </c>
      <c r="L509" s="4" t="n">
        <v>461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TRANSPORTE</t>
        </is>
      </c>
      <c r="E510" s="4" t="inlineStr">
        <is>
          <t>TRANSPORTE · Uber</t>
        </is>
      </c>
      <c r="F510" s="5" t="n">
        <v>2890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TRANSPORTE · Uber · Ebanx (=Uber) · gasto personal Sol</t>
        </is>
      </c>
      <c r="L510" s="4" t="n">
        <v>462</v>
      </c>
    </row>
    <row r="511">
      <c r="A511" s="15" t="n">
        <v>46170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COMPRAS</t>
        </is>
      </c>
      <c r="E511" s="4" t="inlineStr">
        <is>
          <t>COMPRAS</t>
        </is>
      </c>
      <c r="F511" s="5" t="n">
        <v>25971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COMPRAS · Zilver SA · personal · gasto personal Sol</t>
        </is>
      </c>
      <c r="L511" s="4" t="n">
        <v>171</v>
      </c>
    </row>
    <row r="512">
      <c r="A512" s="15" t="n">
        <v>46170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PERCEPCIONES USD</t>
        </is>
      </c>
      <c r="E512" s="4" t="inlineStr">
        <is>
          <t>PERCEPCIÓN USD · DB RG 5617 30%</t>
        </is>
      </c>
      <c r="F512" s="5" t="n">
        <v>21188</v>
      </c>
      <c r="G512" s="16" t="n"/>
      <c r="H512" s="4" t="inlineStr">
        <is>
          <t>REAL</t>
        </is>
      </c>
      <c r="I512" s="4" t="inlineStr">
        <is>
          <t>BBVA MASTERCARD</t>
        </is>
      </c>
      <c r="J512" s="4" t="inlineStr">
        <is>
          <t>BBVA</t>
        </is>
      </c>
      <c r="K512" s="4" t="inlineStr">
        <is>
          <t>PERCEPCIÓN USD · DB RG 5617 30% · base $70,625.00 · cierre 28-May-26 · percepciones por consumos en USD · gasto personal Sol</t>
        </is>
      </c>
      <c r="L512" s="4" t="n">
        <v>636</v>
      </c>
    </row>
    <row r="513">
      <c r="A513" s="15" t="n">
        <v>46170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PERCEPCIONES USD</t>
        </is>
      </c>
      <c r="E513" s="4" t="inlineStr">
        <is>
          <t>PERCEPCIÓN USD · DB RG 5617 30%</t>
        </is>
      </c>
      <c r="F513" s="5" t="n">
        <v>69326</v>
      </c>
      <c r="G513" s="16" t="n"/>
      <c r="H513" s="4" t="inlineStr">
        <is>
          <t>REAL</t>
        </is>
      </c>
      <c r="I513" s="4" t="inlineStr">
        <is>
          <t>BBVA VISA</t>
        </is>
      </c>
      <c r="J513" s="4" t="inlineStr">
        <is>
          <t>BBVA</t>
        </is>
      </c>
      <c r="K513" s="4" t="inlineStr">
        <is>
          <t>PERCEPCIÓN USD · DB RG 5617 30% · base $231,085.00 · cierre 28-May-26 · percepciones por consumos en USD · gasto personal Sol</t>
        </is>
      </c>
      <c r="L513" s="4" t="n">
        <v>639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PERCEPCIONES USD</t>
        </is>
      </c>
      <c r="E514" s="4" t="inlineStr">
        <is>
          <t>PERCEPCIÓN USD · IIBB CABA 2%</t>
        </is>
      </c>
      <c r="F514" s="5" t="n">
        <v>565</v>
      </c>
      <c r="G514" s="16" t="n"/>
      <c r="H514" s="4" t="inlineStr">
        <is>
          <t>REAL</t>
        </is>
      </c>
      <c r="I514" s="4" t="inlineStr">
        <is>
          <t>BBVA VISA</t>
        </is>
      </c>
      <c r="J514" s="4" t="inlineStr">
        <is>
          <t>BBVA</t>
        </is>
      </c>
      <c r="K514" s="4" t="inlineStr">
        <is>
          <t>PERCEPCIÓN USD · IIBB CABA 2% · base $28,235.87 · cierre 28-May-26 · percepciones por consumos en USD · gasto personal Sol</t>
        </is>
      </c>
      <c r="L514" s="4" t="n">
        <v>637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IVA RG 4240 21%</t>
        </is>
      </c>
      <c r="F515" s="5" t="n">
        <v>5930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PERCEPCIÓN USD · IVA RG 4240 21% · base $28,235.87 · cierre 28-May-26 · percepciones por consumos en USD · gasto personal Sol</t>
        </is>
      </c>
      <c r="L515" s="4" t="n">
        <v>638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Emova</t>
        </is>
      </c>
      <c r="F516" s="5" t="n">
        <v>1490</v>
      </c>
      <c r="G516" s="16" t="n"/>
      <c r="H516" s="4" t="inlineStr">
        <is>
          <t>REAL</t>
        </is>
      </c>
      <c r="I516" s="4" t="inlineStr">
        <is>
          <t>BBVA</t>
        </is>
      </c>
      <c r="J516" s="4" t="inlineStr">
        <is>
          <t>BBVA</t>
        </is>
      </c>
      <c r="K516" s="4" t="inlineStr">
        <is>
          <t>Subte · BBVA MASTERCARD (BBVA-MASTERCARD-2026-05-28-1490) · gasto personal Sol</t>
        </is>
      </c>
      <c r="L516" s="4" t="n">
        <v>490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Emova</t>
        </is>
      </c>
      <c r="F517" s="5" t="n">
        <v>1490</v>
      </c>
      <c r="G517" s="16" t="n"/>
      <c r="H517" s="4" t="inlineStr">
        <is>
          <t>REAL</t>
        </is>
      </c>
      <c r="I517" s="4" t="inlineStr">
        <is>
          <t>BBVA</t>
        </is>
      </c>
      <c r="J517" s="4" t="inlineStr">
        <is>
          <t>BBVA</t>
        </is>
      </c>
      <c r="K517" s="4" t="inlineStr">
        <is>
          <t>Subte · BBVA MASTERCARD (BBVA-MASTERCARD-2026-05-28-1490) · gasto personal Sol</t>
        </is>
      </c>
      <c r="L517" s="4" t="n">
        <v>516</v>
      </c>
    </row>
    <row r="518">
      <c r="A518" s="15" t="n">
        <v>46171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EVENTOS DEPORTIVOS - RIVER</t>
        </is>
      </c>
      <c r="E518" s="4" t="inlineStr">
        <is>
          <t>Eventos deportivos - River</t>
        </is>
      </c>
      <c r="F518" s="5" t="n">
        <v>33350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Eventos deportivos - River · Tu Lugar en el Monumental / cuota social CARP · BBVA VISA</t>
        </is>
      </c>
      <c r="L518" s="4" t="n">
        <v>231</v>
      </c>
    </row>
    <row r="519">
      <c r="A519" s="15" t="n">
        <v>46171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Uber</t>
        </is>
      </c>
      <c r="F519" s="5" t="n">
        <v>5478</v>
      </c>
      <c r="G519" s="16" t="n"/>
      <c r="H519" s="4" t="inlineStr">
        <is>
          <t>REAL</t>
        </is>
      </c>
      <c r="I519" s="4" t="inlineStr">
        <is>
          <t>Mercado Pago</t>
        </is>
      </c>
      <c r="J519" s="4" t="inlineStr">
        <is>
          <t>Mercado Pago</t>
        </is>
      </c>
      <c r="K519" s="4" t="inlineStr">
        <is>
          <t>TRANSPORTE · Uber · Ebanx (=Uber) · gasto personal Sol</t>
        </is>
      </c>
      <c r="L519" s="4" t="n">
        <v>464</v>
      </c>
    </row>
    <row r="520">
      <c r="A520" s="15" t="n">
        <v>46171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Uber</t>
        </is>
      </c>
      <c r="F520" s="5" t="n">
        <v>5194</v>
      </c>
      <c r="G520" s="16" t="n"/>
      <c r="H520" s="4" t="inlineStr">
        <is>
          <t>REAL</t>
        </is>
      </c>
      <c r="I520" s="4" t="inlineStr">
        <is>
          <t>Mercado Pago</t>
        </is>
      </c>
      <c r="J520" s="4" t="inlineStr">
        <is>
          <t>Mercado Pago</t>
        </is>
      </c>
      <c r="K520" s="4" t="inlineStr">
        <is>
          <t>TRANSPORTE · Uber · Ebanx (=Uber) · gasto personal Sol</t>
        </is>
      </c>
      <c r="L520" s="4" t="n">
        <v>465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TRAÍDO DE MIAMI</t>
        </is>
      </c>
      <c r="E521" s="4" t="inlineStr">
        <is>
          <t>TRAÍDO DE MIAMI</t>
        </is>
      </c>
      <c r="F521" s="5" t="n">
        <v>630000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TRAÍDO DE MIAMI · Servicios de Pagos Virtuales SA · Mercado Pago · importadora · gasto personal Sol</t>
        </is>
      </c>
      <c r="L521" s="4" t="n">
        <v>172</v>
      </c>
    </row>
    <row r="522">
      <c r="A522" s="15" t="n">
        <v>46172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COMPRAS</t>
        </is>
      </c>
      <c r="E522" s="4" t="inlineStr">
        <is>
          <t>COMPRAS</t>
        </is>
      </c>
      <c r="F522" s="5" t="n">
        <v>50600</v>
      </c>
      <c r="G522" s="16" t="n"/>
      <c r="H522" s="4" t="inlineStr">
        <is>
          <t>REAL</t>
        </is>
      </c>
      <c r="I522" s="4" t="inlineStr">
        <is>
          <t>BBVA VISA</t>
        </is>
      </c>
      <c r="J522" s="4" t="inlineStr">
        <is>
          <t>BBVA</t>
        </is>
      </c>
      <c r="K522" s="4" t="inlineStr">
        <is>
          <t>CPCECABA DEP-WEB 003844</t>
        </is>
      </c>
      <c r="L522" s="4" t="n">
        <v>232</v>
      </c>
    </row>
    <row r="523">
      <c r="A523" s="15" t="n">
        <v>46173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SUSCRIPCIONES · IA</t>
        </is>
      </c>
      <c r="E523" s="4" t="inlineStr">
        <is>
          <t>SUSCRIPCIONES · IA</t>
        </is>
      </c>
      <c r="F523" s="5" t="n">
        <v>28593</v>
      </c>
      <c r="G523" s="16" t="n"/>
      <c r="H523" s="4" t="inlineStr">
        <is>
          <t>REAL</t>
        </is>
      </c>
      <c r="I523" s="4" t="inlineStr">
        <is>
          <t>BBVA</t>
        </is>
      </c>
      <c r="J523" s="4" t="inlineStr">
        <is>
          <t>BBVA</t>
        </is>
      </c>
      <c r="K523" s="4" t="inlineStr">
        <is>
          <t>SUSCRIPCIONES · IA · ChatGPT / OpenAI · gasto personal Sol</t>
        </is>
      </c>
      <c r="L523" s="4" t="n">
        <v>777</v>
      </c>
    </row>
    <row r="524">
      <c r="A524" s="15" t="n">
        <v>46174</v>
      </c>
      <c r="B524" s="4" t="inlineStr">
        <is>
          <t>2026-06</t>
        </is>
      </c>
      <c r="C524" s="4" t="inlineStr">
        <is>
          <t>Junio</t>
        </is>
      </c>
      <c r="D524" s="4" t="inlineStr">
        <is>
          <t>COMIDA · OFICINA</t>
        </is>
      </c>
      <c r="E524" s="4" t="inlineStr">
        <is>
          <t>COMIDA · Oficina</t>
        </is>
      </c>
      <c r="F524" s="5" t="n">
        <v>2700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COMIDA · Oficina · Copetin Catering · gasto personal Sol</t>
        </is>
      </c>
      <c r="L524" s="4" t="n">
        <v>805</v>
      </c>
    </row>
    <row r="525">
      <c r="A525" s="15" t="n">
        <v>46174</v>
      </c>
      <c r="B525" s="4" t="inlineStr">
        <is>
          <t>2026-06</t>
        </is>
      </c>
      <c r="C525" s="4" t="inlineStr">
        <is>
          <t>Junio</t>
        </is>
      </c>
      <c r="D525" s="4" t="inlineStr">
        <is>
          <t>ROPA</t>
        </is>
      </c>
      <c r="E525" s="4" t="inlineStr">
        <is>
          <t>ROPA</t>
        </is>
      </c>
      <c r="F525" s="5" t="n">
        <v>73600</v>
      </c>
      <c r="G525" s="16" t="n"/>
      <c r="H525" s="4" t="inlineStr">
        <is>
          <t>REAL</t>
        </is>
      </c>
      <c r="I525" s="4" t="inlineStr">
        <is>
          <t>BBVA Mastercard</t>
        </is>
      </c>
      <c r="J525" s="4" t="inlineStr">
        <is>
          <t>BBVA</t>
        </is>
      </c>
      <c r="K525" s="4" t="inlineStr">
        <is>
          <t>ROPA / joyas · cuota 01/06 · gasto personal Sol</t>
        </is>
      </c>
      <c r="L525" s="4" t="n">
        <v>335</v>
      </c>
    </row>
    <row r="526">
      <c r="A526" s="15" t="n">
        <v>46174</v>
      </c>
      <c r="B526" s="4" t="inlineStr">
        <is>
          <t>2026-06</t>
        </is>
      </c>
      <c r="C526" s="4" t="inlineStr">
        <is>
          <t>Junio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58320</v>
      </c>
      <c r="G526" s="16" t="n"/>
      <c r="H526" s="4" t="inlineStr">
        <is>
          <t>REAL</t>
        </is>
      </c>
      <c r="I526" s="4" t="inlineStr">
        <is>
          <t>BBVA Visa · USD</t>
        </is>
      </c>
      <c r="J526" s="4" t="inlineStr">
        <is>
          <t>BBVA</t>
        </is>
      </c>
      <c r="K526" s="4" t="inlineStr">
        <is>
          <t>SUSCRIPCIONES · IA · Vercel · gasto personal Sol · USD 40.00 × TC MEP 1458.0 · suscripción · gasto personal Sol</t>
        </is>
      </c>
      <c r="L526" s="4" t="n">
        <v>347</v>
      </c>
    </row>
    <row r="527">
      <c r="A527" s="15" t="n">
        <v>46175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OTROS PERSONALES</t>
        </is>
      </c>
      <c r="E527" s="4" t="inlineStr">
        <is>
          <t>Courier</t>
        </is>
      </c>
      <c r="F527" s="5" t="n">
        <v>22500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Courier · Correo Oficial · Gmail Pago aprobado · $22.500 · gasto personal Sol</t>
        </is>
      </c>
      <c r="L527" s="4" t="n">
        <v>174</v>
      </c>
    </row>
    <row r="528">
      <c r="A528" s="15" t="n">
        <v>46176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284794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ROPA · Pandora · ROPA / joyas · MERPAGO*PANDORA C.01/06 · gasto personal Sol</t>
        </is>
      </c>
      <c r="L528" s="4" t="n">
        <v>336</v>
      </c>
    </row>
    <row r="529">
      <c r="A529" s="15" t="n">
        <v>46178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AVA FIDEICOMISO</t>
        </is>
      </c>
      <c r="E529" s="4" t="inlineStr">
        <is>
          <t>AVA FIDEICOMISO</t>
        </is>
      </c>
      <c r="F529" s="5" t="n">
        <v>2925320</v>
      </c>
      <c r="G529" s="16" t="n"/>
      <c r="H529" s="4" t="inlineStr">
        <is>
          <t>REAL</t>
        </is>
      </c>
      <c r="I529" s="4" t="inlineStr">
        <is>
          <t>Mercado Pago / TC MEP</t>
        </is>
      </c>
      <c r="J529" s="4" t="inlineStr">
        <is>
          <t>Mercado Pago</t>
        </is>
      </c>
      <c r="K529" s="4" t="inlineStr">
        <is>
          <t>50% Sol de $5,850,639 · AVA Palpa (Chris el otro 50%) · ex `AVA Fideicomiso · cuota 8 · junio 2026`</t>
        </is>
      </c>
      <c r="L529" s="4" t="n">
        <v>333</v>
      </c>
    </row>
    <row r="530">
      <c r="A530" s="15" t="n">
        <v>46179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DONACIONES</t>
        </is>
      </c>
      <c r="E530" s="4" t="inlineStr">
        <is>
          <t>DONACIONES</t>
        </is>
      </c>
      <c r="F530" s="5" t="n">
        <v>100000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donación · gasto personal Sol · ex `Fundacion Soplo De Vida`</t>
        </is>
      </c>
      <c r="L530" s="4" t="n">
        <v>175</v>
      </c>
    </row>
    <row r="531">
      <c r="A531" s="15" t="n">
        <v>46179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14500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transferencia · gasto personal Sol (ex-PENDIENTE) · ex `Guillermo Galarraga`</t>
        </is>
      </c>
      <c r="L531" s="4" t="n">
        <v>176</v>
      </c>
    </row>
    <row r="532">
      <c r="A532" s="15" t="n">
        <v>46180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AUTO</t>
        </is>
      </c>
      <c r="E532" s="4" t="inlineStr">
        <is>
          <t>AUTO</t>
        </is>
      </c>
      <c r="F532" s="5" t="n">
        <v>711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ACA · AUTO/ACA · gasto personal Sol</t>
        </is>
      </c>
      <c r="L532" s="4" t="n">
        <v>177</v>
      </c>
    </row>
    <row r="533">
      <c r="A533" s="15" t="n">
        <v>46180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SUSCRIPCIONES · IA</t>
        </is>
      </c>
      <c r="E533" s="4" t="inlineStr">
        <is>
          <t>SUSCRIPCIONES · IA</t>
        </is>
      </c>
      <c r="F533" s="5" t="n">
        <v>29146</v>
      </c>
      <c r="G533" s="16" t="n"/>
      <c r="H533" s="4" t="inlineStr">
        <is>
          <t>REAL</t>
        </is>
      </c>
      <c r="I533" s="4" t="inlineStr">
        <is>
          <t>BBVA Visa · USD</t>
        </is>
      </c>
      <c r="J533" s="4" t="inlineStr">
        <is>
          <t>BBVA</t>
        </is>
      </c>
      <c r="K533" s="4" t="inlineStr">
        <is>
          <t>SUSCRIPCIONES · IA · Google One / Gemini · gasto personal Sol · USD 19.99 × TC MEP 1458.0 · Gemini Advanced / Google One · gasto personal Sol</t>
        </is>
      </c>
      <c r="L533" s="4" t="n">
        <v>357</v>
      </c>
    </row>
    <row r="534">
      <c r="A534" s="15" t="n">
        <v>46181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TELECOMUNICACIONES</t>
        </is>
      </c>
      <c r="E534" s="4" t="inlineStr">
        <is>
          <t>Servicio - Telefonía</t>
        </is>
      </c>
      <c r="F534" s="5" t="n">
        <v>17400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Tuenti · gasto personal Sol · hoja Gasto Personal Sol</t>
        </is>
      </c>
      <c r="L534" s="4" t="n">
        <v>178</v>
      </c>
    </row>
    <row r="535">
      <c r="A535" s="15" t="n">
        <v>46183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806000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¿obra/casa? · gasto personal Sol (ex-PENDIENTE) · ex `Casa Godoy`</t>
        </is>
      </c>
      <c r="L535" s="4" t="n">
        <v>179</v>
      </c>
    </row>
    <row r="536">
      <c r="A536" s="15" t="n">
        <v>46183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TRANSFERENCIAS</t>
        </is>
      </c>
      <c r="E536" s="4" t="inlineStr">
        <is>
          <t>TRANSFERENCIAS</t>
        </is>
      </c>
      <c r="F536" s="5" t="n">
        <v>8293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transferencia · gasto personal Sol (ex-PENDIENTE) · ex `Karina Venturo`</t>
        </is>
      </c>
      <c r="L536" s="4" t="n">
        <v>180</v>
      </c>
    </row>
    <row r="537">
      <c r="A537" s="15" t="n">
        <v>46184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APPLE</t>
        </is>
      </c>
      <c r="E537" s="4" t="inlineStr">
        <is>
          <t>SUSCRIPCIONES · Apple</t>
        </is>
      </c>
      <c r="F537" s="5" t="n">
        <v>331291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SUSCRIPCIONES · Apple · gasto personal Sol</t>
        </is>
      </c>
      <c r="L537" s="4" t="n">
        <v>181</v>
      </c>
    </row>
    <row r="538">
      <c r="A538" s="15" t="n">
        <v>46185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SALUD</t>
        </is>
      </c>
      <c r="E538" s="4" t="inlineStr">
        <is>
          <t>COMPRAS</t>
        </is>
      </c>
      <c r="F538" s="5" t="n">
        <v>52079</v>
      </c>
      <c r="G538" s="16" t="n"/>
      <c r="H538" s="4" t="inlineStr">
        <is>
          <t>REAL</t>
        </is>
      </c>
      <c r="I538" s="4" t="inlineStr">
        <is>
          <t>TC Mercado Pago</t>
        </is>
      </c>
      <c r="J538" s="4" t="inlineStr">
        <is>
          <t>TC Mercado Pago</t>
        </is>
      </c>
      <c r="K538" s="4" t="inlineStr">
        <is>
          <t>SALUD · MERPAGO*SUPLEMENTOSCO · TC Mercado Pago · cuota 2 de 3 · compra 2026-04-20 · ex `SALUD · Suplementosco · C.02/03`</t>
        </is>
      </c>
      <c r="L538" s="4" t="n">
        <v>724</v>
      </c>
    </row>
    <row r="539">
      <c r="A539" s="15" t="n">
        <v>46185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COMPRAS</t>
        </is>
      </c>
      <c r="E539" s="4" t="inlineStr">
        <is>
          <t>COMPRAS</t>
        </is>
      </c>
      <c r="F539" s="5" t="n">
        <v>44100</v>
      </c>
      <c r="G539" s="16" t="n"/>
      <c r="H539" s="4" t="inlineStr">
        <is>
          <t>REAL</t>
        </is>
      </c>
      <c r="I539" s="4" t="inlineStr">
        <is>
          <t>TC Mercado Pago</t>
        </is>
      </c>
      <c r="J539" s="4" t="inlineStr">
        <is>
          <t>TC Mercado Pago</t>
        </is>
      </c>
      <c r="K539" s="4" t="inlineStr">
        <is>
          <t>MERPAGO*BIDCOM · TC Mercado Pago · cuota 1 de 3 · compra 2026-05-14 · ex `Bidcom · C.01/03`</t>
        </is>
      </c>
      <c r="L539" s="4" t="n">
        <v>726</v>
      </c>
    </row>
    <row r="540">
      <c r="A540" s="15" t="n">
        <v>46185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COMPRAS</t>
        </is>
      </c>
      <c r="E540" s="4" t="inlineStr">
        <is>
          <t>COMPRAS</t>
        </is>
      </c>
      <c r="F540" s="5" t="n">
        <v>268667</v>
      </c>
      <c r="G540" s="16" t="n"/>
      <c r="H540" s="4" t="inlineStr">
        <is>
          <t>REAL</t>
        </is>
      </c>
      <c r="I540" s="4" t="inlineStr">
        <is>
          <t>TC Mercado Pago</t>
        </is>
      </c>
      <c r="J540" s="4" t="inlineStr">
        <is>
          <t>TC Mercado Pago</t>
        </is>
      </c>
      <c r="K540" s="4" t="inlineStr">
        <is>
          <t>MERPAGO*CASAGODOY · TC Mercado Pago · cuota 1 de 3 · compra 2026-06-11 · ex `Casagodoy · C.01/03`</t>
        </is>
      </c>
      <c r="L540" s="4" t="n">
        <v>729</v>
      </c>
    </row>
    <row r="541">
      <c r="A541" s="15" t="n">
        <v>46185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OTROS PERSONALES</t>
        </is>
      </c>
      <c r="E541" s="4" t="inlineStr">
        <is>
          <t>Courier</t>
        </is>
      </c>
      <c r="F541" s="5" t="n">
        <v>48000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Courier · Correo Oficial · Gmail Pago aprobado · $48.000 · gasto personal Sol</t>
        </is>
      </c>
      <c r="L541" s="4" t="n">
        <v>182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MERCADO LIBRE</t>
        </is>
      </c>
      <c r="E542" s="4" t="inlineStr">
        <is>
          <t>MERCADO LIBRE</t>
        </is>
      </c>
      <c r="F542" s="5" t="n">
        <v>125779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Mercado Libre · TC Mercado Pago · cuota 3 de 3 · compra 2026-03-24 · ex `Mercado Libre · C.03/03`</t>
        </is>
      </c>
      <c r="L542" s="4" t="n">
        <v>719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PELUQUERÍA</t>
        </is>
      </c>
      <c r="E543" s="4" t="inlineStr">
        <is>
          <t>PELUQUERÍA</t>
        </is>
      </c>
      <c r="F543" s="5" t="n">
        <v>135000</v>
      </c>
      <c r="G543" s="16" t="n"/>
      <c r="H543" s="4" t="inlineStr">
        <is>
          <t>REAL</t>
        </is>
      </c>
      <c r="I543" s="4" t="inlineStr">
        <is>
          <t>Mercado Pago</t>
        </is>
      </c>
      <c r="J543" s="4" t="inlineStr">
        <is>
          <t>Mercado Pago</t>
        </is>
      </c>
      <c r="K543" s="4" t="inlineStr">
        <is>
          <t>PELUQUERÍA · Agustina Vissani (ex AGUS/PSA · ex CASA matriz 2026)</t>
        </is>
      </c>
      <c r="L543" s="4" t="n">
        <v>38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PERCEPCIONES USD</t>
        </is>
      </c>
      <c r="E544" s="4" t="inlineStr">
        <is>
          <t>PERCEPCIÓN USD · DB RG 5617 · TC Mercado Pago</t>
        </is>
      </c>
      <c r="F544" s="5" t="n">
        <v>9639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PERCEPCIÓN USD · DB RG 5617 · TC Mercado Pago · cierre 2026-06-12 · compra 2026-06-12</t>
        </is>
      </c>
      <c r="L544" s="4" t="n">
        <v>730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ROPA</t>
        </is>
      </c>
      <c r="E545" s="4" t="inlineStr">
        <is>
          <t>ROPA</t>
        </is>
      </c>
      <c r="F545" s="5" t="n">
        <v>41715</v>
      </c>
      <c r="G545" s="16" t="n"/>
      <c r="H545" s="4" t="inlineStr">
        <is>
          <t>REAL</t>
        </is>
      </c>
      <c r="I545" s="4" t="inlineStr">
        <is>
          <t>TC Mercado Pago</t>
        </is>
      </c>
      <c r="J545" s="4" t="inlineStr">
        <is>
          <t>TC Mercado Pago</t>
        </is>
      </c>
      <c r="K545" s="4" t="inlineStr">
        <is>
          <t>ROPA · MERPAGO*LOCCITANE · TC Mercado Pago · cuota 3 de 6 · compra 2026-03-20</t>
        </is>
      </c>
      <c r="L545" s="4" t="n">
        <v>716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ROPA</t>
        </is>
      </c>
      <c r="E546" s="4" t="inlineStr">
        <is>
          <t>ROPA</t>
        </is>
      </c>
      <c r="F546" s="5" t="n">
        <v>67112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ROPA · MERPAGO*AWADA · TC Mercado Pago · cuota 3 de 9 · compra 2026-03-23</t>
        </is>
      </c>
      <c r="L546" s="4" t="n">
        <v>717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ROPA</t>
        </is>
      </c>
      <c r="E547" s="4" t="inlineStr">
        <is>
          <t>ROPA</t>
        </is>
      </c>
      <c r="F547" s="5" t="n">
        <v>23000</v>
      </c>
      <c r="G547" s="16" t="n"/>
      <c r="H547" s="4" t="inlineStr">
        <is>
          <t>REAL</t>
        </is>
      </c>
      <c r="I547" s="4" t="inlineStr">
        <is>
          <t>TC Mercado Pago</t>
        </is>
      </c>
      <c r="J547" s="4" t="inlineStr">
        <is>
          <t>TC Mercado Pago</t>
        </is>
      </c>
      <c r="K547" s="4" t="inlineStr">
        <is>
          <t>ROPA · Adidas · TC Mercado Pago · cuota 3 de 6 · compra 2026-03-23</t>
        </is>
      </c>
      <c r="L547" s="4" t="n">
        <v>718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ROPA</t>
        </is>
      </c>
      <c r="E548" s="4" t="inlineStr">
        <is>
          <t>ROPA</t>
        </is>
      </c>
      <c r="F548" s="5" t="n">
        <v>41345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ROPA · MERPAGO*LAPARFUMERIE · TC Mercado Pago · cuota 3 de 6 · compra 2026-03-30</t>
        </is>
      </c>
      <c r="L548" s="4" t="n">
        <v>720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142573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MERPAGO*MRPERFUMERIAS · TC Mercado Pago · cuota 3 de 3 · compra 2026-04-01</t>
        </is>
      </c>
      <c r="L549" s="4" t="n">
        <v>721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173147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MERPAGO*CAMBIODEAIRES · TC Mercado Pago · cuota 3 de 3 · compra 2026-04-04</t>
        </is>
      </c>
      <c r="L550" s="4" t="n">
        <v>722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88815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Tilgorita · MERPAGO*TILGORITA · TC Mercado Pago · cuota 2 de 3 · compra 2026-05-09</t>
        </is>
      </c>
      <c r="L551" s="4" t="n">
        <v>725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SALUD · Vitaminas</t>
        </is>
      </c>
      <c r="E552" s="4" t="inlineStr">
        <is>
          <t>SALUD · Vitaminas</t>
        </is>
      </c>
      <c r="F552" s="5" t="n">
        <v>58334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SALUD · Vitaminas · Promarine · TC Mercado Pago · C.06/06 · gasto personal Sol</t>
        </is>
      </c>
      <c r="L552" s="4" t="n">
        <v>714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 · Vitaminas</t>
        </is>
      </c>
      <c r="E553" s="4" t="inlineStr">
        <is>
          <t>SALUD · Vitaminas</t>
        </is>
      </c>
      <c r="F553" s="5" t="n">
        <v>87900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Vitaminas · Promarine · TC Mercado Pago · C.03/06 · gasto personal Sol</t>
        </is>
      </c>
      <c r="L553" s="4" t="n">
        <v>723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SUSCRIPCIONES · IA</t>
        </is>
      </c>
      <c r="E554" s="4" t="inlineStr">
        <is>
          <t>SUSCRIPCIONES · IA</t>
        </is>
      </c>
      <c r="F554" s="5" t="n">
        <v>30000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SUSCRIPCIONES · IA · Vercel · gasto personal Sol · Vercel · TC Mercado Pago · cuota 3 de 3 · compra 2026-03-14</t>
        </is>
      </c>
      <c r="L554" s="4" t="n">
        <v>715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SUSCRIPCIONES · IA</t>
        </is>
      </c>
      <c r="E555" s="4" t="inlineStr">
        <is>
          <t>SUSCRIPCIONES · IA</t>
        </is>
      </c>
      <c r="F555" s="5" t="n">
        <v>16403</v>
      </c>
      <c r="G555" s="16" t="n"/>
      <c r="H555" s="4" t="inlineStr">
        <is>
          <t>REAL</t>
        </is>
      </c>
      <c r="I555" s="4" t="inlineStr">
        <is>
          <t>TC Mercado Pago · USD</t>
        </is>
      </c>
      <c r="J555" s="4" t="inlineStr">
        <is>
          <t>TC Mercado Pago</t>
        </is>
      </c>
      <c r="K555" s="4" t="inlineStr">
        <is>
          <t>SUSCRIPCIONES · IA · Vercel Domains · USD 11.25 × TC MEP 1458.0 · gasto personal Sol</t>
        </is>
      </c>
      <c r="L555" s="4" t="n">
        <v>727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SUSCRIPCIONES · IA</t>
        </is>
      </c>
      <c r="E556" s="4" t="inlineStr">
        <is>
          <t>SUSCRIPCIONES · IA</t>
        </is>
      </c>
      <c r="F556" s="5" t="n">
        <v>16403</v>
      </c>
      <c r="G556" s="16" t="n"/>
      <c r="H556" s="4" t="inlineStr">
        <is>
          <t>REAL</t>
        </is>
      </c>
      <c r="I556" s="4" t="inlineStr">
        <is>
          <t>TC Mercado Pago · USD</t>
        </is>
      </c>
      <c r="J556" s="4" t="inlineStr">
        <is>
          <t>TC Mercado Pago</t>
        </is>
      </c>
      <c r="K556" s="4" t="inlineStr">
        <is>
          <t>SUSCRIPCIONES · IA · Vercel Domains · USD 11.25 × TC MEP 1458.0 · gasto personal Sol</t>
        </is>
      </c>
      <c r="L556" s="4" t="n">
        <v>728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VESTIMENTA</t>
        </is>
      </c>
      <c r="E557" s="4" t="inlineStr">
        <is>
          <t>VESTIMENTA</t>
        </is>
      </c>
      <c r="F557" s="5" t="n">
        <v>63750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VESTIMENTA · Longchamp · TC Mercado Pago · C.06/06 · gasto personal Sol</t>
        </is>
      </c>
      <c r="L557" s="4" t="n">
        <v>827</v>
      </c>
    </row>
    <row r="558">
      <c r="A558" s="15" t="n">
        <v>46186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HOGAR</t>
        </is>
      </c>
      <c r="E558" s="4" t="inlineStr">
        <is>
          <t>HOGAR</t>
        </is>
      </c>
      <c r="F558" s="5" t="n">
        <v>79900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¿hogar? · gasto personal Sol (ex-PENDIENTE)</t>
        </is>
      </c>
      <c r="L558" s="4" t="n">
        <v>184</v>
      </c>
    </row>
    <row r="559">
      <c r="A559" s="15" t="n">
        <v>46186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APPLE</t>
        </is>
      </c>
      <c r="E559" s="4" t="inlineStr">
        <is>
          <t>SUSCRIPCIONES · Apple</t>
        </is>
      </c>
      <c r="F559" s="5" t="n">
        <v>18558</v>
      </c>
      <c r="G559" s="16" t="n"/>
      <c r="H559" s="4" t="inlineStr">
        <is>
          <t>REAL</t>
        </is>
      </c>
      <c r="I559" s="4" t="inlineStr">
        <is>
          <t>Mercado Pago</t>
        </is>
      </c>
      <c r="J559" s="4" t="inlineStr">
        <is>
          <t>Mercado Pago</t>
        </is>
      </c>
      <c r="K559" s="4" t="inlineStr">
        <is>
          <t>SUSCRIPCIONES · Apple · gasto personal Sol</t>
        </is>
      </c>
      <c r="L559" s="4" t="n">
        <v>183</v>
      </c>
    </row>
    <row r="560">
      <c r="A560" s="15" t="n">
        <v>46188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COMPRAS</t>
        </is>
      </c>
      <c r="E560" s="4" t="inlineStr">
        <is>
          <t>COMPRAS</t>
        </is>
      </c>
      <c r="F560" s="5" t="n">
        <v>4297</v>
      </c>
      <c r="G560" s="16" t="n"/>
      <c r="H560" s="4" t="inlineStr">
        <is>
          <t>REAL</t>
        </is>
      </c>
      <c r="I560" s="4" t="inlineStr">
        <is>
          <t>BBVA VISA</t>
        </is>
      </c>
      <c r="J560" s="4" t="inlineStr">
        <is>
          <t>BBVA</t>
        </is>
      </c>
      <c r="K560" s="4" t="inlineStr">
        <is>
          <t>MP vía TC · MERPAGO*FLYMORFI 830196</t>
        </is>
      </c>
      <c r="L560" s="4" t="n">
        <v>233</v>
      </c>
    </row>
    <row r="561">
      <c r="A561" s="15" t="n">
        <v>46188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SALUD</t>
        </is>
      </c>
      <c r="E561" s="4" t="inlineStr">
        <is>
          <t>SALUD</t>
        </is>
      </c>
      <c r="F561" s="5" t="n">
        <v>99727</v>
      </c>
      <c r="G561" s="16" t="n"/>
      <c r="H561" s="4" t="inlineStr">
        <is>
          <t>REAL</t>
        </is>
      </c>
      <c r="I561" s="4" t="inlineStr">
        <is>
          <t>Mercado Pago</t>
        </is>
      </c>
      <c r="J561" s="4" t="inlineStr">
        <is>
          <t>Mercado Pago</t>
        </is>
      </c>
      <c r="K561" s="4" t="inlineStr">
        <is>
          <t>fitness · gasto personal Sol</t>
        </is>
      </c>
      <c r="L561" s="4" t="n">
        <v>185</v>
      </c>
    </row>
    <row r="562">
      <c r="A562" s="15" t="n">
        <v>46189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EDUCACIÓN</t>
        </is>
      </c>
      <c r="E562" s="4" t="inlineStr">
        <is>
          <t>EDUCACIÓN</t>
        </is>
      </c>
      <c r="F562" s="5" t="n">
        <v>29999</v>
      </c>
      <c r="G562" s="16" t="n"/>
      <c r="H562" s="4" t="inlineStr">
        <is>
          <t>REAL</t>
        </is>
      </c>
      <c r="I562" s="4" t="inlineStr">
        <is>
          <t>BBVA VISA</t>
        </is>
      </c>
      <c r="J562" s="4" t="inlineStr">
        <is>
          <t>BBVA</t>
        </is>
      </c>
      <c r="K562" s="4" t="inlineStr">
        <is>
          <t>MERPAGO*AIBCURSOS 354954</t>
        </is>
      </c>
      <c r="L562" s="4" t="n">
        <v>234</v>
      </c>
    </row>
    <row r="563">
      <c r="A563" s="15" t="n">
        <v>46189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SALUD</t>
        </is>
      </c>
      <c r="E563" s="4" t="inlineStr">
        <is>
          <t>SALUD</t>
        </is>
      </c>
      <c r="F563" s="5" t="n">
        <v>150000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estética · gasto personal Sol · ex `Dermacycle`</t>
        </is>
      </c>
      <c r="L563" s="4" t="n">
        <v>187</v>
      </c>
    </row>
    <row r="564">
      <c r="A564" s="15" t="n">
        <v>46189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TRANSFERENCIAS</t>
        </is>
      </c>
      <c r="E564" s="4" t="inlineStr">
        <is>
          <t>TRANSFERENCIAS</t>
        </is>
      </c>
      <c r="F564" s="5" t="n">
        <v>2542970</v>
      </c>
      <c r="G564" s="16" t="n"/>
      <c r="H564" s="4" t="inlineStr">
        <is>
          <t>REAL</t>
        </is>
      </c>
      <c r="I564" s="4" t="inlineStr">
        <is>
          <t>Mercado Pago</t>
        </is>
      </c>
      <c r="J564" s="4" t="inlineStr">
        <is>
          <t>Mercado Pago</t>
        </is>
      </c>
      <c r="K564" s="4" t="inlineStr">
        <is>
          <t>compra grande · gasto personal Sol (ex-PENDIENTE) · ex `Damaris Oliveira`</t>
        </is>
      </c>
      <c r="L564" s="4" t="n">
        <v>186</v>
      </c>
    </row>
    <row r="565">
      <c r="A565" s="15" t="n">
        <v>46190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40004</v>
      </c>
      <c r="G565" s="16" t="n"/>
      <c r="H565" s="4" t="inlineStr">
        <is>
          <t>REAL</t>
        </is>
      </c>
      <c r="I565" s="4" t="inlineStr">
        <is>
          <t>BBVA Mastercard</t>
        </is>
      </c>
      <c r="J565" s="4" t="inlineStr">
        <is>
          <t>BBVA</t>
        </is>
      </c>
      <c r="K565" s="4" t="inlineStr">
        <is>
          <t>ROPA · Zara · cuota 02/03 · gasto personal Sol</t>
        </is>
      </c>
      <c r="L565" s="4" t="n">
        <v>519</v>
      </c>
    </row>
    <row r="566">
      <c r="A566" s="15" t="n">
        <v>46190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TRANSPORTE</t>
        </is>
      </c>
      <c r="E566" s="4" t="inlineStr">
        <is>
          <t>TRANSPORTE · Didi</t>
        </is>
      </c>
      <c r="F566" s="5" t="n">
        <v>4950</v>
      </c>
      <c r="G566" s="16" t="n"/>
      <c r="H566" s="4" t="inlineStr">
        <is>
          <t>REAL</t>
        </is>
      </c>
      <c r="I566" s="4" t="inlineStr">
        <is>
          <t>Mercado Pago</t>
        </is>
      </c>
      <c r="J566" s="4" t="inlineStr">
        <is>
          <t>Mercado Pago</t>
        </is>
      </c>
      <c r="K566" s="4" t="inlineStr">
        <is>
          <t>transporte · gasto personal Sol</t>
        </is>
      </c>
      <c r="L566" s="4" t="n">
        <v>466</v>
      </c>
    </row>
    <row r="567">
      <c r="A567" s="15" t="n">
        <v>46191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MERCADO LIBRE</t>
        </is>
      </c>
      <c r="E567" s="4" t="inlineStr">
        <is>
          <t>MERCADO LIBRE</t>
        </is>
      </c>
      <c r="F567" s="5" t="n">
        <v>67000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MERCADO LIBRE · gasto personal Sol</t>
        </is>
      </c>
      <c r="L567" s="4" t="n">
        <v>188</v>
      </c>
    </row>
    <row r="568">
      <c r="A568" s="15" t="n">
        <v>46191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TRANSPORTE</t>
        </is>
      </c>
      <c r="E568" s="4" t="inlineStr">
        <is>
          <t>TRANSPORTE · Cabify</t>
        </is>
      </c>
      <c r="F568" s="5" t="n">
        <v>9669</v>
      </c>
      <c r="G568" s="16" t="n"/>
      <c r="H568" s="4" t="inlineStr">
        <is>
          <t>REAL</t>
        </is>
      </c>
      <c r="I568" s="4" t="inlineStr">
        <is>
          <t>BBVA</t>
        </is>
      </c>
      <c r="J568" s="4" t="inlineStr">
        <is>
          <t>BBVA</t>
        </is>
      </c>
      <c r="K568" s="4" t="inlineStr">
        <is>
          <t>Cabify · BBVA VISA (BBVA-VISA-2026-06-18-9669) · gasto personal Sol</t>
        </is>
      </c>
      <c r="L568" s="4" t="n">
        <v>486</v>
      </c>
    </row>
    <row r="569">
      <c r="A569" s="15" t="n">
        <v>46193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EDUCACIÓN</t>
        </is>
      </c>
      <c r="E569" s="4" t="inlineStr">
        <is>
          <t>EDUCACIÓN</t>
        </is>
      </c>
      <c r="F569" s="5" t="n">
        <v>151214</v>
      </c>
      <c r="G569" s="16" t="n"/>
      <c r="H569" s="4" t="inlineStr">
        <is>
          <t>REAL</t>
        </is>
      </c>
      <c r="I569" s="4" t="inlineStr">
        <is>
          <t>Mercado Pago</t>
        </is>
      </c>
      <c r="J569" s="4" t="inlineStr">
        <is>
          <t>Mercado Pago</t>
        </is>
      </c>
      <c r="K569" s="4" t="inlineStr">
        <is>
          <t>EDUCACIÓN · UADE · gasto personal Sol</t>
        </is>
      </c>
      <c r="L569" s="4" t="n">
        <v>755</v>
      </c>
    </row>
    <row r="570">
      <c r="A570" s="15" t="n">
        <v>46193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EDUCACIÓN</t>
        </is>
      </c>
      <c r="E570" s="4" t="inlineStr">
        <is>
          <t>EDUCACIÓN</t>
        </is>
      </c>
      <c r="F570" s="5" t="n">
        <v>44048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EDUCACIÓN · UADE · gasto personal Sol</t>
        </is>
      </c>
      <c r="L570" s="4" t="n">
        <v>756</v>
      </c>
    </row>
    <row r="571">
      <c r="A571" s="15" t="n">
        <v>46193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EDUCACIÓN</t>
        </is>
      </c>
      <c r="E571" s="4" t="inlineStr">
        <is>
          <t>EDUCACIÓN</t>
        </is>
      </c>
      <c r="F571" s="5" t="n">
        <v>81656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EDUCACIÓN · UADE · gasto personal Sol</t>
        </is>
      </c>
      <c r="L571" s="4" t="n">
        <v>787</v>
      </c>
    </row>
    <row r="572">
      <c r="A572" s="15" t="n">
        <v>46193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EDUCACIÓN</t>
        </is>
      </c>
      <c r="E572" s="4" t="inlineStr">
        <is>
          <t>EDUCACIÓN</t>
        </is>
      </c>
      <c r="F572" s="5" t="n">
        <v>5000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EDUCACIÓN · UADE · gasto personal Sol</t>
        </is>
      </c>
      <c r="L572" s="4" t="n">
        <v>788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TRANSFERENCIAS</t>
        </is>
      </c>
      <c r="E573" s="4" t="inlineStr">
        <is>
          <t>TRANSFERENCIAS</t>
        </is>
      </c>
      <c r="F573" s="5" t="n">
        <v>20000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transferencia · gasto personal Sol (ex-PENDIENTE) · ex `Christian Ventura`</t>
        </is>
      </c>
      <c r="L573" s="4" t="n">
        <v>189</v>
      </c>
    </row>
    <row r="574">
      <c r="A574" s="15" t="n">
        <v>46194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IA</t>
        </is>
      </c>
      <c r="E574" s="4" t="inlineStr">
        <is>
          <t>SUSCRIPCIONES · IA</t>
        </is>
      </c>
      <c r="F574" s="5" t="n">
        <v>-19436</v>
      </c>
      <c r="G574" s="16" t="n"/>
      <c r="H574" s="4" t="inlineStr">
        <is>
          <t>REAL</t>
        </is>
      </c>
      <c r="I574" s="4" t="inlineStr">
        <is>
          <t>BBVA Visa · USD</t>
        </is>
      </c>
      <c r="J574" s="4" t="inlineStr">
        <is>
          <t>BBVA</t>
        </is>
      </c>
      <c r="K574" s="4" t="inlineStr">
        <is>
          <t>SUSCRIPCIONES · IA · Vercel · gasto personal Sol · crédito USD 13.33 × TC MEP 1458.0 · suscripción · gasto personal Sol</t>
        </is>
      </c>
      <c r="L574" s="4" t="n">
        <v>349</v>
      </c>
    </row>
    <row r="575">
      <c r="A575" s="15" t="n">
        <v>46196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TRANSFERENCIAS</t>
        </is>
      </c>
      <c r="E575" s="4" t="inlineStr">
        <is>
          <t>TRANSFERENCIAS</t>
        </is>
      </c>
      <c r="F575" s="5" t="n">
        <v>150000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transferencia · gasto personal Sol (ex-PENDIENTE) · ex `Christian Ventura`</t>
        </is>
      </c>
      <c r="L575" s="4" t="n">
        <v>190</v>
      </c>
    </row>
    <row r="576">
      <c r="A576" s="15" t="n">
        <v>46196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TRANSFERENCIAS</t>
        </is>
      </c>
      <c r="E576" s="4" t="inlineStr">
        <is>
          <t>TRANSFERENCIAS</t>
        </is>
      </c>
      <c r="F576" s="5" t="n">
        <v>6030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transferencia · gasto personal Sol (ex-PENDIENTE) · ex `Karina Venturo`</t>
        </is>
      </c>
      <c r="L576" s="4" t="n">
        <v>191</v>
      </c>
    </row>
    <row r="577">
      <c r="A577" s="15" t="n">
        <v>46196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6400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`Mazzeo Jose`</t>
        </is>
      </c>
      <c r="L577" s="4" t="n">
        <v>192</v>
      </c>
    </row>
    <row r="578">
      <c r="A578" s="15" t="n">
        <v>46196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TRANSFERENCIAS</t>
        </is>
      </c>
      <c r="E578" s="4" t="inlineStr">
        <is>
          <t>TRANSFERENCIAS</t>
        </is>
      </c>
      <c r="F578" s="5" t="n">
        <v>7000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transferencia · gasto personal Sol (ex-PENDIENTE) · ex `Omar Pastran`</t>
        </is>
      </c>
      <c r="L578" s="4" t="n">
        <v>193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TRANSPORTE</t>
        </is>
      </c>
      <c r="E579" s="4" t="inlineStr">
        <is>
          <t>TRANSPORTE · Didi</t>
        </is>
      </c>
      <c r="F579" s="5" t="n">
        <v>4955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transporte · gasto personal Sol</t>
        </is>
      </c>
      <c r="L579" s="4" t="n">
        <v>467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TRANSPORTE</t>
        </is>
      </c>
      <c r="E580" s="4" t="inlineStr">
        <is>
          <t>TRANSPORTE · Didi</t>
        </is>
      </c>
      <c r="F580" s="5" t="n">
        <v>6480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transporte · gasto personal Sol</t>
        </is>
      </c>
      <c r="L580" s="4" t="n">
        <v>468</v>
      </c>
    </row>
    <row r="581">
      <c r="A581" s="15" t="n">
        <v>46197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MERCADO LIBRE</t>
        </is>
      </c>
      <c r="E581" s="4" t="inlineStr">
        <is>
          <t>MERCADO LIBRE</t>
        </is>
      </c>
      <c r="F581" s="5" t="n">
        <v>175000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MERCADO LIBRE · gasto personal Sol</t>
        </is>
      </c>
      <c r="L581" s="4" t="n">
        <v>195</v>
      </c>
    </row>
    <row r="582">
      <c r="A582" s="15" t="n">
        <v>46197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TRANSPORTE</t>
        </is>
      </c>
      <c r="E582" s="4" t="inlineStr">
        <is>
          <t>TRANSPORTE · Didi</t>
        </is>
      </c>
      <c r="F582" s="5" t="n">
        <v>3860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TRANSPORTE · Didi · gasto personal Sol</t>
        </is>
      </c>
      <c r="L582" s="4" t="n">
        <v>815</v>
      </c>
    </row>
    <row r="583">
      <c r="A583" s="15" t="n">
        <v>46197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VESTIMENTA</t>
        </is>
      </c>
      <c r="E583" s="4" t="inlineStr">
        <is>
          <t>VESTIMENTA</t>
        </is>
      </c>
      <c r="F583" s="5" t="n">
        <v>350000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VESTIMENTA · Aylen Difeo · Mercado Pago · gasto personal Sol</t>
        </is>
      </c>
      <c r="L583" s="4" t="n">
        <v>194</v>
      </c>
    </row>
    <row r="584">
      <c r="A584" s="15" t="n">
        <v>46198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MERCADO LIBRE</t>
        </is>
      </c>
      <c r="E584" s="4" t="inlineStr">
        <is>
          <t>COMPRAS</t>
        </is>
      </c>
      <c r="F584" s="5" t="n">
        <v>374369</v>
      </c>
      <c r="G584" s="16" t="n"/>
      <c r="H584" s="4" t="inlineStr">
        <is>
          <t>REAL</t>
        </is>
      </c>
      <c r="I584" s="4" t="inlineStr">
        <is>
          <t>BBVA VISA</t>
        </is>
      </c>
      <c r="J584" s="4" t="inlineStr">
        <is>
          <t>BBVA</t>
        </is>
      </c>
      <c r="K584" s="4" t="inlineStr">
        <is>
          <t>Mercado Libre · ex `MERCADOLIBRE 444718`</t>
        </is>
      </c>
      <c r="L584" s="4" t="n">
        <v>235</v>
      </c>
    </row>
    <row r="585">
      <c r="A585" s="15" t="n">
        <v>46198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COMPRAS</t>
        </is>
      </c>
      <c r="F585" s="5" t="n">
        <v>12084</v>
      </c>
      <c r="G585" s="16" t="n"/>
      <c r="H585" s="4" t="inlineStr">
        <is>
          <t>REAL</t>
        </is>
      </c>
      <c r="I585" s="4" t="inlineStr">
        <is>
          <t>BBVA VISA</t>
        </is>
      </c>
      <c r="J585" s="4" t="inlineStr">
        <is>
          <t>BBVA</t>
        </is>
      </c>
      <c r="K585" s="4" t="inlineStr">
        <is>
          <t>Mercado Libre · ex `MERCADOLIBRE C.01/06 532077`</t>
        </is>
      </c>
      <c r="L585" s="4" t="n">
        <v>236</v>
      </c>
    </row>
    <row r="586">
      <c r="A586" s="15" t="n">
        <v>46198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DONACIONES</t>
        </is>
      </c>
      <c r="E586" s="4" t="inlineStr">
        <is>
          <t>DONACIONES</t>
        </is>
      </c>
      <c r="F586" s="5" t="n">
        <v>243000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donación · gasto personal Sol · ex `Fundacion Soplo De Vida`</t>
        </is>
      </c>
      <c r="L586" s="4" t="n">
        <v>196</v>
      </c>
    </row>
    <row r="587">
      <c r="A587" s="15" t="n">
        <v>46198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EVENTOS DEPORTIVOS - RIVER</t>
        </is>
      </c>
      <c r="E587" s="4" t="inlineStr">
        <is>
          <t>Eventos deportivos - River</t>
        </is>
      </c>
      <c r="F587" s="5" t="n">
        <v>169667</v>
      </c>
      <c r="G587" s="16" t="n"/>
      <c r="H587" s="4" t="inlineStr">
        <is>
          <t>REAL</t>
        </is>
      </c>
      <c r="I587" s="4" t="inlineStr">
        <is>
          <t>BBVA VISA</t>
        </is>
      </c>
      <c r="J587" s="4" t="inlineStr">
        <is>
          <t>BBVA</t>
        </is>
      </c>
      <c r="K587" s="4" t="inlineStr">
        <is>
          <t>TLM CARP C.01/06 003369 · Eventos deportivos - River</t>
        </is>
      </c>
      <c r="L587" s="4" t="n">
        <v>238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SEGUROS / RETIRO</t>
        </is>
      </c>
      <c r="E588" s="4" t="inlineStr">
        <is>
          <t>SEGUROS · Retiro</t>
        </is>
      </c>
      <c r="F588" s="5" t="n">
        <v>343237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SEGUROS · Retiro · Zurich · Seguro de retiro Zurich · gasto personal Sol</t>
        </is>
      </c>
      <c r="L588" s="4" t="n">
        <v>237</v>
      </c>
    </row>
    <row r="589">
      <c r="A589" s="15" t="n">
        <v>46199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SALUD · Vitaminas</t>
        </is>
      </c>
      <c r="E589" s="4" t="inlineStr">
        <is>
          <t>SALUD · Vitaminas</t>
        </is>
      </c>
      <c r="F589" s="5" t="n">
        <v>87900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SALUD · Vitaminas · Promarine · BBVA · C.03/06 · gasto personal Sol</t>
        </is>
      </c>
      <c r="L589" s="4" t="n">
        <v>518</v>
      </c>
    </row>
    <row r="590">
      <c r="A590" s="15" t="n">
        <v>46199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TRANSPORTE</t>
        </is>
      </c>
      <c r="E590" s="4" t="inlineStr">
        <is>
          <t>TRANSPORTE · Didi</t>
        </is>
      </c>
      <c r="F590" s="5" t="n">
        <v>5300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transporte · gasto personal Sol</t>
        </is>
      </c>
      <c r="L590" s="4" t="n">
        <v>469</v>
      </c>
    </row>
    <row r="591">
      <c r="A591" s="15" t="n">
        <v>46199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TRANSPORTE</t>
        </is>
      </c>
      <c r="E591" s="4" t="inlineStr">
        <is>
          <t>TRANSPORTE · Didi</t>
        </is>
      </c>
      <c r="F591" s="5" t="n">
        <v>6500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transporte · gasto personal Sol</t>
        </is>
      </c>
      <c r="L591" s="4" t="n">
        <v>470</v>
      </c>
    </row>
    <row r="592">
      <c r="A592" s="15" t="n">
        <v>46200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SUSCRIPCIONES · IA</t>
        </is>
      </c>
      <c r="E592" s="4" t="inlineStr">
        <is>
          <t>SUSCRIPCIONES · IA</t>
        </is>
      </c>
      <c r="F592" s="5" t="n">
        <v>200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SUSCRIPCIONES · IA · Cursor · gasto personal Sol · Suscripción · CURSOR, AI POWER in1TmtbGBUSD  610302</t>
        </is>
      </c>
      <c r="L592" s="4" t="n">
        <v>239</v>
      </c>
    </row>
    <row r="593">
      <c r="A593" s="15" t="n">
        <v>46200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SUSCRIPCIONES · IA</t>
        </is>
      </c>
      <c r="E593" s="4" t="inlineStr">
        <is>
          <t>SUSCRIPCIONES · IA</t>
        </is>
      </c>
      <c r="F593" s="5" t="n">
        <v>291600</v>
      </c>
      <c r="G593" s="16" t="n"/>
      <c r="H593" s="4" t="inlineStr">
        <is>
          <t>REAL</t>
        </is>
      </c>
      <c r="I593" s="4" t="inlineStr">
        <is>
          <t>BBVA Visa · USD</t>
        </is>
      </c>
      <c r="J593" s="4" t="inlineStr">
        <is>
          <t>BBVA</t>
        </is>
      </c>
      <c r="K593" s="4" t="inlineStr">
        <is>
          <t>SUSCRIPCIONES · IA · Cursor · gasto personal Sol · USD 200.00 × TC MEP 1458.0 · suscripción · gasto personal Sol</t>
        </is>
      </c>
      <c r="L593" s="4" t="n">
        <v>350</v>
      </c>
    </row>
    <row r="594">
      <c r="A594" s="15" t="n">
        <v>46200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20000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`Florencia De La Torre`</t>
        </is>
      </c>
      <c r="L594" s="4" t="n">
        <v>198</v>
      </c>
    </row>
    <row r="595">
      <c r="A595" s="15" t="n">
        <v>46201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MERCADO LIBRE</t>
        </is>
      </c>
      <c r="E595" s="4" t="inlineStr">
        <is>
          <t>MERCADO LIBRE</t>
        </is>
      </c>
      <c r="F595" s="5" t="n">
        <v>16950</v>
      </c>
      <c r="G595" s="16" t="n"/>
      <c r="H595" s="18" t="inlineStr">
        <is>
          <t>PROYECTADO</t>
        </is>
      </c>
      <c r="I595" s="4" t="inlineStr">
        <is>
          <t>BBVA MASTERCARD · proyectado</t>
        </is>
      </c>
      <c r="J595" s="4" t="inlineStr">
        <is>
          <t>BBVA</t>
        </is>
      </c>
      <c r="K595" s="4" t="inlineStr">
        <is>
          <t>PROYECTADO · C.05/09 · cashflow cuotas BBVA · gasto personal Sol · ex `Mercado Libre · MERCADOLIBRE`</t>
        </is>
      </c>
      <c r="L595" s="4" t="n">
        <v>520</v>
      </c>
    </row>
    <row r="596">
      <c r="A596" s="15" t="n">
        <v>46201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ROPA</t>
        </is>
      </c>
      <c r="E596" s="4" t="inlineStr">
        <is>
          <t>ROPA</t>
        </is>
      </c>
      <c r="F596" s="5" t="n">
        <v>73333</v>
      </c>
      <c r="G596" s="16" t="n"/>
      <c r="H596" s="18" t="inlineStr">
        <is>
          <t>PROYECTADO</t>
        </is>
      </c>
      <c r="I596" s="4" t="inlineStr">
        <is>
          <t>BBVA MASTERCARD · proyectado</t>
        </is>
      </c>
      <c r="J596" s="4" t="inlineStr">
        <is>
          <t>BBVA</t>
        </is>
      </c>
      <c r="K596" s="4" t="inlineStr">
        <is>
          <t>PROYECTADO · C.02/03 · cashflow cuotas BBVA · gasto personal Sol</t>
        </is>
      </c>
      <c r="L596" s="4" t="n">
        <v>521</v>
      </c>
    </row>
    <row r="597">
      <c r="A597" s="15" t="n">
        <v>46201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ROPA</t>
        </is>
      </c>
      <c r="E597" s="4" t="inlineStr">
        <is>
          <t>ROPA</t>
        </is>
      </c>
      <c r="F597" s="5" t="n">
        <v>31700</v>
      </c>
      <c r="G597" s="16" t="n"/>
      <c r="H597" s="4" t="inlineStr">
        <is>
          <t>REAL</t>
        </is>
      </c>
      <c r="I597" s="4" t="inlineStr">
        <is>
          <t>BBVA VISA</t>
        </is>
      </c>
      <c r="J597" s="4" t="inlineStr">
        <is>
          <t>BBVA</t>
        </is>
      </c>
      <c r="K597" s="4" t="inlineStr">
        <is>
          <t>MERPAGO*FRIVILLI C.01/03 325477</t>
        </is>
      </c>
      <c r="L597" s="4" t="n">
        <v>240</v>
      </c>
    </row>
    <row r="598">
      <c r="A598" s="15" t="n">
        <v>46203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AUTO</t>
        </is>
      </c>
      <c r="E598" s="4" t="inlineStr">
        <is>
          <t>AUTO</t>
        </is>
      </c>
      <c r="F598" s="5" t="n">
        <v>330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ACA · AUTO/ACA · gasto personal Sol</t>
        </is>
      </c>
      <c r="L598" s="4" t="n">
        <v>199</v>
      </c>
    </row>
    <row r="599">
      <c r="A599" s="15" t="n">
        <v>46203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COMPRAS</t>
        </is>
      </c>
      <c r="E599" s="4" t="inlineStr">
        <is>
          <t>COMPRAS</t>
        </is>
      </c>
      <c r="F599" s="5" t="n">
        <v>61500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COMPRAS · Dodoche · Dodoche · gasto personal Sol· MP cuenta</t>
        </is>
      </c>
      <c r="L599" s="4" t="n">
        <v>758</v>
      </c>
    </row>
    <row r="600">
      <c r="A600" s="15" t="n">
        <v>46203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SUSCRIPCIONES · IA</t>
        </is>
      </c>
      <c r="E600" s="4" t="inlineStr">
        <is>
          <t>SUSCRIPCIONES · IA</t>
        </is>
      </c>
      <c r="F600" s="5" t="n">
        <v>29160</v>
      </c>
      <c r="G600" s="16" t="n"/>
      <c r="H600" s="4" t="inlineStr">
        <is>
          <t>REAL</t>
        </is>
      </c>
      <c r="I600" s="4" t="inlineStr">
        <is>
          <t>BBVA</t>
        </is>
      </c>
      <c r="J600" s="4" t="inlineStr">
        <is>
          <t>BBVA</t>
        </is>
      </c>
      <c r="K600" s="4" t="inlineStr">
        <is>
          <t>SUSCRIPCIONES · IA · ChatGPT / OpenAI · gasto personal Sol</t>
        </is>
      </c>
      <c r="L600" s="4" t="n">
        <v>778</v>
      </c>
    </row>
    <row r="601">
      <c r="A601" s="15" t="n">
        <v>46203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TRANSPORTE</t>
        </is>
      </c>
      <c r="E601" s="4" t="inlineStr">
        <is>
          <t>TRANSPORTE · Didi</t>
        </is>
      </c>
      <c r="F601" s="5" t="n">
        <v>5490</v>
      </c>
      <c r="G601" s="16" t="n"/>
      <c r="H601" s="4" t="inlineStr">
        <is>
          <t>REAL</t>
        </is>
      </c>
      <c r="I601" s="4" t="inlineStr">
        <is>
          <t>Mercado Pago</t>
        </is>
      </c>
      <c r="J601" s="4" t="inlineStr">
        <is>
          <t>Mercado Pago</t>
        </is>
      </c>
      <c r="K601" s="4" t="inlineStr">
        <is>
          <t>transporte · gasto personal Sol</t>
        </is>
      </c>
      <c r="L601" s="4" t="n">
        <v>471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TRANSPORTE</t>
        </is>
      </c>
      <c r="E602" s="4" t="inlineStr">
        <is>
          <t>TRANSPORTE · Didi</t>
        </is>
      </c>
      <c r="F602" s="5" t="n">
        <v>5120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transporte · gasto personal Sol</t>
        </is>
      </c>
      <c r="L602" s="4" t="n">
        <v>472</v>
      </c>
    </row>
    <row r="603">
      <c r="A603" s="15" t="n">
        <v>46204</v>
      </c>
      <c r="B603" s="4" t="inlineStr">
        <is>
          <t>2026-07</t>
        </is>
      </c>
      <c r="C603" s="4" t="inlineStr">
        <is>
          <t>Julio</t>
        </is>
      </c>
      <c r="D603" s="4" t="inlineStr">
        <is>
          <t>HOGAR</t>
        </is>
      </c>
      <c r="E603" s="4" t="inlineStr">
        <is>
          <t>HOGAR</t>
        </is>
      </c>
      <c r="F603" s="5" t="n">
        <v>20000</v>
      </c>
      <c r="G603" s="16" t="n"/>
      <c r="H603" s="4" t="inlineStr">
        <is>
          <t>REAL</t>
        </is>
      </c>
      <c r="I603" s="4" t="inlineStr">
        <is>
          <t>Manual (no MP)</t>
        </is>
      </c>
      <c r="J603" s="4" t="inlineStr">
        <is>
          <t>Manual (no MP)</t>
        </is>
      </c>
      <c r="K603" s="4" t="inlineStr">
        <is>
          <t>Repuesto sifón cocina · sacado de Almacen Detalle (no es comida/súper) · ex `CASA / reposición`</t>
        </is>
      </c>
      <c r="L603" s="4" t="n">
        <v>220</v>
      </c>
    </row>
    <row r="604">
      <c r="A604" s="15" t="n">
        <v>46205</v>
      </c>
      <c r="B604" s="4" t="inlineStr">
        <is>
          <t>2026-07</t>
        </is>
      </c>
      <c r="C604" s="4" t="inlineStr">
        <is>
          <t>Julio</t>
        </is>
      </c>
      <c r="D604" s="4" t="inlineStr">
        <is>
          <t>COMPRAS</t>
        </is>
      </c>
      <c r="E604" s="4" t="inlineStr">
        <is>
          <t>COMPRAS</t>
        </is>
      </c>
      <c r="F604" s="5" t="n">
        <v>5990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COMPRAS · Fabricio Bollonine · pago QR Fabricio Bollonine · gasto personal Sol</t>
        </is>
      </c>
      <c r="L604" s="4" t="n">
        <v>823</v>
      </c>
    </row>
    <row r="605">
      <c r="A605" s="15" t="n">
        <v>46205</v>
      </c>
      <c r="B605" s="4" t="inlineStr">
        <is>
          <t>2026-07</t>
        </is>
      </c>
      <c r="C605" s="4" t="inlineStr">
        <is>
          <t>Julio</t>
        </is>
      </c>
      <c r="D605" s="4" t="inlineStr">
        <is>
          <t>PERCEPCIONES USD</t>
        </is>
      </c>
      <c r="E605" s="4" t="inlineStr">
        <is>
          <t>PERCEPCIÓN USD · DB RG 5617 30%</t>
        </is>
      </c>
      <c r="F605" s="5" t="n">
        <v>1713993</v>
      </c>
      <c r="G605" s="16" t="n"/>
      <c r="H605" s="4" t="inlineStr">
        <is>
          <t>REAL</t>
        </is>
      </c>
      <c r="I605" s="4" t="inlineStr">
        <is>
          <t>BBVA MASTERCARD</t>
        </is>
      </c>
      <c r="J605" s="4" t="inlineStr">
        <is>
          <t>BBVA</t>
        </is>
      </c>
      <c r="K605" s="4" t="inlineStr">
        <is>
          <t>PERCEPCIÓN USD · DB RG 5617 30% · base $5,713,307.89 · cierre 02-Jul-26 · percepciones por consumos en USD · gasto personal Sol</t>
        </is>
      </c>
      <c r="L605" s="4" t="n">
        <v>640</v>
      </c>
    </row>
    <row r="606">
      <c r="A606" s="15" t="n">
        <v>46205</v>
      </c>
      <c r="B606" s="4" t="inlineStr">
        <is>
          <t>2026-07</t>
        </is>
      </c>
      <c r="C606" s="4" t="inlineStr">
        <is>
          <t>Julio</t>
        </is>
      </c>
      <c r="D606" s="4" t="inlineStr">
        <is>
          <t>PERCEPCIONES USD</t>
        </is>
      </c>
      <c r="E606" s="4" t="inlineStr">
        <is>
          <t>PERCEPCIÓN USD · DB RG 5617 30%</t>
        </is>
      </c>
      <c r="F606" s="5" t="n">
        <v>205652</v>
      </c>
      <c r="G606" s="16" t="n"/>
      <c r="H606" s="4" t="inlineStr">
        <is>
          <t>REAL</t>
        </is>
      </c>
      <c r="I606" s="4" t="inlineStr">
        <is>
          <t>BBVA VISA</t>
        </is>
      </c>
      <c r="J606" s="4" t="inlineStr">
        <is>
          <t>BBVA</t>
        </is>
      </c>
      <c r="K606" s="4" t="inlineStr">
        <is>
          <t>PERCEPCIÓN USD · DB RG 5617 30% · base $685,505.82 · cierre 02-Jul-26 · percepciones por consumos en USD · gasto personal Sol</t>
        </is>
      </c>
      <c r="L606" s="4" t="n">
        <v>645</v>
      </c>
    </row>
    <row r="607">
      <c r="A607" s="15" t="n">
        <v>46205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PERCEPCIONES USD</t>
        </is>
      </c>
      <c r="E607" s="4" t="inlineStr">
        <is>
          <t>PERCEPCIÓN USD · IIBB CABA 2%</t>
        </is>
      </c>
      <c r="F607" s="5" t="n">
        <v>690</v>
      </c>
      <c r="G607" s="16" t="n"/>
      <c r="H607" s="4" t="inlineStr">
        <is>
          <t>REAL</t>
        </is>
      </c>
      <c r="I607" s="4" t="inlineStr">
        <is>
          <t>BBVA VISA</t>
        </is>
      </c>
      <c r="J607" s="4" t="inlineStr">
        <is>
          <t>BBVA</t>
        </is>
      </c>
      <c r="K607" s="4" t="inlineStr">
        <is>
          <t>PERCEPCIÓN USD · IIBB CABA 2% · base $34,455.46 · cierre 02-Jul-26 · percepciones por consumos en USD · gasto personal Sol</t>
        </is>
      </c>
      <c r="L607" s="4" t="n">
        <v>641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PERCEPCIONES USD</t>
        </is>
      </c>
      <c r="E608" s="4" t="inlineStr">
        <is>
          <t>PERCEPCIÓN USD · IIBB CABA 2%</t>
        </is>
      </c>
      <c r="F608" s="5" t="n">
        <v>90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PERCEPCIÓN USD · IIBB CABA 2% · base $4,481.89 · cierre 02-Jul-26 · percepciones por consumos en USD · gasto personal Sol</t>
        </is>
      </c>
      <c r="L608" s="4" t="n">
        <v>642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IVA RG 4240 21%</t>
        </is>
      </c>
      <c r="F609" s="5" t="n">
        <v>7236</v>
      </c>
      <c r="G609" s="16" t="n"/>
      <c r="H609" s="4" t="inlineStr">
        <is>
          <t>REAL</t>
        </is>
      </c>
      <c r="I609" s="4" t="inlineStr">
        <is>
          <t>BBVA VISA</t>
        </is>
      </c>
      <c r="J609" s="4" t="inlineStr">
        <is>
          <t>BBVA</t>
        </is>
      </c>
      <c r="K609" s="4" t="inlineStr">
        <is>
          <t>PERCEPCIÓN USD · IVA RG 4240 21% · base $34,455.46 · cierre 02-Jul-26 · percepciones por consumos en USD · gasto personal Sol</t>
        </is>
      </c>
      <c r="L609" s="4" t="n">
        <v>643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IVA RG 4240 21%</t>
        </is>
      </c>
      <c r="F610" s="5" t="n">
        <v>942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IVA RG 4240 21% · base $4,481.89 · cierre 02-Jul-26 · percepciones por consumos en USD · gasto personal Sol</t>
        </is>
      </c>
      <c r="L610" s="4" t="n">
        <v>644</v>
      </c>
    </row>
    <row r="611">
      <c r="A611" s="15" t="n">
        <v>46206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TRANSPORTE</t>
        </is>
      </c>
      <c r="E611" s="4" t="inlineStr">
        <is>
          <t>TRANSPORTE · Didi</t>
        </is>
      </c>
      <c r="F611" s="5" t="n">
        <v>6560</v>
      </c>
      <c r="G611" s="16" t="n"/>
      <c r="H611" s="4" t="inlineStr">
        <is>
          <t>REAL</t>
        </is>
      </c>
      <c r="I611" s="4" t="inlineStr">
        <is>
          <t>Mercado Pago</t>
        </is>
      </c>
      <c r="J611" s="4" t="inlineStr">
        <is>
          <t>Mercado Pago</t>
        </is>
      </c>
      <c r="K611" s="4" t="inlineStr">
        <is>
          <t>transporte · gasto personal Sol</t>
        </is>
      </c>
      <c r="L611" s="4" t="n">
        <v>474</v>
      </c>
    </row>
    <row r="612">
      <c r="A612" s="15" t="n">
        <v>46206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TRANSPORTE</t>
        </is>
      </c>
      <c r="E612" s="4" t="inlineStr">
        <is>
          <t>TRANSPORTE · Uber</t>
        </is>
      </c>
      <c r="F612" s="5" t="n">
        <v>6346</v>
      </c>
      <c r="G612" s="16" t="n"/>
      <c r="H612" s="4" t="inlineStr">
        <is>
          <t>REAL</t>
        </is>
      </c>
      <c r="I612" s="4" t="inlineStr">
        <is>
          <t>Mercado Pago</t>
        </is>
      </c>
      <c r="J612" s="4" t="inlineStr">
        <is>
          <t>Mercado Pago</t>
        </is>
      </c>
      <c r="K612" s="4" t="inlineStr">
        <is>
          <t>TRANSPORTE · Uber · Ebanx (=Uber) · gasto personal Sol</t>
        </is>
      </c>
      <c r="L612" s="4" t="n">
        <v>473</v>
      </c>
    </row>
    <row r="613">
      <c r="A613" s="15" t="n">
        <v>46208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TRANSFERENCIAS</t>
        </is>
      </c>
      <c r="E613" s="4" t="inlineStr">
        <is>
          <t>TRANSFERENCIAS</t>
        </is>
      </c>
      <c r="F613" s="5" t="n">
        <v>38700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transferencia · gasto personal Sol (ex-PENDIENTE) · ex `Antonela Guidobono`</t>
        </is>
      </c>
      <c r="L613" s="4" t="n">
        <v>202</v>
      </c>
    </row>
    <row r="614">
      <c r="A614" s="15" t="n">
        <v>46208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TRANSPORTE</t>
        </is>
      </c>
      <c r="E614" s="4" t="inlineStr">
        <is>
          <t>TRANSPORTE · Didi</t>
        </is>
      </c>
      <c r="F614" s="5" t="n">
        <v>6280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transporte · gasto personal Sol</t>
        </is>
      </c>
      <c r="L614" s="4" t="n">
        <v>475</v>
      </c>
    </row>
    <row r="615">
      <c r="A615" s="15" t="n">
        <v>46208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VESTIMENTA</t>
        </is>
      </c>
      <c r="E615" s="4" t="inlineStr">
        <is>
          <t>VESTIMENTA</t>
        </is>
      </c>
      <c r="F615" s="5" t="n">
        <v>49000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VESTIMENTA · Analia Roay · Mercado Pago · gasto personal Sol</t>
        </is>
      </c>
      <c r="L615" s="4" t="n">
        <v>201</v>
      </c>
    </row>
    <row r="616">
      <c r="A616" s="15" t="n">
        <v>46209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AVA FIDEICOMISO</t>
        </is>
      </c>
      <c r="E616" s="4" t="inlineStr">
        <is>
          <t>AVA FIDEICOMISO</t>
        </is>
      </c>
      <c r="F616" s="5" t="n">
        <v>3002696</v>
      </c>
      <c r="G616" s="16" t="n"/>
      <c r="H616" s="4" t="inlineStr">
        <is>
          <t>REAL</t>
        </is>
      </c>
      <c r="I616" s="4" t="inlineStr">
        <is>
          <t>Mercado Pago / TC MEP</t>
        </is>
      </c>
      <c r="J616" s="4" t="inlineStr">
        <is>
          <t>Mercado Pago</t>
        </is>
      </c>
      <c r="K616" s="4" t="inlineStr">
        <is>
          <t>50% Sol de $6,005,392 · AVA Palpa (Chris el otro 50%) · ex `AVA Fideicomiso · cuota 9 · julio 2026`</t>
        </is>
      </c>
      <c r="L616" s="4" t="n">
        <v>334</v>
      </c>
    </row>
    <row r="617">
      <c r="A617" s="15" t="n">
        <v>46209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COMIDA · OFICINA</t>
        </is>
      </c>
      <c r="E617" s="4" t="inlineStr">
        <is>
          <t>COMIDA · Oficina</t>
        </is>
      </c>
      <c r="F617" s="5" t="n">
        <v>765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COMIDA · Oficina · Copetin Catering · gasto personal Sol</t>
        </is>
      </c>
      <c r="L617" s="4" t="n">
        <v>806</v>
      </c>
    </row>
    <row r="618">
      <c r="A618" s="15" t="n">
        <v>46209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TRANSFERENCIAS</t>
        </is>
      </c>
      <c r="E618" s="4" t="inlineStr">
        <is>
          <t>TRANSFERENCIAS</t>
        </is>
      </c>
      <c r="F618" s="5" t="n">
        <v>2500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transferencia · gasto personal Sol (ex-PENDIENTE) · ex `Jose Cristian Montaño`</t>
        </is>
      </c>
      <c r="L618" s="4" t="n">
        <v>205</v>
      </c>
    </row>
    <row r="619">
      <c r="A619" s="15" t="n">
        <v>46209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TRANSPORTE</t>
        </is>
      </c>
      <c r="E619" s="4" t="inlineStr">
        <is>
          <t>TRANSPORTE · Didi</t>
        </is>
      </c>
      <c r="F619" s="5" t="n">
        <v>8350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TRANSPORTE · Didi · gasto personal Sol</t>
        </is>
      </c>
      <c r="L619" s="4" t="n">
        <v>816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TRANSPORTE</t>
        </is>
      </c>
      <c r="E620" s="4" t="inlineStr">
        <is>
          <t>TRANSPORTE · Didi</t>
        </is>
      </c>
      <c r="F620" s="5" t="n">
        <v>150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TRANSPORTE · Didi · gasto personal Sol</t>
        </is>
      </c>
      <c r="L620" s="4" t="n">
        <v>817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TRANSPORTE</t>
        </is>
      </c>
      <c r="E621" s="4" t="inlineStr">
        <is>
          <t>TRANSPORTE · Uber</t>
        </is>
      </c>
      <c r="F621" s="5" t="n">
        <v>6911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TRANSPORTE · Uber · Ebanx (=Uber) · gasto personal Sol</t>
        </is>
      </c>
      <c r="L621" s="4" t="n">
        <v>476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USA BOX</t>
        </is>
      </c>
      <c r="E622" s="4" t="inlineStr">
        <is>
          <t>USA BOX</t>
        </is>
      </c>
      <c r="F622" s="5" t="n">
        <v>572005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USA BOX · Federico Martinez Escariz · Mercado Pago · importadora · gasto personal Sol</t>
        </is>
      </c>
      <c r="L622" s="4" t="n">
        <v>204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VESTIMENTA</t>
        </is>
      </c>
      <c r="E623" s="4" t="inlineStr">
        <is>
          <t>VESTIMENTA</t>
        </is>
      </c>
      <c r="F623" s="5" t="n">
        <v>8002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VESTIMENTA · Analia Roay · Mercado Pago · gasto personal Sol</t>
        </is>
      </c>
      <c r="L623" s="4" t="n">
        <v>203</v>
      </c>
    </row>
    <row r="624">
      <c r="A624" s="15" t="n">
        <v>46210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COMPRAS</t>
        </is>
      </c>
      <c r="E624" s="4" t="inlineStr">
        <is>
          <t>COMPRAS</t>
        </is>
      </c>
      <c r="F624" s="5" t="n">
        <v>27900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pago QR · gasto personal Sol · MP cuenta</t>
        </is>
      </c>
      <c r="L624" s="4" t="n">
        <v>759</v>
      </c>
    </row>
    <row r="625">
      <c r="A625" s="15" t="n">
        <v>46211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SALUD</t>
        </is>
      </c>
      <c r="E625" s="4" t="inlineStr">
        <is>
          <t>SALUD</t>
        </is>
      </c>
      <c r="F625" s="5" t="n">
        <v>159000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personal · gasto personal Sol · ex `Mara Sikorski`</t>
        </is>
      </c>
      <c r="L625" s="4" t="n">
        <v>206</v>
      </c>
    </row>
    <row r="626">
      <c r="A626" s="15" t="n">
        <v>46211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TELECOMUNICACIONES</t>
        </is>
      </c>
      <c r="E626" s="4" t="inlineStr">
        <is>
          <t>Servicio - Telefonía</t>
        </is>
      </c>
      <c r="F626" s="5" t="n">
        <v>18000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Tuenti · gasto personal Sol · hoja Gasto Personal Sol</t>
        </is>
      </c>
      <c r="L626" s="4" t="n">
        <v>207</v>
      </c>
    </row>
    <row r="627">
      <c r="A627" s="15" t="n">
        <v>46212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COMPRAS</t>
        </is>
      </c>
      <c r="E627" s="4" t="inlineStr">
        <is>
          <t>COMPRAS</t>
        </is>
      </c>
      <c r="F627" s="5" t="n">
        <v>164000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pago QR · gasto personal Sol · MP cuenta · ex `David Rosental e Hijos SA`</t>
        </is>
      </c>
      <c r="L627" s="4" t="n">
        <v>760</v>
      </c>
    </row>
    <row r="628">
      <c r="A628" s="15" t="n">
        <v>46213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TRANSFERENCIAS</t>
        </is>
      </c>
      <c r="E628" s="4" t="inlineStr">
        <is>
          <t>TRANSFERENCIAS</t>
        </is>
      </c>
      <c r="F628" s="5" t="n">
        <v>5000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transferencia · gasto personal Sol (ex-PENDIENTE) · ex `Sikorski Mara`</t>
        </is>
      </c>
      <c r="L628" s="4" t="n">
        <v>208</v>
      </c>
    </row>
    <row r="629">
      <c r="A629" s="15" t="n">
        <v>46214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18300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tienda física · gasto personal Sol (ex-PENDIENTE) · ex `Comercio`</t>
        </is>
      </c>
      <c r="L629" s="4" t="n">
        <v>209</v>
      </c>
    </row>
    <row r="630">
      <c r="A630" s="15" t="n">
        <v>46214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TRANSFERENCIAS</t>
        </is>
      </c>
      <c r="E630" s="4" t="inlineStr">
        <is>
          <t>TRANSFERENCIAS</t>
        </is>
      </c>
      <c r="F630" s="5" t="n">
        <v>1500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transferencia · gasto personal Sol (ex-PENDIENTE) · ex `Franco Yonatan Britez`</t>
        </is>
      </c>
      <c r="L630" s="4" t="n">
        <v>210</v>
      </c>
    </row>
    <row r="631">
      <c r="A631" s="15" t="n">
        <v>46215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SALUD</t>
        </is>
      </c>
      <c r="E631" s="4" t="inlineStr">
        <is>
          <t>COMPRAS</t>
        </is>
      </c>
      <c r="F631" s="5" t="n">
        <v>52079</v>
      </c>
      <c r="G631" s="16" t="n"/>
      <c r="H631" s="4" t="inlineStr">
        <is>
          <t>REAL</t>
        </is>
      </c>
      <c r="I631" s="4" t="inlineStr">
        <is>
          <t>TC Mercado Pago</t>
        </is>
      </c>
      <c r="J631" s="4" t="inlineStr">
        <is>
          <t>TC Mercado Pago</t>
        </is>
      </c>
      <c r="K631" s="4" t="inlineStr">
        <is>
          <t>SALUD · MERPAGO*SUPLEMENTOSCO · TC Mercado Pago · cuota 3 de 3 · compra 2026-04-20 · ex `SALUD · Suplementosco · C.03/03`</t>
        </is>
      </c>
      <c r="L631" s="4" t="n">
        <v>735</v>
      </c>
    </row>
    <row r="632">
      <c r="A632" s="15" t="n">
        <v>46215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COMPRAS</t>
        </is>
      </c>
      <c r="E632" s="4" t="inlineStr">
        <is>
          <t>COMPRAS</t>
        </is>
      </c>
      <c r="F632" s="5" t="n">
        <v>44100</v>
      </c>
      <c r="G632" s="16" t="n"/>
      <c r="H632" s="4" t="inlineStr">
        <is>
          <t>REAL</t>
        </is>
      </c>
      <c r="I632" s="4" t="inlineStr">
        <is>
          <t>TC Mercado Pago</t>
        </is>
      </c>
      <c r="J632" s="4" t="inlineStr">
        <is>
          <t>TC Mercado Pago</t>
        </is>
      </c>
      <c r="K632" s="4" t="inlineStr">
        <is>
          <t>MERPAGO*BIDCOM · TC Mercado Pago · cuota 2 de 3 · compra 2026-05-14 · ex `Bidcom · C.02/03`</t>
        </is>
      </c>
      <c r="L632" s="4" t="n">
        <v>737</v>
      </c>
    </row>
    <row r="633">
      <c r="A633" s="15" t="n">
        <v>46215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COMPRAS</t>
        </is>
      </c>
      <c r="E633" s="4" t="inlineStr">
        <is>
          <t>COMPRAS</t>
        </is>
      </c>
      <c r="F633" s="5" t="n">
        <v>268667</v>
      </c>
      <c r="G633" s="16" t="n"/>
      <c r="H633" s="4" t="inlineStr">
        <is>
          <t>REAL</t>
        </is>
      </c>
      <c r="I633" s="4" t="inlineStr">
        <is>
          <t>TC Mercado Pago</t>
        </is>
      </c>
      <c r="J633" s="4" t="inlineStr">
        <is>
          <t>TC Mercado Pago</t>
        </is>
      </c>
      <c r="K633" s="4" t="inlineStr">
        <is>
          <t>MERPAGO*CASAGODOY · TC Mercado Pago · cuota 2 de 3 · compra 2026-06-11 · ex `Casagodoy · C.02/03`</t>
        </is>
      </c>
      <c r="L633" s="4" t="n">
        <v>738</v>
      </c>
    </row>
    <row r="634">
      <c r="A634" s="15" t="n">
        <v>46215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SALUD</t>
        </is>
      </c>
      <c r="E634" s="4" t="inlineStr">
        <is>
          <t>COMPRAS</t>
        </is>
      </c>
      <c r="F634" s="5" t="n">
        <v>58334</v>
      </c>
      <c r="G634" s="16" t="n"/>
      <c r="H634" s="4" t="inlineStr">
        <is>
          <t>REAL</t>
        </is>
      </c>
      <c r="I634" s="4" t="inlineStr">
        <is>
          <t>TC Mercado Pago</t>
        </is>
      </c>
      <c r="J634" s="4" t="inlineStr">
        <is>
          <t>TC Mercado Pago</t>
        </is>
      </c>
      <c r="K634" s="4" t="inlineStr">
        <is>
          <t>SALUD · MERPAGO*BIODEPOT · TC Mercado Pago · cuota 1 de 3 · compra 2026-06-25 · ex `SALUD · Biodepot · C.01/03`</t>
        </is>
      </c>
      <c r="L634" s="4" t="n">
        <v>743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MERCADO LIBRE</t>
        </is>
      </c>
      <c r="E635" s="4" t="inlineStr">
        <is>
          <t>MERCADO LIBRE</t>
        </is>
      </c>
      <c r="F635" s="5" t="n">
        <v>24499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MERCADO LIBRE · gasto personal Sol</t>
        </is>
      </c>
      <c r="L635" s="4" t="n">
        <v>213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MERCADO LIBRE</t>
        </is>
      </c>
      <c r="E636" s="4" t="inlineStr">
        <is>
          <t>MERCADO LIBRE</t>
        </is>
      </c>
      <c r="F636" s="5" t="n">
        <v>53000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MERPAGO*MONPOULET · TC Mercado Pago · compra 2026-06-13</t>
        </is>
      </c>
      <c r="L636" s="4" t="n">
        <v>739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REGALOS</t>
        </is>
      </c>
      <c r="E637" s="4" t="inlineStr">
        <is>
          <t>REGALOS</t>
        </is>
      </c>
      <c r="F637" s="5" t="n">
        <v>33500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REGALOS · Regalos Dalila · MERPAGO*REGALOSDALILA · TC Mercado Pago · cuota 1 de 2 · compra 2026-06-19</t>
        </is>
      </c>
      <c r="L637" s="4" t="n">
        <v>741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ROPA</t>
        </is>
      </c>
      <c r="E638" s="4" t="inlineStr">
        <is>
          <t>ROPA</t>
        </is>
      </c>
      <c r="F638" s="5" t="n">
        <v>41715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ROPA · MERPAGO*LOCCITANE · TC Mercado Pago · cuota 4 de 6 · compra 2026-03-20</t>
        </is>
      </c>
      <c r="L638" s="4" t="n">
        <v>731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ROPA</t>
        </is>
      </c>
      <c r="E639" s="4" t="inlineStr">
        <is>
          <t>ROPA</t>
        </is>
      </c>
      <c r="F639" s="5" t="n">
        <v>67112</v>
      </c>
      <c r="G639" s="16" t="n"/>
      <c r="H639" s="4" t="inlineStr">
        <is>
          <t>REAL</t>
        </is>
      </c>
      <c r="I639" s="4" t="inlineStr">
        <is>
          <t>TC Mercado Pago</t>
        </is>
      </c>
      <c r="J639" s="4" t="inlineStr">
        <is>
          <t>TC Mercado Pago</t>
        </is>
      </c>
      <c r="K639" s="4" t="inlineStr">
        <is>
          <t>ROPA · MERPAGO*AWADA · TC Mercado Pago · cuota 4 de 9 · compra 2026-03-23</t>
        </is>
      </c>
      <c r="L639" s="4" t="n">
        <v>732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ROPA</t>
        </is>
      </c>
      <c r="E640" s="4" t="inlineStr">
        <is>
          <t>ROPA</t>
        </is>
      </c>
      <c r="F640" s="5" t="n">
        <v>23000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ROPA · Adidas · TC Mercado Pago · cuota 4 de 6 · compra 2026-03-23</t>
        </is>
      </c>
      <c r="L640" s="4" t="n">
        <v>733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ROPA</t>
        </is>
      </c>
      <c r="E641" s="4" t="inlineStr">
        <is>
          <t>ROPA</t>
        </is>
      </c>
      <c r="F641" s="5" t="n">
        <v>41345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ROPA · MERPAGO*LAPARFUMERIE · TC Mercado Pago · cuota 4 de 6 · compra 2026-03-30</t>
        </is>
      </c>
      <c r="L641" s="4" t="n">
        <v>734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88815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Tilgorita · MERPAGO*TILGORITA · TC Mercado Pago · cuota 3 de 3 · compra 2026-05-09</t>
        </is>
      </c>
      <c r="L642" s="4" t="n">
        <v>736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297891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Pandora · TC Mercado Pago · cuota 1 de 6 · compra 2026-07-09</t>
        </is>
      </c>
      <c r="L643" s="4" t="n">
        <v>744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SALUD</t>
        </is>
      </c>
      <c r="E644" s="4" t="inlineStr">
        <is>
          <t>SALUD</t>
        </is>
      </c>
      <c r="F644" s="5" t="n">
        <v>55707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SALUD · Laboratorio · SALUD · MERPAGO*LABORATORIOBE · TC Mercado Pago · cuota 1 de 9 · compra 2026-06-23</t>
        </is>
      </c>
      <c r="L644" s="4" t="n">
        <v>742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SALUD · Vitaminas</t>
        </is>
      </c>
      <c r="E645" s="4" t="inlineStr">
        <is>
          <t>SALUD · Vitaminas</t>
        </is>
      </c>
      <c r="F645" s="5" t="n">
        <v>87900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SALUD · Vitaminas · Promarine · TC Mercado Pago · C.04/06 · gasto personal Sol</t>
        </is>
      </c>
      <c r="L645" s="4" t="n">
        <v>828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SUSCRIPCIONES · APPLE</t>
        </is>
      </c>
      <c r="E646" s="4" t="inlineStr">
        <is>
          <t>SUSCRIPCIONES · Apple</t>
        </is>
      </c>
      <c r="F646" s="5" t="n">
        <v>19481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SUSCRIPCIONES · Apple · gasto personal Sol</t>
        </is>
      </c>
      <c r="L646" s="4" t="n">
        <v>211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TRANSFERENCIAS</t>
        </is>
      </c>
      <c r="E647" s="4" t="inlineStr">
        <is>
          <t>TRANSFERENCIAS</t>
        </is>
      </c>
      <c r="F647" s="5" t="n">
        <v>27000</v>
      </c>
      <c r="G647" s="16" t="n"/>
      <c r="H647" s="4" t="inlineStr">
        <is>
          <t>REAL</t>
        </is>
      </c>
      <c r="I647" s="4" t="inlineStr">
        <is>
          <t>Mercado Pago</t>
        </is>
      </c>
      <c r="J647" s="4" t="inlineStr">
        <is>
          <t>Mercado Pago</t>
        </is>
      </c>
      <c r="K647" s="4" t="inlineStr">
        <is>
          <t>compra · gasto personal Sol (ex-PENDIENTE) · ex `Klash Pro`</t>
        </is>
      </c>
      <c r="L647" s="4" t="n">
        <v>212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VESTIMENTA</t>
        </is>
      </c>
      <c r="E648" s="4" t="inlineStr">
        <is>
          <t>VESTIMENTA</t>
        </is>
      </c>
      <c r="F648" s="5" t="n">
        <v>2542970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VESTIMENTA · Itsclassic · TC Mercado Pago · gasto personal Sol</t>
        </is>
      </c>
      <c r="L648" s="4" t="n">
        <v>740</v>
      </c>
    </row>
    <row r="649">
      <c r="A649" s="15" t="n">
        <v>46216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COMIDA · OFICINA</t>
        </is>
      </c>
      <c r="E649" s="4" t="inlineStr">
        <is>
          <t>COMIDA · Oficina</t>
        </is>
      </c>
      <c r="F649" s="5" t="n">
        <v>16150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COMIDA · Oficina · Copetin Catering · gasto personal Sol</t>
        </is>
      </c>
      <c r="L649" s="4" t="n">
        <v>807</v>
      </c>
    </row>
    <row r="650">
      <c r="A650" s="15" t="n">
        <v>46216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TRANSPORTE</t>
        </is>
      </c>
      <c r="E650" s="4" t="inlineStr">
        <is>
          <t>TRANSPORTE · Uber</t>
        </is>
      </c>
      <c r="F650" s="5" t="n">
        <v>6809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TRANSPORTE · Uber · Ebanx (=Uber) · gasto personal Sol</t>
        </is>
      </c>
      <c r="L650" s="4" t="n">
        <v>477</v>
      </c>
    </row>
    <row r="651">
      <c r="A651" s="15" t="n">
        <v>46216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TRANSPORTE</t>
        </is>
      </c>
      <c r="E651" s="4" t="inlineStr">
        <is>
          <t>TRANSPORTE · Uber</t>
        </is>
      </c>
      <c r="F651" s="5" t="n">
        <v>15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TRANSPORTE · Uber · Ebanx (=Uber) · gasto personal Sol</t>
        </is>
      </c>
      <c r="L651" s="4" t="n">
        <v>818</v>
      </c>
    </row>
    <row r="652">
      <c r="A652" s="15" t="n">
        <v>46217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FARMACIA SALUD</t>
        </is>
      </c>
      <c r="E652" s="4" t="inlineStr">
        <is>
          <t>FARMACIA SALUD</t>
        </is>
      </c>
      <c r="F652" s="5" t="n">
        <v>218500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FARMACIA SALUD · Farmacia Maure · resumen MP cuenta</t>
        </is>
      </c>
      <c r="L652" s="4" t="n">
        <v>764</v>
      </c>
    </row>
    <row r="653">
      <c r="A653" s="15" t="n">
        <v>46217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USA BOX</t>
        </is>
      </c>
      <c r="E653" s="4" t="inlineStr">
        <is>
          <t>USA BOX</t>
        </is>
      </c>
      <c r="F653" s="5" t="n">
        <v>398240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USA BOX · Carenzo Santiago P · Mercado Pago · importadora · gasto personal Sol</t>
        </is>
      </c>
      <c r="L653" s="4" t="n">
        <v>214</v>
      </c>
    </row>
    <row r="654">
      <c r="A654" s="15" t="n">
        <v>46218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COMPRAS</t>
        </is>
      </c>
      <c r="E654" s="4" t="inlineStr">
        <is>
          <t>COMPRAS</t>
        </is>
      </c>
      <c r="F654" s="5" t="n">
        <v>21600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COMPRAS · Dodoche · pago · gasto personal Sol</t>
        </is>
      </c>
      <c r="L654" s="4" t="n">
        <v>223</v>
      </c>
    </row>
    <row r="655">
      <c r="A655" s="15" t="n">
        <v>46218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MERCADO LIBRE</t>
        </is>
      </c>
      <c r="E655" s="4" t="inlineStr">
        <is>
          <t>MERCADO LIBRE</t>
        </is>
      </c>
      <c r="F655" s="5" t="n">
        <v>30318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MERCADO LIBRE · gasto personal Sol</t>
        </is>
      </c>
      <c r="L655" s="4" t="n">
        <v>215</v>
      </c>
    </row>
    <row r="656">
      <c r="A656" s="15" t="n">
        <v>46218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MERCADO LIBRE</t>
        </is>
      </c>
      <c r="E656" s="4" t="inlineStr">
        <is>
          <t>MERCADO LIBRE</t>
        </is>
      </c>
      <c r="F656" s="5" t="n">
        <v>18525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MERCADO LIBRE · gasto personal Sol</t>
        </is>
      </c>
      <c r="L656" s="4" t="n">
        <v>216</v>
      </c>
    </row>
    <row r="657">
      <c r="A657" s="15" t="n">
        <v>46218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TRANSPORTE</t>
        </is>
      </c>
      <c r="E657" s="4" t="inlineStr">
        <is>
          <t>TRANSPORTE · Didi</t>
        </is>
      </c>
      <c r="F657" s="5" t="n">
        <v>5100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transporte · gasto personal Sol</t>
        </is>
      </c>
      <c r="L657" s="4" t="n">
        <v>478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TRANSPORTE</t>
        </is>
      </c>
      <c r="E658" s="4" t="inlineStr">
        <is>
          <t>TRANSPORTE · Uber</t>
        </is>
      </c>
      <c r="F658" s="5" t="n">
        <v>384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TRANSPORTE · Uber · Ebanx (=Uber) · gasto personal Sol</t>
        </is>
      </c>
      <c r="L658" s="4" t="n">
        <v>479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TRANSPORTE</t>
        </is>
      </c>
      <c r="E659" s="4" t="inlineStr">
        <is>
          <t>TRANSPORTE · Uber</t>
        </is>
      </c>
      <c r="F659" s="5" t="n">
        <v>6866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TRANSPORTE · Uber · Ebanx (=Uber) · gasto personal Sol</t>
        </is>
      </c>
      <c r="L659" s="4" t="n">
        <v>480</v>
      </c>
    </row>
    <row r="660">
      <c r="A660" s="15" t="n">
        <v>46219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62900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217</v>
      </c>
    </row>
    <row r="661">
      <c r="A661" s="15" t="n">
        <v>46220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MERCADO LIBRE</t>
        </is>
      </c>
      <c r="E661" s="4" t="inlineStr">
        <is>
          <t>MERCADO LIBRE</t>
        </is>
      </c>
      <c r="F661" s="5" t="n">
        <v>11747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MERCADO LIBRE · gasto personal Sol</t>
        </is>
      </c>
      <c r="L661" s="4" t="n">
        <v>218</v>
      </c>
    </row>
    <row r="662">
      <c r="A662" s="15" t="n">
        <v>46220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MERCADO LIBRE</t>
        </is>
      </c>
      <c r="E662" s="4" t="inlineStr">
        <is>
          <t>MERCADO LIBRE</t>
        </is>
      </c>
      <c r="F662" s="5" t="n">
        <v>26311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MERCADO LIBRE · gasto personal Sol</t>
        </is>
      </c>
      <c r="L662" s="4" t="n">
        <v>219</v>
      </c>
    </row>
    <row r="663">
      <c r="A663" s="15" t="n">
        <v>46220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Didi</t>
        </is>
      </c>
      <c r="F663" s="5" t="n">
        <v>5800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gasto personal Sol</t>
        </is>
      </c>
      <c r="L663" s="4" t="n">
        <v>481</v>
      </c>
    </row>
    <row r="664">
      <c r="A664" s="15" t="n">
        <v>46220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TRANSPORTE</t>
        </is>
      </c>
      <c r="E664" s="4" t="inlineStr">
        <is>
          <t>TRANSPORTE · Uber</t>
        </is>
      </c>
      <c r="F664" s="5" t="n">
        <v>4390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TRANSPORTE · Uber · Ebanx (=Uber) · gasto personal Sol</t>
        </is>
      </c>
      <c r="L664" s="4" t="n">
        <v>482</v>
      </c>
    </row>
    <row r="665">
      <c r="A665" s="15" t="n">
        <v>46221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VESTIMENTA</t>
        </is>
      </c>
      <c r="E665" s="4" t="inlineStr">
        <is>
          <t>VESTIMENTA</t>
        </is>
      </c>
      <c r="F665" s="5" t="n">
        <v>593000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VESTIMENTA · Analia Roay · Mercado Pago · gasto personal Sol</t>
        </is>
      </c>
      <c r="L665" s="4" t="n">
        <v>222</v>
      </c>
    </row>
    <row r="666">
      <c r="A666" s="15" t="n">
        <v>46222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TRANSFERENCIAS</t>
        </is>
      </c>
      <c r="E666" s="4" t="inlineStr">
        <is>
          <t>TRANSFERENCIAS</t>
        </is>
      </c>
      <c r="F666" s="5" t="n">
        <v>15000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transferencia enviada · gasto personal Sol · ex `Matias Leonel Aranda`</t>
        </is>
      </c>
      <c r="L666" s="4" t="n">
        <v>221</v>
      </c>
    </row>
    <row r="667">
      <c r="A667" s="15" t="n">
        <v>46231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HOGAR</t>
        </is>
      </c>
      <c r="E667" s="4" t="inlineStr">
        <is>
          <t>HOGAR</t>
        </is>
      </c>
      <c r="F667" s="5" t="n">
        <v>329986</v>
      </c>
      <c r="G667" s="16" t="n"/>
      <c r="H667" s="18" t="inlineStr">
        <is>
          <t>PROYECTADO</t>
        </is>
      </c>
      <c r="I667" s="4" t="inlineStr">
        <is>
          <t>BBVA VISA · proyectado</t>
        </is>
      </c>
      <c r="J667" s="4" t="inlineStr">
        <is>
          <t>BBVA</t>
        </is>
      </c>
      <c r="K667" s="4" t="inlineStr">
        <is>
          <t>PROYECTADO · C.03/03 · cashflow cuotas BBVA · gasto personal Sol · ex `CAMBIODEAIRES`</t>
        </is>
      </c>
      <c r="L667" s="4" t="n">
        <v>524</v>
      </c>
    </row>
    <row r="668">
      <c r="A668" s="15" t="n">
        <v>46231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HOGAR</t>
        </is>
      </c>
      <c r="E668" s="4" t="inlineStr">
        <is>
          <t>HOGAR</t>
        </is>
      </c>
      <c r="F668" s="5" t="n">
        <v>18334</v>
      </c>
      <c r="G668" s="16" t="n"/>
      <c r="H668" s="18" t="inlineStr">
        <is>
          <t>PROYECTADO</t>
        </is>
      </c>
      <c r="I668" s="4" t="inlineStr">
        <is>
          <t>BBVA MASTERCARD · proyectado</t>
        </is>
      </c>
      <c r="J668" s="4" t="inlineStr">
        <is>
          <t>BBVA</t>
        </is>
      </c>
      <c r="K668" s="4" t="inlineStr">
        <is>
          <t>HOGAR · Stanley · PROYECTADO · C.04/06 · cashflow cuotas BBVA · gasto personal Sol</t>
        </is>
      </c>
      <c r="L668" s="4" t="n">
        <v>534</v>
      </c>
    </row>
    <row r="669">
      <c r="A669" s="15" t="n">
        <v>46231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MERCADO LIBRE</t>
        </is>
      </c>
      <c r="E669" s="4" t="inlineStr">
        <is>
          <t>MERCADO LIBRE</t>
        </is>
      </c>
      <c r="F669" s="5" t="n">
        <v>275000</v>
      </c>
      <c r="G669" s="16" t="n"/>
      <c r="H669" s="18" t="inlineStr">
        <is>
          <t>PROYECTADO</t>
        </is>
      </c>
      <c r="I669" s="4" t="inlineStr">
        <is>
          <t>BBVA MASTERCARD · proyectado</t>
        </is>
      </c>
      <c r="J669" s="4" t="inlineStr">
        <is>
          <t>BBVA</t>
        </is>
      </c>
      <c r="K669" s="4" t="inlineStr">
        <is>
          <t>PROYECTADO · C.05/12 · cashflow cuotas BBVA · gasto personal Sol · ex `Mercado Libre · MERCADOLIBRE`</t>
        </is>
      </c>
      <c r="L669" s="4" t="n">
        <v>527</v>
      </c>
    </row>
    <row r="670">
      <c r="A670" s="15" t="n">
        <v>46231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MERCADO LIBRE</t>
        </is>
      </c>
      <c r="E670" s="4" t="inlineStr">
        <is>
          <t>MERCADO LIBRE</t>
        </is>
      </c>
      <c r="F670" s="5" t="n">
        <v>17360</v>
      </c>
      <c r="G670" s="16" t="n"/>
      <c r="H670" s="18" t="inlineStr">
        <is>
          <t>PROYECTADO</t>
        </is>
      </c>
      <c r="I670" s="4" t="inlineStr">
        <is>
          <t>BBVA MASTERCARD · proyectado</t>
        </is>
      </c>
      <c r="J670" s="4" t="inlineStr">
        <is>
          <t>BBVA</t>
        </is>
      </c>
      <c r="K670" s="4" t="inlineStr">
        <is>
          <t>PROYECTADO · C.06/09 · cashflow cuotas BBVA · gasto personal Sol · ex `Mercado Libre · MERCADOLIBRE`</t>
        </is>
      </c>
      <c r="L670" s="4" t="n">
        <v>528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16950</v>
      </c>
      <c r="G671" s="16" t="n"/>
      <c r="H671" s="18" t="inlineStr">
        <is>
          <t>PROYECTADO</t>
        </is>
      </c>
      <c r="I671" s="4" t="inlineStr">
        <is>
          <t>BBVA MASTERCARD · proyectado</t>
        </is>
      </c>
      <c r="J671" s="4" t="inlineStr">
        <is>
          <t>BBVA</t>
        </is>
      </c>
      <c r="K671" s="4" t="inlineStr">
        <is>
          <t>PROYECTADO · C.06/09 · cashflow cuotas BBVA · gasto personal Sol · ex `Mercado Libre · MERCADOLIBRE`</t>
        </is>
      </c>
      <c r="L671" s="4" t="n">
        <v>529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ROPA</t>
        </is>
      </c>
      <c r="E672" s="4" t="inlineStr">
        <is>
          <t>ROPA</t>
        </is>
      </c>
      <c r="F672" s="5" t="n">
        <v>124667</v>
      </c>
      <c r="G672" s="16" t="n"/>
      <c r="H672" s="18" t="inlineStr">
        <is>
          <t>PROYECTADO</t>
        </is>
      </c>
      <c r="I672" s="4" t="inlineStr">
        <is>
          <t>BBVA VISA · proyectado</t>
        </is>
      </c>
      <c r="J672" s="4" t="inlineStr">
        <is>
          <t>BBVA</t>
        </is>
      </c>
      <c r="K672" s="4" t="inlineStr">
        <is>
          <t>PROYECTADO · C.03/06 · cashflow cuotas BBVA · gasto personal Sol</t>
        </is>
      </c>
      <c r="L672" s="4" t="n">
        <v>522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ROPA</t>
        </is>
      </c>
      <c r="E673" s="4" t="inlineStr">
        <is>
          <t>ROPA</t>
        </is>
      </c>
      <c r="F673" s="5" t="n">
        <v>80834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C.03/06 · cashflow cuotas BBVA · gasto personal Sol</t>
        </is>
      </c>
      <c r="L673" s="4" t="n">
        <v>525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ROPA</t>
        </is>
      </c>
      <c r="E674" s="4" t="inlineStr">
        <is>
          <t>ROPA</t>
        </is>
      </c>
      <c r="F674" s="5" t="n">
        <v>95984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ROPA · Monofuk · PROYECTADO · C.04/06 · cashflow cuotas BBVA · gasto personal Sol</t>
        </is>
      </c>
      <c r="L674" s="4" t="n">
        <v>530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ROPA</t>
        </is>
      </c>
      <c r="E675" s="4" t="inlineStr">
        <is>
          <t>ROPA</t>
        </is>
      </c>
      <c r="F675" s="5" t="n">
        <v>73333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C.03/03 · cashflow cuotas BBVA · gasto personal Sol</t>
        </is>
      </c>
      <c r="L675" s="4" t="n">
        <v>531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36667</v>
      </c>
      <c r="G676" s="16" t="n"/>
      <c r="H676" s="18" t="inlineStr">
        <is>
          <t>PROYECTADO</t>
        </is>
      </c>
      <c r="I676" s="4" t="inlineStr">
        <is>
          <t>BBVA MASTERCARD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533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84216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C.03/03 · cashflow cuotas BBVA · gasto personal Sol</t>
        </is>
      </c>
      <c r="L677" s="4" t="n">
        <v>535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60917</v>
      </c>
      <c r="G678" s="16" t="n"/>
      <c r="H678" s="18" t="inlineStr">
        <is>
          <t>PROYECTADO</t>
        </is>
      </c>
      <c r="I678" s="4" t="inlineStr">
        <is>
          <t>BBVA VISA · proyectado</t>
        </is>
      </c>
      <c r="J678" s="4" t="inlineStr">
        <is>
          <t>BBVA</t>
        </is>
      </c>
      <c r="K678" s="4" t="inlineStr">
        <is>
          <t>PROYECTADO · C.03/12 · cashflow cuotas BBVA · gasto personal Sol</t>
        </is>
      </c>
      <c r="L678" s="4" t="n">
        <v>536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69750</v>
      </c>
      <c r="G679" s="16" t="n"/>
      <c r="H679" s="18" t="inlineStr">
        <is>
          <t>PROYECTADO</t>
        </is>
      </c>
      <c r="I679" s="4" t="inlineStr">
        <is>
          <t>BBVA VISA · proyectado</t>
        </is>
      </c>
      <c r="J679" s="4" t="inlineStr">
        <is>
          <t>BBVA</t>
        </is>
      </c>
      <c r="K679" s="4" t="inlineStr">
        <is>
          <t>PROYECTADO · C.03/12 · cashflow cuotas BBVA · gasto personal Sol</t>
        </is>
      </c>
      <c r="L679" s="4" t="n">
        <v>537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40004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C.03/03 · cashflow cuotas BBVA · gasto personal Sol</t>
        </is>
      </c>
      <c r="L680" s="4" t="n">
        <v>538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SALUD</t>
        </is>
      </c>
      <c r="E681" s="4" t="inlineStr">
        <is>
          <t>SALUD</t>
        </is>
      </c>
      <c r="F681" s="5" t="n">
        <v>54033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SALUD · Laboratorio · PROYECTADO · C.04/06 · cashflow cuotas BBVA · gasto personal Sol</t>
        </is>
      </c>
      <c r="L681" s="4" t="n">
        <v>526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SALUD · Vitaminas</t>
        </is>
      </c>
      <c r="E682" s="4" t="inlineStr">
        <is>
          <t>SALUD · Vitaminas</t>
        </is>
      </c>
      <c r="F682" s="5" t="n">
        <v>87900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SALUD · Vitaminas · Promarine · BBVA · C.04/06 · gasto personal Sol</t>
        </is>
      </c>
      <c r="L682" s="4" t="n">
        <v>532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VESTIMENTA</t>
        </is>
      </c>
      <c r="F683" s="5" t="n">
        <v>98334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ROPA · Bokenvoreno · PROYECTADO · C.03/06 · cashflow cuotas BBVA · gasto personal Sol</t>
        </is>
      </c>
      <c r="L683" s="4" t="n">
        <v>523</v>
      </c>
    </row>
    <row r="684">
      <c r="A684" s="15" t="n">
        <v>46237</v>
      </c>
      <c r="B684" s="4" t="inlineStr">
        <is>
          <t>2026-08</t>
        </is>
      </c>
      <c r="C684" s="4" t="inlineStr">
        <is>
          <t>Agosto</t>
        </is>
      </c>
      <c r="D684" s="4" t="inlineStr">
        <is>
          <t>COMIDA · OFICINA</t>
        </is>
      </c>
      <c r="E684" s="4" t="inlineStr">
        <is>
          <t>COMIDA · Oficina</t>
        </is>
      </c>
      <c r="F684" s="5" t="n">
        <v>11010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COMIDA · Oficina · Copetin Catering · Gmail Pago aprobado</t>
        </is>
      </c>
      <c r="L684" s="4" t="n">
        <v>944</v>
      </c>
    </row>
    <row r="685">
      <c r="A685" s="15" t="n">
        <v>46239</v>
      </c>
      <c r="B685" s="4" t="inlineStr">
        <is>
          <t>2026-08</t>
        </is>
      </c>
      <c r="C685" s="4" t="inlineStr">
        <is>
          <t>Agosto</t>
        </is>
      </c>
      <c r="D685" s="4" t="inlineStr">
        <is>
          <t>VESTIMENTA</t>
        </is>
      </c>
      <c r="E685" s="4" t="inlineStr">
        <is>
          <t>VESTIMENTA</t>
        </is>
      </c>
      <c r="F685" s="5" t="n">
        <v>152000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VESTIMENTA · Renová tu vestidor · Gmail Pago aprobado · gasto personal Sol</t>
        </is>
      </c>
      <c r="L685" s="4" t="n">
        <v>945</v>
      </c>
    </row>
    <row r="686">
      <c r="A686" s="15" t="n">
        <v>46243</v>
      </c>
      <c r="B686" s="4" t="inlineStr">
        <is>
          <t>2026-08</t>
        </is>
      </c>
      <c r="C686" s="4" t="inlineStr">
        <is>
          <t>Agosto</t>
        </is>
      </c>
      <c r="D686" s="4" t="inlineStr">
        <is>
          <t>SALUD</t>
        </is>
      </c>
      <c r="E686" s="4" t="inlineStr">
        <is>
          <t>SALUD</t>
        </is>
      </c>
      <c r="F686" s="5" t="n">
        <v>22222</v>
      </c>
      <c r="G686" s="16" t="n"/>
      <c r="H686" s="4" t="inlineStr">
        <is>
          <t>REAL</t>
        </is>
      </c>
      <c r="I686" s="4" t="inlineStr">
        <is>
          <t>Mercado Pago</t>
        </is>
      </c>
      <c r="J686" s="4" t="inlineStr">
        <is>
          <t>Mercado Pago</t>
        </is>
      </c>
      <c r="K686" s="4" t="inlineStr">
        <is>
          <t>SALUD · Siendo Consciencia · Gmail Pago aprobado · REVISAR ítem</t>
        </is>
      </c>
      <c r="L686" s="4" t="n">
        <v>946</v>
      </c>
    </row>
    <row r="687">
      <c r="A687" s="15" t="n">
        <v>46243</v>
      </c>
      <c r="B687" s="4" t="inlineStr">
        <is>
          <t>2026-08</t>
        </is>
      </c>
      <c r="C687" s="4" t="inlineStr">
        <is>
          <t>Agosto</t>
        </is>
      </c>
      <c r="D687" s="4" t="inlineStr">
        <is>
          <t>SALUD</t>
        </is>
      </c>
      <c r="E687" s="4" t="inlineStr">
        <is>
          <t>SALUD</t>
        </is>
      </c>
      <c r="F687" s="5" t="n">
        <v>24000</v>
      </c>
      <c r="G687" s="16" t="n"/>
      <c r="H687" s="4" t="inlineStr">
        <is>
          <t>REAL</t>
        </is>
      </c>
      <c r="I687" s="4" t="inlineStr">
        <is>
          <t>Mercado Pago</t>
        </is>
      </c>
      <c r="J687" s="4" t="inlineStr">
        <is>
          <t>Mercado Pago</t>
        </is>
      </c>
      <c r="K687" s="4" t="inlineStr">
        <is>
          <t>SALUD · Lorena Ferreyra · Gmail Pago aprobado · REVISAR ítem</t>
        </is>
      </c>
      <c r="L687" s="4" t="n">
        <v>947</v>
      </c>
    </row>
    <row r="688">
      <c r="A688" s="15" t="n">
        <v>46243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SALUD</t>
        </is>
      </c>
      <c r="E688" s="4" t="inlineStr">
        <is>
          <t>SALUD</t>
        </is>
      </c>
      <c r="F688" s="5" t="n">
        <v>75000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SALUD · Lorena Ferreyra · Gmail Pago aprobado · REVISAR ítem</t>
        </is>
      </c>
      <c r="L688" s="4" t="n">
        <v>948</v>
      </c>
    </row>
    <row r="689">
      <c r="A689" s="15" t="n">
        <v>46244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13600</v>
      </c>
      <c r="G689" s="16" t="n"/>
      <c r="H689" s="4" t="inlineStr">
        <is>
          <t>REAL</t>
        </is>
      </c>
      <c r="I689" s="4" t="inlineStr">
        <is>
          <t>TC Mercado Pago</t>
        </is>
      </c>
      <c r="J689" s="4" t="inlineStr">
        <is>
          <t>TC Mercado Pago</t>
        </is>
      </c>
      <c r="K689" s="4" t="inlineStr">
        <is>
          <t>COMIDA · Oficina · Copetin Catering · Gmail Pago aprobado</t>
        </is>
      </c>
      <c r="L689" s="4" t="n">
        <v>950</v>
      </c>
    </row>
    <row r="690">
      <c r="A690" s="15" t="n">
        <v>46244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356000</v>
      </c>
      <c r="G690" s="16" t="n"/>
      <c r="H690" s="4" t="inlineStr">
        <is>
          <t>REAL</t>
        </is>
      </c>
      <c r="I690" s="4" t="inlineStr">
        <is>
          <t>BBVA Crédito ****3200</t>
        </is>
      </c>
      <c r="J690" s="4" t="inlineStr">
        <is>
          <t>BBVA</t>
        </is>
      </c>
      <c r="K690" s="4" t="inlineStr">
        <is>
          <t>SALUD · Reiki · Gmail Pago aprobado · gasto personal Sol</t>
        </is>
      </c>
      <c r="L690" s="4" t="n">
        <v>949</v>
      </c>
    </row>
    <row r="691">
      <c r="A691" s="15" t="n">
        <v>46250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ENTRETENIMIENTO · COMIDAS</t>
        </is>
      </c>
      <c r="E691" s="4" t="inlineStr">
        <is>
          <t>ENTRETENIMIENTO · Comidas</t>
        </is>
      </c>
      <c r="F691" s="5" t="n">
        <v>1060501</v>
      </c>
      <c r="G691" s="16" t="n"/>
      <c r="H691" s="4" t="inlineStr">
        <is>
          <t>REAL</t>
        </is>
      </c>
      <c r="I691" s="4" t="inlineStr">
        <is>
          <t>BBVA VISA</t>
        </is>
      </c>
      <c r="J691" s="4" t="inlineStr">
        <is>
          <t>BBVA</t>
        </is>
      </c>
      <c r="K691" s="4" t="inlineStr">
        <is>
          <t>ENTRETENIMIENTO · Comidas · Gardiner Restaurant · BBVA VISA · mesa 9 · gasto personal Sol (no Almacén) · 16/08/2026</t>
        </is>
      </c>
      <c r="L691" s="4" t="n">
        <v>959</v>
      </c>
    </row>
    <row r="692">
      <c r="A692" s="15" t="n">
        <v>46254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OTROS PERSONALES</t>
        </is>
      </c>
      <c r="E692" s="4" t="inlineStr">
        <is>
          <t>Courier</t>
        </is>
      </c>
      <c r="F692" s="5" t="n">
        <v>24000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Courier · Correo Oficial · Gmail Pago aprobado · $24.000 · gasto personal Sol</t>
        </is>
      </c>
      <c r="L692" s="4" t="n">
        <v>958</v>
      </c>
    </row>
    <row r="693">
      <c r="A693" s="15" t="n">
        <v>46255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SALUD</t>
        </is>
      </c>
      <c r="E693" s="4" t="inlineStr">
        <is>
          <t>SALUD</t>
        </is>
      </c>
      <c r="F693" s="5" t="n">
        <v>27000</v>
      </c>
      <c r="G693" s="16" t="n"/>
      <c r="H693" s="4" t="inlineStr">
        <is>
          <t>REAL</t>
        </is>
      </c>
      <c r="I693" s="4" t="inlineStr">
        <is>
          <t>Mercado Pago</t>
        </is>
      </c>
      <c r="J693" s="4" t="inlineStr">
        <is>
          <t>Mercado Pago</t>
        </is>
      </c>
      <c r="K693" s="4" t="inlineStr">
        <is>
          <t>SALUD · Karen · Gmail Pago aprobado · REVISAR ítem</t>
        </is>
      </c>
      <c r="L693" s="4" t="n">
        <v>951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EVENTOS DEPORTIVOS - RIVER</t>
        </is>
      </c>
      <c r="E694" s="4" t="inlineStr">
        <is>
          <t>Eventos deportivos - River</t>
        </is>
      </c>
      <c r="F694" s="5" t="n">
        <v>169667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C.02/06 · cashflow cuotas BBVA · gasto personal Sol · Eventos deportivos - River</t>
        </is>
      </c>
      <c r="L694" s="4" t="n">
        <v>554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HOGAR</t>
        </is>
      </c>
      <c r="E695" s="4" t="inlineStr">
        <is>
          <t>HOGAR</t>
        </is>
      </c>
      <c r="F695" s="5" t="n">
        <v>18334</v>
      </c>
      <c r="G695" s="16" t="n"/>
      <c r="H695" s="18" t="inlineStr">
        <is>
          <t>PROYECTADO</t>
        </is>
      </c>
      <c r="I695" s="4" t="inlineStr">
        <is>
          <t>BBVA MASTERCARD · proyectado</t>
        </is>
      </c>
      <c r="J695" s="4" t="inlineStr">
        <is>
          <t>BBVA</t>
        </is>
      </c>
      <c r="K695" s="4" t="inlineStr">
        <is>
          <t>HOGAR · Stanley · PROYECTADO · C.05/06 · cashflow cuotas BBVA · gasto personal Sol</t>
        </is>
      </c>
      <c r="L695" s="4" t="n">
        <v>553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MERCADO LIBRE</t>
        </is>
      </c>
      <c r="E696" s="4" t="inlineStr">
        <is>
          <t>MERCADO LIBRE</t>
        </is>
      </c>
      <c r="F696" s="5" t="n">
        <v>12084</v>
      </c>
      <c r="G696" s="16" t="n"/>
      <c r="H696" s="18" t="inlineStr">
        <is>
          <t>PROYECTADO</t>
        </is>
      </c>
      <c r="I696" s="4" t="inlineStr">
        <is>
          <t>BBVA VISA · proyectado</t>
        </is>
      </c>
      <c r="J696" s="4" t="inlineStr">
        <is>
          <t>BBVA</t>
        </is>
      </c>
      <c r="K696" s="4" t="inlineStr">
        <is>
          <t>PROYECTADO · C.02/06 · cashflow cuotas BBVA · gasto personal Sol · ex `Mercado Libre · MERCADOLIBRE`</t>
        </is>
      </c>
      <c r="L696" s="4" t="n">
        <v>544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MERCADO LIBRE</t>
        </is>
      </c>
      <c r="E697" s="4" t="inlineStr">
        <is>
          <t>MERCADO LIBRE</t>
        </is>
      </c>
      <c r="F697" s="5" t="n">
        <v>275000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C.06/12 · cashflow cuotas BBVA · gasto personal Sol · ex `Mercado Libre · MERCADOLIBRE`</t>
        </is>
      </c>
      <c r="L697" s="4" t="n">
        <v>545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MERCADO LIBRE</t>
        </is>
      </c>
      <c r="E698" s="4" t="inlineStr">
        <is>
          <t>MERCADO LIBRE</t>
        </is>
      </c>
      <c r="F698" s="5" t="n">
        <v>17360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PROYECTADO · C.07/09 · cashflow cuotas BBVA · gasto personal Sol · ex `Mercado Libre · MERCADOLIBRE`</t>
        </is>
      </c>
      <c r="L698" s="4" t="n">
        <v>546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MERCADO LIBRE</t>
        </is>
      </c>
      <c r="E699" s="4" t="inlineStr">
        <is>
          <t>MERCADO LIBRE</t>
        </is>
      </c>
      <c r="F699" s="5" t="n">
        <v>16950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C.07/09 · cashflow cuotas BBVA · gasto personal Sol · ex `Mercado Libre · MERCADOLIBRE`</t>
        </is>
      </c>
      <c r="L699" s="4" t="n">
        <v>547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124667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C.04/06 · cashflow cuotas BBVA · gasto personal Sol</t>
        </is>
      </c>
      <c r="L700" s="4" t="n">
        <v>539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31700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ROPA · Frivilli · PROYECTADO · C.02/03 · cashflow cuotas BBVA · gasto personal Sol</t>
        </is>
      </c>
      <c r="L701" s="4" t="n">
        <v>541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80834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PROYECTADO · C.04/06 · cashflow cuotas BBVA · gasto personal Sol</t>
        </is>
      </c>
      <c r="L702" s="4" t="n">
        <v>542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95984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ROPA · Monofuk · PROYECTADO · C.05/06 · cashflow cuotas BBVA · gasto personal Sol</t>
        </is>
      </c>
      <c r="L703" s="4" t="n">
        <v>548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284794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C.02/06 · cashflow cuotas BBVA · gasto personal Sol</t>
        </is>
      </c>
      <c r="L704" s="4" t="n">
        <v>549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73600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C.02/06 · cashflow cuotas BBVA · gasto personal Sol</t>
        </is>
      </c>
      <c r="L705" s="4" t="n">
        <v>550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36667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552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60917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C.04/12 · cashflow cuotas BBVA · gasto personal Sol</t>
        </is>
      </c>
      <c r="L707" s="4" t="n">
        <v>555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69750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PROYECTADO · C.04/12 · cashflow cuotas BBVA · gasto personal Sol</t>
        </is>
      </c>
      <c r="L708" s="4" t="n">
        <v>556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SALUD</t>
        </is>
      </c>
      <c r="E709" s="4" t="inlineStr">
        <is>
          <t>SALUD</t>
        </is>
      </c>
      <c r="F709" s="5" t="n">
        <v>54033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SALUD · Laboratorio · PROYECTADO · C.05/06 · cashflow cuotas BBVA · gasto personal Sol</t>
        </is>
      </c>
      <c r="L709" s="4" t="n">
        <v>543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SALUD · Vitaminas</t>
        </is>
      </c>
      <c r="E710" s="4" t="inlineStr">
        <is>
          <t>SALUD · Vitaminas</t>
        </is>
      </c>
      <c r="F710" s="5" t="n">
        <v>87900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SALUD · Vitaminas · Promarine · BBVA · C.05/06 · gasto personal Sol</t>
        </is>
      </c>
      <c r="L710" s="4" t="n">
        <v>551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VESTIMENTA</t>
        </is>
      </c>
      <c r="F711" s="5" t="n">
        <v>98334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ROPA · Bokenvoreno · PROYECTADO · C.04/06 · cashflow cuotas BBVA · gasto personal Sol</t>
        </is>
      </c>
      <c r="L711" s="4" t="n">
        <v>540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EDUCACIÓN</t>
        </is>
      </c>
      <c r="E712" s="4" t="inlineStr">
        <is>
          <t>EDUCACIÓN</t>
        </is>
      </c>
      <c r="F712" s="5" t="n">
        <v>30000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EDUCACIÓN · Bitgenia · Gmail Pago aprobado · gasto personal Sol</t>
        </is>
      </c>
      <c r="L712" s="4" t="n">
        <v>952</v>
      </c>
    </row>
    <row r="713">
      <c r="A713" s="15" t="n">
        <v>46266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SUSCRIPCIONES · APPLE</t>
        </is>
      </c>
      <c r="E713" s="4" t="inlineStr">
        <is>
          <t>SUSCRIPCIONES · Apple</t>
        </is>
      </c>
      <c r="F713" s="5" t="n">
        <v>81961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SUSCRIPCIONES · Apple · Mercado Pago · gasto personal Sol · dinero en cuenta MP screenshot</t>
        </is>
      </c>
      <c r="L713" s="4" t="n">
        <v>835</v>
      </c>
    </row>
    <row r="714">
      <c r="A714" s="15" t="n">
        <v>46266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TRANSFERENCIAS</t>
        </is>
      </c>
      <c r="E714" s="4" t="inlineStr">
        <is>
          <t>TRANSFERENCIAS</t>
        </is>
      </c>
      <c r="F714" s="5" t="n">
        <v>45000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Facundo Lisandro Marin · Transferencia enviada · gasto personal Sol · dinero en cuenta MP screenshot</t>
        </is>
      </c>
      <c r="L714" s="4" t="n">
        <v>834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COMIDA · OFICINA</t>
        </is>
      </c>
      <c r="E715" s="4" t="inlineStr">
        <is>
          <t>COMIDA · Oficina</t>
        </is>
      </c>
      <c r="F715" s="5" t="n">
        <v>4080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COMIDA · Oficina · Copetin Catering · Gmail Pago aprobado · REVISAR vs settlement</t>
        </is>
      </c>
      <c r="L715" s="4" t="n">
        <v>833</v>
      </c>
    </row>
    <row r="716">
      <c r="A716" s="15" t="n">
        <v>46267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COMPRAS</t>
        </is>
      </c>
      <c r="E716" s="4" t="inlineStr">
        <is>
          <t>COMPRAS</t>
        </is>
      </c>
      <c r="F716" s="5" t="n">
        <v>4000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COMPRAS · Kiosk Store · gasto personal Sol · REVISAR ítem · dinero en cuenta MP screenshot</t>
        </is>
      </c>
      <c r="L716" s="4" t="n">
        <v>841</v>
      </c>
    </row>
    <row r="717">
      <c r="A717" s="15" t="n">
        <v>46267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OTROS PERSONALES</t>
        </is>
      </c>
      <c r="E717" s="4" t="inlineStr">
        <is>
          <t>Courier</t>
        </is>
      </c>
      <c r="F717" s="5" t="n">
        <v>24000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Courier · Correo Oficial · Gmail Pago aprobado · $24.000 · gasto personal Sol</t>
        </is>
      </c>
      <c r="L717" s="4" t="n">
        <v>842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TRANSFERENCIAS</t>
        </is>
      </c>
      <c r="E718" s="4" t="inlineStr">
        <is>
          <t>TRANSFERENCIAS</t>
        </is>
      </c>
      <c r="F718" s="5" t="n">
        <v>863600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Neira Martina · Transferencia enviada · gasto personal Sol · dinero en cuenta MP screenshot</t>
        </is>
      </c>
      <c r="L718" s="4" t="n">
        <v>838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TRANSPORTE</t>
        </is>
      </c>
      <c r="E719" s="4" t="inlineStr">
        <is>
          <t>TRANSPORTE · Uber</t>
        </is>
      </c>
      <c r="F719" s="5" t="n">
        <v>6094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TRANSPORTE · Uber · Ebanx (=Uber) · gasto personal Sol · dinero en cuenta MP screenshot</t>
        </is>
      </c>
      <c r="L719" s="4" t="n">
        <v>836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TRANSPORTE</t>
        </is>
      </c>
      <c r="E720" s="4" t="inlineStr">
        <is>
          <t>TRANSPORTE · Uber</t>
        </is>
      </c>
      <c r="F720" s="5" t="n">
        <v>6607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TRANSPORTE · Uber · Ebanx (=Uber) · gasto personal Sol · dinero en cuenta MP screenshot</t>
        </is>
      </c>
      <c r="L720" s="4" t="n">
        <v>840</v>
      </c>
    </row>
    <row r="721">
      <c r="A721" s="15" t="n">
        <v>46268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TRANSPORTE</t>
        </is>
      </c>
      <c r="E721" s="4" t="inlineStr">
        <is>
          <t>TRANSPORTE · Didi</t>
        </is>
      </c>
      <c r="F721" s="5" t="n">
        <v>4900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TRANSPORTE · Didi · gasto personal Sol · dinero en cuenta MP screenshot</t>
        </is>
      </c>
      <c r="L721" s="4" t="n">
        <v>844</v>
      </c>
    </row>
    <row r="722">
      <c r="A722" s="15" t="n">
        <v>46268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TRANSPORTE</t>
        </is>
      </c>
      <c r="E722" s="4" t="inlineStr">
        <is>
          <t>TRANSPORTE · Uber</t>
        </is>
      </c>
      <c r="F722" s="5" t="n">
        <v>7520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Uber · Ebanx (=Uber) · gasto personal Sol · dinero en cuenta MP screenshot</t>
        </is>
      </c>
      <c r="L722" s="4" t="n">
        <v>843</v>
      </c>
    </row>
    <row r="723">
      <c r="A723" s="15" t="n">
        <v>46269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AVA FIDEICOMISO</t>
        </is>
      </c>
      <c r="E723" s="4" t="inlineStr">
        <is>
          <t>AVA Fideicomiso</t>
        </is>
      </c>
      <c r="F723" s="5" t="n">
        <v>3134720</v>
      </c>
      <c r="G723" s="16" t="n"/>
      <c r="H723" s="4" t="inlineStr">
        <is>
          <t>REAL</t>
        </is>
      </c>
      <c r="I723" s="4" t="inlineStr">
        <is>
          <t>Mercado Pago / Transferencia</t>
        </is>
      </c>
      <c r="J723" s="4" t="inlineStr">
        <is>
          <t>Mercado Pago</t>
        </is>
      </c>
      <c r="K723" s="4" t="inlineStr">
        <is>
          <t>AVA Fideicomiso · cuota 10 · vto 2026-09-04 · total 6269440 · TC MEP venta 1525.39 · USD 4110.06 · 50% Sol · Gmail factura/recibo 07/09</t>
        </is>
      </c>
      <c r="L723" s="4" t="n">
        <v>829</v>
      </c>
    </row>
    <row r="724">
      <c r="A724" s="15" t="n">
        <v>46269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COMPRAS</t>
        </is>
      </c>
      <c r="E724" s="4" t="inlineStr">
        <is>
          <t>COMPRAS</t>
        </is>
      </c>
      <c r="F724" s="5" t="n">
        <v>580320</v>
      </c>
      <c r="G724" s="16" t="n"/>
      <c r="H724" s="4" t="inlineStr">
        <is>
          <t>REAL</t>
        </is>
      </c>
      <c r="I724" s="4" t="inlineStr">
        <is>
          <t>BBVA VISA</t>
        </is>
      </c>
      <c r="J724" s="4" t="inlineStr">
        <is>
          <t>BBVA</t>
        </is>
      </c>
      <c r="K724" s="4" t="inlineStr">
        <is>
          <t>COMPRAS · dhgate.com · BBVA VISA · USD 380.44 × TC MEP 1525.39 · importación · alerta Gmail Compra aprobada · REVISAR vs resumen BBVA</t>
        </is>
      </c>
      <c r="L724" s="4" t="n">
        <v>926</v>
      </c>
    </row>
    <row r="725">
      <c r="A725" s="15" t="n">
        <v>46270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10000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2026-09-05 · gasto personal Sol · dinero en cuenta MP screenshot</t>
        </is>
      </c>
      <c r="L725" s="4" t="n">
        <v>846</v>
      </c>
    </row>
    <row r="726">
      <c r="A726" s="15" t="n">
        <v>46270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OTROS PERSONALES</t>
        </is>
      </c>
      <c r="E726" s="4" t="inlineStr">
        <is>
          <t>IMPUESTOS · ARCA</t>
        </is>
      </c>
      <c r="F726" s="5" t="n">
        <v>10000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IMPUESTOS · ARCA / AFIP · MP 2026-09-05 · gasto personal Sol · dinero en cuenta MP screenshot</t>
        </is>
      </c>
      <c r="L726" s="4" t="n">
        <v>847</v>
      </c>
    </row>
    <row r="727">
      <c r="A727" s="15" t="n">
        <v>46270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TRANSFERENCIAS</t>
        </is>
      </c>
      <c r="E727" s="4" t="inlineStr">
        <is>
          <t>TRANSFERENCIAS</t>
        </is>
      </c>
      <c r="F727" s="5" t="n">
        <v>10800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Digno Lopez · Transferencia enviada · gasto personal Sol · dinero en cuenta MP screenshot</t>
        </is>
      </c>
      <c r="L727" s="4" t="n">
        <v>845</v>
      </c>
    </row>
    <row r="728">
      <c r="A728" s="15" t="n">
        <v>46271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TELECOMUNICACIONES</t>
        </is>
      </c>
      <c r="E728" s="4" t="inlineStr">
        <is>
          <t>Servicio - Telefonía</t>
        </is>
      </c>
      <c r="F728" s="5" t="n">
        <v>18300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Servicio - Telefonía · Tuenti · gasto personal Sol · dinero en cuenta MP screenshot</t>
        </is>
      </c>
      <c r="L728" s="4" t="n">
        <v>848</v>
      </c>
    </row>
    <row r="729">
      <c r="A729" s="15" t="n">
        <v>46271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OTROS PERSONALES</t>
        </is>
      </c>
      <c r="E729" s="4" t="inlineStr">
        <is>
          <t>TRANSPORTE · SUBE</t>
        </is>
      </c>
      <c r="F729" s="5" t="n">
        <v>987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SUBE · gasto personal Sol · dinero en cuenta MP screenshot</t>
        </is>
      </c>
      <c r="L729" s="4" t="n">
        <v>849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COMIDA · OFICINA</t>
        </is>
      </c>
      <c r="E730" s="4" t="inlineStr">
        <is>
          <t>COMIDA · Oficina</t>
        </is>
      </c>
      <c r="F730" s="5" t="n">
        <v>1350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COMIDA · Oficina · Feed · gasto personal Sol · dinero en cuenta MP screenshot</t>
        </is>
      </c>
      <c r="L730" s="4" t="n">
        <v>851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HOGAR</t>
        </is>
      </c>
      <c r="E731" s="4" t="inlineStr">
        <is>
          <t>HOGAR</t>
        </is>
      </c>
      <c r="F731" s="5" t="n">
        <v>186300</v>
      </c>
      <c r="G731" s="16" t="n"/>
      <c r="H731" s="4" t="inlineStr">
        <is>
          <t>REAL</t>
        </is>
      </c>
      <c r="I731" s="4" t="inlineStr">
        <is>
          <t>BBVA VISA</t>
        </is>
      </c>
      <c r="J731" s="4" t="inlineStr">
        <is>
          <t>BBVA</t>
        </is>
      </c>
      <c r="K731" s="4" t="inlineStr">
        <is>
          <t>HOGAR · Luna Hogar · BBVA VISA · MERPAGO*LUNAHOGAR · alerta Gmail</t>
        </is>
      </c>
      <c r="L731" s="4" t="n">
        <v>932</v>
      </c>
    </row>
    <row r="732">
      <c r="A732" s="15" t="n">
        <v>46272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58118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2026-09-07 · gasto personal Sol · dinero en cuenta MP screenshot</t>
        </is>
      </c>
      <c r="L732" s="4" t="n">
        <v>852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43038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2026-09-07 · gasto personal Sol · dinero en cuenta MP screenshot</t>
        </is>
      </c>
      <c r="L733" s="4" t="n">
        <v>853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TRANSPORTE</t>
        </is>
      </c>
      <c r="E734" s="4" t="inlineStr">
        <is>
          <t>TRANSPORTE · Didi</t>
        </is>
      </c>
      <c r="F734" s="5" t="n">
        <v>6700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TRANSPORTE · Didi · gasto personal Sol · dinero en cuenta MP screenshot</t>
        </is>
      </c>
      <c r="L734" s="4" t="n">
        <v>854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TRANSPORTE</t>
        </is>
      </c>
      <c r="E735" s="4" t="inlineStr">
        <is>
          <t>TRANSPORTE · Uber</t>
        </is>
      </c>
      <c r="F735" s="5" t="n">
        <v>6948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Uber · Ebanx (=Uber) · gasto personal Sol · dinero en cuenta MP screenshot</t>
        </is>
      </c>
      <c r="L735" s="4" t="n">
        <v>850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VESTIMENTA</t>
        </is>
      </c>
      <c r="E736" s="4" t="inlineStr">
        <is>
          <t>VESTIMENTA</t>
        </is>
      </c>
      <c r="F736" s="5" t="n">
        <v>809200</v>
      </c>
      <c r="G736" s="16" t="n"/>
      <c r="H736" s="4" t="inlineStr">
        <is>
          <t>REAL</t>
        </is>
      </c>
      <c r="I736" s="4" t="inlineStr">
        <is>
          <t>BBVA VISA</t>
        </is>
      </c>
      <c r="J736" s="4" t="inlineStr">
        <is>
          <t>BBVA</t>
        </is>
      </c>
      <c r="K736" s="4" t="inlineStr">
        <is>
          <t>VESTIMENTA · Markova · BBVA VISA · MERPAGO*MARKOVA · alerta Gmail · REVISAR ítem</t>
        </is>
      </c>
      <c r="L736" s="4" t="n">
        <v>931</v>
      </c>
    </row>
    <row r="737">
      <c r="A737" s="15" t="n">
        <v>46273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OTROS PERSONALES</t>
        </is>
      </c>
      <c r="E737" s="4" t="inlineStr">
        <is>
          <t>IMPUESTOS · ARCA</t>
        </is>
      </c>
      <c r="F737" s="5" t="n">
        <v>4866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IMPUESTOS · ARCA / AFIP · MP 2026-09-08 · gasto personal Sol · dinero en cuenta MP screenshot</t>
        </is>
      </c>
      <c r="L737" s="4" t="n">
        <v>855</v>
      </c>
    </row>
    <row r="738">
      <c r="A738" s="15" t="n">
        <v>46273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VESTIMENTA</t>
        </is>
      </c>
      <c r="E738" s="4" t="inlineStr">
        <is>
          <t>VESTIMENTA</t>
        </is>
      </c>
      <c r="F738" s="5" t="n">
        <v>28199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VESTIMENTA · OZZ · gasto personal Sol · dinero en cuenta MP screenshot</t>
        </is>
      </c>
      <c r="L738" s="4" t="n">
        <v>856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COMPRAS</t>
        </is>
      </c>
      <c r="E739" s="4" t="inlineStr">
        <is>
          <t>COMPRAS</t>
        </is>
      </c>
      <c r="F739" s="5" t="n">
        <v>163350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COMPRAS · ZILVER SA · gasto personal Sol · REVISAR ítem · dinero en cuenta MP screenshot</t>
        </is>
      </c>
      <c r="L739" s="4" t="n">
        <v>862</v>
      </c>
    </row>
    <row r="740">
      <c r="A740" s="15" t="n">
        <v>46275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OTROS PERSONALES</t>
        </is>
      </c>
      <c r="E740" s="4" t="inlineStr">
        <is>
          <t>IMPUESTOS · ARCA</t>
        </is>
      </c>
      <c r="F740" s="5" t="n">
        <v>43083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IMPUESTOS · ARCA / AFIP · MP 2026-09-10 · gasto personal Sol · dinero en cuenta MP screenshot</t>
        </is>
      </c>
      <c r="L740" s="4" t="n">
        <v>857</v>
      </c>
    </row>
    <row r="741">
      <c r="A741" s="15" t="n">
        <v>46275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Uber</t>
        </is>
      </c>
      <c r="F741" s="5" t="n">
        <v>5612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Uber · Ebanx (=Uber) · gasto personal Sol · dinero en cuenta MP screenshot</t>
        </is>
      </c>
      <c r="L741" s="4" t="n">
        <v>858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7155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859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Uber</t>
        </is>
      </c>
      <c r="F743" s="5" t="n">
        <v>81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Uber · Ebanx (=Uber) · gasto personal Sol · dinero en cuenta MP screenshot</t>
        </is>
      </c>
      <c r="L743" s="4" t="n">
        <v>860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SUSCRIPCIONES · APPLE</t>
        </is>
      </c>
      <c r="E744" s="4" t="inlineStr">
        <is>
          <t>SUSCRIPCIONES · Apple</t>
        </is>
      </c>
      <c r="F744" s="5" t="n">
        <v>29331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SUSCRIPCIONES · Apple · Mercado Pago · gasto personal Sol · dinero en cuenta MP screenshot</t>
        </is>
      </c>
      <c r="L744" s="4" t="n">
        <v>863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185288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Sanbras oficial · Transferencia enviada · gasto personal Sol · dinero en cuenta MP screenshot</t>
        </is>
      </c>
      <c r="L745" s="4" t="n">
        <v>867</v>
      </c>
    </row>
    <row r="746">
      <c r="A746" s="15" t="n">
        <v>46276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TRANSFERENCIAS</t>
        </is>
      </c>
      <c r="E746" s="4" t="inlineStr">
        <is>
          <t>TRANSFERENCIAS</t>
        </is>
      </c>
      <c r="F746" s="5" t="n">
        <v>135000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Paula Carolina Fasanella · Transferencia enviada · gasto personal Sol · dinero en cuenta MP screenshot</t>
        </is>
      </c>
      <c r="L746" s="4" t="n">
        <v>868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Didi</t>
        </is>
      </c>
      <c r="F747" s="5" t="n">
        <v>5800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Didi · gasto personal Sol · dinero en cuenta MP screenshot</t>
        </is>
      </c>
      <c r="L747" s="4" t="n">
        <v>864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Didi</t>
        </is>
      </c>
      <c r="F748" s="5" t="n">
        <v>4500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Didi · gasto personal Sol · dinero en cuenta MP screenshot</t>
        </is>
      </c>
      <c r="L748" s="4" t="n">
        <v>865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TRANSPORTE</t>
        </is>
      </c>
      <c r="E749" s="4" t="inlineStr">
        <is>
          <t>TRANSPORTE · Uber</t>
        </is>
      </c>
      <c r="F749" s="5" t="n">
        <v>7758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TRANSPORTE · Uber · Ebanx (=Uber) · gasto personal Sol · dinero en cuenta MP screenshot</t>
        </is>
      </c>
      <c r="L749" s="4" t="n">
        <v>866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31450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PPNL · TC Mercado Pago · C.2/2 · REVISAR ítem · compra 2026-07-16 · cierre 2026-09-12</t>
        </is>
      </c>
      <c r="L750" s="4" t="n">
        <v>907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126325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LG Distribuidor · TC Mercado Pago · C.2/3 · REVISAR ítem · compra 2026-07-29 · cierre 2026-09-12</t>
        </is>
      </c>
      <c r="L751" s="4" t="n">
        <v>908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58430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Central Store · TC Mercado Pago · C.2/6 · compra 2026-08-01 · cierre 2026-09-12</t>
        </is>
      </c>
      <c r="L752" s="4" t="n">
        <v>912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290000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Mac Station · TC Mercado Pago · C.1/2 · compra 2026-08-13 · cierre 2026-09-12</t>
        </is>
      </c>
      <c r="L753" s="4" t="n">
        <v>914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52624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Mac Station · TC Mercado Pago · C.1/2 · compra 2026-08-13 · cierre 2026-09-12</t>
        </is>
      </c>
      <c r="L754" s="4" t="n">
        <v>915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40000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Celugadgets · TC Mercado Pago · compra 2026-08-22 · cierre 2026-09-12</t>
        </is>
      </c>
      <c r="L755" s="4" t="n">
        <v>919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57725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Juan Cornacchi · TC Mercado Pago · REVISAR ítem · compra 2026-08-27 · cierre 2026-09-12</t>
        </is>
      </c>
      <c r="L756" s="4" t="n">
        <v>921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39000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Megaventas HM · TC Mercado Pago · compra 2026-08-27 · cierre 2026-09-12</t>
        </is>
      </c>
      <c r="L757" s="4" t="n">
        <v>922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-39000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REEMBOLSO · COMPRAS · Megaventas HM · TC Mercado Pago · compra 2026-08-27 · cierre 2026-09-12</t>
        </is>
      </c>
      <c r="L758" s="4" t="n">
        <v>925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HOGAR</t>
        </is>
      </c>
      <c r="E759" s="4" t="inlineStr">
        <is>
          <t>HOGAR</t>
        </is>
      </c>
      <c r="F759" s="5" t="n">
        <v>256862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HOGAR · Banchero Sanitarios · TC Mercado Pago · C.1/3 · compra 2026-08-18 · cierre 2026-09-12</t>
        </is>
      </c>
      <c r="L759" s="4" t="n">
        <v>916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MERCADO LIBRE</t>
        </is>
      </c>
      <c r="E760" s="4" t="inlineStr">
        <is>
          <t>MERCADO LIBRE</t>
        </is>
      </c>
      <c r="F760" s="5" t="n">
        <v>107500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Mercado Libre · TC Mercado Pago · C.1/2 · compra 2026-08-22 · cierre 2026-09-12</t>
        </is>
      </c>
      <c r="L760" s="4" t="n">
        <v>918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REGALOS</t>
        </is>
      </c>
      <c r="E761" s="4" t="inlineStr">
        <is>
          <t>REGALOS</t>
        </is>
      </c>
      <c r="F761" s="5" t="n">
        <v>33500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REGALOS · Regalos Dalila · TC Mercado Pago · C.2/2 · compra 2026-07-31 · cierre 2026-09-12</t>
        </is>
      </c>
      <c r="L761" s="4" t="n">
        <v>909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REGALOS</t>
        </is>
      </c>
      <c r="E762" s="4" t="inlineStr">
        <is>
          <t>REGALOS</t>
        </is>
      </c>
      <c r="F762" s="5" t="n">
        <v>546850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REGALOS · Regalos Dalila · TC Mercado Pago · C.2/2 · compra 2026-07-31 · cierre 2026-09-12</t>
        </is>
      </c>
      <c r="L762" s="4" t="n">
        <v>910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REGALOS</t>
        </is>
      </c>
      <c r="E763" s="4" t="inlineStr">
        <is>
          <t>REGALOS</t>
        </is>
      </c>
      <c r="F763" s="5" t="n">
        <v>62500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REGALOS · Regalos Dalila · TC Mercado Pago · C.2/2 · compra 2026-07-31 · cierre 2026-09-12</t>
        </is>
      </c>
      <c r="L763" s="4" t="n">
        <v>911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41715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Loccitane · TC Mercado Pago · C.6/6 · compra 2026-03-20 · cierre 2026-09-12</t>
        </is>
      </c>
      <c r="L764" s="4" t="n">
        <v>899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23000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Adidas · TC Mercado Pago · C.6/6 · compra 2026-03-23 · cierre 2026-09-12</t>
        </is>
      </c>
      <c r="L765" s="4" t="n">
        <v>900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67112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Awada · TC Mercado Pago · C.6/9 · compra 2026-03-23 · cierre 2026-09-12</t>
        </is>
      </c>
      <c r="L766" s="4" t="n">
        <v>901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41345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Laparfumerie · TC Mercado Pago · C.6/6 · compra 2026-03-30 · cierre 2026-09-12</t>
        </is>
      </c>
      <c r="L767" s="4" t="n">
        <v>902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297891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Pandora · TC Mercado Pago · C.3/6 · compra 2026-07-09 · cierre 2026-09-12</t>
        </is>
      </c>
      <c r="L768" s="4" t="n">
        <v>906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82742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Monofuk · TC Mercado Pago · C.2/12 · compra 2026-08-04 · cierre 2026-09-12</t>
        </is>
      </c>
      <c r="L769" s="4" t="n">
        <v>913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418000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Galeon Joyas · TC Mercado Pago · C.1/3 · compra 2026-09-10 · cierre 2026-09-12</t>
        </is>
      </c>
      <c r="L770" s="4" t="n">
        <v>923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-795614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REEMBOLSO · ROPA · Zara · TC Mercado Pago · compra 2026-08-19 · cierre 2026-09-12</t>
        </is>
      </c>
      <c r="L771" s="4" t="n">
        <v>924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SALUD</t>
        </is>
      </c>
      <c r="E772" s="4" t="inlineStr">
        <is>
          <t>SALUD</t>
        </is>
      </c>
      <c r="F772" s="5" t="n">
        <v>55707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SALUD · Laboratorio · TC Mercado Pago · C.3/9 · compra 2026-06-23 · cierre 2026-09-12</t>
        </is>
      </c>
      <c r="L772" s="4" t="n">
        <v>904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SALUD</t>
        </is>
      </c>
      <c r="E773" s="4" t="inlineStr">
        <is>
          <t>SALUD</t>
        </is>
      </c>
      <c r="F773" s="5" t="n">
        <v>58334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SALUD · Biodepot · TC Mercado Pago · C.3/3 · compra 2026-06-25 · cierre 2026-09-12</t>
        </is>
      </c>
      <c r="L773" s="4" t="n">
        <v>905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SALUD · Vitaminas</t>
        </is>
      </c>
      <c r="E774" s="4" t="inlineStr">
        <is>
          <t>SALUD · Vitaminas</t>
        </is>
      </c>
      <c r="F774" s="5" t="n">
        <v>87900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SALUD · Vitaminas · Promarine · TC Mercado Pago · C.6/6 · compra 2026-04-04 · cierre 2026-09-12</t>
        </is>
      </c>
      <c r="L774" s="4" t="n">
        <v>903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SUSCRIPCIONES · APPLE</t>
        </is>
      </c>
      <c r="E775" s="4" t="inlineStr">
        <is>
          <t>SUSCRIPCIONES · Apple</t>
        </is>
      </c>
      <c r="F775" s="5" t="n">
        <v>19749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SUSCRIPCIONES · Apple · Mercado Pago · gasto personal Sol · dinero en cuenta MP screenshot</t>
        </is>
      </c>
      <c r="L775" s="4" t="n">
        <v>869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ROPA</t>
        </is>
      </c>
      <c r="E776" s="4" t="inlineStr">
        <is>
          <t>TRANSFERENCIAS</t>
        </is>
      </c>
      <c r="F776" s="5" t="n">
        <v>140000</v>
      </c>
      <c r="G776" s="16" t="n"/>
      <c r="H776" s="4" t="inlineStr">
        <is>
          <t>REAL</t>
        </is>
      </c>
      <c r="I776" s="4" t="inlineStr">
        <is>
          <t>Mercado Pago</t>
        </is>
      </c>
      <c r="J776" s="4" t="inlineStr">
        <is>
          <t>Mercado Pago</t>
        </is>
      </c>
      <c r="K776" s="4" t="inlineStr">
        <is>
          <t>Eva Graciela Zarate Valdovino · Transferencia enviada · gasto personal Sol · dinero en cuenta MP screenshot</t>
        </is>
      </c>
      <c r="L776" s="4" t="n">
        <v>870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VESTIMENTA</t>
        </is>
      </c>
      <c r="E777" s="4" t="inlineStr">
        <is>
          <t>VESTIMENTA</t>
        </is>
      </c>
      <c r="F777" s="5" t="n">
        <v>72000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VESTIMENTA · Etiqueta Negra · TC Mercado Pago · C.1/6 · compra 2026-08-25 · cierre 2026-09-12</t>
        </is>
      </c>
      <c r="L777" s="4" t="n">
        <v>920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OTROS PERSONALES</t>
        </is>
      </c>
      <c r="E778" s="4" t="inlineStr">
        <is>
          <t>VIAJES</t>
        </is>
      </c>
      <c r="F778" s="5" t="n">
        <v>1633555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VIAJES · Aerolíneas Argentinas · TC Mercado Pago · compra 2026-08-22 · cierre 2026-09-12</t>
        </is>
      </c>
      <c r="L778" s="4" t="n">
        <v>917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176509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COMPRAS · El Bazar Digital · gasto personal Sol · REVISAR ítem · dinero en cuenta MP screenshot</t>
        </is>
      </c>
      <c r="L779" s="4" t="n">
        <v>871</v>
      </c>
    </row>
    <row r="780">
      <c r="A780" s="15" t="n">
        <v>46278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71250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Pago · Pago · gasto personal Sol · REVISAR ítem · dinero en cuenta MP screenshot</t>
        </is>
      </c>
      <c r="L780" s="4" t="n">
        <v>873</v>
      </c>
    </row>
    <row r="781">
      <c r="A781" s="15" t="n">
        <v>46278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76742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Pago · Pago · gasto personal Sol · REVISAR ítem · dinero en cuenta MP screenshot</t>
        </is>
      </c>
      <c r="L781" s="4" t="n">
        <v>874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COMPRAS</t>
        </is>
      </c>
      <c r="E782" s="4" t="inlineStr">
        <is>
          <t>COMPRAS</t>
        </is>
      </c>
      <c r="F782" s="5" t="n">
        <v>629985</v>
      </c>
      <c r="G782" s="16" t="n"/>
      <c r="H782" s="4" t="inlineStr">
        <is>
          <t>REAL</t>
        </is>
      </c>
      <c r="I782" s="4" t="inlineStr">
        <is>
          <t>BBVA VISA</t>
        </is>
      </c>
      <c r="J782" s="4" t="inlineStr">
        <is>
          <t>BBVA</t>
        </is>
      </c>
      <c r="K782" s="4" t="inlineStr">
        <is>
          <t>COMPRAS · dhgate.com · BBVA VISA · USD 409.57 × TC MEP 1538.16 · importación · MEP 11/09 (13/09 domingo) · alerta Gmail Compra aprobada · REVISAR vs resumen BBVA</t>
        </is>
      </c>
      <c r="L782" s="4" t="n">
        <v>927</v>
      </c>
    </row>
    <row r="783">
      <c r="A783" s="15" t="n">
        <v>46278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PELUQUERÍA</t>
        </is>
      </c>
      <c r="E783" s="4" t="inlineStr">
        <is>
          <t>PELUQUERÍA</t>
        </is>
      </c>
      <c r="F783" s="5" t="n">
        <v>12720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PELUQUERÍA · Megapeluquerías CABA · gasto personal Sol · dinero en cuenta MP screenshot</t>
        </is>
      </c>
      <c r="L783" s="4" t="n">
        <v>872</v>
      </c>
    </row>
    <row r="784">
      <c r="A784" s="15" t="n">
        <v>46279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COMPRAS</t>
        </is>
      </c>
      <c r="E784" s="4" t="inlineStr">
        <is>
          <t>COMPRAS</t>
        </is>
      </c>
      <c r="F784" s="5" t="n">
        <v>8520</v>
      </c>
      <c r="G784" s="16" t="n"/>
      <c r="H784" s="4" t="inlineStr">
        <is>
          <t>REAL</t>
        </is>
      </c>
      <c r="I784" s="4" t="inlineStr">
        <is>
          <t>BBVA VISA</t>
        </is>
      </c>
      <c r="J784" s="4" t="inlineStr">
        <is>
          <t>BBVA</t>
        </is>
      </c>
      <c r="K784" s="4" t="inlineStr">
        <is>
          <t>COMPRAS · La Obanesad · BBVA VISA · MERPAGO*LAOBANESAD · alerta Gmail · REVISAR ítem</t>
        </is>
      </c>
      <c r="L784" s="4" t="n">
        <v>933</v>
      </c>
    </row>
    <row r="785">
      <c r="A785" s="15" t="n">
        <v>46279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85000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Maria Celeste Gonzalez · Transferencia enviada · gasto personal Sol · dinero en cuenta MP screenshot</t>
        </is>
      </c>
      <c r="L785" s="4" t="n">
        <v>875</v>
      </c>
    </row>
    <row r="786">
      <c r="A786" s="15" t="n">
        <v>46279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TRANSFERENCIAS</t>
        </is>
      </c>
      <c r="E786" s="4" t="inlineStr">
        <is>
          <t>TRANSFERENCIAS</t>
        </is>
      </c>
      <c r="F786" s="5" t="n">
        <v>1000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Mariano Morales · Transferencia enviada · gasto personal Sol · dinero en cuenta MP screenshot</t>
        </is>
      </c>
      <c r="L786" s="4" t="n">
        <v>876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COMPRAS</t>
        </is>
      </c>
      <c r="E787" s="4" t="inlineStr">
        <is>
          <t>COMPRAS</t>
        </is>
      </c>
      <c r="F787" s="5" t="n">
        <v>40900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COMPRAS · Happy buy · gasto personal Sol · REVISAR ítem · dinero en cuenta MP screenshot</t>
        </is>
      </c>
      <c r="L787" s="4" t="n">
        <v>878</v>
      </c>
    </row>
    <row r="788">
      <c r="A788" s="15" t="n">
        <v>46280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OTROS PERSONALES</t>
        </is>
      </c>
      <c r="E788" s="4" t="inlineStr">
        <is>
          <t>IMPUESTOS · Epagos</t>
        </is>
      </c>
      <c r="F788" s="5" t="n">
        <v>10150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IMPUESTOS · Epagos · gasto personal Sol · dinero en cuenta MP screenshot</t>
        </is>
      </c>
      <c r="L788" s="4" t="n">
        <v>880</v>
      </c>
    </row>
    <row r="789">
      <c r="A789" s="15" t="n">
        <v>46280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TRANSFERENCIAS</t>
        </is>
      </c>
      <c r="E789" s="4" t="inlineStr">
        <is>
          <t>TRANSFERENCIAS</t>
        </is>
      </c>
      <c r="F789" s="5" t="n">
        <v>4000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Gaston Osvaldo Roca · Transferencia enviada · gasto personal Sol · dinero en cuenta MP screenshot</t>
        </is>
      </c>
      <c r="L789" s="4" t="n">
        <v>881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Didi</t>
        </is>
      </c>
      <c r="F790" s="5" t="n">
        <v>5500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Didi · gasto personal Sol · dinero en cuenta MP screenshot</t>
        </is>
      </c>
      <c r="L790" s="4" t="n">
        <v>879</v>
      </c>
    </row>
    <row r="791">
      <c r="A791" s="15" t="n">
        <v>46280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Uber</t>
        </is>
      </c>
      <c r="F791" s="5" t="n">
        <v>4980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Uber · Ebanx (=Uber) · gasto personal Sol · dinero en cuenta MP screenshot</t>
        </is>
      </c>
      <c r="L791" s="4" t="n">
        <v>877</v>
      </c>
    </row>
    <row r="792">
      <c r="A792" s="15" t="n">
        <v>46282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Didi</t>
        </is>
      </c>
      <c r="F792" s="5" t="n">
        <v>6200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Didi · gasto personal Sol · dinero en cuenta MP screenshot</t>
        </is>
      </c>
      <c r="L792" s="4" t="n">
        <v>883</v>
      </c>
    </row>
    <row r="793">
      <c r="A793" s="15" t="n">
        <v>46282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TRANSPORTE</t>
        </is>
      </c>
      <c r="E793" s="4" t="inlineStr">
        <is>
          <t>TRANSPORTE · Uber</t>
        </is>
      </c>
      <c r="F793" s="5" t="n">
        <v>7257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Uber · Ebanx (=Uber) · gasto personal Sol · dinero en cuenta MP screenshot</t>
        </is>
      </c>
      <c r="L793" s="4" t="n">
        <v>882</v>
      </c>
    </row>
    <row r="794">
      <c r="A794" s="15" t="n">
        <v>46282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VESTIMENTA</t>
        </is>
      </c>
      <c r="E794" s="4" t="inlineStr">
        <is>
          <t>VESTIMENTA</t>
        </is>
      </c>
      <c r="F794" s="5" t="n">
        <v>719990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VESTIMENTA · Itsclassic · TC Mercado Pago · Gmail Pago aprobado · REVISAR (también alerta BBVA MERPAGO*ITSCLASSIC) · post-cierre 12/09 → confirmar en resumen TC MP octubre</t>
        </is>
      </c>
      <c r="L794" s="4" t="n">
        <v>831</v>
      </c>
    </row>
    <row r="795">
      <c r="A795" s="15" t="n">
        <v>46283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Didi</t>
        </is>
      </c>
      <c r="F795" s="5" t="n">
        <v>4900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Didi · gasto personal Sol · dinero en cuenta MP screenshot</t>
        </is>
      </c>
      <c r="L795" s="4" t="n">
        <v>885</v>
      </c>
    </row>
    <row r="796">
      <c r="A796" s="15" t="n">
        <v>46283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Uber</t>
        </is>
      </c>
      <c r="F796" s="5" t="n">
        <v>6478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Uber · Ebanx (=Uber) · gasto personal Sol · dinero en cuenta MP screenshot</t>
        </is>
      </c>
      <c r="L796" s="4" t="n">
        <v>886</v>
      </c>
    </row>
    <row r="797">
      <c r="A797" s="15" t="n">
        <v>46284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AUTO</t>
        </is>
      </c>
      <c r="E797" s="4" t="inlineStr">
        <is>
          <t>EDUCACIÓN</t>
        </is>
      </c>
      <c r="F797" s="5" t="n">
        <v>127196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EDUCACIÓN · EducaciónIT · Automatización Claude · TC Mercado Pago · 3 cuotas · Gmail · post-cierre 12/09 → confirmar en resumen TC MP octubre</t>
        </is>
      </c>
      <c r="L797" s="4" t="n">
        <v>832</v>
      </c>
    </row>
    <row r="798">
      <c r="A798" s="15" t="n">
        <v>46284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SALUD · Vitaminas</t>
        </is>
      </c>
      <c r="E798" s="4" t="inlineStr">
        <is>
          <t>SALUD · Vitaminas</t>
        </is>
      </c>
      <c r="F798" s="5" t="n">
        <v>530100</v>
      </c>
      <c r="G798" s="16" t="n"/>
      <c r="H798" s="4" t="inlineStr">
        <is>
          <t>REAL</t>
        </is>
      </c>
      <c r="I798" s="4" t="inlineStr">
        <is>
          <t>TC Mercado Pago</t>
        </is>
      </c>
      <c r="J798" s="4" t="inlineStr">
        <is>
          <t>TC Mercado Pago</t>
        </is>
      </c>
      <c r="K798" s="4" t="inlineStr">
        <is>
          <t>SALUD · Vitaminas · Promarine · TC Mercado Pago · 6 cuotas · Gmail Pago aprobado · REVISAR vs resumen TC MP · post-cierre 12/09 → confirmar en resumen TC MP octubre</t>
        </is>
      </c>
      <c r="L798" s="4" t="n">
        <v>830</v>
      </c>
    </row>
    <row r="799">
      <c r="A799" s="15" t="n">
        <v>46284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OTROS PERSONALES</t>
        </is>
      </c>
      <c r="E799" s="4" t="inlineStr">
        <is>
          <t>TRANSPORTE · SUBE</t>
        </is>
      </c>
      <c r="F799" s="5" t="n">
        <v>862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SUBE · gasto personal Sol · dinero en cuenta MP screenshot</t>
        </is>
      </c>
      <c r="L799" s="4" t="n">
        <v>887</v>
      </c>
    </row>
    <row r="800">
      <c r="A800" s="15" t="n">
        <v>46285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COMPRAS</t>
        </is>
      </c>
      <c r="E800" s="4" t="inlineStr">
        <is>
          <t>COMPRAS</t>
        </is>
      </c>
      <c r="F800" s="5" t="n">
        <v>89998</v>
      </c>
      <c r="G800" s="16" t="n"/>
      <c r="H800" s="4" t="inlineStr">
        <is>
          <t>REAL</t>
        </is>
      </c>
      <c r="I800" s="4" t="inlineStr">
        <is>
          <t>TC Mercado Pago</t>
        </is>
      </c>
      <c r="J800" s="4" t="inlineStr">
        <is>
          <t>TC Mercado Pago</t>
        </is>
      </c>
      <c r="K800" s="4" t="inlineStr">
        <is>
          <t>COMPRAS · Yenny El Ateneo · TC Mercado Pago · Gmail Pago aprobado · post-cierre 12/09 → confirmar resumen octubre</t>
        </is>
      </c>
      <c r="L800" s="4" t="n">
        <v>936</v>
      </c>
    </row>
    <row r="801">
      <c r="A801" s="15" t="n">
        <v>46287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SUSCRIPCIONES · IA</t>
        </is>
      </c>
      <c r="E801" s="4" t="inlineStr">
        <is>
          <t>SUSCRIPCIONES · IA</t>
        </is>
      </c>
      <c r="F801" s="5" t="n">
        <v>7668</v>
      </c>
      <c r="G801" s="16" t="n"/>
      <c r="H801" s="4" t="inlineStr">
        <is>
          <t>REAL</t>
        </is>
      </c>
      <c r="I801" s="4" t="inlineStr">
        <is>
          <t>BBVA VISA</t>
        </is>
      </c>
      <c r="J801" s="4" t="inlineStr">
        <is>
          <t>BBVA</t>
        </is>
      </c>
      <c r="K801" s="4" t="inlineStr">
        <is>
          <t>SUSCRIPCIONES · IA · Google One / Gemini · BBVA VISA · USD 4.99 × TC MEP 1536.51 · alerta Gmail Compra aprobada · REVISAR vs resumen BBVA</t>
        </is>
      </c>
      <c r="L801" s="4" t="n">
        <v>928</v>
      </c>
    </row>
    <row r="802">
      <c r="A802" s="15" t="n">
        <v>46287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Didi</t>
        </is>
      </c>
      <c r="F802" s="5" t="n">
        <v>3300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Didi · gasto personal Sol · dinero en cuenta MP screenshot</t>
        </is>
      </c>
      <c r="L802" s="4" t="n">
        <v>889</v>
      </c>
    </row>
    <row r="803">
      <c r="A803" s="15" t="n">
        <v>46287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Uber</t>
        </is>
      </c>
      <c r="F803" s="5" t="n">
        <v>5393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Uber · Ebanx (=Uber) · gasto personal Sol · dinero en cuenta MP screenshot</t>
        </is>
      </c>
      <c r="L803" s="4" t="n">
        <v>888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63514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Randy Kopeles · Pago · gasto personal Sol · dinero en cuenta MP screenshot</t>
        </is>
      </c>
      <c r="L804" s="4" t="n">
        <v>890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COMPRAS</t>
        </is>
      </c>
      <c r="E805" s="4" t="inlineStr">
        <is>
          <t>COMPRAS</t>
        </is>
      </c>
      <c r="F805" s="5" t="n">
        <v>72999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Tatiana Aylén Gonzalez · Pago · gasto personal Sol · dinero en cuenta MP screenshot</t>
        </is>
      </c>
      <c r="L805" s="4" t="n">
        <v>895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SALUD</t>
        </is>
      </c>
      <c r="E806" s="4" t="inlineStr">
        <is>
          <t>SALUD</t>
        </is>
      </c>
      <c r="F806" s="5" t="n">
        <v>50000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SALUD · Clinicas Altamirao · gasto personal Sol · dinero en cuenta MP screenshot</t>
        </is>
      </c>
      <c r="L806" s="4" t="n">
        <v>893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Didi</t>
        </is>
      </c>
      <c r="F807" s="5" t="n">
        <v>3200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Didi · gasto personal Sol · dinero en cuenta MP screenshot</t>
        </is>
      </c>
      <c r="L807" s="4" t="n">
        <v>894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Uber</t>
        </is>
      </c>
      <c r="F808" s="5" t="n">
        <v>7016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Uber · Ebanx (=Uber) · gasto personal Sol · dinero en cuenta MP screenshot</t>
        </is>
      </c>
      <c r="L808" s="4" t="n">
        <v>891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Uber</t>
        </is>
      </c>
      <c r="F809" s="5" t="n">
        <v>153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Uber · Ebanx (=Uber) · gasto personal Sol · dinero en cuenta MP screenshot</t>
        </is>
      </c>
      <c r="L809" s="4" t="n">
        <v>892</v>
      </c>
    </row>
    <row r="810">
      <c r="A810" s="15" t="n">
        <v>46290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Didi</t>
        </is>
      </c>
      <c r="F810" s="5" t="n">
        <v>4800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Didi · gasto personal Sol · dinero en cuenta MP screenshot</t>
        </is>
      </c>
      <c r="L810" s="4" t="n">
        <v>896</v>
      </c>
    </row>
    <row r="811">
      <c r="A811" s="15" t="n">
        <v>46290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Didi</t>
        </is>
      </c>
      <c r="F811" s="5" t="n">
        <v>6800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Didi · gasto personal Sol · dinero en cuenta MP screenshot</t>
        </is>
      </c>
      <c r="L811" s="4" t="n">
        <v>897</v>
      </c>
    </row>
    <row r="812">
      <c r="A812" s="15" t="n">
        <v>46292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ENVÍOS</t>
        </is>
      </c>
      <c r="E812" s="4" t="inlineStr">
        <is>
          <t>ENVÍOS</t>
        </is>
      </c>
      <c r="F812" s="5" t="n">
        <v>13288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ENVÍOS · DHL Express · gasto personal Sol · dinero en cuenta MP screenshot</t>
        </is>
      </c>
      <c r="L812" s="4" t="n">
        <v>898</v>
      </c>
    </row>
    <row r="813">
      <c r="A813" s="15" t="n">
        <v>46292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SUSCRIPCIONES · IA</t>
        </is>
      </c>
      <c r="E813" s="4" t="inlineStr">
        <is>
          <t>SUSCRIPCIONES · IA</t>
        </is>
      </c>
      <c r="F813" s="5" t="n">
        <v>93150</v>
      </c>
      <c r="G813" s="16" t="n"/>
      <c r="H813" s="4" t="inlineStr">
        <is>
          <t>REAL</t>
        </is>
      </c>
      <c r="I813" s="4" t="inlineStr">
        <is>
          <t>BBVA VISA</t>
        </is>
      </c>
      <c r="J813" s="4" t="inlineStr">
        <is>
          <t>BBVA</t>
        </is>
      </c>
      <c r="K813" s="4" t="inlineStr">
        <is>
          <t>SUSCRIPCIONES · IA · Cursor · BBVA VISA · USD 60.00 × TC MEP 1552.5 · MEP 25/09 (27/09 domingo) · alerta Gmail Compra aprobada · REVISAR vs resumen BBVA</t>
        </is>
      </c>
      <c r="L813" s="4" t="n">
        <v>929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VESTIMENTA</t>
        </is>
      </c>
      <c r="E814" s="4" t="inlineStr">
        <is>
          <t>VESTIMENTA</t>
        </is>
      </c>
      <c r="F814" s="5" t="n">
        <v>334288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VESTIMENTA · Luxodia · BBVA VISA · MERPAGO*LUXODIA · alerta Gmail · REVISAR ítem</t>
        </is>
      </c>
      <c r="L814" s="4" t="n">
        <v>934</v>
      </c>
    </row>
    <row r="815">
      <c r="A815" s="15" t="n">
        <v>46292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VESTIMENTA</t>
        </is>
      </c>
      <c r="E815" s="4" t="inlineStr">
        <is>
          <t>VESTIMENTA</t>
        </is>
      </c>
      <c r="F815" s="5" t="n">
        <v>49492</v>
      </c>
      <c r="G815" s="16" t="n"/>
      <c r="H815" s="4" t="inlineStr">
        <is>
          <t>REAL</t>
        </is>
      </c>
      <c r="I815" s="4" t="inlineStr">
        <is>
          <t>BBVA VISA</t>
        </is>
      </c>
      <c r="J815" s="4" t="inlineStr">
        <is>
          <t>BBVA</t>
        </is>
      </c>
      <c r="K815" s="4" t="inlineStr">
        <is>
          <t>VESTIMENTA · Luxodia · BBVA VISA · MERPAGO*LUXODIA · alerta Gmail · REVISAR ítem</t>
        </is>
      </c>
      <c r="L815" s="4" t="n">
        <v>935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EVENTOS DEPORTIVOS - RIVER</t>
        </is>
      </c>
      <c r="E816" s="4" t="inlineStr">
        <is>
          <t>Eventos deportivos - River</t>
        </is>
      </c>
      <c r="F816" s="5" t="n">
        <v>169667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C.03/06 · cashflow cuotas BBVA · gasto personal Sol · Eventos deportivos - River</t>
        </is>
      </c>
      <c r="L816" s="4" t="n">
        <v>572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HOGAR</t>
        </is>
      </c>
      <c r="E817" s="4" t="inlineStr">
        <is>
          <t>HOGAR</t>
        </is>
      </c>
      <c r="F817" s="5" t="n">
        <v>18334</v>
      </c>
      <c r="G817" s="16" t="n"/>
      <c r="H817" s="18" t="inlineStr">
        <is>
          <t>PROYECTADO</t>
        </is>
      </c>
      <c r="I817" s="4" t="inlineStr">
        <is>
          <t>BBVA MASTERCARD · proyectado</t>
        </is>
      </c>
      <c r="J817" s="4" t="inlineStr">
        <is>
          <t>BBVA</t>
        </is>
      </c>
      <c r="K817" s="4" t="inlineStr">
        <is>
          <t>HOGAR · Stanley · PROYECTADO · C.06/06 · cashflow cuotas BBVA · gasto personal Sol</t>
        </is>
      </c>
      <c r="L817" s="4" t="n">
        <v>571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12084</v>
      </c>
      <c r="G818" s="16" t="n"/>
      <c r="H818" s="18" t="inlineStr">
        <is>
          <t>PROYECTADO</t>
        </is>
      </c>
      <c r="I818" s="4" t="inlineStr">
        <is>
          <t>BBVA VISA · proyectado</t>
        </is>
      </c>
      <c r="J818" s="4" t="inlineStr">
        <is>
          <t>BBVA</t>
        </is>
      </c>
      <c r="K818" s="4" t="inlineStr">
        <is>
          <t>PROYECTADO · C.03/06 · cashflow cuotas BBVA · gasto personal Sol · ex `Mercado Libre · MERCADOLIBRE`</t>
        </is>
      </c>
      <c r="L818" s="4" t="n">
        <v>562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275000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PROYECTADO · C.07/12 · cashflow cuotas BBVA · gasto personal Sol · ex `Mercado Libre · MERCADOLIBRE`</t>
        </is>
      </c>
      <c r="L819" s="4" t="n">
        <v>563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17360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C.08/09 · cashflow cuotas BBVA · gasto personal Sol · ex `Mercado Libre · MERCADOLIBRE`</t>
        </is>
      </c>
      <c r="L820" s="4" t="n">
        <v>564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MERCADO LIBRE</t>
        </is>
      </c>
      <c r="E821" s="4" t="inlineStr">
        <is>
          <t>MERCADO LIBRE</t>
        </is>
      </c>
      <c r="F821" s="5" t="n">
        <v>16950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C.08/09 · cashflow cuotas BBVA · gasto personal Sol · ex `Mercado Libre · MERCADOLIBRE`</t>
        </is>
      </c>
      <c r="L821" s="4" t="n">
        <v>565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124667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557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31700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ROPA · Frivilli · PROYECTADO · C.03/03 · cashflow cuotas BBVA · gasto personal Sol</t>
        </is>
      </c>
      <c r="L823" s="4" t="n">
        <v>559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80834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PROYECTADO · C.05/06 · cashflow cuotas BBVA · gasto personal Sol</t>
        </is>
      </c>
      <c r="L824" s="4" t="n">
        <v>560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95984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ROPA · Monofuk · PROYECTADO · C.06/06 · cashflow cuotas BBVA · gasto personal Sol</t>
        </is>
      </c>
      <c r="L825" s="4" t="n">
        <v>566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284794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C.03/06 · cashflow cuotas BBVA · gasto personal Sol</t>
        </is>
      </c>
      <c r="L826" s="4" t="n">
        <v>567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73600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C.03/06 · cashflow cuotas BBVA · gasto personal Sol</t>
        </is>
      </c>
      <c r="L827" s="4" t="n">
        <v>568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36667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C.05/06 · cashflow cuotas BBVA · gasto personal Sol</t>
        </is>
      </c>
      <c r="L828" s="4" t="n">
        <v>570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60917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C.05/12 · cashflow cuotas BBVA · gasto personal Sol</t>
        </is>
      </c>
      <c r="L829" s="4" t="n">
        <v>573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ROPA</t>
        </is>
      </c>
      <c r="F830" s="5" t="n">
        <v>69750</v>
      </c>
      <c r="G830" s="16" t="n"/>
      <c r="H830" s="18" t="inlineStr">
        <is>
          <t>PROYECTADO</t>
        </is>
      </c>
      <c r="I830" s="4" t="inlineStr">
        <is>
          <t>BBVA VISA · proyectado</t>
        </is>
      </c>
      <c r="J830" s="4" t="inlineStr">
        <is>
          <t>BBVA</t>
        </is>
      </c>
      <c r="K830" s="4" t="inlineStr">
        <is>
          <t>PROYECTADO · C.05/12 · cashflow cuotas BBVA · gasto personal Sol</t>
        </is>
      </c>
      <c r="L830" s="4" t="n">
        <v>574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SALUD</t>
        </is>
      </c>
      <c r="E831" s="4" t="inlineStr">
        <is>
          <t>SALUD</t>
        </is>
      </c>
      <c r="F831" s="5" t="n">
        <v>54033</v>
      </c>
      <c r="G831" s="16" t="n"/>
      <c r="H831" s="18" t="inlineStr">
        <is>
          <t>PROYECTADO</t>
        </is>
      </c>
      <c r="I831" s="4" t="inlineStr">
        <is>
          <t>BBVA MASTERCARD · proyectado</t>
        </is>
      </c>
      <c r="J831" s="4" t="inlineStr">
        <is>
          <t>BBVA</t>
        </is>
      </c>
      <c r="K831" s="4" t="inlineStr">
        <is>
          <t>SALUD · Laboratorio · PROYECTADO · C.06/06 · cashflow cuotas BBVA · gasto personal Sol</t>
        </is>
      </c>
      <c r="L831" s="4" t="n">
        <v>561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SALUD · Vitaminas</t>
        </is>
      </c>
      <c r="E832" s="4" t="inlineStr">
        <is>
          <t>SALUD · Vitaminas</t>
        </is>
      </c>
      <c r="F832" s="5" t="n">
        <v>87900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PROYECTADO · SALUD · Vitaminas · Promarine · BBVA · C.06/06 · gasto personal Sol</t>
        </is>
      </c>
      <c r="L832" s="4" t="n">
        <v>569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ROPA</t>
        </is>
      </c>
      <c r="E833" s="4" t="inlineStr">
        <is>
          <t>VESTIMENTA</t>
        </is>
      </c>
      <c r="F833" s="5" t="n">
        <v>98334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ROPA · Bokenvoreno · PROYECTADO · C.05/06 · cashflow cuotas BBVA · gasto personal Sol</t>
        </is>
      </c>
      <c r="L833" s="4" t="n">
        <v>558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TRANSFERENCIAS</t>
        </is>
      </c>
      <c r="E834" s="4" t="inlineStr">
        <is>
          <t>TRANSFERENCIAS</t>
        </is>
      </c>
      <c r="F834" s="5" t="n">
        <v>69900</v>
      </c>
      <c r="G834" s="16" t="n"/>
      <c r="H834" s="4" t="inlineStr">
        <is>
          <t>REAL</t>
        </is>
      </c>
      <c r="I834" s="4" t="inlineStr">
        <is>
          <t>Mercado Pago</t>
        </is>
      </c>
      <c r="J834" s="4" t="inlineStr">
        <is>
          <t>Mercado Pago</t>
        </is>
      </c>
      <c r="K834" s="4" t="inlineStr">
        <is>
          <t>TRANSFERENCIAS · Camilo Carlos Ihan · REVISAR ítem · resumen oficial cuenta MP 1–30 sep 2026</t>
        </is>
      </c>
      <c r="L834" s="4" t="n">
        <v>938</v>
      </c>
    </row>
    <row r="835">
      <c r="A835" s="15" t="n">
        <v>46294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HOGAR</t>
        </is>
      </c>
      <c r="E835" s="4" t="inlineStr">
        <is>
          <t>HOGAR</t>
        </is>
      </c>
      <c r="F835" s="5" t="n">
        <v>134572</v>
      </c>
      <c r="G835" s="16" t="n"/>
      <c r="H835" s="4" t="inlineStr">
        <is>
          <t>REAL</t>
        </is>
      </c>
      <c r="I835" s="4" t="inlineStr">
        <is>
          <t>TC Mercado Pago</t>
        </is>
      </c>
      <c r="J835" s="4" t="inlineStr">
        <is>
          <t>TC Mercado Pago</t>
        </is>
      </c>
      <c r="K835" s="4" t="inlineStr">
        <is>
          <t>HOGAR · ViennaHogar · TC Mercado Pago · 3 cuotas · Gmail Pago aprobado · post-cierre 12/09 → confirmar resumen octubre</t>
        </is>
      </c>
      <c r="L835" s="4" t="n">
        <v>937</v>
      </c>
    </row>
    <row r="836">
      <c r="A836" s="15" t="n">
        <v>46294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TRANSPORTE</t>
        </is>
      </c>
      <c r="E836" s="4" t="inlineStr">
        <is>
          <t>TRANSPORTE · Didi</t>
        </is>
      </c>
      <c r="F836" s="5" t="n">
        <v>5700</v>
      </c>
      <c r="G836" s="16" t="n"/>
      <c r="H836" s="4" t="inlineStr">
        <is>
          <t>REAL</t>
        </is>
      </c>
      <c r="I836" s="4" t="inlineStr">
        <is>
          <t>Mercado Pago</t>
        </is>
      </c>
      <c r="J836" s="4" t="inlineStr">
        <is>
          <t>Mercado Pago</t>
        </is>
      </c>
      <c r="K836" s="4" t="inlineStr">
        <is>
          <t>TRANSPORTE · Didi · resumen oficial cuenta MP 1–30 sep 2026</t>
        </is>
      </c>
      <c r="L836" s="4" t="n">
        <v>940</v>
      </c>
    </row>
    <row r="837">
      <c r="A837" s="15" t="n">
        <v>46294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TRANSPORTE</t>
        </is>
      </c>
      <c r="E837" s="4" t="inlineStr">
        <is>
          <t>TRANSPORTE · Didi</t>
        </is>
      </c>
      <c r="F837" s="5" t="n">
        <v>4000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TRANSPORTE · Didi · resumen oficial cuenta MP 1–30 sep 2026</t>
        </is>
      </c>
      <c r="L837" s="4" t="n">
        <v>941</v>
      </c>
    </row>
    <row r="838">
      <c r="A838" s="15" t="n">
        <v>46294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TRANSPORTE</t>
        </is>
      </c>
      <c r="E838" s="4" t="inlineStr">
        <is>
          <t>TRANSPORTE · Uber</t>
        </is>
      </c>
      <c r="F838" s="5" t="n">
        <v>7230</v>
      </c>
      <c r="G838" s="16" t="n"/>
      <c r="H838" s="4" t="inlineStr">
        <is>
          <t>REAL</t>
        </is>
      </c>
      <c r="I838" s="4" t="inlineStr">
        <is>
          <t>Mercado Pago</t>
        </is>
      </c>
      <c r="J838" s="4" t="inlineStr">
        <is>
          <t>Mercado Pago</t>
        </is>
      </c>
      <c r="K838" s="4" t="inlineStr">
        <is>
          <t>TRANSPORTE · Uber · Ebanx (=Uber) · resumen oficial cuenta MP 1–30 sep 2026</t>
        </is>
      </c>
      <c r="L838" s="4" t="n">
        <v>939</v>
      </c>
    </row>
    <row r="839">
      <c r="A839" s="15" t="n">
        <v>46295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SUSCRIPCIONES · IA</t>
        </is>
      </c>
      <c r="E839" s="4" t="inlineStr">
        <is>
          <t>SUSCRIPCIONES · IA</t>
        </is>
      </c>
      <c r="F839" s="5" t="n">
        <v>30852</v>
      </c>
      <c r="G839" s="16" t="n"/>
      <c r="H839" s="4" t="inlineStr">
        <is>
          <t>REAL</t>
        </is>
      </c>
      <c r="I839" s="4" t="inlineStr">
        <is>
          <t>BBVA VISA</t>
        </is>
      </c>
      <c r="J839" s="4" t="inlineStr">
        <is>
          <t>BBVA</t>
        </is>
      </c>
      <c r="K839" s="4" t="inlineStr">
        <is>
          <t>SUSCRIPCIONES · IA · ChatGPT / OpenAI · BBVA VISA · USD 20.00 × TC MEP 1542.56 · alerta Gmail Compra aprobada · REVISAR vs resumen BBVA</t>
        </is>
      </c>
      <c r="L839" s="4" t="n">
        <v>930</v>
      </c>
    </row>
    <row r="840">
      <c r="A840" s="15" t="n">
        <v>46295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OTROS PERSONALES</t>
        </is>
      </c>
      <c r="E840" s="4" t="inlineStr">
        <is>
          <t>Sol Estética</t>
        </is>
      </c>
      <c r="F840" s="5" t="n">
        <v>20000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Sol Estética · Kelly · $20.000 · resumen oficial cuenta MP 1–30 sep 2026</t>
        </is>
      </c>
      <c r="L840" s="4" t="n">
        <v>942</v>
      </c>
    </row>
    <row r="841">
      <c r="A841" s="15" t="n">
        <v>46295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OTROS PERSONALES</t>
        </is>
      </c>
      <c r="E841" s="4" t="inlineStr">
        <is>
          <t>Sol Estética</t>
        </is>
      </c>
      <c r="F841" s="5" t="n">
        <v>86000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Sol Estética · Kelly · $86.000 · resumen oficial cuenta MP 1–30 sep 2026</t>
        </is>
      </c>
      <c r="L841" s="4" t="n">
        <v>943</v>
      </c>
    </row>
    <row r="842">
      <c r="A842" s="15" t="n">
        <v>46299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FARMACIA SALUD</t>
        </is>
      </c>
      <c r="E842" s="4" t="inlineStr">
        <is>
          <t>FARMACIA SALUD</t>
        </is>
      </c>
      <c r="F842" s="5" t="n">
        <v>17038</v>
      </c>
      <c r="G842" s="16" t="n"/>
      <c r="H842" s="4" t="inlineStr">
        <is>
          <t>REAL</t>
        </is>
      </c>
      <c r="I842" s="4" t="inlineStr">
        <is>
          <t>Mercado Pago</t>
        </is>
      </c>
      <c r="J842" s="4" t="inlineStr">
        <is>
          <t>Mercado Pago</t>
        </is>
      </c>
      <c r="K842" s="4" t="inlineStr">
        <is>
          <t>FARMACIA SALUD · Hiperfarmaceutica Temperley · Gmail Pago aprobado</t>
        </is>
      </c>
      <c r="L842" s="4" t="n">
        <v>954</v>
      </c>
    </row>
    <row r="843">
      <c r="A843" s="15" t="n">
        <v>46300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OTROS PERSONALES</t>
        </is>
      </c>
      <c r="E843" s="4" t="inlineStr">
        <is>
          <t>VIAJES</t>
        </is>
      </c>
      <c r="F843" s="5" t="n">
        <v>1430000</v>
      </c>
      <c r="G843" s="16" t="n"/>
      <c r="H843" s="4" t="inlineStr">
        <is>
          <t>REAL</t>
        </is>
      </c>
      <c r="I843" s="4" t="inlineStr">
        <is>
          <t>TC Mercado Pago</t>
        </is>
      </c>
      <c r="J843" s="4" t="inlineStr">
        <is>
          <t>TC Mercado Pago</t>
        </is>
      </c>
      <c r="K843" s="4" t="inlineStr">
        <is>
          <t>VIAJES · regalo Chris Cumple 50 · MARPATAG SRL · Gmail Pago aprobado · gasto personal Sol</t>
        </is>
      </c>
      <c r="L843" s="4" t="n">
        <v>955</v>
      </c>
    </row>
    <row r="844">
      <c r="A844" s="15" t="n">
        <v>46304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PELUQUERÍA</t>
        </is>
      </c>
      <c r="E844" s="4" t="inlineStr">
        <is>
          <t>PELUQUERÍA</t>
        </is>
      </c>
      <c r="F844" s="5" t="n">
        <v>7000</v>
      </c>
      <c r="G844" s="16" t="n"/>
      <c r="H844" s="4" t="inlineStr">
        <is>
          <t>REAL</t>
        </is>
      </c>
      <c r="I844" s="4" t="inlineStr">
        <is>
          <t>Mercado Pago</t>
        </is>
      </c>
      <c r="J844" s="4" t="inlineStr">
        <is>
          <t>Mercado Pago</t>
        </is>
      </c>
      <c r="K844" s="4" t="inlineStr">
        <is>
          <t>PELUQUERÍA · Soy lashista · Gmail Pago aprobado (2 mails mismo monto; se carga 1)</t>
        </is>
      </c>
      <c r="L844" s="4" t="n">
        <v>956</v>
      </c>
    </row>
    <row r="845">
      <c r="A845" s="15" t="n">
        <v>46306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OTROS PERSONALES</t>
        </is>
      </c>
      <c r="E845" s="4" t="inlineStr">
        <is>
          <t>VIAJES</t>
        </is>
      </c>
      <c r="F845" s="5" t="n">
        <v>1143000</v>
      </c>
      <c r="G845" s="16" t="n"/>
      <c r="H845" s="4" t="inlineStr">
        <is>
          <t>REAL</t>
        </is>
      </c>
      <c r="I845" s="4" t="inlineStr">
        <is>
          <t>BBVA Crédito ****3200</t>
        </is>
      </c>
      <c r="J845" s="4" t="inlineStr">
        <is>
          <t>BBVA</t>
        </is>
      </c>
      <c r="K845" s="4" t="inlineStr">
        <is>
          <t>VIAJES · regalo Chris Cumple 50 · Patagonia Chic Excursiones · Gmail Pago aprobado · 1 cuota · gasto personal Sol</t>
        </is>
      </c>
      <c r="L845" s="4" t="n">
        <v>957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EVENTOS DEPORTIVOS - RIVER</t>
        </is>
      </c>
      <c r="E846" s="4" t="inlineStr">
        <is>
          <t>Eventos deportivos - River</t>
        </is>
      </c>
      <c r="F846" s="5" t="n">
        <v>169667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C.04/06 · cashflow cuotas BBVA · gasto personal Sol · Eventos deportivos - River</t>
        </is>
      </c>
      <c r="L846" s="4" t="n">
        <v>585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12084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C.04/06 · cashflow cuotas BBVA · gasto personal Sol · ex `Mercado Libre · MERCADOLIBRE`</t>
        </is>
      </c>
      <c r="L847" s="4" t="n">
        <v>578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275000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C.08/12 · cashflow cuotas BBVA · gasto personal Sol · ex `Mercado Libre · MERCADOLIBRE`</t>
        </is>
      </c>
      <c r="L848" s="4" t="n">
        <v>579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17360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C.09/09 · cashflow cuotas BBVA · gasto personal Sol · ex `Mercado Libre · MERCADOLIBRE`</t>
        </is>
      </c>
      <c r="L849" s="4" t="n">
        <v>580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16950</v>
      </c>
      <c r="G850" s="16" t="n"/>
      <c r="H850" s="18" t="inlineStr">
        <is>
          <t>PROYECTADO</t>
        </is>
      </c>
      <c r="I850" s="4" t="inlineStr">
        <is>
          <t>BBVA MASTERCARD · proyectado</t>
        </is>
      </c>
      <c r="J850" s="4" t="inlineStr">
        <is>
          <t>BBVA</t>
        </is>
      </c>
      <c r="K850" s="4" t="inlineStr">
        <is>
          <t>PROYECTADO · C.09/09 · cashflow cuotas BBVA · gasto personal Sol · ex `Mercado Libre · MERCADOLIBRE`</t>
        </is>
      </c>
      <c r="L850" s="4" t="n">
        <v>581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ROPA</t>
        </is>
      </c>
      <c r="E851" s="4" t="inlineStr">
        <is>
          <t>ROPA</t>
        </is>
      </c>
      <c r="F851" s="5" t="n">
        <v>124667</v>
      </c>
      <c r="G851" s="16" t="n"/>
      <c r="H851" s="18" t="inlineStr">
        <is>
          <t>PROYECTADO</t>
        </is>
      </c>
      <c r="I851" s="4" t="inlineStr">
        <is>
          <t>BBVA VISA · proyectado</t>
        </is>
      </c>
      <c r="J851" s="4" t="inlineStr">
        <is>
          <t>BBVA</t>
        </is>
      </c>
      <c r="K851" s="4" t="inlineStr">
        <is>
          <t>PROYECTADO · C.06/06 · cashflow cuotas BBVA · gasto personal Sol</t>
        </is>
      </c>
      <c r="L851" s="4" t="n">
        <v>575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80834</v>
      </c>
      <c r="G852" s="16" t="n"/>
      <c r="H852" s="18" t="inlineStr">
        <is>
          <t>PROYECTADO</t>
        </is>
      </c>
      <c r="I852" s="4" t="inlineStr">
        <is>
          <t>BBVA MASTERCARD · proyectado</t>
        </is>
      </c>
      <c r="J852" s="4" t="inlineStr">
        <is>
          <t>BBVA</t>
        </is>
      </c>
      <c r="K852" s="4" t="inlineStr">
        <is>
          <t>PROYECTADO · C.06/06 · cashflow cuotas BBVA · gasto personal Sol</t>
        </is>
      </c>
      <c r="L852" s="4" t="n">
        <v>577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284794</v>
      </c>
      <c r="G853" s="16" t="n"/>
      <c r="H853" s="18" t="inlineStr">
        <is>
          <t>PROYECTADO</t>
        </is>
      </c>
      <c r="I853" s="4" t="inlineStr">
        <is>
          <t>BBVA VISA · proyectado</t>
        </is>
      </c>
      <c r="J853" s="4" t="inlineStr">
        <is>
          <t>BBVA</t>
        </is>
      </c>
      <c r="K853" s="4" t="inlineStr">
        <is>
          <t>PROYECTADO · C.04/06 · cashflow cuotas BBVA · gasto personal Sol</t>
        </is>
      </c>
      <c r="L853" s="4" t="n">
        <v>582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73600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C.04/06 · cashflow cuotas BBVA · gasto personal Sol</t>
        </is>
      </c>
      <c r="L854" s="4" t="n">
        <v>583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36667</v>
      </c>
      <c r="G855" s="16" t="n"/>
      <c r="H855" s="18" t="inlineStr">
        <is>
          <t>PROYECTADO</t>
        </is>
      </c>
      <c r="I855" s="4" t="inlineStr">
        <is>
          <t>BBVA MASTERCARD · proyectado</t>
        </is>
      </c>
      <c r="J855" s="4" t="inlineStr">
        <is>
          <t>BBVA</t>
        </is>
      </c>
      <c r="K855" s="4" t="inlineStr">
        <is>
          <t>PROYECTADO · C.06/06 · cashflow cuotas BBVA · gasto personal Sol</t>
        </is>
      </c>
      <c r="L855" s="4" t="n">
        <v>584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60917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C.06/12 · cashflow cuotas BBVA · gasto personal Sol</t>
        </is>
      </c>
      <c r="L856" s="4" t="n">
        <v>586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69750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C.06/12 · cashflow cuotas BBVA · gasto personal Sol</t>
        </is>
      </c>
      <c r="L857" s="4" t="n">
        <v>587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VESTIMENTA</t>
        </is>
      </c>
      <c r="F858" s="5" t="n">
        <v>98334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ROPA · Bokenvoreno · PROYECTADO · C.06/06 · cashflow cuotas BBVA · gasto personal Sol</t>
        </is>
      </c>
      <c r="L858" s="4" t="n">
        <v>576</v>
      </c>
    </row>
    <row r="859">
      <c r="A859" s="15" t="n">
        <v>46354</v>
      </c>
      <c r="B859" s="4" t="inlineStr">
        <is>
          <t>2026-11</t>
        </is>
      </c>
      <c r="C859" s="4" t="inlineStr">
        <is>
          <t>Noviembre</t>
        </is>
      </c>
      <c r="D859" s="4" t="inlineStr">
        <is>
          <t>EVENTOS DEPORTIVOS - RIVER</t>
        </is>
      </c>
      <c r="E859" s="4" t="inlineStr">
        <is>
          <t>Eventos deportivos - River</t>
        </is>
      </c>
      <c r="F859" s="5" t="n">
        <v>169667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C.05/06 · cashflow cuotas BBVA · gasto personal Sol · Eventos deportivos - River</t>
        </is>
      </c>
      <c r="L859" s="4" t="n">
        <v>592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12084</v>
      </c>
      <c r="G860" s="16" t="n"/>
      <c r="H860" s="18" t="inlineStr">
        <is>
          <t>PROYECTADO</t>
        </is>
      </c>
      <c r="I860" s="4" t="inlineStr">
        <is>
          <t>BBVA VISA · proyectado</t>
        </is>
      </c>
      <c r="J860" s="4" t="inlineStr">
        <is>
          <t>BBVA</t>
        </is>
      </c>
      <c r="K860" s="4" t="inlineStr">
        <is>
          <t>PROYECTADO · C.05/06 · cashflow cuotas BBVA · gasto personal Sol · ex `Mercado Libre · MERCADOLIBRE`</t>
        </is>
      </c>
      <c r="L860" s="4" t="n">
        <v>588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MERCADO LIBRE</t>
        </is>
      </c>
      <c r="E861" s="4" t="inlineStr">
        <is>
          <t>MERCADO LIBRE</t>
        </is>
      </c>
      <c r="F861" s="5" t="n">
        <v>275000</v>
      </c>
      <c r="G861" s="16" t="n"/>
      <c r="H861" s="18" t="inlineStr">
        <is>
          <t>PROYECTADO</t>
        </is>
      </c>
      <c r="I861" s="4" t="inlineStr">
        <is>
          <t>BBVA MASTERCARD · proyectado</t>
        </is>
      </c>
      <c r="J861" s="4" t="inlineStr">
        <is>
          <t>BBVA</t>
        </is>
      </c>
      <c r="K861" s="4" t="inlineStr">
        <is>
          <t>PROYECTADO · C.09/12 · cashflow cuotas BBVA · gasto personal Sol · ex `Mercado Libre · MERCADOLIBRE`</t>
        </is>
      </c>
      <c r="L861" s="4" t="n">
        <v>589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ROPA</t>
        </is>
      </c>
      <c r="E862" s="4" t="inlineStr">
        <is>
          <t>ROPA</t>
        </is>
      </c>
      <c r="F862" s="5" t="n">
        <v>284794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C.05/06 · cashflow cuotas BBVA · gasto personal Sol</t>
        </is>
      </c>
      <c r="L862" s="4" t="n">
        <v>590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73600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C.05/06 · cashflow cuotas BBVA · gasto personal Sol</t>
        </is>
      </c>
      <c r="L863" s="4" t="n">
        <v>591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C.07/12 · cashflow cuotas BBVA · gasto personal Sol</t>
        </is>
      </c>
      <c r="L864" s="4" t="n">
        <v>593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C.07/12 · cashflow cuotas BBVA · gasto personal Sol</t>
        </is>
      </c>
      <c r="L865" s="4" t="n">
        <v>594</v>
      </c>
    </row>
    <row r="866">
      <c r="A866" s="15" t="n">
        <v>46384</v>
      </c>
      <c r="B866" s="4" t="inlineStr">
        <is>
          <t>2026-12</t>
        </is>
      </c>
      <c r="C866" s="4" t="inlineStr">
        <is>
          <t>Diciembre</t>
        </is>
      </c>
      <c r="D866" s="4" t="inlineStr">
        <is>
          <t>EVENTOS DEPORTIVOS - RIVER</t>
        </is>
      </c>
      <c r="E866" s="4" t="inlineStr">
        <is>
          <t>Eventos deportivos - River</t>
        </is>
      </c>
      <c r="F866" s="5" t="n">
        <v>169667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C.06/06 · cashflow cuotas BBVA · gasto personal Sol · Eventos deportivos - River</t>
        </is>
      </c>
      <c r="L866" s="4" t="n">
        <v>599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MERCADO LIBRE</t>
        </is>
      </c>
      <c r="E867" s="4" t="inlineStr">
        <is>
          <t>MERCADO LIBRE</t>
        </is>
      </c>
      <c r="F867" s="5" t="n">
        <v>12084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C.06/06 · cashflow cuotas BBVA · gasto personal Sol · ex `Mercado Libre · MERCADOLIBRE`</t>
        </is>
      </c>
      <c r="L867" s="4" t="n">
        <v>595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MERCADO LIBRE</t>
        </is>
      </c>
      <c r="E868" s="4" t="inlineStr">
        <is>
          <t>MERCADO LIBRE</t>
        </is>
      </c>
      <c r="F868" s="5" t="n">
        <v>275000</v>
      </c>
      <c r="G868" s="16" t="n"/>
      <c r="H868" s="18" t="inlineStr">
        <is>
          <t>PROYECTADO</t>
        </is>
      </c>
      <c r="I868" s="4" t="inlineStr">
        <is>
          <t>BBVA MASTERCARD · proyectado</t>
        </is>
      </c>
      <c r="J868" s="4" t="inlineStr">
        <is>
          <t>BBVA</t>
        </is>
      </c>
      <c r="K868" s="4" t="inlineStr">
        <is>
          <t>PROYECTADO · C.10/12 · cashflow cuotas BBVA · gasto personal Sol · ex `Mercado Libre · MERCADOLIBRE`</t>
        </is>
      </c>
      <c r="L868" s="4" t="n">
        <v>596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ROPA</t>
        </is>
      </c>
      <c r="E869" s="4" t="inlineStr">
        <is>
          <t>ROPA</t>
        </is>
      </c>
      <c r="F869" s="5" t="n">
        <v>284794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C.06/06 · cashflow cuotas BBVA · gasto personal Sol</t>
        </is>
      </c>
      <c r="L869" s="4" t="n">
        <v>597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73600</v>
      </c>
      <c r="G870" s="16" t="n"/>
      <c r="H870" s="18" t="inlineStr">
        <is>
          <t>PROYECTADO</t>
        </is>
      </c>
      <c r="I870" s="4" t="inlineStr">
        <is>
          <t>BBVA MASTERCARD · proyectado</t>
        </is>
      </c>
      <c r="J870" s="4" t="inlineStr">
        <is>
          <t>BBVA</t>
        </is>
      </c>
      <c r="K870" s="4" t="inlineStr">
        <is>
          <t>PROYECTADO · C.06/06 · cashflow cuotas BBVA · gasto personal Sol</t>
        </is>
      </c>
      <c r="L870" s="4" t="n">
        <v>598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60917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C.08/12 · cashflow cuotas BBVA · gasto personal Sol</t>
        </is>
      </c>
      <c r="L871" s="4" t="n">
        <v>600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ROPA</t>
        </is>
      </c>
      <c r="E872" s="4" t="inlineStr">
        <is>
          <t>ROPA</t>
        </is>
      </c>
      <c r="F872" s="5" t="n">
        <v>69750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C.08/12 · cashflow cuotas BBVA · gasto personal Sol</t>
        </is>
      </c>
      <c r="L872" s="4" t="n">
        <v>601</v>
      </c>
    </row>
    <row r="873">
      <c r="A873" s="15" t="n">
        <v>46415</v>
      </c>
      <c r="B873" s="4" t="inlineStr">
        <is>
          <t>2027-01</t>
        </is>
      </c>
      <c r="C873" s="4" t="inlineStr">
        <is>
          <t>Enero 2027</t>
        </is>
      </c>
      <c r="D873" s="4" t="inlineStr">
        <is>
          <t>MERCADO LIBRE</t>
        </is>
      </c>
      <c r="E873" s="4" t="inlineStr">
        <is>
          <t>MERCADO LIBRE</t>
        </is>
      </c>
      <c r="F873" s="5" t="n">
        <v>275000</v>
      </c>
      <c r="G873" s="16" t="n"/>
      <c r="H873" s="18" t="inlineStr">
        <is>
          <t>PROYECTADO</t>
        </is>
      </c>
      <c r="I873" s="4" t="inlineStr">
        <is>
          <t>BBVA MASTERCARD · proyectado</t>
        </is>
      </c>
      <c r="J873" s="4" t="inlineStr">
        <is>
          <t>BBVA</t>
        </is>
      </c>
      <c r="K873" s="4" t="inlineStr">
        <is>
          <t>PROYECTADO · C.11/12 · cashflow cuotas BBVA · gasto personal Sol · ex `Mercado Libre · MERCADOLIBRE`</t>
        </is>
      </c>
      <c r="L873" s="4" t="n">
        <v>602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ROPA</t>
        </is>
      </c>
      <c r="E874" s="4" t="inlineStr">
        <is>
          <t>ROPA</t>
        </is>
      </c>
      <c r="F874" s="5" t="n">
        <v>60917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C.09/12 · cashflow cuotas BBVA · gasto personal Sol</t>
        </is>
      </c>
      <c r="L874" s="4" t="n">
        <v>603</v>
      </c>
    </row>
    <row r="875">
      <c r="A875" s="15" t="n">
        <v>46415</v>
      </c>
      <c r="B875" s="4" t="inlineStr">
        <is>
          <t>2027-01</t>
        </is>
      </c>
      <c r="C875" s="4" t="inlineStr">
        <is>
          <t>Enero 2027</t>
        </is>
      </c>
      <c r="D875" s="4" t="inlineStr">
        <is>
          <t>ROPA</t>
        </is>
      </c>
      <c r="E875" s="4" t="inlineStr">
        <is>
          <t>ROPA</t>
        </is>
      </c>
      <c r="F875" s="5" t="n">
        <v>69750</v>
      </c>
      <c r="G875" s="16" t="n"/>
      <c r="H875" s="18" t="inlineStr">
        <is>
          <t>PROYECTADO</t>
        </is>
      </c>
      <c r="I875" s="4" t="inlineStr">
        <is>
          <t>BBVA VISA · proyectado</t>
        </is>
      </c>
      <c r="J875" s="4" t="inlineStr">
        <is>
          <t>BBVA</t>
        </is>
      </c>
      <c r="K875" s="4" t="inlineStr">
        <is>
          <t>PROYECTADO · C.09/12 · cashflow cuotas BBVA · gasto personal Sol</t>
        </is>
      </c>
      <c r="L875" s="4" t="n">
        <v>604</v>
      </c>
    </row>
    <row r="876">
      <c r="A876" s="15" t="n">
        <v>46446</v>
      </c>
      <c r="B876" s="4" t="inlineStr">
        <is>
          <t>2027-02</t>
        </is>
      </c>
      <c r="C876" s="4" t="inlineStr">
        <is>
          <t>Febrero 2027</t>
        </is>
      </c>
      <c r="D876" s="4" t="inlineStr">
        <is>
          <t>MERCADO LIBRE</t>
        </is>
      </c>
      <c r="E876" s="4" t="inlineStr">
        <is>
          <t>MERCADO LIBRE</t>
        </is>
      </c>
      <c r="F876" s="5" t="n">
        <v>275000</v>
      </c>
      <c r="G876" s="16" t="n"/>
      <c r="H876" s="18" t="inlineStr">
        <is>
          <t>PROYECTADO</t>
        </is>
      </c>
      <c r="I876" s="4" t="inlineStr">
        <is>
          <t>BBVA MASTERCARD · proyectado</t>
        </is>
      </c>
      <c r="J876" s="4" t="inlineStr">
        <is>
          <t>BBVA</t>
        </is>
      </c>
      <c r="K876" s="4" t="inlineStr">
        <is>
          <t>PROYECTADO · C.12/12 · cashflow cuotas BBVA · gasto personal Sol · ex `Mercado Libre · MERCADOLIBRE`</t>
        </is>
      </c>
      <c r="L876" s="4" t="n">
        <v>605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ROPA</t>
        </is>
      </c>
      <c r="E877" s="4" t="inlineStr">
        <is>
          <t>ROPA</t>
        </is>
      </c>
      <c r="F877" s="5" t="n">
        <v>60917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C.10/12 · cashflow cuotas BBVA · gasto personal Sol</t>
        </is>
      </c>
      <c r="L877" s="4" t="n">
        <v>606</v>
      </c>
    </row>
    <row r="878">
      <c r="A878" s="15" t="n">
        <v>46446</v>
      </c>
      <c r="B878" s="4" t="inlineStr">
        <is>
          <t>2027-02</t>
        </is>
      </c>
      <c r="C878" s="4" t="inlineStr">
        <is>
          <t>Febrero 2027</t>
        </is>
      </c>
      <c r="D878" s="4" t="inlineStr">
        <is>
          <t>ROPA</t>
        </is>
      </c>
      <c r="E878" s="4" t="inlineStr">
        <is>
          <t>ROPA</t>
        </is>
      </c>
      <c r="F878" s="5" t="n">
        <v>69750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C.10/12 · cashflow cuotas BBVA · gasto personal Sol</t>
        </is>
      </c>
      <c r="L878" s="4" t="n">
        <v>607</v>
      </c>
    </row>
    <row r="879">
      <c r="A879" s="15" t="n">
        <v>46474</v>
      </c>
      <c r="B879" s="4" t="inlineStr">
        <is>
          <t>2027-03</t>
        </is>
      </c>
      <c r="C879" s="4" t="inlineStr">
        <is>
          <t>Marzo 2027</t>
        </is>
      </c>
      <c r="D879" s="4" t="inlineStr">
        <is>
          <t>ROPA</t>
        </is>
      </c>
      <c r="E879" s="4" t="inlineStr">
        <is>
          <t>ROPA</t>
        </is>
      </c>
      <c r="F879" s="5" t="n">
        <v>60917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C.11/12 · cashflow cuotas BBVA · gasto personal Sol</t>
        </is>
      </c>
      <c r="L879" s="4" t="n">
        <v>608</v>
      </c>
    </row>
    <row r="880">
      <c r="A880" s="15" t="n">
        <v>46474</v>
      </c>
      <c r="B880" s="4" t="inlineStr">
        <is>
          <t>2027-03</t>
        </is>
      </c>
      <c r="C880" s="4" t="inlineStr">
        <is>
          <t>Marzo 2027</t>
        </is>
      </c>
      <c r="D880" s="4" t="inlineStr">
        <is>
          <t>ROPA</t>
        </is>
      </c>
      <c r="E880" s="4" t="inlineStr">
        <is>
          <t>ROPA</t>
        </is>
      </c>
      <c r="F880" s="5" t="n">
        <v>69750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C.11/12 · cashflow cuotas BBVA · gasto personal Sol</t>
        </is>
      </c>
      <c r="L880" s="4" t="n">
        <v>609</v>
      </c>
    </row>
    <row r="881">
      <c r="A881" s="15" t="n">
        <v>46505</v>
      </c>
      <c r="B881" s="4" t="inlineStr">
        <is>
          <t>2027-04</t>
        </is>
      </c>
      <c r="C881" s="4" t="inlineStr">
        <is>
          <t>Abril 2027</t>
        </is>
      </c>
      <c r="D881" s="4" t="inlineStr">
        <is>
          <t>ROPA</t>
        </is>
      </c>
      <c r="E881" s="4" t="inlineStr">
        <is>
          <t>ROPA</t>
        </is>
      </c>
      <c r="F881" s="5" t="n">
        <v>60917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C.12/12 · cashflow cuotas BBVA · gasto personal Sol</t>
        </is>
      </c>
      <c r="L881" s="4" t="n">
        <v>610</v>
      </c>
    </row>
    <row r="882">
      <c r="A882" s="15" t="n">
        <v>46505</v>
      </c>
      <c r="B882" s="4" t="inlineStr">
        <is>
          <t>2027-04</t>
        </is>
      </c>
      <c r="C882" s="4" t="inlineStr">
        <is>
          <t>Abril 2027</t>
        </is>
      </c>
      <c r="D882" s="4" t="inlineStr">
        <is>
          <t>ROPA</t>
        </is>
      </c>
      <c r="E882" s="4" t="inlineStr">
        <is>
          <t>ROPA</t>
        </is>
      </c>
      <c r="F882" s="5" t="n">
        <v>69750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C.12/12 · cashflow cuotas BBVA · gasto personal Sol</t>
        </is>
      </c>
      <c r="L882" s="4" t="n">
        <v>611</v>
      </c>
    </row>
  </sheetData>
  <autoFilter ref="A1:L88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Septiembre</t>
        </is>
      </c>
      <c r="D10" s="4" t="inlineStr">
        <is>
          <t>COMIDA</t>
        </is>
      </c>
      <c r="E10" s="4" t="inlineStr">
        <is>
          <t>COMIDA · Pescadería Belgrano</t>
        </is>
      </c>
      <c r="F10" s="5" t="n">
        <v>12426</v>
      </c>
      <c r="G10" s="16" t="n"/>
      <c r="H10" s="4" t="inlineStr">
        <is>
          <t>REAL</t>
        </is>
      </c>
      <c r="I10" s="4" t="inlineStr">
        <is>
          <t>Sin identificar</t>
        </is>
      </c>
      <c r="J10" s="4" t="inlineStr">
        <is>
          <t>AJUSTE SEPT · gasto origen Enero 08/01/2026 · no se pasó/rindió en el mes de origen por error · COMIDA · Pescadería Belgrano · Andres Javier Di Pasqua · MP cuenta · ALMACEN SOL</t>
        </is>
      </c>
      <c r="K10" s="4" t="n">
        <v>411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</t>
        </is>
      </c>
      <c r="F11" s="5" t="n">
        <v>55011</v>
      </c>
      <c r="G11" s="16" t="n"/>
      <c r="H11" s="4" t="inlineStr">
        <is>
          <t>REAL</t>
        </is>
      </c>
      <c r="I11" s="4" t="inlineStr">
        <is>
          <t>Mercado Pago</t>
        </is>
      </c>
      <c r="J11" s="4" t="inlineStr">
        <is>
          <t>PEDIDOS YA · COMIDA · Mercado Pago</t>
        </is>
      </c>
      <c r="K11" s="4" t="n">
        <v>21</v>
      </c>
    </row>
    <row r="12">
      <c r="A12" s="15" t="n">
        <v>46030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 · propina</t>
        </is>
      </c>
      <c r="F12" s="5" t="n">
        <v>750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propina</t>
        </is>
      </c>
      <c r="K12" s="4" t="n">
        <v>20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</t>
        </is>
      </c>
      <c r="F13" s="5" t="n">
        <v>51455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neto</t>
        </is>
      </c>
      <c r="K13" s="4" t="n">
        <v>19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COMIDA</t>
        </is>
      </c>
      <c r="E14" s="4" t="inlineStr">
        <is>
          <t>PEDIDOS YA · COMIDA · propina</t>
        </is>
      </c>
      <c r="F14" s="5" t="n">
        <v>1000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PEDIDOS YA · COMIDA · propina</t>
        </is>
      </c>
      <c r="K14" s="4" t="n">
        <v>18</v>
      </c>
    </row>
    <row r="15">
      <c r="A15" s="15" t="n">
        <v>46032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RAMON · COMIDA</t>
        </is>
      </c>
      <c r="E15" s="4" t="inlineStr">
        <is>
          <t>RAMON · Comida</t>
        </is>
      </c>
      <c r="F15" s="5" t="n">
        <v>77748</v>
      </c>
      <c r="G15" s="16" t="n"/>
      <c r="H15" s="4" t="inlineStr">
        <is>
          <t>REAL</t>
        </is>
      </c>
      <c r="I15" s="4" t="inlineStr">
        <is>
          <t>Sin identificar</t>
        </is>
      </c>
      <c r="J15" s="4" t="inlineStr">
        <is>
          <t>RAMON · Comida · Kalbby · ALMACEN SOL</t>
        </is>
      </c>
      <c r="K15" s="4" t="n">
        <v>31</v>
      </c>
    </row>
    <row r="16">
      <c r="A16" s="15" t="n">
        <v>46033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</t>
        </is>
      </c>
      <c r="E16" s="4" t="inlineStr">
        <is>
          <t>COMIDA · HAVANNA</t>
        </is>
      </c>
      <c r="F16" s="5" t="n">
        <v>22100</v>
      </c>
      <c r="G16" s="16" t="n"/>
      <c r="H16" s="4" t="inlineStr">
        <is>
          <t>REAL</t>
        </is>
      </c>
      <c r="I16" s="4" t="inlineStr">
        <is>
          <t>AVA</t>
        </is>
      </c>
      <c r="J16" s="4" t="inlineStr">
        <is>
          <t>COMIDA · HAVANNA</t>
        </is>
      </c>
      <c r="K16" s="4" t="n">
        <v>17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COMIDA · BARRITAS PROTEICAS</t>
        </is>
      </c>
      <c r="E17" s="4" t="inlineStr">
        <is>
          <t>COMIDA · Barritas proteicas</t>
        </is>
      </c>
      <c r="F17" s="5" t="n">
        <v>66527</v>
      </c>
      <c r="G17" s="16" t="n"/>
      <c r="H17" s="4" t="inlineStr">
        <is>
          <t>REAL</t>
        </is>
      </c>
      <c r="I17" s="4" t="inlineStr">
        <is>
          <t>TC Mercado Pago</t>
        </is>
      </c>
      <c r="J17" s="4" t="inlineStr">
        <is>
          <t>COMIDA · Barritas proteicas · Enerfit · TC Mercado Pago · SALUD · MERPAGO*ENERFIT · TC Mercado Pago · cuota 2 de 12 · compra 2025-11-26 · ex `SALUD · Enerfit · C.02/12`</t>
        </is>
      </c>
      <c r="K17" s="4" t="n">
        <v>22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</t>
        </is>
      </c>
      <c r="F18" s="5" t="n">
        <v>54750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BBVA TC Visa</t>
        </is>
      </c>
      <c r="K18" s="4" t="n">
        <v>34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PEDIDOS YA · SUPERMERCADO · propina</t>
        </is>
      </c>
      <c r="F19" s="5" t="n">
        <v>750</v>
      </c>
      <c r="G19" s="16" t="n"/>
      <c r="H19" s="4" t="inlineStr">
        <is>
          <t>REAL</t>
        </is>
      </c>
      <c r="I19" s="4" t="inlineStr">
        <is>
          <t>BBVA</t>
        </is>
      </c>
      <c r="J19" s="4" t="inlineStr">
        <is>
          <t>PEDIDOS YA · SUPERMERCADO · propina · BBVA TC Visa</t>
        </is>
      </c>
      <c r="K19" s="4" t="n">
        <v>33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337644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SUPERMERCADO · Coto · TC Mercado Pago · compra 2025-12-22</t>
        </is>
      </c>
      <c r="K20" s="4" t="n">
        <v>553</v>
      </c>
    </row>
    <row r="21">
      <c r="A21" s="15" t="n">
        <v>46034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SUPERMERCADO</t>
        </is>
      </c>
      <c r="E21" s="4" t="inlineStr">
        <is>
          <t>SUPERMERCADO · Coto</t>
        </is>
      </c>
      <c r="F21" s="5" t="n">
        <v>-49597</v>
      </c>
      <c r="G21" s="16" t="n"/>
      <c r="H21" s="4" t="inlineStr">
        <is>
          <t>REAL</t>
        </is>
      </c>
      <c r="I21" s="4" t="inlineStr">
        <is>
          <t>TC Mercado Pago</t>
        </is>
      </c>
      <c r="J21" s="4" t="inlineStr">
        <is>
          <t>REEMBOLSO · SUPERMERCADO · Coto · TC Mercado Pago · compra 2025-12-23</t>
        </is>
      </c>
      <c r="K21" s="4" t="n">
        <v>554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COMIDA</t>
        </is>
      </c>
      <c r="E22" s="4" t="inlineStr">
        <is>
          <t>COMIDA · pollo</t>
        </is>
      </c>
      <c r="F22" s="5" t="n">
        <v>44846</v>
      </c>
      <c r="G22" s="16" t="n"/>
      <c r="H22" s="4" t="inlineStr">
        <is>
          <t>REAL</t>
        </is>
      </c>
      <c r="I22" s="4" t="inlineStr">
        <is>
          <t>BBVA</t>
        </is>
      </c>
      <c r="J22" s="4" t="inlineStr">
        <is>
          <t>COMIDA · pollo · BBVA MASTERCARD · neto (bonif 11003)</t>
        </is>
      </c>
      <c r="K22" s="4" t="n">
        <v>6</v>
      </c>
    </row>
    <row r="23">
      <c r="A23" s="15" t="n">
        <v>46035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RAMON · VETERINARIO</t>
        </is>
      </c>
      <c r="E23" s="4" t="inlineStr">
        <is>
          <t>RAMON · Veterinario</t>
        </is>
      </c>
      <c r="F23" s="5" t="n">
        <v>44100</v>
      </c>
      <c r="G23" s="16" t="n"/>
      <c r="H23" s="4" t="inlineStr">
        <is>
          <t>REAL</t>
        </is>
      </c>
      <c r="I23" s="4" t="inlineStr">
        <is>
          <t>Sin identificar</t>
        </is>
      </c>
      <c r="J23" s="4" t="inlineStr">
        <is>
          <t>RAMON · Veterinario · Valeria Mele / El Perro Verde · ALMACEN SOL</t>
        </is>
      </c>
      <c r="K23" s="4" t="n">
        <v>44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78882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36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</t>
        </is>
      </c>
      <c r="F25" s="5" t="n">
        <v>4425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BBVA TC Visa</t>
        </is>
      </c>
      <c r="K25" s="4" t="n">
        <v>37</v>
      </c>
    </row>
    <row r="26">
      <c r="A26" s="15" t="n">
        <v>46038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PEDIDOS YA · SUPERMERCADO · propina</t>
        </is>
      </c>
      <c r="F26" s="5" t="n">
        <v>700</v>
      </c>
      <c r="G26" s="16" t="n"/>
      <c r="H26" s="4" t="inlineStr">
        <is>
          <t>REAL</t>
        </is>
      </c>
      <c r="I26" s="4" t="inlineStr">
        <is>
          <t>BBVA</t>
        </is>
      </c>
      <c r="J26" s="4" t="inlineStr">
        <is>
          <t>PEDIDOS YA · SUPERMERCADO · propina · BBVA TC Visa</t>
        </is>
      </c>
      <c r="K26" s="4" t="n">
        <v>35</v>
      </c>
    </row>
    <row r="27">
      <c r="A27" s="15" t="n">
        <v>46040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SUPERMERCADO</t>
        </is>
      </c>
      <c r="E27" s="4" t="inlineStr">
        <is>
          <t>SUPERMERCADO · Carrefour</t>
        </is>
      </c>
      <c r="F27" s="5" t="n">
        <v>4089</v>
      </c>
      <c r="G27" s="16" t="n"/>
      <c r="H27" s="4" t="inlineStr">
        <is>
          <t>REAL</t>
        </is>
      </c>
      <c r="I27" s="4" t="inlineStr">
        <is>
          <t>Sin identificar</t>
        </is>
      </c>
      <c r="J27" s="4" t="inlineStr">
        <is>
          <t>SUPERMERCADO · Carrefour</t>
        </is>
      </c>
      <c r="K27" s="4" t="n">
        <v>15</v>
      </c>
    </row>
    <row r="28">
      <c r="A28" s="15" t="n">
        <v>46042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</t>
        </is>
      </c>
      <c r="E28" s="4" t="inlineStr">
        <is>
          <t>COMIDA · pollo</t>
        </is>
      </c>
      <c r="F28" s="5" t="n">
        <v>26202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COMIDA · pollo · BBVA MASTERCARD · neto (bonif 11018)</t>
        </is>
      </c>
      <c r="K28" s="4" t="n">
        <v>41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</t>
        </is>
      </c>
      <c r="F29" s="5" t="n">
        <v>2599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BBVA TC Visa</t>
        </is>
      </c>
      <c r="K29" s="4" t="n">
        <v>39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PEDIDOS YA · SUPERMERCADO · propina</t>
        </is>
      </c>
      <c r="F30" s="5" t="n">
        <v>400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PEDIDOS YA · SUPERMERCADO · propina · BBVA TC Visa</t>
        </is>
      </c>
      <c r="K30" s="4" t="n">
        <v>38</v>
      </c>
    </row>
    <row r="31">
      <c r="A31" s="15" t="n">
        <v>46043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SUPERMERCADO</t>
        </is>
      </c>
      <c r="E31" s="4" t="inlineStr">
        <is>
          <t>SUPERMERCADO · Día</t>
        </is>
      </c>
      <c r="F31" s="5" t="n">
        <v>24834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SUPERMERCADO · Día · SUPERDIA · BBVA MASTERCARD · ALMACEN SOL</t>
        </is>
      </c>
      <c r="K31" s="4" t="n">
        <v>42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COMIDA</t>
        </is>
      </c>
      <c r="E32" s="4" t="inlineStr">
        <is>
          <t>COMIDA · HAVANNA</t>
        </is>
      </c>
      <c r="F32" s="5" t="n">
        <v>23700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COMIDA · HAVANNA · BBVA MASTERCARD</t>
        </is>
      </c>
      <c r="K32" s="4" t="n">
        <v>40</v>
      </c>
    </row>
    <row r="33">
      <c r="A33" s="15" t="n">
        <v>46045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SUPERMERCADO</t>
        </is>
      </c>
      <c r="E33" s="4" t="inlineStr">
        <is>
          <t>SUPERMERCADO · Día</t>
        </is>
      </c>
      <c r="F33" s="5" t="n">
        <v>137929</v>
      </c>
      <c r="G33" s="16" t="n"/>
      <c r="H33" s="4" t="inlineStr">
        <is>
          <t>REAL</t>
        </is>
      </c>
      <c r="I33" s="4" t="inlineStr">
        <is>
          <t>BBVA</t>
        </is>
      </c>
      <c r="J33" s="4" t="inlineStr">
        <is>
          <t>SUPERMERCADO · Día · SUPERDIA · BBVA MASTERCARD · ALMACEN SOL</t>
        </is>
      </c>
      <c r="K33" s="4" t="n">
        <v>43</v>
      </c>
    </row>
    <row r="34">
      <c r="A34" s="15" t="n">
        <v>46046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RAMON · VETERINARIO</t>
        </is>
      </c>
      <c r="E34" s="4" t="inlineStr">
        <is>
          <t>RAMON · Veterinario</t>
        </is>
      </c>
      <c r="F34" s="5" t="n">
        <v>16200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RAMON · Veterinario · Valeria Mele / El Perro Verde · ALMACEN SOL</t>
        </is>
      </c>
      <c r="K34" s="4" t="n">
        <v>45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</t>
        </is>
      </c>
      <c r="F35" s="5" t="n">
        <v>35404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</t>
        </is>
      </c>
      <c r="K35" s="4" t="n">
        <v>8</v>
      </c>
    </row>
    <row r="36">
      <c r="A36" s="15" t="n">
        <v>46049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SUPERMERCADO</t>
        </is>
      </c>
      <c r="E36" s="4" t="inlineStr">
        <is>
          <t>PEDIDOS YA · SUPERMERCADO · propina</t>
        </is>
      </c>
      <c r="F36" s="5" t="n">
        <v>750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PEDIDOS YA · SUPERMERCADO · propina</t>
        </is>
      </c>
      <c r="K36" s="4" t="n">
        <v>7</v>
      </c>
    </row>
    <row r="37">
      <c r="A37" s="15" t="n">
        <v>46050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RAMON · VETERINARIO</t>
        </is>
      </c>
      <c r="E37" s="4" t="inlineStr">
        <is>
          <t>RAMON · Veterinario</t>
        </is>
      </c>
      <c r="F37" s="5" t="n">
        <v>145400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RAMON · Veterinario · Valeria Mele / El Perro Verde · ALMACEN SOL</t>
        </is>
      </c>
      <c r="K37" s="4" t="n">
        <v>46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985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</t>
        </is>
      </c>
      <c r="K38" s="4" t="n">
        <v>4</v>
      </c>
    </row>
    <row r="39">
      <c r="A39" s="15" t="n">
        <v>46053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COMBUSTIBLE</t>
        </is>
      </c>
      <c r="E39" s="4" t="inlineStr">
        <is>
          <t>Combustible — Shell</t>
        </is>
      </c>
      <c r="F39" s="5" t="n">
        <v>831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MP · Shell · ex `Combustible — Shell (2)`</t>
        </is>
      </c>
      <c r="K39" s="4" t="n">
        <v>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</t>
        </is>
      </c>
      <c r="F40" s="5" t="n">
        <v>1499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</t>
        </is>
      </c>
      <c r="K40" s="4" t="n">
        <v>65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COMIDA</t>
        </is>
      </c>
      <c r="E41" s="4" t="inlineStr">
        <is>
          <t>PEDIDOS YA · COMIDA · propina</t>
        </is>
      </c>
      <c r="F41" s="5" t="n">
        <v>750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COMIDA · propina</t>
        </is>
      </c>
      <c r="K41" s="4" t="n">
        <v>64</v>
      </c>
    </row>
    <row r="42">
      <c r="A42" s="15" t="n">
        <v>46054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118132</v>
      </c>
      <c r="G42" s="16" t="n"/>
      <c r="H42" s="4" t="inlineStr">
        <is>
          <t>REAL</t>
        </is>
      </c>
      <c r="I42" s="4" t="inlineStr">
        <is>
          <t>Sin identificar</t>
        </is>
      </c>
      <c r="J42" s="4" t="inlineStr">
        <is>
          <t>PEDIDOS YA · SUPERMERCADO</t>
        </is>
      </c>
      <c r="K42" s="4" t="n">
        <v>66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61740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69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</t>
        </is>
      </c>
      <c r="F44" s="5" t="n">
        <v>2495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BBVA TC Visa</t>
        </is>
      </c>
      <c r="K44" s="4" t="n">
        <v>70</v>
      </c>
    </row>
    <row r="45">
      <c r="A45" s="15" t="n">
        <v>46058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PEDIDOS YA · SUPERMERCADO · propina</t>
        </is>
      </c>
      <c r="F45" s="5" t="n">
        <v>750</v>
      </c>
      <c r="G45" s="16" t="n"/>
      <c r="H45" s="4" t="inlineStr">
        <is>
          <t>REAL</t>
        </is>
      </c>
      <c r="I45" s="4" t="inlineStr">
        <is>
          <t>BBVA</t>
        </is>
      </c>
      <c r="J45" s="4" t="inlineStr">
        <is>
          <t>PEDIDOS YA · SUPERMERCADO · propina · BBVA TC Visa</t>
        </is>
      </c>
      <c r="K45" s="4" t="n">
        <v>68</v>
      </c>
    </row>
    <row r="46">
      <c r="A46" s="15" t="n">
        <v>46059</v>
      </c>
      <c r="B46" s="4" t="inlineStr">
        <is>
          <t>2026-02</t>
        </is>
      </c>
      <c r="C46" s="4" t="inlineStr">
        <is>
          <t>Septiembre</t>
        </is>
      </c>
      <c r="D46" s="4" t="inlineStr">
        <is>
          <t>COMIDA</t>
        </is>
      </c>
      <c r="E46" s="4" t="inlineStr">
        <is>
          <t>COMIDA · Pescadería Belgrano</t>
        </is>
      </c>
      <c r="F46" s="5" t="n">
        <v>24852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AJUSTE SEPT · gasto origen Febrero 06/02/2026 · no se pasó/rindió en el mes de origen por error · COMIDA · Pescadería Belgrano · Andres Javier Di Pasqua · MP cuenta · ALMACEN SOL</t>
        </is>
      </c>
      <c r="K46" s="4" t="n">
        <v>412</v>
      </c>
    </row>
    <row r="47">
      <c r="A47" s="15" t="n">
        <v>46059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22768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61</v>
      </c>
    </row>
    <row r="48">
      <c r="A48" s="15" t="n">
        <v>46060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COMIDA</t>
        </is>
      </c>
      <c r="E48" s="4" t="inlineStr">
        <is>
          <t>COMIDA · Open 25</t>
        </is>
      </c>
      <c r="F48" s="5" t="n">
        <v>1170</v>
      </c>
      <c r="G48" s="16" t="n"/>
      <c r="H48" s="4" t="inlineStr">
        <is>
          <t>REAL</t>
        </is>
      </c>
      <c r="I48" s="4" t="inlineStr">
        <is>
          <t>Sin identificar</t>
        </is>
      </c>
      <c r="J48" s="4" t="inlineStr">
        <is>
          <t>MP · Open 25</t>
        </is>
      </c>
      <c r="K48" s="4" t="n">
        <v>60</v>
      </c>
    </row>
    <row r="49">
      <c r="A49" s="15" t="n">
        <v>46061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SUPERMERCADO · Carrefour</t>
        </is>
      </c>
      <c r="F49" s="5" t="n">
        <v>21990</v>
      </c>
      <c r="G49" s="16" t="n"/>
      <c r="H49" s="4" t="inlineStr">
        <is>
          <t>REAL</t>
        </is>
      </c>
      <c r="I49" s="4" t="inlineStr">
        <is>
          <t>Sin identificar</t>
        </is>
      </c>
      <c r="J49" s="4" t="inlineStr">
        <is>
          <t>SUPERMERCADO · Carrefour</t>
        </is>
      </c>
      <c r="K49" s="4" t="n">
        <v>59</v>
      </c>
    </row>
    <row r="50">
      <c r="A50" s="15" t="n">
        <v>46062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SUPERMERCADO</t>
        </is>
      </c>
      <c r="E50" s="4" t="inlineStr">
        <is>
          <t>PEDIDOS YA · SUPERMERCADO</t>
        </is>
      </c>
      <c r="F50" s="5" t="n">
        <v>61650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PEDIDOS YA · SUPERMERCADO · BBVA TC Visa</t>
        </is>
      </c>
      <c r="K50" s="4" t="n">
        <v>72</v>
      </c>
    </row>
    <row r="51">
      <c r="A51" s="15" t="n">
        <v>46062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SUPERMERCADO</t>
        </is>
      </c>
      <c r="E51" s="4" t="inlineStr">
        <is>
          <t>PEDIDOS YA · SUPERMERCADO · propina</t>
        </is>
      </c>
      <c r="F51" s="5" t="n">
        <v>850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PEDIDOS YA · SUPERMERCADO · propina · BBVA TC Visa</t>
        </is>
      </c>
      <c r="K51" s="4" t="n">
        <v>71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COMIDA · BARRITAS PROTEICAS</t>
        </is>
      </c>
      <c r="E52" s="4" t="inlineStr">
        <is>
          <t>COMIDA · Barritas proteicas</t>
        </is>
      </c>
      <c r="F52" s="5" t="n">
        <v>66527</v>
      </c>
      <c r="G52" s="16" t="n"/>
      <c r="H52" s="4" t="inlineStr">
        <is>
          <t>REAL</t>
        </is>
      </c>
      <c r="I52" s="4" t="inlineStr">
        <is>
          <t>TC Mercado Pago</t>
        </is>
      </c>
      <c r="J52" s="4" t="inlineStr">
        <is>
          <t>COMIDA · Barritas proteicas · Enerfit · TC Mercado Pago · SALUD · MERPAGO*ENERFIT · TC Mercado Pago · cuota 3 de 12 · compra 2025-11-26 · ex `SALUD · Enerfit · C.03/12`</t>
        </is>
      </c>
      <c r="K52" s="4" t="n">
        <v>32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RAMON · COMIDA</t>
        </is>
      </c>
      <c r="E53" s="4" t="inlineStr">
        <is>
          <t>RAMON · Comida</t>
        </is>
      </c>
      <c r="F53" s="5" t="n">
        <v>30336</v>
      </c>
      <c r="G53" s="16" t="n"/>
      <c r="H53" s="4" t="inlineStr">
        <is>
          <t>REAL</t>
        </is>
      </c>
      <c r="I53" s="4" t="inlineStr">
        <is>
          <t>Sin identificar</t>
        </is>
      </c>
      <c r="J53" s="4" t="inlineStr">
        <is>
          <t>RAMON · Comida · Kalbby · ALMACEN SOL</t>
        </is>
      </c>
      <c r="K53" s="4" t="n">
        <v>67</v>
      </c>
    </row>
    <row r="54">
      <c r="A54" s="15" t="n">
        <v>46065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RAMON · OTROS</t>
        </is>
      </c>
      <c r="E54" s="4" t="inlineStr">
        <is>
          <t>RAMON · Otros</t>
        </is>
      </c>
      <c r="F54" s="5" t="n">
        <v>27200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RAMON · Otros · Paws Pet Market · PetShop · Mercado Pago · ALMACEN SOL</t>
        </is>
      </c>
      <c r="K54" s="4" t="n">
        <v>86</v>
      </c>
    </row>
    <row r="55">
      <c r="A55" s="15" t="n">
        <v>46065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REPUESTOS</t>
        </is>
      </c>
      <c r="E55" s="4" t="inlineStr">
        <is>
          <t>REPUESTOS · Sodastream</t>
        </is>
      </c>
      <c r="F55" s="5" t="n">
        <v>53037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REPUESTOS · Sodastream · Mercado Pago · ex CASA/REPUESTOS matriz</t>
        </is>
      </c>
      <c r="K55" s="4" t="n">
        <v>58</v>
      </c>
    </row>
    <row r="56">
      <c r="A56" s="15" t="n">
        <v>46067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SUPERMERCADO · Día</t>
        </is>
      </c>
      <c r="F56" s="5" t="n">
        <v>5622</v>
      </c>
      <c r="G56" s="16" t="n"/>
      <c r="H56" s="4" t="inlineStr">
        <is>
          <t>REAL</t>
        </is>
      </c>
      <c r="I56" s="4" t="inlineStr">
        <is>
          <t>Sin identificar</t>
        </is>
      </c>
      <c r="J56" s="4" t="inlineStr">
        <is>
          <t>SUPERMERCADO · Día</t>
        </is>
      </c>
      <c r="K56" s="4" t="n">
        <v>56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COMIDA</t>
        </is>
      </c>
      <c r="E57" s="4" t="inlineStr">
        <is>
          <t>COMIDA · Soraya</t>
        </is>
      </c>
      <c r="F57" s="5" t="n">
        <v>33100</v>
      </c>
      <c r="G57" s="16" t="n"/>
      <c r="H57" s="4" t="inlineStr">
        <is>
          <t>REAL</t>
        </is>
      </c>
      <c r="I57" s="4" t="inlineStr">
        <is>
          <t>Sin identificar</t>
        </is>
      </c>
      <c r="J57" s="4" t="inlineStr">
        <is>
          <t>COMIDA · RESTAURANTSORAYASA · MP cuenta</t>
        </is>
      </c>
      <c r="K57" s="4" t="n">
        <v>84</v>
      </c>
    </row>
    <row r="58">
      <c r="A58" s="15" t="n">
        <v>46069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PEDIDOS YA · SUPERMERCADO</t>
        </is>
      </c>
      <c r="F58" s="5" t="n">
        <v>62660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PEDIDOS YA · SUPERMERCADO · BBVA TC Visa</t>
        </is>
      </c>
      <c r="K58" s="4" t="n">
        <v>74</v>
      </c>
    </row>
    <row r="59">
      <c r="A59" s="15" t="n">
        <v>46069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SUPERMERCADO</t>
        </is>
      </c>
      <c r="E59" s="4" t="inlineStr">
        <is>
          <t>PEDIDOS YA · SUPERMERCADO · propina</t>
        </is>
      </c>
      <c r="F59" s="5" t="n">
        <v>750</v>
      </c>
      <c r="G59" s="16" t="n"/>
      <c r="H59" s="4" t="inlineStr">
        <is>
          <t>REAL</t>
        </is>
      </c>
      <c r="I59" s="4" t="inlineStr">
        <is>
          <t>BBVA</t>
        </is>
      </c>
      <c r="J59" s="4" t="inlineStr">
        <is>
          <t>PEDIDOS YA · SUPERMERCADO · propina · BBVA TC Visa</t>
        </is>
      </c>
      <c r="K59" s="4" t="n">
        <v>73</v>
      </c>
    </row>
    <row r="60">
      <c r="A60" s="15" t="n">
        <v>46071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SUPERMERCADO · Día</t>
        </is>
      </c>
      <c r="F60" s="5" t="n">
        <v>37335</v>
      </c>
      <c r="G60" s="16" t="n"/>
      <c r="H60" s="4" t="inlineStr">
        <is>
          <t>REAL</t>
        </is>
      </c>
      <c r="I60" s="4" t="inlineStr">
        <is>
          <t>Sin identificar</t>
        </is>
      </c>
      <c r="J60" s="4" t="inlineStr">
        <is>
          <t>SUPERMERCADO · Día</t>
        </is>
      </c>
      <c r="K60" s="4" t="n">
        <v>55</v>
      </c>
    </row>
    <row r="61">
      <c r="A61" s="15" t="n">
        <v>46073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COMIDA</t>
        </is>
      </c>
      <c r="E61" s="4" t="inlineStr">
        <is>
          <t>COMIDA · HAVANNA</t>
        </is>
      </c>
      <c r="F61" s="5" t="n">
        <v>9600</v>
      </c>
      <c r="G61" s="16" t="n"/>
      <c r="H61" s="4" t="inlineStr">
        <is>
          <t>REAL</t>
        </is>
      </c>
      <c r="I61" s="4" t="inlineStr">
        <is>
          <t>AVA</t>
        </is>
      </c>
      <c r="J61" s="4" t="inlineStr">
        <is>
          <t>COMIDA · HAVANNA</t>
        </is>
      </c>
      <c r="K61" s="4" t="n">
        <v>54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14404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75</v>
      </c>
    </row>
    <row r="63">
      <c r="A63" s="15" t="n">
        <v>46074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SUPERMERCADO</t>
        </is>
      </c>
      <c r="E63" s="4" t="inlineStr">
        <is>
          <t>PEDIDOS YA · SUPERMERCADO</t>
        </is>
      </c>
      <c r="F63" s="5" t="n">
        <v>19780</v>
      </c>
      <c r="G63" s="16" t="n"/>
      <c r="H63" s="4" t="inlineStr">
        <is>
          <t>REAL</t>
        </is>
      </c>
      <c r="I63" s="4" t="inlineStr">
        <is>
          <t>BBVA</t>
        </is>
      </c>
      <c r="J63" s="4" t="inlineStr">
        <is>
          <t>PEDIDOS YA · SUPERMERCADO · BBVA TC Visa</t>
        </is>
      </c>
      <c r="K63" s="4" t="n">
        <v>76</v>
      </c>
    </row>
    <row r="64">
      <c r="A64" s="15" t="n">
        <v>46074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</t>
        </is>
      </c>
      <c r="F64" s="5" t="n">
        <v>34460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BBVA TC Visa</t>
        </is>
      </c>
      <c r="K64" s="4" t="n">
        <v>77</v>
      </c>
    </row>
    <row r="65">
      <c r="A65" s="15" t="n">
        <v>46075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COMIDA</t>
        </is>
      </c>
      <c r="E65" s="4" t="inlineStr">
        <is>
          <t>COMIDA · HAVANNA</t>
        </is>
      </c>
      <c r="F65" s="5" t="n">
        <v>9600</v>
      </c>
      <c r="G65" s="16" t="n"/>
      <c r="H65" s="4" t="inlineStr">
        <is>
          <t>REAL</t>
        </is>
      </c>
      <c r="I65" s="4" t="inlineStr">
        <is>
          <t>AVA</t>
        </is>
      </c>
      <c r="J65" s="4" t="inlineStr">
        <is>
          <t>COMIDA · HAVANNA</t>
        </is>
      </c>
      <c r="K65" s="4" t="n">
        <v>53</v>
      </c>
    </row>
    <row r="66">
      <c r="A66" s="15" t="n">
        <v>46075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 · propina</t>
        </is>
      </c>
      <c r="F66" s="5" t="n">
        <v>1000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propina · BBVA TC Visa</t>
        </is>
      </c>
      <c r="K66" s="4" t="n">
        <v>78</v>
      </c>
    </row>
    <row r="67">
      <c r="A67" s="15" t="n">
        <v>46076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RAMON · VETERINARIO</t>
        </is>
      </c>
      <c r="E67" s="4" t="inlineStr">
        <is>
          <t>RAMON · Veterinario</t>
        </is>
      </c>
      <c r="F67" s="5" t="n">
        <v>72000</v>
      </c>
      <c r="G67" s="16" t="n"/>
      <c r="H67" s="4" t="inlineStr">
        <is>
          <t>REAL</t>
        </is>
      </c>
      <c r="I67" s="4" t="inlineStr">
        <is>
          <t>Sin identificar</t>
        </is>
      </c>
      <c r="J67" s="4" t="inlineStr">
        <is>
          <t>RAMON · Veterinario · Valeria Mele / El Perro Verde · ALMACEN SOL</t>
        </is>
      </c>
      <c r="K67" s="4" t="n">
        <v>85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</t>
        </is>
      </c>
      <c r="F68" s="5" t="n">
        <v>42375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BBVA TC Visa</t>
        </is>
      </c>
      <c r="K68" s="4" t="n">
        <v>79</v>
      </c>
    </row>
    <row r="69">
      <c r="A69" s="15" t="n">
        <v>46077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SUPERMERCADO</t>
        </is>
      </c>
      <c r="E69" s="4" t="inlineStr">
        <is>
          <t>PEDIDOS YA · SUPERMERCADO</t>
        </is>
      </c>
      <c r="F69" s="5" t="n">
        <v>192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PEDIDOS YA · SUPERMERCADO · BBVA TC Visa</t>
        </is>
      </c>
      <c r="K69" s="4" t="n">
        <v>80</v>
      </c>
    </row>
    <row r="70">
      <c r="A70" s="15" t="n">
        <v>46077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SUPERMERCADO</t>
        </is>
      </c>
      <c r="E70" s="4" t="inlineStr">
        <is>
          <t>PEDIDOS YA · SUPERMERCADO · propina</t>
        </is>
      </c>
      <c r="F70" s="5" t="n">
        <v>1000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PEDIDOS YA · SUPERMERCADO · propina · BBVA TC Visa</t>
        </is>
      </c>
      <c r="K70" s="4" t="n">
        <v>57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ENTRETENIMIENTO · RECITALES</t>
        </is>
      </c>
      <c r="E71" s="4" t="inlineStr">
        <is>
          <t>ENTRETENIMIENTO · Recitales</t>
        </is>
      </c>
      <c r="F71" s="5" t="n">
        <v>150000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ENTRETENIMIENTO · Recitales · Movistar Arena · BBVA MASTERCARD</t>
        </is>
      </c>
      <c r="K71" s="4" t="n">
        <v>12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ENTRETENIMIENTO · RECITALES</t>
        </is>
      </c>
      <c r="E72" s="4" t="inlineStr">
        <is>
          <t>ENTRETENIMIENTO · Recitales</t>
        </is>
      </c>
      <c r="F72" s="5" t="n">
        <v>22500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ENTRETENIMIENTO · Recitales · Movistar Arena · BBVA MASTERCARD</t>
        </is>
      </c>
      <c r="K72" s="4" t="n">
        <v>13</v>
      </c>
    </row>
    <row r="73">
      <c r="A73" s="15" t="n">
        <v>46078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SUPERMERCADO</t>
        </is>
      </c>
      <c r="E73" s="4" t="inlineStr">
        <is>
          <t>PEDIDOS YA · SUPERMERCADO</t>
        </is>
      </c>
      <c r="F73" s="5" t="n">
        <v>2599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PEDIDOS YA · SUPERMERCADO · BBVA TC Visa</t>
        </is>
      </c>
      <c r="K73" s="4" t="n">
        <v>82</v>
      </c>
    </row>
    <row r="74">
      <c r="A74" s="15" t="n">
        <v>46078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SUPERMERCADO</t>
        </is>
      </c>
      <c r="E74" s="4" t="inlineStr">
        <is>
          <t>PEDIDOS YA · SUPERMERCADO · propina</t>
        </is>
      </c>
      <c r="F74" s="5" t="n">
        <v>600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PEDIDOS YA · SUPERMERCADO · propina · BBVA TC Visa</t>
        </is>
      </c>
      <c r="K74" s="4" t="n">
        <v>81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61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49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418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50</v>
      </c>
    </row>
    <row r="77">
      <c r="A77" s="15" t="n">
        <v>46081</v>
      </c>
      <c r="B77" s="4" t="inlineStr">
        <is>
          <t>2026-02</t>
        </is>
      </c>
      <c r="C77" s="4" t="inlineStr">
        <is>
          <t>Febrero</t>
        </is>
      </c>
      <c r="D77" s="4" t="inlineStr">
        <is>
          <t>COMBUSTIBLE</t>
        </is>
      </c>
      <c r="E77" s="4" t="inlineStr">
        <is>
          <t>Combustible — Shell</t>
        </is>
      </c>
      <c r="F77" s="5" t="n">
        <v>788</v>
      </c>
      <c r="G77" s="16" t="n"/>
      <c r="H77" s="4" t="inlineStr">
        <is>
          <t>REAL</t>
        </is>
      </c>
      <c r="I77" s="4" t="inlineStr">
        <is>
          <t>Sin identificar</t>
        </is>
      </c>
      <c r="J77" s="4" t="inlineStr">
        <is>
          <t>MP · Shell</t>
        </is>
      </c>
      <c r="K77" s="4" t="n">
        <v>51</v>
      </c>
    </row>
    <row r="78">
      <c r="A78" s="15" t="n">
        <v>46081</v>
      </c>
      <c r="B78" s="4" t="inlineStr">
        <is>
          <t>2026-02</t>
        </is>
      </c>
      <c r="C78" s="4" t="inlineStr">
        <is>
          <t>Febrero</t>
        </is>
      </c>
      <c r="D78" s="4" t="inlineStr">
        <is>
          <t>COMBUSTIBLE</t>
        </is>
      </c>
      <c r="E78" s="4" t="inlineStr">
        <is>
          <t>Combustible — Shell</t>
        </is>
      </c>
      <c r="F78" s="5" t="n">
        <v>605</v>
      </c>
      <c r="G78" s="16" t="n"/>
      <c r="H78" s="4" t="inlineStr">
        <is>
          <t>REAL</t>
        </is>
      </c>
      <c r="I78" s="4" t="inlineStr">
        <is>
          <t>Sin identificar</t>
        </is>
      </c>
      <c r="J78" s="4" t="inlineStr">
        <is>
          <t>MP · Shell</t>
        </is>
      </c>
      <c r="K78" s="4" t="n">
        <v>52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FARMACIA</t>
        </is>
      </c>
      <c r="E79" s="4" t="inlineStr">
        <is>
          <t>FARMACIA · Farmacity</t>
        </is>
      </c>
      <c r="F79" s="5" t="n">
        <v>154013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FARMACIA · Farmacity · BBVA Mastercard · ex CASA/FARMACIA matriz</t>
        </is>
      </c>
      <c r="K79" s="4" t="n">
        <v>115</v>
      </c>
    </row>
    <row r="80">
      <c r="A80" s="15" t="n">
        <v>46082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SUPERMERCADO</t>
        </is>
      </c>
      <c r="E80" s="4" t="inlineStr">
        <is>
          <t>PEDIDOS YA · SUPERMERCADO</t>
        </is>
      </c>
      <c r="F80" s="5" t="n">
        <v>39660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PEDIDOS YA · SUPERMERCADO · BBVA TC Visa</t>
        </is>
      </c>
      <c r="K80" s="4" t="n">
        <v>108</v>
      </c>
    </row>
    <row r="81">
      <c r="A81" s="15" t="n">
        <v>46082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SUPERMERCADO</t>
        </is>
      </c>
      <c r="E81" s="4" t="inlineStr">
        <is>
          <t>PEDIDOS YA · SUPERMERCADO · propina</t>
        </is>
      </c>
      <c r="F81" s="5" t="n">
        <v>1000</v>
      </c>
      <c r="G81" s="16" t="n"/>
      <c r="H81" s="4" t="inlineStr">
        <is>
          <t>REAL</t>
        </is>
      </c>
      <c r="I81" s="4" t="inlineStr">
        <is>
          <t>BBVA</t>
        </is>
      </c>
      <c r="J81" s="4" t="inlineStr">
        <is>
          <t>PEDIDOS YA · SUPERMERCADO · propina · BBVA TC Visa</t>
        </is>
      </c>
      <c r="K81" s="4" t="n">
        <v>107</v>
      </c>
    </row>
    <row r="82">
      <c r="A82" s="15" t="n">
        <v>46084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COMIDA</t>
        </is>
      </c>
      <c r="E82" s="4" t="inlineStr">
        <is>
          <t>COMIDA · Le Pain Quotidien</t>
        </is>
      </c>
      <c r="F82" s="5" t="n">
        <v>1344</v>
      </c>
      <c r="G82" s="16" t="n"/>
      <c r="H82" s="4" t="inlineStr">
        <is>
          <t>REAL</t>
        </is>
      </c>
      <c r="I82" s="4" t="inlineStr">
        <is>
          <t>Sin identificar</t>
        </is>
      </c>
      <c r="J82" s="4" t="inlineStr">
        <is>
          <t>MP · panadería · ex `Le Pain Quotidien`</t>
        </is>
      </c>
      <c r="K82" s="4" t="n">
        <v>105</v>
      </c>
    </row>
    <row r="83">
      <c r="A83" s="15" t="n">
        <v>46086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COMIDA</t>
        </is>
      </c>
      <c r="E83" s="4" t="inlineStr">
        <is>
          <t>COMIDA · Huevos Point</t>
        </is>
      </c>
      <c r="F83" s="5" t="n">
        <v>14500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MP · huevos · ex `Huevos Point`</t>
        </is>
      </c>
      <c r="K83" s="4" t="n">
        <v>104</v>
      </c>
    </row>
    <row r="84">
      <c r="A84" s="15" t="n">
        <v>46086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RAMON · OTROS</t>
        </is>
      </c>
      <c r="E84" s="4" t="inlineStr">
        <is>
          <t>RAMON · Otros</t>
        </is>
      </c>
      <c r="F84" s="5" t="n">
        <v>9000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RAMON · Otros · Paws Pet Market · PetShop · Mercado Pago · ALMACEN SOL</t>
        </is>
      </c>
      <c r="K84" s="4" t="n">
        <v>129</v>
      </c>
    </row>
    <row r="85">
      <c r="A85" s="15" t="n">
        <v>46087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SUPERMERCADO · Coto</t>
        </is>
      </c>
      <c r="F85" s="5" t="n">
        <v>114263</v>
      </c>
      <c r="G85" s="16" t="n"/>
      <c r="H85" s="4" t="inlineStr">
        <is>
          <t>REAL</t>
        </is>
      </c>
      <c r="I85" s="4" t="inlineStr">
        <is>
          <t>Sin identificar</t>
        </is>
      </c>
      <c r="J85" s="4" t="inlineStr">
        <is>
          <t>SUPERMERCADO · Coto</t>
        </is>
      </c>
      <c r="K85" s="4" t="n">
        <v>103</v>
      </c>
    </row>
    <row r="86">
      <c r="A86" s="15" t="n">
        <v>46089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SUPERMERCADO</t>
        </is>
      </c>
      <c r="E86" s="4" t="inlineStr">
        <is>
          <t>PEDIDOS YA · SUPERMERCADO</t>
        </is>
      </c>
      <c r="F86" s="5" t="n">
        <v>31610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PEDIDOS YA · SUPERMERCADO · BBVA TC Visa</t>
        </is>
      </c>
      <c r="K86" s="4" t="n">
        <v>110</v>
      </c>
    </row>
    <row r="87">
      <c r="A87" s="15" t="n">
        <v>46089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SUPERMERCADO</t>
        </is>
      </c>
      <c r="E87" s="4" t="inlineStr">
        <is>
          <t>PEDIDOS YA · SUPERMERCADO · propina</t>
        </is>
      </c>
      <c r="F87" s="5" t="n">
        <v>1000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PEDIDOS YA · SUPERMERCADO · propina · BBVA TC Visa</t>
        </is>
      </c>
      <c r="K87" s="4" t="n">
        <v>109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El Patio De Los Duendes</t>
        </is>
      </c>
      <c r="F88" s="5" t="n">
        <v>1930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propina · ex `Kiosko Duendes (propina)`</t>
        </is>
      </c>
      <c r="K88" s="4" t="n">
        <v>101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COMIDA</t>
        </is>
      </c>
      <c r="E89" s="4" t="inlineStr">
        <is>
          <t>COMIDA · El Patio De Los Duendes</t>
        </is>
      </c>
      <c r="F89" s="5" t="n">
        <v>17049</v>
      </c>
      <c r="G89" s="16" t="n"/>
      <c r="H89" s="4" t="inlineStr">
        <is>
          <t>REAL</t>
        </is>
      </c>
      <c r="I89" s="4" t="inlineStr">
        <is>
          <t>Sin identificar</t>
        </is>
      </c>
      <c r="J89" s="4" t="inlineStr">
        <is>
          <t>MP · comida · ex `El Patio De Los Duendes`</t>
        </is>
      </c>
      <c r="K89" s="4" t="n">
        <v>102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COMIDA</t>
        </is>
      </c>
      <c r="E90" s="4" t="inlineStr">
        <is>
          <t>COMIDA · Todo Tartas</t>
        </is>
      </c>
      <c r="F90" s="5" t="n">
        <v>11000</v>
      </c>
      <c r="G90" s="16" t="n"/>
      <c r="H90" s="4" t="inlineStr">
        <is>
          <t>REAL</t>
        </is>
      </c>
      <c r="I90" s="4" t="inlineStr">
        <is>
          <t>Sin identificar</t>
        </is>
      </c>
      <c r="J90" s="4" t="inlineStr">
        <is>
          <t>MP · tartas · ex `Todo Tartas`</t>
        </is>
      </c>
      <c r="K90" s="4" t="n">
        <v>100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33000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ENTRETENIMIENTO · Recitales · Movistar Arena · Mercado Pago</t>
        </is>
      </c>
      <c r="K91" s="4" t="n">
        <v>9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ENTRETENIMIENTO · RECITALES</t>
        </is>
      </c>
      <c r="E92" s="4" t="inlineStr">
        <is>
          <t>ENTRETENIMIENTO · Recitales</t>
        </is>
      </c>
      <c r="F92" s="5" t="n">
        <v>220000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ENTRETENIMIENTO · Recitales · Movistar Arena · Mercado Pago</t>
        </is>
      </c>
      <c r="K92" s="4" t="n">
        <v>10</v>
      </c>
    </row>
    <row r="93">
      <c r="A93" s="15" t="n">
        <v>46090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ENTRETENIMIENTO · RECITALES</t>
        </is>
      </c>
      <c r="E93" s="4" t="inlineStr">
        <is>
          <t>ENTRETENIMIENTO · Recitales</t>
        </is>
      </c>
      <c r="F93" s="5" t="n">
        <v>22500</v>
      </c>
      <c r="G93" s="16" t="n"/>
      <c r="H93" s="4" t="inlineStr">
        <is>
          <t>REAL</t>
        </is>
      </c>
      <c r="I93" s="4" t="inlineStr">
        <is>
          <t>BBVA</t>
        </is>
      </c>
      <c r="J93" s="4" t="inlineStr">
        <is>
          <t>ENTRETENIMIENTO · Recitales · Movistar Arena · BBVA MASTERCARD</t>
        </is>
      </c>
      <c r="K93" s="4" t="n">
        <v>14</v>
      </c>
    </row>
    <row r="94">
      <c r="A94" s="15" t="n">
        <v>46090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RAMON · COMIDA</t>
        </is>
      </c>
      <c r="E94" s="4" t="inlineStr">
        <is>
          <t>RAMON · Comida</t>
        </is>
      </c>
      <c r="F94" s="5" t="n">
        <v>56250</v>
      </c>
      <c r="G94" s="16" t="n"/>
      <c r="H94" s="4" t="inlineStr">
        <is>
          <t>REAL</t>
        </is>
      </c>
      <c r="I94" s="4" t="inlineStr">
        <is>
          <t>Sin identificar</t>
        </is>
      </c>
      <c r="J94" s="4" t="inlineStr">
        <is>
          <t>RAMON · Comida · Kalbby · ALMACEN SOL</t>
        </is>
      </c>
      <c r="K94" s="4" t="n">
        <v>106</v>
      </c>
    </row>
    <row r="95">
      <c r="A95" s="15" t="n">
        <v>46092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Bee Coffee</t>
        </is>
      </c>
      <c r="F95" s="5" t="n">
        <v>6100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MP · café · ex `Bee Coffee`</t>
        </is>
      </c>
      <c r="K95" s="4" t="n">
        <v>99</v>
      </c>
    </row>
    <row r="96">
      <c r="A96" s="15" t="n">
        <v>46093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 · BARRITAS PROTEICAS</t>
        </is>
      </c>
      <c r="E96" s="4" t="inlineStr">
        <is>
          <t>COMIDA · Barritas proteicas</t>
        </is>
      </c>
      <c r="F96" s="5" t="n">
        <v>66527</v>
      </c>
      <c r="G96" s="16" t="n"/>
      <c r="H96" s="4" t="inlineStr">
        <is>
          <t>REAL</t>
        </is>
      </c>
      <c r="I96" s="4" t="inlineStr">
        <is>
          <t>TC Mercado Pago</t>
        </is>
      </c>
      <c r="J96" s="4" t="inlineStr">
        <is>
          <t>COMIDA · Barritas proteicas · Enerfit · TC Mercado Pago · SALUD · MERPAGO*ENERFIT · TC Mercado Pago · cuota 4 de 12 · compra 2025-11-26 · ex `SALUD · Enerfit · C.04/12`</t>
        </is>
      </c>
      <c r="K96" s="4" t="n">
        <v>48</v>
      </c>
    </row>
    <row r="97">
      <c r="A97" s="15" t="n">
        <v>46093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COMIDA</t>
        </is>
      </c>
      <c r="E97" s="4" t="inlineStr">
        <is>
          <t>COMIDA · pollo</t>
        </is>
      </c>
      <c r="F97" s="5" t="n">
        <v>33619</v>
      </c>
      <c r="G97" s="16" t="n"/>
      <c r="H97" s="4" t="inlineStr">
        <is>
          <t>REAL</t>
        </is>
      </c>
      <c r="I97" s="4" t="inlineStr">
        <is>
          <t>Sin identificar</t>
        </is>
      </c>
      <c r="J97" s="4" t="inlineStr">
        <is>
          <t>COMIDA · pollo · MP · pollo</t>
        </is>
      </c>
      <c r="K97" s="4" t="n">
        <v>98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COMIDA</t>
        </is>
      </c>
      <c r="E98" s="4" t="inlineStr">
        <is>
          <t>COMIDA · Galletotas</t>
        </is>
      </c>
      <c r="F98" s="5" t="n">
        <v>19500</v>
      </c>
      <c r="G98" s="16" t="n"/>
      <c r="H98" s="4" t="inlineStr">
        <is>
          <t>REAL</t>
        </is>
      </c>
      <c r="I98" s="4" t="inlineStr">
        <is>
          <t>Sin identificar</t>
        </is>
      </c>
      <c r="J98" s="4" t="inlineStr">
        <is>
          <t>MP · galletitas · ex `Galletotas`</t>
        </is>
      </c>
      <c r="K98" s="4" t="n">
        <v>97</v>
      </c>
    </row>
    <row r="99">
      <c r="A99" s="15" t="n">
        <v>46095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81845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111</v>
      </c>
    </row>
    <row r="100">
      <c r="A100" s="15" t="n">
        <v>46095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1000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112</v>
      </c>
    </row>
    <row r="101">
      <c r="A101" s="15" t="n">
        <v>46099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SUPERMERCADO</t>
        </is>
      </c>
      <c r="E101" s="4" t="inlineStr">
        <is>
          <t>PEDIDOS YA · SUPERMERCADO</t>
        </is>
      </c>
      <c r="F101" s="5" t="n">
        <v>11209</v>
      </c>
      <c r="G101" s="16" t="n"/>
      <c r="H101" s="4" t="inlineStr">
        <is>
          <t>REAL</t>
        </is>
      </c>
      <c r="I101" s="4" t="inlineStr">
        <is>
          <t>BBVA</t>
        </is>
      </c>
      <c r="J101" s="4" t="inlineStr">
        <is>
          <t>PEDIDOS YA · SUPERMERCADO · BBVA TC Visa</t>
        </is>
      </c>
      <c r="K101" s="4" t="n">
        <v>113</v>
      </c>
    </row>
    <row r="102">
      <c r="A102" s="15" t="n">
        <v>46099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SUPERMERCADO</t>
        </is>
      </c>
      <c r="E102" s="4" t="inlineStr">
        <is>
          <t>PEDIDOS YA · SUPERMERCADO · propina</t>
        </is>
      </c>
      <c r="F102" s="5" t="n">
        <v>900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PEDIDOS YA · SUPERMERCADO · propina · BBVA TC Visa</t>
        </is>
      </c>
      <c r="K102" s="4" t="n">
        <v>114</v>
      </c>
    </row>
    <row r="103">
      <c r="A103" s="15" t="n">
        <v>46101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COMIDA</t>
        </is>
      </c>
      <c r="E103" s="4" t="inlineStr">
        <is>
          <t>COMIDA · Burger King</t>
        </is>
      </c>
      <c r="F103" s="5" t="n">
        <v>22100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MP · comida · ex `Burger King`</t>
        </is>
      </c>
      <c r="K103" s="4" t="n">
        <v>96</v>
      </c>
    </row>
    <row r="104">
      <c r="A104" s="15" t="n">
        <v>46103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COMIDA</t>
        </is>
      </c>
      <c r="E104" s="4" t="inlineStr">
        <is>
          <t>COMIDA · Open 25</t>
        </is>
      </c>
      <c r="F104" s="5" t="n">
        <v>50000</v>
      </c>
      <c r="G104" s="16" t="n"/>
      <c r="H104" s="4" t="inlineStr">
        <is>
          <t>REAL</t>
        </is>
      </c>
      <c r="I104" s="4" t="inlineStr">
        <is>
          <t>Sin identificar</t>
        </is>
      </c>
      <c r="J104" s="4" t="inlineStr">
        <is>
          <t>MP · Open 25 · QR (SALE_DETAIL vacío en settlement — verificar comercio)</t>
        </is>
      </c>
      <c r="K104" s="4" t="n">
        <v>95</v>
      </c>
    </row>
    <row r="105">
      <c r="A105" s="15" t="n">
        <v>46104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SUPERMERCADO</t>
        </is>
      </c>
      <c r="E105" s="4" t="inlineStr">
        <is>
          <t>SUPERMERCADO · Día</t>
        </is>
      </c>
      <c r="F105" s="5" t="n">
        <v>47664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SUPERMERCADO · Día</t>
        </is>
      </c>
      <c r="K105" s="4" t="n">
        <v>94</v>
      </c>
    </row>
    <row r="106">
      <c r="A106" s="15" t="n">
        <v>46106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RAMON · OTROS</t>
        </is>
      </c>
      <c r="E106" s="4" t="inlineStr">
        <is>
          <t>RAMON · Otros</t>
        </is>
      </c>
      <c r="F106" s="5" t="n">
        <v>35700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RAMON · Otros · Paws Pet Market · PetShop · Mercado Pago · ALMACEN SOL</t>
        </is>
      </c>
      <c r="K106" s="4" t="n">
        <v>130</v>
      </c>
    </row>
    <row r="107">
      <c r="A107" s="15" t="n">
        <v>46111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Generacion 20</t>
        </is>
      </c>
      <c r="F107" s="5" t="n">
        <v>88999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93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264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89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1118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MP · combustible</t>
        </is>
      </c>
      <c r="K109" s="4" t="n">
        <v>90</v>
      </c>
    </row>
    <row r="110">
      <c r="A110" s="15" t="n">
        <v>46112</v>
      </c>
      <c r="B110" s="4" t="inlineStr">
        <is>
          <t>2026-03</t>
        </is>
      </c>
      <c r="C110" s="4" t="inlineStr">
        <is>
          <t>Marzo</t>
        </is>
      </c>
      <c r="D110" s="4" t="inlineStr">
        <is>
          <t>COMBUSTIBLE</t>
        </is>
      </c>
      <c r="E110" s="4" t="inlineStr">
        <is>
          <t>Combustible — Shell</t>
        </is>
      </c>
      <c r="F110" s="5" t="n">
        <v>653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MP · combustible</t>
        </is>
      </c>
      <c r="K110" s="4" t="n">
        <v>91</v>
      </c>
    </row>
    <row r="111">
      <c r="A111" s="15" t="n">
        <v>46112</v>
      </c>
      <c r="B111" s="4" t="inlineStr">
        <is>
          <t>2026-03</t>
        </is>
      </c>
      <c r="C111" s="4" t="inlineStr">
        <is>
          <t>Marzo</t>
        </is>
      </c>
      <c r="D111" s="4" t="inlineStr">
        <is>
          <t>COMBUSTIBLE</t>
        </is>
      </c>
      <c r="E111" s="4" t="inlineStr">
        <is>
          <t>Combustible — Shell</t>
        </is>
      </c>
      <c r="F111" s="5" t="n">
        <v>4789</v>
      </c>
      <c r="G111" s="16" t="n"/>
      <c r="H111" s="4" t="inlineStr">
        <is>
          <t>REAL</t>
        </is>
      </c>
      <c r="I111" s="4" t="inlineStr">
        <is>
          <t>Sin identificar</t>
        </is>
      </c>
      <c r="J111" s="4" t="inlineStr">
        <is>
          <t>Combustible — Shell · MP cuenta</t>
        </is>
      </c>
      <c r="K111" s="4" t="n">
        <v>128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</t>
        </is>
      </c>
      <c r="F112" s="5" t="n">
        <v>36519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</t>
        </is>
      </c>
      <c r="K112" s="4" t="n">
        <v>147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COMIDA</t>
        </is>
      </c>
      <c r="E113" s="4" t="inlineStr">
        <is>
          <t>PEDIDOS YA · COMIDA</t>
        </is>
      </c>
      <c r="F113" s="5" t="n">
        <v>500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PEDIDOS YA · COMIDA · Dlo*pedidosya · Mercado Pago</t>
        </is>
      </c>
      <c r="K113" s="4" t="n">
        <v>155</v>
      </c>
    </row>
    <row r="114">
      <c r="A114" s="15" t="n">
        <v>46114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COMIDA</t>
        </is>
      </c>
      <c r="E114" s="4" t="inlineStr">
        <is>
          <t>PEDIDOS YA · COMIDA · propina</t>
        </is>
      </c>
      <c r="F114" s="5" t="n">
        <v>2000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PEDIDOS YA · COMIDA · propina</t>
        </is>
      </c>
      <c r="K114" s="4" t="n">
        <v>146</v>
      </c>
    </row>
    <row r="115">
      <c r="A115" s="15" t="n">
        <v>46114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RAMON · COMIDA</t>
        </is>
      </c>
      <c r="E115" s="4" t="inlineStr">
        <is>
          <t>RAMON · Comida</t>
        </is>
      </c>
      <c r="F115" s="5" t="n">
        <v>82746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RAMON · Comida · Kalbby · ALMACEN SOL</t>
        </is>
      </c>
      <c r="K115" s="4" t="n">
        <v>150</v>
      </c>
    </row>
    <row r="116">
      <c r="A116" s="15" t="n">
        <v>46115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Coto</t>
        </is>
      </c>
      <c r="F116" s="5" t="n">
        <v>149320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Coto</t>
        </is>
      </c>
      <c r="K116" s="4" t="n">
        <v>145</v>
      </c>
    </row>
    <row r="117">
      <c r="A117" s="15" t="n">
        <v>46115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SUPERMERCADO</t>
        </is>
      </c>
      <c r="E117" s="4" t="inlineStr">
        <is>
          <t>SUPERMERCADO · Día</t>
        </is>
      </c>
      <c r="F117" s="5" t="n">
        <v>27350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SUPERMERCADO · Día</t>
        </is>
      </c>
      <c r="K117" s="4" t="n">
        <v>144</v>
      </c>
    </row>
    <row r="118">
      <c r="A118" s="15" t="n">
        <v>46118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SUPERMERCADO</t>
        </is>
      </c>
      <c r="E118" s="4" t="inlineStr">
        <is>
          <t>SUPERMERCADO · Día</t>
        </is>
      </c>
      <c r="F118" s="5" t="n">
        <v>71961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SUPERMERCADO · Día</t>
        </is>
      </c>
      <c r="K118" s="4" t="n">
        <v>143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COMIDA</t>
        </is>
      </c>
      <c r="E119" s="4" t="inlineStr">
        <is>
          <t>PEDIDOS YA · COMIDA</t>
        </is>
      </c>
      <c r="F119" s="5" t="n">
        <v>2599</v>
      </c>
      <c r="G119" s="16" t="n"/>
      <c r="H119" s="4" t="inlineStr">
        <is>
          <t>REAL</t>
        </is>
      </c>
      <c r="I119" s="4" t="inlineStr">
        <is>
          <t>Sin identificar</t>
        </is>
      </c>
      <c r="J119" s="4" t="inlineStr">
        <is>
          <t>PEDIDOS YA · COMIDA</t>
        </is>
      </c>
      <c r="K119" s="4" t="n">
        <v>142</v>
      </c>
    </row>
    <row r="120">
      <c r="A120" s="15" t="n">
        <v>46122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PEDIDOS YA · COMIDA · propina</t>
        </is>
      </c>
      <c r="F120" s="5" t="n">
        <v>800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PEDIDOS YA · COMIDA · propina</t>
        </is>
      </c>
      <c r="K120" s="4" t="n">
        <v>141</v>
      </c>
    </row>
    <row r="121">
      <c r="A121" s="15" t="n">
        <v>46122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RAMON · OTROS</t>
        </is>
      </c>
      <c r="E121" s="4" t="inlineStr">
        <is>
          <t>RAMON · Otros</t>
        </is>
      </c>
      <c r="F121" s="5" t="n">
        <v>71400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RAMON · Otros · Paws Pet Market · PetShop · Mercado Pago · ALMACEN SOL</t>
        </is>
      </c>
      <c r="K121" s="4" t="n">
        <v>175</v>
      </c>
    </row>
    <row r="122">
      <c r="A122" s="15" t="n">
        <v>46123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Vitalcer</t>
        </is>
      </c>
      <c r="F122" s="5" t="n">
        <v>34830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dietética · ex `Vitalcer`</t>
        </is>
      </c>
      <c r="K122" s="4" t="n">
        <v>140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 · BARRITAS PROTEICAS</t>
        </is>
      </c>
      <c r="E123" s="4" t="inlineStr">
        <is>
          <t>COMIDA · Barritas proteicas</t>
        </is>
      </c>
      <c r="F123" s="5" t="n">
        <v>66527</v>
      </c>
      <c r="G123" s="16" t="n"/>
      <c r="H123" s="4" t="inlineStr">
        <is>
          <t>REAL</t>
        </is>
      </c>
      <c r="I123" s="4" t="inlineStr">
        <is>
          <t>TC Mercado Pago</t>
        </is>
      </c>
      <c r="J123" s="4" t="inlineStr">
        <is>
          <t>COMIDA · Barritas proteicas · Enerfit · TC Mercado Pago · SALUD · MERPAGO*ENERFIT · TC Mercado Pago · cuota 5 de 12 · compra 2025-11-26 · ex `SALUD · Enerfit · C.05/12`</t>
        </is>
      </c>
      <c r="K123" s="4" t="n">
        <v>62</v>
      </c>
    </row>
    <row r="124">
      <c r="A124" s="15" t="n">
        <v>46124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Nicky Cheese</t>
        </is>
      </c>
      <c r="F124" s="5" t="n">
        <v>1920</v>
      </c>
      <c r="G124" s="16" t="n"/>
      <c r="H124" s="4" t="inlineStr">
        <is>
          <t>REAL</t>
        </is>
      </c>
      <c r="I124" s="4" t="inlineStr">
        <is>
          <t>Sin identificar</t>
        </is>
      </c>
      <c r="J124" s="4" t="inlineStr">
        <is>
          <t>MP · quesos propina · ex `Nicky Cheese propina`</t>
        </is>
      </c>
      <c r="K124" s="4" t="n">
        <v>138</v>
      </c>
    </row>
    <row r="125">
      <c r="A125" s="15" t="n">
        <v>46124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COMIDA</t>
        </is>
      </c>
      <c r="E125" s="4" t="inlineStr">
        <is>
          <t>COMIDA · Nicky Cheese</t>
        </is>
      </c>
      <c r="F125" s="5" t="n">
        <v>19200</v>
      </c>
      <c r="G125" s="16" t="n"/>
      <c r="H125" s="4" t="inlineStr">
        <is>
          <t>REAL</t>
        </is>
      </c>
      <c r="I125" s="4" t="inlineStr">
        <is>
          <t>Sin identificar</t>
        </is>
      </c>
      <c r="J125" s="4" t="inlineStr">
        <is>
          <t>MP · quesos · ex `Nicky Cheese`</t>
        </is>
      </c>
      <c r="K125" s="4" t="n">
        <v>139</v>
      </c>
    </row>
    <row r="126">
      <c r="A126" s="15" t="n">
        <v>46126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COMIDA</t>
        </is>
      </c>
      <c r="E126" s="4" t="inlineStr">
        <is>
          <t>COMIDA · pollo</t>
        </is>
      </c>
      <c r="F126" s="5" t="n">
        <v>25186</v>
      </c>
      <c r="G126" s="16" t="n"/>
      <c r="H126" s="4" t="inlineStr">
        <is>
          <t>REAL</t>
        </is>
      </c>
      <c r="I126" s="4" t="inlineStr">
        <is>
          <t>BBVA</t>
        </is>
      </c>
      <c r="J126" s="4" t="inlineStr">
        <is>
          <t>COMIDA · pollo · BBVA MASTERCARD · neto (bonif 10794)</t>
        </is>
      </c>
      <c r="K126" s="4" t="n">
        <v>154</v>
      </c>
    </row>
    <row r="127">
      <c r="A127" s="15" t="n">
        <v>46130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ENTRETENIMIENTO CENAS</t>
        </is>
      </c>
      <c r="E127" s="4" t="inlineStr">
        <is>
          <t>ENTRETENIMIENTO · Cenas</t>
        </is>
      </c>
      <c r="F127" s="5" t="n">
        <v>177300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ENTRETENIMIENTO · Cenas · Cosi Mi Piace (cena) · Mercado Pago · ALMACEN SOL</t>
        </is>
      </c>
      <c r="K127" s="4" t="n">
        <v>171</v>
      </c>
    </row>
    <row r="128">
      <c r="A128" s="15" t="n">
        <v>46130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ENTRETENIMIENTO CENAS</t>
        </is>
      </c>
      <c r="E128" s="4" t="inlineStr">
        <is>
          <t>ENTRETENIMIENTO · Cenas</t>
        </is>
      </c>
      <c r="F128" s="5" t="n">
        <v>21276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ENTRETENIMIENTO · Cenas · Cosi Mi Piace (propina) · Mercado Pago · ALMACEN SOL</t>
        </is>
      </c>
      <c r="K128" s="4" t="n">
        <v>172</v>
      </c>
    </row>
    <row r="129">
      <c r="A129" s="15" t="n">
        <v>46133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Huevos Point</t>
        </is>
      </c>
      <c r="F129" s="5" t="n">
        <v>14500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MP · huevos · ex `Huevos Point`</t>
        </is>
      </c>
      <c r="K129" s="4" t="n">
        <v>137</v>
      </c>
    </row>
    <row r="130">
      <c r="A130" s="15" t="n">
        <v>46134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Green Eat</t>
        </is>
      </c>
      <c r="F130" s="5" t="n">
        <v>25000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comida · ex `Green Eat`</t>
        </is>
      </c>
      <c r="K130" s="4" t="n">
        <v>136</v>
      </c>
    </row>
    <row r="131">
      <c r="A131" s="15" t="n">
        <v>46136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COMIDA</t>
        </is>
      </c>
      <c r="E131" s="4" t="inlineStr">
        <is>
          <t>COMIDA · pollo</t>
        </is>
      </c>
      <c r="F131" s="5" t="n">
        <v>16140</v>
      </c>
      <c r="G131" s="16" t="n"/>
      <c r="H131" s="4" t="inlineStr">
        <is>
          <t>REAL</t>
        </is>
      </c>
      <c r="I131" s="4" t="inlineStr">
        <is>
          <t>Sin identificar</t>
        </is>
      </c>
      <c r="J131" s="4" t="inlineStr">
        <is>
          <t>COMIDA · pollo · MP · pollo</t>
        </is>
      </c>
      <c r="K131" s="4" t="n">
        <v>135</v>
      </c>
    </row>
    <row r="132">
      <c r="A132" s="15" t="n">
        <v>46137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COMIDA</t>
        </is>
      </c>
      <c r="E132" s="4" t="inlineStr">
        <is>
          <t>COMIDA · Todo Tartas</t>
        </is>
      </c>
      <c r="F132" s="5" t="n">
        <v>11400</v>
      </c>
      <c r="G132" s="16" t="n"/>
      <c r="H132" s="4" t="inlineStr">
        <is>
          <t>REAL</t>
        </is>
      </c>
      <c r="I132" s="4" t="inlineStr">
        <is>
          <t>Sin identificar</t>
        </is>
      </c>
      <c r="J132" s="4" t="inlineStr">
        <is>
          <t>MP · panadería · ex `Todo Tartas`</t>
        </is>
      </c>
      <c r="K132" s="4" t="n">
        <v>134</v>
      </c>
    </row>
    <row r="133">
      <c r="A133" s="15" t="n">
        <v>46140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ENTRETENIMIENTO CENAS</t>
        </is>
      </c>
      <c r="E133" s="4" t="inlineStr">
        <is>
          <t>ENTRETENIMIENTO · Cenas</t>
        </is>
      </c>
      <c r="F133" s="5" t="n">
        <v>277360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ENTRETENIMIENTO · Cenas · Cosi Mi Piace (cena) · Mercado Pago · ALMACEN SOL</t>
        </is>
      </c>
      <c r="K133" s="4" t="n">
        <v>173</v>
      </c>
    </row>
    <row r="134">
      <c r="A134" s="15" t="n">
        <v>46140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ENTRETENIMIENTO CENAS</t>
        </is>
      </c>
      <c r="E134" s="4" t="inlineStr">
        <is>
          <t>ENTRETENIMIENTO · Cenas</t>
        </is>
      </c>
      <c r="F134" s="5" t="n">
        <v>33283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ENTRETENIMIENTO · Cenas · Cosi Mi Piace (propina) · Mercado Pago · ALMACEN SOL</t>
        </is>
      </c>
      <c r="K134" s="4" t="n">
        <v>174</v>
      </c>
    </row>
    <row r="135">
      <c r="A135" s="15" t="n">
        <v>46141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RAMON · COMIDA</t>
        </is>
      </c>
      <c r="E135" s="4" t="inlineStr">
        <is>
          <t>RAMON · Comida</t>
        </is>
      </c>
      <c r="F135" s="5" t="n">
        <v>86747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RAMON · Comida · Kalbby · ALMACEN SOL</t>
        </is>
      </c>
      <c r="K135" s="4" t="n">
        <v>151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COMIDA</t>
        </is>
      </c>
      <c r="E136" s="4" t="inlineStr">
        <is>
          <t>COMIDA · Todo Tartas</t>
        </is>
      </c>
      <c r="F136" s="5" t="n">
        <v>30500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panadería · ex `Todo Tartas`</t>
        </is>
      </c>
      <c r="K136" s="4" t="n">
        <v>133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COMBUSTIBLE</t>
        </is>
      </c>
      <c r="E137" s="4" t="inlineStr">
        <is>
          <t>Combustible — Shell</t>
        </is>
      </c>
      <c r="F137" s="5" t="n">
        <v>27579</v>
      </c>
      <c r="G137" s="16" t="n"/>
      <c r="H137" s="4" t="inlineStr">
        <is>
          <t>REAL</t>
        </is>
      </c>
      <c r="I137" s="4" t="inlineStr">
        <is>
          <t>Sin identificar</t>
        </is>
      </c>
      <c r="J137" s="4" t="inlineStr">
        <is>
          <t>MP · combustible · nafta · combustible</t>
        </is>
      </c>
      <c r="K137" s="4" t="n">
        <v>148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COMBUSTIBLE</t>
        </is>
      </c>
      <c r="E138" s="4" t="inlineStr">
        <is>
          <t>Combustible — Shell</t>
        </is>
      </c>
      <c r="F138" s="5" t="n">
        <v>1307</v>
      </c>
      <c r="G138" s="16" t="n"/>
      <c r="H138" s="4" t="inlineStr">
        <is>
          <t>REAL</t>
        </is>
      </c>
      <c r="I138" s="4" t="inlineStr">
        <is>
          <t>Sin identificar</t>
        </is>
      </c>
      <c r="J138" s="4" t="inlineStr">
        <is>
          <t>MP · combustible · nafta · combustible</t>
        </is>
      </c>
      <c r="K138" s="4" t="n">
        <v>149</v>
      </c>
    </row>
    <row r="139">
      <c r="A139" s="15" t="n">
        <v>46142</v>
      </c>
      <c r="B139" s="4" t="inlineStr">
        <is>
          <t>2026-04</t>
        </is>
      </c>
      <c r="C139" s="4" t="inlineStr">
        <is>
          <t>Abril</t>
        </is>
      </c>
      <c r="D139" s="4" t="inlineStr">
        <is>
          <t>SUPERMERCADO</t>
        </is>
      </c>
      <c r="E139" s="4" t="inlineStr">
        <is>
          <t>PEDIDOS YA · SUPERMERCADO</t>
        </is>
      </c>
      <c r="F139" s="5" t="n">
        <v>57454</v>
      </c>
      <c r="G139" s="16" t="n"/>
      <c r="H139" s="4" t="inlineStr">
        <is>
          <t>REAL</t>
        </is>
      </c>
      <c r="I139" s="4" t="inlineStr">
        <is>
          <t>BBVA</t>
        </is>
      </c>
      <c r="J139" s="4" t="inlineStr">
        <is>
          <t>PEDIDOS YA · SUPERMERCADO · BBVA TC Visa</t>
        </is>
      </c>
      <c r="K139" s="4" t="n">
        <v>152</v>
      </c>
    </row>
    <row r="140">
      <c r="A140" s="15" t="n">
        <v>46142</v>
      </c>
      <c r="B140" s="4" t="inlineStr">
        <is>
          <t>2026-04</t>
        </is>
      </c>
      <c r="C140" s="4" t="inlineStr">
        <is>
          <t>Abril</t>
        </is>
      </c>
      <c r="D140" s="4" t="inlineStr">
        <is>
          <t>SUPERMERCADO</t>
        </is>
      </c>
      <c r="E140" s="4" t="inlineStr">
        <is>
          <t>PEDIDOS YA · SUPERMERCADO · propina</t>
        </is>
      </c>
      <c r="F140" s="5" t="n">
        <v>2000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propina · BBVA TC Visa</t>
        </is>
      </c>
      <c r="K140" s="4" t="n">
        <v>153</v>
      </c>
    </row>
    <row r="141">
      <c r="A141" s="15" t="n">
        <v>46144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CENAS</t>
        </is>
      </c>
      <c r="E141" s="4" t="inlineStr">
        <is>
          <t>ENTRETENIMIENTO · Cenas</t>
        </is>
      </c>
      <c r="F141" s="5" t="n">
        <v>30133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ENTRETENIMIENTO · Cenas · Cosi Mi Piace (cena) · Mercado Pago · ALMACEN SOL</t>
        </is>
      </c>
      <c r="K141" s="4" t="n">
        <v>225</v>
      </c>
    </row>
    <row r="142">
      <c r="A142" s="15" t="n">
        <v>46144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SUPERMERCADO</t>
        </is>
      </c>
      <c r="E142" s="4" t="inlineStr">
        <is>
          <t>PEDIDOS YA · SUPERMERCADO</t>
        </is>
      </c>
      <c r="F142" s="5" t="n">
        <v>278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PEDIDOS YA · SUPERMERCADO · BBVA TC Visa</t>
        </is>
      </c>
      <c r="K142" s="4" t="n">
        <v>200</v>
      </c>
    </row>
    <row r="143">
      <c r="A143" s="15" t="n">
        <v>46145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ENTRETENIMIENTO · TEATRO</t>
        </is>
      </c>
      <c r="E143" s="4" t="inlineStr">
        <is>
          <t>ENTRETENIMIENTO · Teatro</t>
        </is>
      </c>
      <c r="F143" s="5" t="n">
        <v>170000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ENTRETENIMIENTO · Teatro · Plateanet · BBVA VISA · ALMACEN SOL</t>
        </is>
      </c>
      <c r="K143" s="4" t="n">
        <v>217</v>
      </c>
    </row>
    <row r="144">
      <c r="A144" s="15" t="n">
        <v>46145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ENTRETENIMIENTO · TEATRO</t>
        </is>
      </c>
      <c r="E144" s="4" t="inlineStr">
        <is>
          <t>ENTRETENIMIENTO · Teatro</t>
        </is>
      </c>
      <c r="F144" s="5" t="n">
        <v>20400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ENTRETENIMIENTO · Teatro · Plateanet · BBVA VISA · ALMACEN SOL</t>
        </is>
      </c>
      <c r="K144" s="4" t="n">
        <v>218</v>
      </c>
    </row>
    <row r="145">
      <c r="A145" s="15" t="n">
        <v>46147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SUPERMERCADO</t>
        </is>
      </c>
      <c r="E145" s="4" t="inlineStr">
        <is>
          <t>PEDIDOS YA · SUPERMERCADO</t>
        </is>
      </c>
      <c r="F145" s="5" t="n">
        <v>62267</v>
      </c>
      <c r="G145" s="16" t="n"/>
      <c r="H145" s="4" t="inlineStr">
        <is>
          <t>REAL</t>
        </is>
      </c>
      <c r="I145" s="4" t="inlineStr">
        <is>
          <t>BBVA</t>
        </is>
      </c>
      <c r="J145" s="4" t="inlineStr">
        <is>
          <t>PEDIDOS YA · SUPERMERCADO · BBVA TC Visa</t>
        </is>
      </c>
      <c r="K145" s="4" t="n">
        <v>191</v>
      </c>
    </row>
    <row r="146">
      <c r="A146" s="15" t="n">
        <v>46147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 · propina</t>
        </is>
      </c>
      <c r="F146" s="5" t="n">
        <v>1000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propina · BBVA TC Visa</t>
        </is>
      </c>
      <c r="K146" s="4" t="n">
        <v>192</v>
      </c>
    </row>
    <row r="147">
      <c r="A147" s="15" t="n">
        <v>46149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COMIDA</t>
        </is>
      </c>
      <c r="E147" s="4" t="inlineStr">
        <is>
          <t>COMIDA · Dean &amp; Dennys</t>
        </is>
      </c>
      <c r="F147" s="5" t="n">
        <v>6870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MP · comida · ex `Dean &amp; Dennys`</t>
        </is>
      </c>
      <c r="K147" s="4" t="n">
        <v>188</v>
      </c>
    </row>
    <row r="148">
      <c r="A148" s="15" t="n">
        <v>46149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SUPERMERCADO</t>
        </is>
      </c>
      <c r="E148" s="4" t="inlineStr">
        <is>
          <t>PEDIDOS YA · SUPERMERCADO</t>
        </is>
      </c>
      <c r="F148" s="5" t="n">
        <v>9594</v>
      </c>
      <c r="G148" s="16" t="n"/>
      <c r="H148" s="4" t="inlineStr">
        <is>
          <t>REAL</t>
        </is>
      </c>
      <c r="I148" s="4" t="inlineStr">
        <is>
          <t>BBVA</t>
        </is>
      </c>
      <c r="J148" s="4" t="inlineStr">
        <is>
          <t>PEDIDOS YA · SUPERMERCADO · BBVA TC Visa</t>
        </is>
      </c>
      <c r="K148" s="4" t="n">
        <v>201</v>
      </c>
    </row>
    <row r="149">
      <c r="A149" s="15" t="n">
        <v>46151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SUPERMERCADO</t>
        </is>
      </c>
      <c r="E149" s="4" t="inlineStr">
        <is>
          <t>SUPERMERCADO · Coto</t>
        </is>
      </c>
      <c r="F149" s="5" t="n">
        <v>47361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SUPERMERCADO · Coto</t>
        </is>
      </c>
      <c r="K149" s="4" t="n">
        <v>187</v>
      </c>
    </row>
    <row r="150">
      <c r="A150" s="15" t="n">
        <v>46153</v>
      </c>
      <c r="B150" s="4" t="inlineStr">
        <is>
          <t>2026-05</t>
        </is>
      </c>
      <c r="C150" s="4" t="inlineStr">
        <is>
          <t>Septiembre</t>
        </is>
      </c>
      <c r="D150" s="4" t="inlineStr">
        <is>
          <t>COMIDA</t>
        </is>
      </c>
      <c r="E150" s="4" t="inlineStr">
        <is>
          <t>COMIDA · Pescadería Belgrano</t>
        </is>
      </c>
      <c r="F150" s="5" t="n">
        <v>24852</v>
      </c>
      <c r="G150" s="16" t="n"/>
      <c r="H150" s="4" t="inlineStr">
        <is>
          <t>REAL</t>
        </is>
      </c>
      <c r="I150" s="4" t="inlineStr">
        <is>
          <t>Mercado Pago</t>
        </is>
      </c>
      <c r="J150" s="4" t="inlineStr">
        <is>
          <t>AJUSTE SEPT · gasto origen Mayo 11/05/2026 · no se pasó/rindió en el mes de origen por error · COMIDA · Pescadería Belgrano · Mercado Pago · Gmail Pago aprobado · ALMACEN SOL</t>
        </is>
      </c>
      <c r="K150" s="4" t="n">
        <v>413</v>
      </c>
    </row>
    <row r="151">
      <c r="A151" s="15" t="n">
        <v>46153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65700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219</v>
      </c>
    </row>
    <row r="152">
      <c r="A152" s="15" t="n">
        <v>46154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COMIDA · BARRITAS PROTEICAS</t>
        </is>
      </c>
      <c r="E152" s="4" t="inlineStr">
        <is>
          <t>COMIDA · Barritas proteicas</t>
        </is>
      </c>
      <c r="F152" s="5" t="n">
        <v>66527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COMIDA · Barritas proteicas · Enerfit · TC Mercado Pago · SALUD · MERPAGO*ENERFIT · TC Mercado Pago · cuota 6 de 12 · compra 2025-11-26 · ex `SALUD · Enerfit · C.06/12`</t>
        </is>
      </c>
      <c r="K152" s="4" t="n">
        <v>63</v>
      </c>
    </row>
    <row r="153">
      <c r="A153" s="15" t="n">
        <v>46155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RAMON · VETERINARIO</t>
        </is>
      </c>
      <c r="E153" s="4" t="inlineStr">
        <is>
          <t>RAMON · Veterinario</t>
        </is>
      </c>
      <c r="F153" s="5" t="n">
        <v>21600</v>
      </c>
      <c r="G153" s="16" t="n"/>
      <c r="H153" s="4" t="inlineStr">
        <is>
          <t>REAL</t>
        </is>
      </c>
      <c r="I153" s="4" t="inlineStr">
        <is>
          <t>Sin identificar</t>
        </is>
      </c>
      <c r="J153" s="4" t="inlineStr">
        <is>
          <t>RAMON · Veterinario · Valeria Mele / El Perro Verde · ALMACEN SOL</t>
        </is>
      </c>
      <c r="K153" s="4" t="n">
        <v>220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</t>
        </is>
      </c>
      <c r="F154" s="5" t="n">
        <v>43640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BBVA TC Visa</t>
        </is>
      </c>
      <c r="K154" s="4" t="n">
        <v>193</v>
      </c>
    </row>
    <row r="155">
      <c r="A155" s="15" t="n">
        <v>46156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SUPERMERCADO</t>
        </is>
      </c>
      <c r="E155" s="4" t="inlineStr">
        <is>
          <t>PEDIDOS YA · SUPERMERCADO</t>
        </is>
      </c>
      <c r="F155" s="5" t="n">
        <v>821</v>
      </c>
      <c r="G155" s="16" t="n"/>
      <c r="H155" s="4" t="inlineStr">
        <is>
          <t>REAL</t>
        </is>
      </c>
      <c r="I155" s="4" t="inlineStr">
        <is>
          <t>BBVA</t>
        </is>
      </c>
      <c r="J155" s="4" t="inlineStr">
        <is>
          <t>PEDIDOS YA · SUPERMERCADO · BBVA TC Visa</t>
        </is>
      </c>
      <c r="K155" s="4" t="n">
        <v>194</v>
      </c>
    </row>
    <row r="156">
      <c r="A156" s="15" t="n">
        <v>46156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SUPERMERCADO</t>
        </is>
      </c>
      <c r="E156" s="4" t="inlineStr">
        <is>
          <t>PEDIDOS YA · SUPERMERCADO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BBVA</t>
        </is>
      </c>
      <c r="J156" s="4" t="inlineStr">
        <is>
          <t>PEDIDOS YA · SUPERMERCADO · propina · BBVA TC Visa</t>
        </is>
      </c>
      <c r="K156" s="4" t="n">
        <v>202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COMIDA</t>
        </is>
      </c>
      <c r="E157" s="4" t="inlineStr">
        <is>
          <t>PEDIDOS YA · COMIDA</t>
        </is>
      </c>
      <c r="F157" s="5" t="n">
        <v>17519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PEDIDOS YA · COMIDA</t>
        </is>
      </c>
      <c r="K157" s="4" t="n">
        <v>186</v>
      </c>
    </row>
    <row r="158">
      <c r="A158" s="15" t="n">
        <v>46158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COMIDA</t>
        </is>
      </c>
      <c r="E158" s="4" t="inlineStr">
        <is>
          <t>PEDIDOS YA · COMIDA · propina</t>
        </is>
      </c>
      <c r="F158" s="5" t="n">
        <v>1000</v>
      </c>
      <c r="G158" s="16" t="n"/>
      <c r="H158" s="4" t="inlineStr">
        <is>
          <t>REAL</t>
        </is>
      </c>
      <c r="I158" s="4" t="inlineStr">
        <is>
          <t>Sin identificar</t>
        </is>
      </c>
      <c r="J158" s="4" t="inlineStr">
        <is>
          <t>PEDIDOS YA · COMIDA · propina</t>
        </is>
      </c>
      <c r="K158" s="4" t="n">
        <v>185</v>
      </c>
    </row>
    <row r="159">
      <c r="A159" s="15" t="n">
        <v>46158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90000</v>
      </c>
      <c r="G159" s="16" t="n"/>
      <c r="H159" s="4" t="inlineStr">
        <is>
          <t>REAL</t>
        </is>
      </c>
      <c r="I159" s="4" t="inlineStr">
        <is>
          <t>Sin identificar</t>
        </is>
      </c>
      <c r="J159" s="4" t="inlineStr">
        <is>
          <t>RAMON · Veterinario · Valeria Mele / El Perro Verde · ALMACEN SOL</t>
        </is>
      </c>
      <c r="K159" s="4" t="n">
        <v>221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SUPERMERCADO</t>
        </is>
      </c>
      <c r="E160" s="4" t="inlineStr">
        <is>
          <t>PEDIDOS YA · SUPERMERCADO</t>
        </is>
      </c>
      <c r="F160" s="5" t="n">
        <v>84857</v>
      </c>
      <c r="G160" s="16" t="n"/>
      <c r="H160" s="4" t="inlineStr">
        <is>
          <t>REAL</t>
        </is>
      </c>
      <c r="I160" s="4" t="inlineStr">
        <is>
          <t>BBVA</t>
        </is>
      </c>
      <c r="J160" s="4" t="inlineStr">
        <is>
          <t>PEDIDOS YA · SUPERMERCADO · BBVA TC Visa</t>
        </is>
      </c>
      <c r="K160" s="4" t="n">
        <v>195</v>
      </c>
    </row>
    <row r="161">
      <c r="A161" s="15" t="n">
        <v>46160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SUPERMERCADO</t>
        </is>
      </c>
      <c r="E161" s="4" t="inlineStr">
        <is>
          <t>PEDIDOS YA · SUPERMERCADO · propina</t>
        </is>
      </c>
      <c r="F161" s="5" t="n">
        <v>1200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PEDIDOS YA · SUPERMERCADO · propina · BBVA TC Visa</t>
        </is>
      </c>
      <c r="K161" s="4" t="n">
        <v>196</v>
      </c>
    </row>
    <row r="162">
      <c r="A162" s="15" t="n">
        <v>46160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RAMON · VETERINARIO</t>
        </is>
      </c>
      <c r="E162" s="4" t="inlineStr">
        <is>
          <t>RAMON · Veterinario</t>
        </is>
      </c>
      <c r="F162" s="5" t="n">
        <v>79924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RAMON · Veterinario · Leocan · Mercado Pago · ALMACEN SOL</t>
        </is>
      </c>
      <c r="K162" s="4" t="n">
        <v>226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COMIDA</t>
        </is>
      </c>
      <c r="E163" s="4" t="inlineStr">
        <is>
          <t>COMIDA · Todo Tartas</t>
        </is>
      </c>
      <c r="F163" s="5" t="n">
        <v>3480</v>
      </c>
      <c r="G163" s="16" t="n"/>
      <c r="H163" s="4" t="inlineStr">
        <is>
          <t>REAL</t>
        </is>
      </c>
      <c r="I163" s="4" t="inlineStr">
        <is>
          <t>Sin identificar</t>
        </is>
      </c>
      <c r="J163" s="4" t="inlineStr">
        <is>
          <t>MP · panadería · ex `Todo Tartas`</t>
        </is>
      </c>
      <c r="K163" s="4" t="n">
        <v>184</v>
      </c>
    </row>
    <row r="164">
      <c r="A164" s="15" t="n">
        <v>46162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ENTRETENIMIENTO · CINE</t>
        </is>
      </c>
      <c r="E164" s="4" t="inlineStr">
        <is>
          <t>ENTRETENIMIENTO · Cine</t>
        </is>
      </c>
      <c r="F164" s="5" t="n">
        <v>62200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ENTRETENIMIENTO · Cine · Hoyts · BBVA MASTERCARD</t>
        </is>
      </c>
      <c r="K164" s="4" t="n">
        <v>16</v>
      </c>
    </row>
    <row r="165">
      <c r="A165" s="15" t="n">
        <v>46162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</t>
        </is>
      </c>
      <c r="F165" s="5" t="n">
        <v>1936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BBVA TC Visa</t>
        </is>
      </c>
      <c r="K165" s="4" t="n">
        <v>203</v>
      </c>
    </row>
    <row r="166">
      <c r="A166" s="15" t="n">
        <v>46163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SUPERMERCADO</t>
        </is>
      </c>
      <c r="E166" s="4" t="inlineStr">
        <is>
          <t>PEDIDOS YA · SUPERMERCADO</t>
        </is>
      </c>
      <c r="F166" s="5" t="n">
        <v>18339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PEDIDOS YA · SUPERMERCADO · BBVA TC Visa</t>
        </is>
      </c>
      <c r="K166" s="4" t="n">
        <v>197</v>
      </c>
    </row>
    <row r="167">
      <c r="A167" s="15" t="n">
        <v>46163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SUPERMERCADO</t>
        </is>
      </c>
      <c r="E167" s="4" t="inlineStr">
        <is>
          <t>PEDIDOS YA · SUPERMERCADO · propina</t>
        </is>
      </c>
      <c r="F167" s="5" t="n">
        <v>900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PEDIDOS YA · SUPERMERCADO · propina · BBVA TC Visa</t>
        </is>
      </c>
      <c r="K167" s="4" t="n">
        <v>198</v>
      </c>
    </row>
    <row r="168">
      <c r="A168" s="15" t="n">
        <v>46164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ENTRETENIMIENTO · SALIDAS COMIDA</t>
        </is>
      </c>
      <c r="E168" s="4" t="inlineStr">
        <is>
          <t>ENTRETENIMIENTO · Salidas comida</t>
        </is>
      </c>
      <c r="F168" s="5" t="n">
        <v>154100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ENTRETENIMIENTO · Salidas comida · Hotel Madero (cena) · BBVA · ALMACEN SOL</t>
        </is>
      </c>
      <c r="K168" s="4" t="n">
        <v>223</v>
      </c>
    </row>
    <row r="169">
      <c r="A169" s="15" t="n">
        <v>46164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ENTRETENIMIENTO · SALIDAS COMIDA</t>
        </is>
      </c>
      <c r="E169" s="4" t="inlineStr">
        <is>
          <t>ENTRETENIMIENTO · Salidas comida</t>
        </is>
      </c>
      <c r="F169" s="5" t="n">
        <v>15410</v>
      </c>
      <c r="G169" s="16" t="n"/>
      <c r="H169" s="4" t="inlineStr">
        <is>
          <t>REAL</t>
        </is>
      </c>
      <c r="I169" s="4" t="inlineStr">
        <is>
          <t>BBVA</t>
        </is>
      </c>
      <c r="J169" s="4" t="inlineStr">
        <is>
          <t>ENTRETENIMIENTO · Salidas comida · Hotel Madero (propina) · BBVA · ALMACEN SOL</t>
        </is>
      </c>
      <c r="K169" s="4" t="n">
        <v>224</v>
      </c>
    </row>
    <row r="170">
      <c r="A170" s="15" t="n">
        <v>46165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COMIDA · Arredondo</t>
        </is>
      </c>
      <c r="F170" s="5" t="n">
        <v>10290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MP · Arredondo · QR tienda (almacén OK)</t>
        </is>
      </c>
      <c r="K170" s="4" t="n">
        <v>183</v>
      </c>
    </row>
    <row r="171">
      <c r="A171" s="15" t="n">
        <v>46165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RAMON · VETERINARIO</t>
        </is>
      </c>
      <c r="E171" s="4" t="inlineStr">
        <is>
          <t>RAMON · Veterinario</t>
        </is>
      </c>
      <c r="F171" s="5" t="n">
        <v>112500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RAMON · Veterinario · Valeria Mele / El Perro Verde · ALMACEN SOL</t>
        </is>
      </c>
      <c r="K171" s="4" t="n">
        <v>222</v>
      </c>
    </row>
    <row r="172">
      <c r="A172" s="15" t="n">
        <v>46166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PEDIDOS YA · COMIDA</t>
        </is>
      </c>
      <c r="F172" s="5" t="n">
        <v>21618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PEDIDOS YA · COMIDA</t>
        </is>
      </c>
      <c r="K172" s="4" t="n">
        <v>182</v>
      </c>
    </row>
    <row r="173">
      <c r="A173" s="15" t="n">
        <v>46166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COMIDA</t>
        </is>
      </c>
      <c r="E173" s="4" t="inlineStr">
        <is>
          <t>PEDIDOS YA · COMIDA · propina</t>
        </is>
      </c>
      <c r="F173" s="5" t="n">
        <v>1100</v>
      </c>
      <c r="G173" s="16" t="n"/>
      <c r="H173" s="4" t="inlineStr">
        <is>
          <t>REAL</t>
        </is>
      </c>
      <c r="I173" s="4" t="inlineStr">
        <is>
          <t>Sin identificar</t>
        </is>
      </c>
      <c r="J173" s="4" t="inlineStr">
        <is>
          <t>PEDIDOS YA · COMIDA · propina</t>
        </is>
      </c>
      <c r="K173" s="4" t="n">
        <v>181</v>
      </c>
    </row>
    <row r="174">
      <c r="A174" s="15" t="n">
        <v>46168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Todo Tartas</t>
        </is>
      </c>
      <c r="F174" s="5" t="n">
        <v>8730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panadería · ex `Todo Tartas`</t>
        </is>
      </c>
      <c r="K174" s="4" t="n">
        <v>180</v>
      </c>
    </row>
    <row r="175">
      <c r="A175" s="15" t="n">
        <v>46168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ENTRETENIMIENTO · RECITALES</t>
        </is>
      </c>
      <c r="E175" s="4" t="inlineStr">
        <is>
          <t>ENTRETENIMIENTO · Recitales</t>
        </is>
      </c>
      <c r="F175" s="5" t="n">
        <v>19000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ENTRETENIMIENTO · Recitales · Movistar Arena · Mercado Pago</t>
        </is>
      </c>
      <c r="K175" s="4" t="n">
        <v>11</v>
      </c>
    </row>
    <row r="176">
      <c r="A176" s="15" t="n">
        <v>46169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RAMON · OTROS</t>
        </is>
      </c>
      <c r="E176" s="4" t="inlineStr">
        <is>
          <t>RAMON · Otros</t>
        </is>
      </c>
      <c r="F176" s="5" t="n">
        <v>11100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RAMON · Otros · Paws Pet Market · PetShop · Mercado Pago · ALMACEN SOL</t>
        </is>
      </c>
      <c r="K176" s="4" t="n">
        <v>227</v>
      </c>
    </row>
    <row r="177">
      <c r="A177" s="15" t="n">
        <v>46170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COMIDA</t>
        </is>
      </c>
      <c r="E177" s="4" t="inlineStr">
        <is>
          <t>COMIDA · Tienda De Café</t>
        </is>
      </c>
      <c r="F177" s="5" t="n">
        <v>18900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café · ex `Tienda De Café`</t>
        </is>
      </c>
      <c r="K177" s="4" t="n">
        <v>179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18314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combustible · nafta · combustible</t>
        </is>
      </c>
      <c r="K178" s="4" t="n">
        <v>189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COMBUSTIBLE</t>
        </is>
      </c>
      <c r="E179" s="4" t="inlineStr">
        <is>
          <t>Combustible — Shell</t>
        </is>
      </c>
      <c r="F179" s="5" t="n">
        <v>1415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MP · combustible · nafta · combustible</t>
        </is>
      </c>
      <c r="K179" s="4" t="n">
        <v>190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COMBUSTIBLE</t>
        </is>
      </c>
      <c r="E180" s="4" t="inlineStr">
        <is>
          <t>Combustible — Shell</t>
        </is>
      </c>
      <c r="F180" s="5" t="n">
        <v>25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Shell · pago QR</t>
        </is>
      </c>
      <c r="K180" s="4" t="n">
        <v>204</v>
      </c>
    </row>
    <row r="181">
      <c r="A181" s="15" t="n">
        <v>46172</v>
      </c>
      <c r="B181" s="4" t="inlineStr">
        <is>
          <t>2026-05</t>
        </is>
      </c>
      <c r="C181" s="4" t="inlineStr">
        <is>
          <t>Mayo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24333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178</v>
      </c>
    </row>
    <row r="182">
      <c r="A182" s="15" t="n">
        <v>46172</v>
      </c>
      <c r="B182" s="4" t="inlineStr">
        <is>
          <t>2026-05</t>
        </is>
      </c>
      <c r="C182" s="4" t="inlineStr">
        <is>
          <t>Mayo</t>
        </is>
      </c>
      <c r="D182" s="4" t="inlineStr">
        <is>
          <t>SUPERMERCADO</t>
        </is>
      </c>
      <c r="E182" s="4" t="inlineStr">
        <is>
          <t>SUPERMERCADO · Carrefour</t>
        </is>
      </c>
      <c r="F182" s="5" t="n">
        <v>175276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SUPERMERCADO · Carrefour · BBVA VISA · MERPAGO*CARREFOUR 122905</t>
        </is>
      </c>
      <c r="K182" s="4" t="n">
        <v>199</v>
      </c>
    </row>
    <row r="183">
      <c r="A183" s="15" t="n">
        <v>46174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COMIDA</t>
        </is>
      </c>
      <c r="E183" s="4" t="inlineStr">
        <is>
          <t>COMIDA · Huevos Point</t>
        </is>
      </c>
      <c r="F183" s="5" t="n">
        <v>7500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MP · huevos · ex `Huevos Point`</t>
        </is>
      </c>
      <c r="K183" s="4" t="n">
        <v>245</v>
      </c>
    </row>
    <row r="184">
      <c r="A184" s="15" t="n">
        <v>46175</v>
      </c>
      <c r="B184" s="4" t="inlineStr">
        <is>
          <t>2026-06</t>
        </is>
      </c>
      <c r="C184" s="4" t="inlineStr">
        <is>
          <t>Septiembre</t>
        </is>
      </c>
      <c r="D184" s="4" t="inlineStr">
        <is>
          <t>COMIDA</t>
        </is>
      </c>
      <c r="E184" s="4" t="inlineStr">
        <is>
          <t>COMIDA · Pescadería Belgrano</t>
        </is>
      </c>
      <c r="F184" s="5" t="n">
        <v>32046</v>
      </c>
      <c r="G184" s="16" t="n"/>
      <c r="H184" s="4" t="inlineStr">
        <is>
          <t>REAL</t>
        </is>
      </c>
      <c r="I184" s="4" t="inlineStr">
        <is>
          <t>Mercado Pago</t>
        </is>
      </c>
      <c r="J184" s="4" t="inlineStr">
        <is>
          <t>AJUSTE SEPT · gasto origen Junio 02/06/2026 · no se pasó/rindió en el mes de origen por error · COMIDA · Pescadería Belgrano · Mercado Pago · Gmail Pago aprobado · ALMACEN SOL</t>
        </is>
      </c>
      <c r="K184" s="4" t="n">
        <v>414</v>
      </c>
    </row>
    <row r="185">
      <c r="A185" s="15" t="n">
        <v>46176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Carrefour</t>
        </is>
      </c>
      <c r="F185" s="5" t="n">
        <v>23943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Carrefour</t>
        </is>
      </c>
      <c r="K185" s="4" t="n">
        <v>246</v>
      </c>
    </row>
    <row r="186">
      <c r="A186" s="15" t="n">
        <v>46178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Le Pain Quotidien</t>
        </is>
      </c>
      <c r="F186" s="5" t="n">
        <v>3432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 VISA · ex `COMIDA · MERPAGO*LPQ 757067`</t>
        </is>
      </c>
      <c r="K186" s="4" t="n">
        <v>251</v>
      </c>
    </row>
    <row r="187">
      <c r="A187" s="15" t="n">
        <v>46180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SUPERMERCADO</t>
        </is>
      </c>
      <c r="E187" s="4" t="inlineStr">
        <is>
          <t>SUPERMERCADO · Coto</t>
        </is>
      </c>
      <c r="F187" s="5" t="n">
        <v>348208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SUPERMERCADO · Coto · MP Orden de Venta (único pago 7-jun)</t>
        </is>
      </c>
      <c r="K187" s="4" t="n">
        <v>247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COMIDA · Huevos Point</t>
        </is>
      </c>
      <c r="F188" s="5" t="n">
        <v>10500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MP · huevos · ex `Huevos Point`</t>
        </is>
      </c>
      <c r="K188" s="4" t="n">
        <v>248</v>
      </c>
    </row>
    <row r="189">
      <c r="A189" s="15" t="n">
        <v>46184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28384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244</v>
      </c>
    </row>
    <row r="190">
      <c r="A190" s="15" t="n">
        <v>46184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1200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243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 · BARRITAS PROTEICAS</t>
        </is>
      </c>
      <c r="E191" s="4" t="inlineStr">
        <is>
          <t>COMIDA · Barritas proteicas</t>
        </is>
      </c>
      <c r="F191" s="5" t="n">
        <v>66527</v>
      </c>
      <c r="G191" s="16" t="n"/>
      <c r="H191" s="4" t="inlineStr">
        <is>
          <t>REAL</t>
        </is>
      </c>
      <c r="I191" s="4" t="inlineStr">
        <is>
          <t>TC Mercado Pago</t>
        </is>
      </c>
      <c r="J191" s="4" t="inlineStr">
        <is>
          <t>COMIDA · Barritas proteicas · Enerfit · TC Mercado Pago · SALUD · MERPAGO*ENERFIT · TC Mercado Pago · cuota 7 de 12 · compra 2025-11-26 · ex `SALUD · Enerfit · C.07/12`</t>
        </is>
      </c>
      <c r="K191" s="4" t="n">
        <v>88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FARMACIA</t>
        </is>
      </c>
      <c r="E192" s="4" t="inlineStr">
        <is>
          <t>FARMACIA · Farmacity</t>
        </is>
      </c>
      <c r="F192" s="5" t="n">
        <v>85034</v>
      </c>
      <c r="G192" s="16" t="n"/>
      <c r="H192" s="4" t="inlineStr">
        <is>
          <t>REAL</t>
        </is>
      </c>
      <c r="I192" s="4" t="inlineStr">
        <is>
          <t>TC Mercado Pago</t>
        </is>
      </c>
      <c r="J192" s="4" t="inlineStr">
        <is>
          <t>FARMACIA · Farmacity · TC Mercado Pago · compra 2026-05-29 · cobro resumen 2026-06-12 · ex CASA/FARMACIA matriz</t>
        </is>
      </c>
      <c r="K192" s="4" t="n">
        <v>252</v>
      </c>
    </row>
    <row r="193">
      <c r="A193" s="15" t="n">
        <v>46185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17189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242</v>
      </c>
    </row>
    <row r="194">
      <c r="A194" s="15" t="n">
        <v>46185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900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</t>
        </is>
      </c>
      <c r="K194" s="4" t="n">
        <v>241</v>
      </c>
    </row>
    <row r="195">
      <c r="A195" s="15" t="n">
        <v>46186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Todo Tartas</t>
        </is>
      </c>
      <c r="F195" s="5" t="n">
        <v>11700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panadería · ex `Todo Tartas`</t>
        </is>
      </c>
      <c r="K195" s="4" t="n">
        <v>240</v>
      </c>
    </row>
    <row r="196">
      <c r="A196" s="15" t="n">
        <v>46186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RAMON · COMIDA</t>
        </is>
      </c>
      <c r="E196" s="4" t="inlineStr">
        <is>
          <t>RAMON · Comida</t>
        </is>
      </c>
      <c r="F196" s="5" t="n">
        <v>65000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RAMON · Comida · DR BARF · ALMACEN SOL</t>
        </is>
      </c>
      <c r="K196" s="4" t="n">
        <v>250</v>
      </c>
    </row>
    <row r="197">
      <c r="A197" s="15" t="n">
        <v>46189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68899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</t>
        </is>
      </c>
      <c r="K197" s="4" t="n">
        <v>239</v>
      </c>
    </row>
    <row r="198">
      <c r="A198" s="15" t="n">
        <v>46189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1200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 · MP cuenta</t>
        </is>
      </c>
      <c r="K198" s="4" t="n">
        <v>269</v>
      </c>
    </row>
    <row r="199">
      <c r="A199" s="15" t="n">
        <v>46191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COMIDA · Tienda De Café</t>
        </is>
      </c>
      <c r="F199" s="5" t="n">
        <v>18700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café · ex `Tienda De Café`</t>
        </is>
      </c>
      <c r="K199" s="4" t="n">
        <v>238</v>
      </c>
    </row>
    <row r="200">
      <c r="A200" s="15" t="n">
        <v>46192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Todo Tartas</t>
        </is>
      </c>
      <c r="F200" s="5" t="n">
        <v>28000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MP · panadería · ex `Todo Tartas`</t>
        </is>
      </c>
      <c r="K200" s="4" t="n">
        <v>237</v>
      </c>
    </row>
    <row r="201">
      <c r="A201" s="15" t="n">
        <v>46193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PEDIDOS YA · COMIDA</t>
        </is>
      </c>
      <c r="F201" s="5" t="n">
        <v>52902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PEDIDOS YA · COMIDA · neto</t>
        </is>
      </c>
      <c r="K201" s="4" t="n">
        <v>236</v>
      </c>
    </row>
    <row r="202">
      <c r="A202" s="15" t="n">
        <v>46193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PEDIDOS YA · COMIDA · propina</t>
        </is>
      </c>
      <c r="F202" s="5" t="n">
        <v>1500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PEDIDOS YA · COMIDA · propina</t>
        </is>
      </c>
      <c r="K202" s="4" t="n">
        <v>235</v>
      </c>
    </row>
    <row r="203">
      <c r="A203" s="15" t="n">
        <v>46194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COMBUSTIBLE</t>
        </is>
      </c>
      <c r="E203" s="4" t="inlineStr">
        <is>
          <t>Combustible — Shell</t>
        </is>
      </c>
      <c r="F203" s="5" t="n">
        <v>1648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combustible · nafta · combustible</t>
        </is>
      </c>
      <c r="K203" s="4" t="n">
        <v>249</v>
      </c>
    </row>
    <row r="204">
      <c r="A204" s="15" t="n">
        <v>46195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40939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234</v>
      </c>
    </row>
    <row r="205">
      <c r="A205" s="15" t="n">
        <v>46196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Buenos Muchachos</t>
        </is>
      </c>
      <c r="F205" s="5" t="n">
        <v>64750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COMIDA · Buenos Muchachos Resto · MP cuenta</t>
        </is>
      </c>
      <c r="K205" s="4" t="n">
        <v>270</v>
      </c>
    </row>
    <row r="206">
      <c r="A206" s="15" t="n">
        <v>46197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pollo</t>
        </is>
      </c>
      <c r="F206" s="5" t="n">
        <v>17154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COMIDA · pollo · MP · pollo</t>
        </is>
      </c>
      <c r="K206" s="4" t="n">
        <v>233</v>
      </c>
    </row>
    <row r="207">
      <c r="A207" s="15" t="n">
        <v>46199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Todo Tartas</t>
        </is>
      </c>
      <c r="F207" s="5" t="n">
        <v>23700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panadería · ex `Todo Tartas`</t>
        </is>
      </c>
      <c r="K207" s="4" t="n">
        <v>232</v>
      </c>
    </row>
    <row r="208">
      <c r="A208" s="15" t="n">
        <v>46199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RAMON · VETERINARIO</t>
        </is>
      </c>
      <c r="E208" s="4" t="inlineStr">
        <is>
          <t>RAMON · Veterinario</t>
        </is>
      </c>
      <c r="F208" s="5" t="n">
        <v>48600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RAMON · Veterinario · Valeria Mele / El Perro Verde · ALMACEN SOL</t>
        </is>
      </c>
      <c r="K208" s="4" t="n">
        <v>272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COMIDA</t>
        </is>
      </c>
      <c r="E209" s="4" t="inlineStr">
        <is>
          <t>COMIDA · Confitería Dos Escudos</t>
        </is>
      </c>
      <c r="F209" s="5" t="n">
        <v>40600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MP · confitería · ex `Confitería Dos Escudos`</t>
        </is>
      </c>
      <c r="K209" s="4" t="n">
        <v>231</v>
      </c>
    </row>
    <row r="210">
      <c r="A210" s="15" t="n">
        <v>46200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COMIDA</t>
        </is>
      </c>
      <c r="E210" s="4" t="inlineStr">
        <is>
          <t>COMIDA · Open 25</t>
        </is>
      </c>
      <c r="F210" s="5" t="n">
        <v>17000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tienda · ex `Open 25`</t>
        </is>
      </c>
      <c r="K210" s="4" t="n">
        <v>230</v>
      </c>
    </row>
    <row r="211">
      <c r="A211" s="15" t="n">
        <v>46200</v>
      </c>
      <c r="B211" s="4" t="inlineStr">
        <is>
          <t>2026-06</t>
        </is>
      </c>
      <c r="C211" s="4" t="inlineStr">
        <is>
          <t>Junio</t>
        </is>
      </c>
      <c r="D211" s="4" t="inlineStr">
        <is>
          <t>ENTRETENIMIENTO SOCIAL</t>
        </is>
      </c>
      <c r="E211" s="4" t="inlineStr">
        <is>
          <t>ENTRETENIMIENTO · Social</t>
        </is>
      </c>
      <c r="F211" s="5" t="n">
        <v>206700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ENTRETENIMIENTO · Social · Belisario Roldán · Mercado Pago</t>
        </is>
      </c>
      <c r="K211" s="4" t="n">
        <v>132</v>
      </c>
    </row>
    <row r="212">
      <c r="A212" s="15" t="n">
        <v>46202</v>
      </c>
      <c r="B212" s="4" t="inlineStr">
        <is>
          <t>2026-06</t>
        </is>
      </c>
      <c r="C212" s="4" t="inlineStr">
        <is>
          <t>Junio</t>
        </is>
      </c>
      <c r="D212" s="4" t="inlineStr">
        <is>
          <t>STREAMING TV</t>
        </is>
      </c>
      <c r="E212" s="4" t="inlineStr">
        <is>
          <t>STREAMING TV</t>
        </is>
      </c>
      <c r="F212" s="5" t="n">
        <v>12900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STREAMING TV · Directv streaming · ALMACEN SOL · resumen MP</t>
        </is>
      </c>
      <c r="K212" s="4" t="n">
        <v>271</v>
      </c>
    </row>
    <row r="213">
      <c r="A213" s="15" t="n">
        <v>46205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RAMON · VETERINARIO</t>
        </is>
      </c>
      <c r="E213" s="4" t="inlineStr">
        <is>
          <t>RAMON · Veterinario</t>
        </is>
      </c>
      <c r="F213" s="5" t="n">
        <v>106650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RAMON · Veterinario · Valeria Mele / El Perro Verde · ALMACEN SOL</t>
        </is>
      </c>
      <c r="K213" s="4" t="n">
        <v>311</v>
      </c>
    </row>
    <row r="214">
      <c r="A214" s="15" t="n">
        <v>46206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Todo Tartas</t>
        </is>
      </c>
      <c r="F214" s="5" t="n">
        <v>9690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MP · panadería · ex `Todo Tartas`</t>
        </is>
      </c>
      <c r="K214" s="4" t="n">
        <v>284</v>
      </c>
    </row>
    <row r="215">
      <c r="A215" s="15" t="n">
        <v>46207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PEDIDOS YA · COMIDA</t>
        </is>
      </c>
      <c r="F215" s="5" t="n">
        <v>31799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PEDIDOS YA · COMIDA</t>
        </is>
      </c>
      <c r="K215" s="4" t="n">
        <v>283</v>
      </c>
    </row>
    <row r="216">
      <c r="A216" s="15" t="n">
        <v>46207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PEDIDOS YA · COMIDA · propina</t>
        </is>
      </c>
      <c r="F216" s="5" t="n">
        <v>1200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PEDIDOS YA · COMIDA · propina</t>
        </is>
      </c>
      <c r="K216" s="4" t="n">
        <v>282</v>
      </c>
    </row>
    <row r="217">
      <c r="A217" s="15" t="n">
        <v>46207</v>
      </c>
      <c r="B217" s="4" t="inlineStr">
        <is>
          <t>2026-07</t>
        </is>
      </c>
      <c r="C217" s="4" t="inlineStr">
        <is>
          <t>Septiembre</t>
        </is>
      </c>
      <c r="D217" s="4" t="inlineStr">
        <is>
          <t>RAMON · COMIDA</t>
        </is>
      </c>
      <c r="E217" s="4" t="inlineStr">
        <is>
          <t>RAMON · Comida</t>
        </is>
      </c>
      <c r="F217" s="5" t="n">
        <v>149500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AJUSTE SEPT · gasto origen Julio 04/07/2026 · no se pasó/rindió en el mes de origen por error · RAMON · Comida · DR BARF · pedido #462 · checkout $149.500 · ALMACEN SOL</t>
        </is>
      </c>
      <c r="K217" s="4" t="n">
        <v>415</v>
      </c>
    </row>
    <row r="218">
      <c r="A218" s="15" t="n">
        <v>46209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Le Pain Quotidien</t>
        </is>
      </c>
      <c r="F218" s="5" t="n">
        <v>3295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panadería · ex `Le Pain Quotidien`</t>
        </is>
      </c>
      <c r="K218" s="4" t="n">
        <v>281</v>
      </c>
    </row>
    <row r="219">
      <c r="A219" s="15" t="n">
        <v>46212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VALENTI SA</t>
        </is>
      </c>
      <c r="F219" s="5" t="n">
        <v>26400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VALENTI SA</t>
        </is>
      </c>
      <c r="K219" s="4" t="n">
        <v>279</v>
      </c>
    </row>
    <row r="220">
      <c r="A220" s="15" t="n">
        <v>46214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SUSHI</t>
        </is>
      </c>
      <c r="F220" s="5" t="n">
        <v>195360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SUSHI</t>
        </is>
      </c>
      <c r="K220" s="4" t="n">
        <v>287</v>
      </c>
    </row>
    <row r="221">
      <c r="A221" s="15" t="n">
        <v>46214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VALENTI SA</t>
        </is>
      </c>
      <c r="F221" s="5" t="n">
        <v>11375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COMIDA · VALENTI SA</t>
        </is>
      </c>
      <c r="K221" s="4" t="n">
        <v>278</v>
      </c>
    </row>
    <row r="222">
      <c r="A222" s="15" t="n">
        <v>46215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 · BARRITAS PROTEICAS</t>
        </is>
      </c>
      <c r="E222" s="4" t="inlineStr">
        <is>
          <t>COMIDA · Barritas proteicas</t>
        </is>
      </c>
      <c r="F222" s="5" t="n">
        <v>66527</v>
      </c>
      <c r="G222" s="16" t="n"/>
      <c r="H222" s="4" t="inlineStr">
        <is>
          <t>REAL</t>
        </is>
      </c>
      <c r="I222" s="4" t="inlineStr">
        <is>
          <t>TC Mercado Pago</t>
        </is>
      </c>
      <c r="J222" s="4" t="inlineStr">
        <is>
          <t>COMIDA · Barritas proteicas · Enerfit · TC Mercado Pago · SALUD · MERPAGO*ENERFIT · TC Mercado Pago · cuota 8 de 12 · compra 2025-11-26 · ex `SALUD · Enerfit · C.08/12`</t>
        </is>
      </c>
      <c r="K222" s="4" t="n">
        <v>92</v>
      </c>
    </row>
    <row r="223">
      <c r="A223" s="15" t="n">
        <v>46216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Carnes Tito</t>
        </is>
      </c>
      <c r="F223" s="5" t="n">
        <v>8160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carnicería · ex `Carnes Tito`</t>
        </is>
      </c>
      <c r="K223" s="4" t="n">
        <v>277</v>
      </c>
    </row>
    <row r="224">
      <c r="A224" s="15" t="n">
        <v>46217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8977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</t>
        </is>
      </c>
      <c r="K224" s="4" t="n">
        <v>286</v>
      </c>
    </row>
    <row r="225">
      <c r="A225" s="15" t="n">
        <v>46220</v>
      </c>
      <c r="B225" s="4" t="inlineStr">
        <is>
          <t>2026-07</t>
        </is>
      </c>
      <c r="C225" s="4" t="inlineStr">
        <is>
          <t>Julio</t>
        </is>
      </c>
      <c r="D225" s="4" t="inlineStr">
        <is>
          <t>COMIDA</t>
        </is>
      </c>
      <c r="E225" s="4" t="inlineStr">
        <is>
          <t>COMIDA · Chocolates CHIAZZA</t>
        </is>
      </c>
      <c r="F225" s="5" t="n">
        <v>8000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COMIDA · Chocolates CHIAZZA</t>
        </is>
      </c>
      <c r="K225" s="4" t="n">
        <v>285</v>
      </c>
    </row>
    <row r="226">
      <c r="A226" s="15" t="n">
        <v>46220</v>
      </c>
      <c r="B226" s="4" t="inlineStr">
        <is>
          <t>2026-07</t>
        </is>
      </c>
      <c r="C226" s="4" t="inlineStr">
        <is>
          <t>Julio</t>
        </is>
      </c>
      <c r="D226" s="4" t="inlineStr">
        <is>
          <t>COMIDA</t>
        </is>
      </c>
      <c r="E226" s="4" t="inlineStr">
        <is>
          <t>PEDIDOS YA · COMIDA</t>
        </is>
      </c>
      <c r="F226" s="5" t="n">
        <v>73345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</t>
        </is>
      </c>
      <c r="K226" s="4" t="n">
        <v>276</v>
      </c>
    </row>
    <row r="227">
      <c r="A227" s="15" t="n">
        <v>46221</v>
      </c>
      <c r="B227" s="4" t="inlineStr">
        <is>
          <t>2026-07</t>
        </is>
      </c>
      <c r="C227" s="4" t="inlineStr">
        <is>
          <t>Julio</t>
        </is>
      </c>
      <c r="D227" s="4" t="inlineStr">
        <is>
          <t>COMIDA</t>
        </is>
      </c>
      <c r="E227" s="4" t="inlineStr">
        <is>
          <t>COMIDA · pollo</t>
        </is>
      </c>
      <c r="F227" s="5" t="n">
        <v>34293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COMIDA · pollo · MP · pollo · BBVA Visa crédito</t>
        </is>
      </c>
      <c r="K227" s="4" t="n">
        <v>275</v>
      </c>
    </row>
    <row r="228">
      <c r="A228" s="15" t="n">
        <v>46224</v>
      </c>
      <c r="B228" s="4" t="inlineStr">
        <is>
          <t>2026-07</t>
        </is>
      </c>
      <c r="C228" s="4" t="inlineStr">
        <is>
          <t>Julio</t>
        </is>
      </c>
      <c r="D228" s="4" t="inlineStr">
        <is>
          <t>COMIDA</t>
        </is>
      </c>
      <c r="E228" s="4" t="inlineStr">
        <is>
          <t>COMIDA · Todo Tartas</t>
        </is>
      </c>
      <c r="F228" s="5" t="n">
        <v>57600</v>
      </c>
      <c r="G228" s="16" t="n"/>
      <c r="H228" s="4" t="inlineStr">
        <is>
          <t>REAL</t>
        </is>
      </c>
      <c r="I228" s="4" t="inlineStr">
        <is>
          <t>Sin identificar</t>
        </is>
      </c>
      <c r="J228" s="4" t="inlineStr">
        <is>
          <t>MP · panadería · ex `Todo Tartas`</t>
        </is>
      </c>
      <c r="K228" s="4" t="n">
        <v>289</v>
      </c>
    </row>
    <row r="229">
      <c r="A229" s="15" t="n">
        <v>46235</v>
      </c>
      <c r="B229" s="4" t="inlineStr">
        <is>
          <t>2026-08</t>
        </is>
      </c>
      <c r="C229" s="4" t="inlineStr">
        <is>
          <t>Septiembre</t>
        </is>
      </c>
      <c r="D229" s="4" t="inlineStr">
        <is>
          <t>RAMON · COMIDA</t>
        </is>
      </c>
      <c r="E229" s="4" t="inlineStr">
        <is>
          <t>RAMON · Comida</t>
        </is>
      </c>
      <c r="F229" s="5" t="n">
        <v>176000</v>
      </c>
      <c r="G229" s="16" t="n"/>
      <c r="H229" s="4" t="inlineStr">
        <is>
          <t>REAL</t>
        </is>
      </c>
      <c r="I229" s="4" t="inlineStr">
        <is>
          <t>BBVA</t>
        </is>
      </c>
      <c r="J229" s="4" t="inlineStr">
        <is>
          <t>AJUSTE SEPT · gasto origen Agosto 01/08/2026 · no se pasó/rindió en el mes de origen por error · RAMON · Comida · DR BARF · Gibiana Cova · BBVA · ALMACEN SOL</t>
        </is>
      </c>
      <c r="K229" s="4" t="n">
        <v>416</v>
      </c>
    </row>
    <row r="230">
      <c r="A230" s="15" t="n">
        <v>46245</v>
      </c>
      <c r="B230" s="4" t="inlineStr">
        <is>
          <t>2026-08</t>
        </is>
      </c>
      <c r="C230" s="4" t="inlineStr">
        <is>
          <t>Agosto</t>
        </is>
      </c>
      <c r="D230" s="4" t="inlineStr">
        <is>
          <t>COMIDA</t>
        </is>
      </c>
      <c r="E230" s="4" t="inlineStr">
        <is>
          <t>COMIDA · VERDULERÍA</t>
        </is>
      </c>
      <c r="F230" s="5" t="n">
        <v>8900</v>
      </c>
      <c r="G230" s="16" t="n"/>
      <c r="H230" s="4" t="inlineStr">
        <is>
          <t>REAL</t>
        </is>
      </c>
      <c r="I230" s="4" t="inlineStr">
        <is>
          <t>Sin identificar</t>
        </is>
      </c>
      <c r="J230" s="4" t="inlineStr">
        <is>
          <t>COMIDA · VERDULERÍA · Agosto</t>
        </is>
      </c>
      <c r="K230" s="4" t="n">
        <v>314</v>
      </c>
    </row>
    <row r="231">
      <c r="A231" s="15" t="n">
        <v>46256</v>
      </c>
      <c r="B231" s="4" t="inlineStr">
        <is>
          <t>2026-08</t>
        </is>
      </c>
      <c r="C231" s="4" t="inlineStr">
        <is>
          <t>Septiembre</t>
        </is>
      </c>
      <c r="D231" s="4" t="inlineStr">
        <is>
          <t>RAMON · OTROS</t>
        </is>
      </c>
      <c r="E231" s="4" t="inlineStr">
        <is>
          <t>RAMON · Otros</t>
        </is>
      </c>
      <c r="F231" s="5" t="n">
        <v>77200</v>
      </c>
      <c r="G231" s="16" t="n"/>
      <c r="H231" s="4" t="inlineStr">
        <is>
          <t>REAL</t>
        </is>
      </c>
      <c r="I231" s="4" t="inlineStr">
        <is>
          <t>BBVA</t>
        </is>
      </c>
      <c r="J231" s="4" t="inlineStr">
        <is>
          <t>AJUSTE SEPT · gasto origen Agosto 22/08/2026 · no se pasó/rindió en el mes de origen por error · RAMON · Otros · Paws Pet Market · PetShop · BBVA VISA · 3 cuotas · ALMACEN SOL</t>
        </is>
      </c>
      <c r="K231" s="4" t="n">
        <v>418</v>
      </c>
    </row>
    <row r="232">
      <c r="A232" s="15" t="n">
        <v>46268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</t>
        </is>
      </c>
      <c r="F232" s="5" t="n">
        <v>16149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screenshot · dinero en cuenta MP screenshot</t>
        </is>
      </c>
      <c r="K232" s="4" t="n">
        <v>359</v>
      </c>
    </row>
    <row r="233">
      <c r="A233" s="15" t="n">
        <v>46268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 · propina</t>
        </is>
      </c>
      <c r="F233" s="5" t="n">
        <v>800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propina · screenshot · dinero en cuenta MP screenshot</t>
        </is>
      </c>
      <c r="K233" s="4" t="n">
        <v>360</v>
      </c>
    </row>
    <row r="234">
      <c r="A234" s="15" t="n">
        <v>46268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SUPERMERCADO</t>
        </is>
      </c>
      <c r="E234" s="4" t="inlineStr">
        <is>
          <t>SUPERMERCADO · Día</t>
        </is>
      </c>
      <c r="F234" s="5" t="n">
        <v>41139</v>
      </c>
      <c r="G234" s="16" t="n"/>
      <c r="H234" s="4" t="inlineStr">
        <is>
          <t>REAL</t>
        </is>
      </c>
      <c r="I234" s="4" t="inlineStr">
        <is>
          <t>BBVA</t>
        </is>
      </c>
      <c r="J234" s="4" t="inlineStr">
        <is>
          <t>SUPERMERCADO · Día · BBVA VISA · MERPAGO*SUPERDIA · Gmail Compra aprobada · REVISAR vs settlement</t>
        </is>
      </c>
      <c r="K234" s="4" t="n">
        <v>356</v>
      </c>
    </row>
    <row r="235">
      <c r="A235" s="15" t="n">
        <v>46269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COMIDA · Pescadería Belgrano</t>
        </is>
      </c>
      <c r="F235" s="5" t="n">
        <v>6213</v>
      </c>
      <c r="G235" s="16" t="n"/>
      <c r="H235" s="4" t="inlineStr">
        <is>
          <t>REAL</t>
        </is>
      </c>
      <c r="I235" s="4" t="inlineStr">
        <is>
          <t>Mercado Pago</t>
        </is>
      </c>
      <c r="J235" s="4" t="inlineStr">
        <is>
          <t>COMIDA · Pescadería Belgrano · Mercado Pago · Gmail Pago aprobado · ALMACEN SOL (pescadería siempre Almacén CIUDAD)</t>
        </is>
      </c>
      <c r="K235" s="4" t="n">
        <v>358</v>
      </c>
    </row>
    <row r="236">
      <c r="A236" s="15" t="n">
        <v>46271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AL PASO</t>
        </is>
      </c>
      <c r="F236" s="5" t="n">
        <v>8700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AL PASO · Mercado Pago · dinero en cuenta MP screenshot</t>
        </is>
      </c>
      <c r="K236" s="4" t="n">
        <v>361</v>
      </c>
    </row>
    <row r="237">
      <c r="A237" s="15" t="n">
        <v>46272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McDonald's</t>
        </is>
      </c>
      <c r="F237" s="5" t="n">
        <v>2040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McDonald's · Mercado Pago · dinero en cuenta MP screenshot</t>
        </is>
      </c>
      <c r="K237" s="4" t="n">
        <v>362</v>
      </c>
    </row>
    <row r="238">
      <c r="A238" s="15" t="n">
        <v>46273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ENTRETENIMIENTO SOCIAL</t>
        </is>
      </c>
      <c r="E238" s="4" t="inlineStr">
        <is>
          <t>ENTRETENIMIENTO · Social</t>
        </is>
      </c>
      <c r="F238" s="5" t="n">
        <v>8248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ENTRETENIMIENTO · Social · la monumental · Mercado Pago · dinero en cuenta MP screenshot</t>
        </is>
      </c>
      <c r="K238" s="4" t="n">
        <v>363</v>
      </c>
    </row>
    <row r="239">
      <c r="A239" s="15" t="n">
        <v>46273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REPUESTOS</t>
        </is>
      </c>
      <c r="E239" s="4" t="inlineStr">
        <is>
          <t>REPUESTOS · Sodastream</t>
        </is>
      </c>
      <c r="F239" s="5" t="n">
        <v>88659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REPUESTOS · Sodastream · Mercado Pago · Gmail Pago aprobado · REVISAR vs settlement</t>
        </is>
      </c>
      <c r="K239" s="4" t="n">
        <v>357</v>
      </c>
    </row>
    <row r="240">
      <c r="A240" s="15" t="n">
        <v>46274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</t>
        </is>
      </c>
      <c r="F240" s="5" t="n">
        <v>39819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screenshot · dinero en cuenta MP screenshot</t>
        </is>
      </c>
      <c r="K240" s="4" t="n">
        <v>364</v>
      </c>
    </row>
    <row r="241">
      <c r="A241" s="15" t="n">
        <v>46274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 · propina</t>
        </is>
      </c>
      <c r="F241" s="5" t="n">
        <v>900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propina · screenshot · dinero en cuenta MP screenshot</t>
        </is>
      </c>
      <c r="K241" s="4" t="n">
        <v>365</v>
      </c>
    </row>
    <row r="242">
      <c r="A242" s="15" t="n">
        <v>46275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RAMON · COMIDA</t>
        </is>
      </c>
      <c r="E242" s="4" t="inlineStr">
        <is>
          <t>RAMON · Comida</t>
        </is>
      </c>
      <c r="F242" s="5" t="n">
        <v>131000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RAMON · Comida · DR BARF · Cova Abreu Gibiana Del Valle · transferencia MP · ALMACEN SOL</t>
        </is>
      </c>
      <c r="K242" s="4" t="n">
        <v>410</v>
      </c>
    </row>
    <row r="243">
      <c r="A243" s="15" t="n">
        <v>46277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 · BARRITAS PROTEICAS</t>
        </is>
      </c>
      <c r="E243" s="4" t="inlineStr">
        <is>
          <t>COMIDA · Barritas proteicas</t>
        </is>
      </c>
      <c r="F243" s="5" t="n">
        <v>66527</v>
      </c>
      <c r="G243" s="16" t="n"/>
      <c r="H243" s="4" t="inlineStr">
        <is>
          <t>REAL</t>
        </is>
      </c>
      <c r="I243" s="4" t="inlineStr">
        <is>
          <t>TC Mercado Pago</t>
        </is>
      </c>
      <c r="J243" s="4" t="inlineStr">
        <is>
          <t>COMIDA · Barritas proteicas · Enerfit · TC Mercado Pago · C.10/12 · compra 2025-11-26 · cierre 2026-09-12</t>
        </is>
      </c>
      <c r="K243" s="4" t="n">
        <v>379</v>
      </c>
    </row>
    <row r="244">
      <c r="A244" s="15" t="n">
        <v>46277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COMIDA · McDonald's</t>
        </is>
      </c>
      <c r="F244" s="5" t="n">
        <v>8010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COMIDA · McDonald's · Mercado Pago · dinero en cuenta MP screenshot</t>
        </is>
      </c>
      <c r="K244" s="4" t="n">
        <v>367</v>
      </c>
    </row>
    <row r="245">
      <c r="A245" s="15" t="n">
        <v>46277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STREAMING TV</t>
        </is>
      </c>
      <c r="E245" s="4" t="inlineStr">
        <is>
          <t>STREAMING TV</t>
        </is>
      </c>
      <c r="F245" s="5" t="n">
        <v>97393</v>
      </c>
      <c r="G245" s="16" t="n"/>
      <c r="H245" s="4" t="inlineStr">
        <is>
          <t>REAL</t>
        </is>
      </c>
      <c r="I245" s="4" t="inlineStr">
        <is>
          <t>TC Mercado Pago</t>
        </is>
      </c>
      <c r="J245" s="4" t="inlineStr">
        <is>
          <t>STREAMING TV · HBO Max · TC Mercado Pago · compra 2026-09-05 · cierre 2026-09-12</t>
        </is>
      </c>
      <c r="K245" s="4" t="n">
        <v>380</v>
      </c>
    </row>
    <row r="246">
      <c r="A246" s="15" t="n">
        <v>46278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COMIDA · VERDULERÍA</t>
        </is>
      </c>
      <c r="F246" s="5" t="n">
        <v>5900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COMIDA · VERDULERÍA · Noelia Caballero · Mercado Pago · dinero en cuenta MP screenshot</t>
        </is>
      </c>
      <c r="K246" s="4" t="n">
        <v>368</v>
      </c>
    </row>
    <row r="247">
      <c r="A247" s="15" t="n">
        <v>46280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CASAARISTOBULO017</t>
        </is>
      </c>
      <c r="F247" s="5" t="n">
        <v>43667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CASAARISTOBULO017 · QR · Mercado Pago · dinero en cuenta MP screenshot</t>
        </is>
      </c>
      <c r="K247" s="4" t="n">
        <v>371</v>
      </c>
    </row>
    <row r="248">
      <c r="A248" s="15" t="n">
        <v>46280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PEDIDOS YA · COMIDA</t>
        </is>
      </c>
      <c r="F248" s="5" t="n">
        <v>26019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PEDIDOS YA · COMIDA · screenshot · dinero en cuenta MP screenshot</t>
        </is>
      </c>
      <c r="K248" s="4" t="n">
        <v>369</v>
      </c>
    </row>
    <row r="249">
      <c r="A249" s="15" t="n">
        <v>46280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PEDIDOS YA · COMIDA · propina</t>
        </is>
      </c>
      <c r="F249" s="5" t="n">
        <v>1050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PEDIDOS YA · COMIDA · propina · screenshot · dinero en cuenta MP screenshot</t>
        </is>
      </c>
      <c r="K249" s="4" t="n">
        <v>370</v>
      </c>
    </row>
    <row r="250">
      <c r="A250" s="15" t="n">
        <v>46282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COMIDA</t>
        </is>
      </c>
      <c r="E250" s="4" t="inlineStr">
        <is>
          <t>COMIDA · McDonald's</t>
        </is>
      </c>
      <c r="F250" s="5" t="n">
        <v>1900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COMIDA · McDonald's · Mercado Pago · dinero en cuenta MP screenshot</t>
        </is>
      </c>
      <c r="K250" s="4" t="n">
        <v>372</v>
      </c>
    </row>
    <row r="251">
      <c r="A251" s="15" t="n">
        <v>46284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ENTRETENIMIENTO SOCIAL</t>
        </is>
      </c>
      <c r="E251" s="4" t="inlineStr">
        <is>
          <t>ENTRETENIMIENTO · Social</t>
        </is>
      </c>
      <c r="F251" s="5" t="n">
        <v>33359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ENTRETENIMIENTO · Social · la monumental · Mercado Pago · dinero en cuenta MP screenshot</t>
        </is>
      </c>
      <c r="K251" s="4" t="n">
        <v>373</v>
      </c>
    </row>
    <row r="252">
      <c r="A252" s="15" t="n">
        <v>46288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ENTRETENIMIENTO · SALIDAS COMIDA</t>
        </is>
      </c>
      <c r="E252" s="4" t="inlineStr">
        <is>
          <t>ENTRETENIMIENTO · Salidas comida</t>
        </is>
      </c>
      <c r="F252" s="5" t="n">
        <v>16598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ENTRETENIMIENTO · Salidas comida · Estancia San Francisco Devoto · Mercado Pago · dinero en cuenta MP screenshot</t>
        </is>
      </c>
      <c r="K252" s="4" t="n">
        <v>376</v>
      </c>
    </row>
    <row r="253">
      <c r="A253" s="15" t="n">
        <v>46288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COMIDA</t>
        </is>
      </c>
      <c r="E253" s="4" t="inlineStr">
        <is>
          <t>PEDIDOS YA · COMIDA</t>
        </is>
      </c>
      <c r="F253" s="5" t="n">
        <v>23964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PEDIDOS YA · COMIDA · screenshot · dinero en cuenta MP screenshot</t>
        </is>
      </c>
      <c r="K253" s="4" t="n">
        <v>374</v>
      </c>
    </row>
    <row r="254">
      <c r="A254" s="15" t="n">
        <v>46288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COMIDA</t>
        </is>
      </c>
      <c r="E254" s="4" t="inlineStr">
        <is>
          <t>PEDIDOS YA · COMIDA · propina</t>
        </is>
      </c>
      <c r="F254" s="5" t="n">
        <v>850</v>
      </c>
      <c r="G254" s="16" t="n"/>
      <c r="H254" s="4" t="inlineStr">
        <is>
          <t>REAL</t>
        </is>
      </c>
      <c r="I254" s="4" t="inlineStr">
        <is>
          <t>Sin identificar</t>
        </is>
      </c>
      <c r="J254" s="4" t="inlineStr">
        <is>
          <t>PEDIDOS YA · COMIDA · propina · screenshot · dinero en cuenta MP screenshot</t>
        </is>
      </c>
      <c r="K254" s="4" t="n">
        <v>375</v>
      </c>
    </row>
    <row r="255">
      <c r="A255" s="15" t="n">
        <v>46290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RAMON · OTROS</t>
        </is>
      </c>
      <c r="E255" s="4" t="inlineStr">
        <is>
          <t>RAMON · Otros</t>
        </is>
      </c>
      <c r="F255" s="5" t="n">
        <v>47900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RAMON · Otros · Paws Pet Market · PetShop · Mercado Pago · dinero en cuenta MP screenshot</t>
        </is>
      </c>
      <c r="K255" s="4" t="n">
        <v>377</v>
      </c>
    </row>
    <row r="256">
      <c r="A256" s="15" t="n">
        <v>46292</v>
      </c>
      <c r="B256" s="4" t="inlineStr">
        <is>
          <t>2026-09</t>
        </is>
      </c>
      <c r="C256" s="4" t="inlineStr">
        <is>
          <t>Septiembre</t>
        </is>
      </c>
      <c r="D256" s="4" t="inlineStr">
        <is>
          <t>COMIDA</t>
        </is>
      </c>
      <c r="E256" s="4" t="inlineStr">
        <is>
          <t>COMIDA · Open 25</t>
        </is>
      </c>
      <c r="F256" s="5" t="n">
        <v>6700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COMIDA · Open 25 · Mercado Pago · dinero en cuenta MP screenshot</t>
        </is>
      </c>
      <c r="K256" s="4" t="n">
        <v>378</v>
      </c>
    </row>
    <row r="257">
      <c r="A257" s="15" t="n">
        <v>46293</v>
      </c>
      <c r="B257" s="4" t="inlineStr">
        <is>
          <t>2026-09</t>
        </is>
      </c>
      <c r="C257" s="4" t="inlineStr">
        <is>
          <t>Septiembre</t>
        </is>
      </c>
      <c r="D257" s="4" t="inlineStr">
        <is>
          <t>COMIDA</t>
        </is>
      </c>
      <c r="E257" s="4" t="inlineStr">
        <is>
          <t>COMIDA · pollo</t>
        </is>
      </c>
      <c r="F257" s="5" t="n">
        <v>10900</v>
      </c>
      <c r="G257" s="16" t="n"/>
      <c r="H257" s="4" t="inlineStr">
        <is>
          <t>REAL</t>
        </is>
      </c>
      <c r="I257" s="4" t="inlineStr">
        <is>
          <t>Sin identificar</t>
        </is>
      </c>
      <c r="J257" s="4" t="inlineStr">
        <is>
          <t>COMIDA · pollo · Súper Pollo · QR · resumen oficial cuenta MP 1–30 sep 2026</t>
        </is>
      </c>
      <c r="K257" s="4" t="n">
        <v>381</v>
      </c>
    </row>
    <row r="258">
      <c r="A258" s="15" t="n">
        <v>46295</v>
      </c>
      <c r="B258" s="4" t="inlineStr">
        <is>
          <t>2026-09</t>
        </is>
      </c>
      <c r="C258" s="4" t="inlineStr">
        <is>
          <t>Septiembre</t>
        </is>
      </c>
      <c r="D258" s="4" t="inlineStr">
        <is>
          <t>COMBUSTIBLE</t>
        </is>
      </c>
      <c r="E258" s="4" t="inlineStr">
        <is>
          <t>Combustible — Shell</t>
        </is>
      </c>
      <c r="F258" s="5" t="n">
        <v>1039</v>
      </c>
      <c r="G258" s="16" t="n"/>
      <c r="H258" s="4" t="inlineStr">
        <is>
          <t>REAL</t>
        </is>
      </c>
      <c r="I258" s="4" t="inlineStr">
        <is>
          <t>Sin identificar</t>
        </is>
      </c>
      <c r="J258" s="4" t="inlineStr">
        <is>
          <t>Combustible — Shell · QR · resumen oficial cuenta MP 1–30 sep 2026</t>
        </is>
      </c>
      <c r="K258" s="4" t="n">
        <v>382</v>
      </c>
    </row>
    <row r="259">
      <c r="A259" s="15" t="n">
        <v>46295</v>
      </c>
      <c r="B259" s="4" t="inlineStr">
        <is>
          <t>2026-09</t>
        </is>
      </c>
      <c r="C259" s="4" t="inlineStr">
        <is>
          <t>Septiembre</t>
        </is>
      </c>
      <c r="D259" s="4" t="inlineStr">
        <is>
          <t>COMBUSTIBLE</t>
        </is>
      </c>
      <c r="E259" s="4" t="inlineStr">
        <is>
          <t>Combustible — Shell</t>
        </is>
      </c>
      <c r="F259" s="5" t="n">
        <v>288</v>
      </c>
      <c r="G259" s="16" t="n"/>
      <c r="H259" s="4" t="inlineStr">
        <is>
          <t>REAL</t>
        </is>
      </c>
      <c r="I259" s="4" t="inlineStr">
        <is>
          <t>Sin identificar</t>
        </is>
      </c>
      <c r="J259" s="4" t="inlineStr">
        <is>
          <t>Combustible — Shell · QR · ceil 287.50 · resumen oficial cuenta MP 1–30 sep 2026</t>
        </is>
      </c>
      <c r="K259" s="4" t="n">
        <v>383</v>
      </c>
    </row>
    <row r="260">
      <c r="A260" s="15" t="n">
        <v>46295</v>
      </c>
      <c r="B260" s="4" t="inlineStr">
        <is>
          <t>2026-09</t>
        </is>
      </c>
      <c r="C260" s="4" t="inlineStr">
        <is>
          <t>Septiembre</t>
        </is>
      </c>
      <c r="D260" s="4" t="inlineStr">
        <is>
          <t>COMBUSTIBLE</t>
        </is>
      </c>
      <c r="E260" s="4" t="inlineStr">
        <is>
          <t>Combustible — Shell</t>
        </is>
      </c>
      <c r="F260" s="5" t="n">
        <v>1126</v>
      </c>
      <c r="G260" s="16" t="n"/>
      <c r="H260" s="4" t="inlineStr">
        <is>
          <t>REAL</t>
        </is>
      </c>
      <c r="I260" s="4" t="inlineStr">
        <is>
          <t>Sin identificar</t>
        </is>
      </c>
      <c r="J260" s="4" t="inlineStr">
        <is>
          <t>Combustible — Shell · QR · resumen oficial cuenta MP 1–30 sep 2026</t>
        </is>
      </c>
      <c r="K260" s="4" t="n">
        <v>384</v>
      </c>
    </row>
    <row r="261">
      <c r="A261" s="15" t="n">
        <v>46295</v>
      </c>
      <c r="B261" s="4" t="inlineStr">
        <is>
          <t>2026-09</t>
        </is>
      </c>
      <c r="C261" s="4" t="inlineStr">
        <is>
          <t>Septiembre</t>
        </is>
      </c>
      <c r="D261" s="4" t="inlineStr">
        <is>
          <t>COMBUSTIBLE</t>
        </is>
      </c>
      <c r="E261" s="4" t="inlineStr">
        <is>
          <t>Combustible — Shell</t>
        </is>
      </c>
      <c r="F261" s="5" t="n">
        <v>62548</v>
      </c>
      <c r="G261" s="16" t="n"/>
      <c r="H261" s="4" t="inlineStr">
        <is>
          <t>REAL</t>
        </is>
      </c>
      <c r="I261" s="4" t="inlineStr">
        <is>
          <t>Sin identificar</t>
        </is>
      </c>
      <c r="J261" s="4" t="inlineStr">
        <is>
          <t>Combustible — Shell · QR · ceil 62547.50 · resumen oficial cuenta MP 1–30 sep 2026</t>
        </is>
      </c>
      <c r="K261" s="4" t="n">
        <v>385</v>
      </c>
    </row>
    <row r="262">
      <c r="A262" s="15" t="n">
        <v>46307</v>
      </c>
      <c r="B262" s="4" t="inlineStr">
        <is>
          <t>2026-10</t>
        </is>
      </c>
      <c r="C262" s="4" t="inlineStr">
        <is>
          <t>Octubre</t>
        </is>
      </c>
      <c r="D262" s="4" t="inlineStr">
        <is>
          <t>RAMON · COMIDA</t>
        </is>
      </c>
      <c r="E262" s="4" t="inlineStr">
        <is>
          <t>RAMON · Comida</t>
        </is>
      </c>
      <c r="F262" s="5" t="n">
        <v>139100</v>
      </c>
      <c r="G262" s="16" t="n"/>
      <c r="H262" s="4" t="inlineStr">
        <is>
          <t>REAL</t>
        </is>
      </c>
      <c r="I262" s="4" t="inlineStr">
        <is>
          <t>Sin identificar</t>
        </is>
      </c>
      <c r="J262" s="4" t="inlineStr">
        <is>
          <t>RAMON · Comida · Almacén CIUDAD · carga 12/10/2026 · ALMACEN SOL</t>
        </is>
      </c>
      <c r="K262" s="4" t="n">
        <v>428</v>
      </c>
    </row>
  </sheetData>
  <autoFilter ref="A1:K26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0.001847681671453806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0.2237590239016221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0.00211694225974842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103</v>
      </c>
      <c r="E8" s="5" t="n">
        <v>2009006</v>
      </c>
      <c r="F8" s="20" t="n">
        <v>0.01977720596107818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0.005239280244947593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0.004754784445243449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0.0113215355350932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0.005309528985736946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0.002444402197194752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0.0006123138560955333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0.004597276057823376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0.001832098185373432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0.001874349810298867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0.00350571340017963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0.002353244217975385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0.007609240040537934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0.03937709685501822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0.0005528642841186695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0.06055256383686967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0.04658617699304124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0.008374031859930312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0.02909743992561194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 / Gibiana Cova)</t>
        </is>
      </c>
      <c r="D29" s="4" t="n">
        <v>10</v>
      </c>
      <c r="E29" s="5" t="n">
        <v>994427</v>
      </c>
      <c r="F29" s="20" t="n">
        <v>0.0097894120735613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(PetShop) y otros de Ramón (no comida ni veterinario)</t>
        </is>
      </c>
      <c r="D30" s="4" t="n">
        <v>7</v>
      </c>
      <c r="E30" s="5" t="n">
        <v>279500</v>
      </c>
      <c r="F30" s="20" t="n">
        <v>0.002751474642744398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0.007901742960251222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0.001394894278992165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0.06864615201299853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0.02390137604446273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0.01384010449421438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0.02027351488983883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0.001085754535857631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0.02677051929688413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0.001562778531433535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0.01019671891915539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0.006463681538831744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0.009551357834524286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0.0720498984208721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789</v>
      </c>
      <c r="C7" s="4" t="inlineStr">
        <is>
          <t>ARS 97,592,560</t>
        </is>
      </c>
    </row>
    <row r="8">
      <c r="A8" s="4" t="inlineStr">
        <is>
          <t>Movimientos Almacén Sol</t>
        </is>
      </c>
      <c r="B8" s="4" t="n">
        <v>261</v>
      </c>
      <c r="C8" s="4" t="inlineStr">
        <is>
          <t>ARS 9,736,669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2026-10-12T22:44:16Z</dcterms:created>
  <dcterms:modified xsi:type="dcterms:W3CDTF">2026-10-12T22:44:18Z</dcterms:modified>
</cp:coreProperties>
</file>
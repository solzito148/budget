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Sol'!$A$1:$O$1046</definedName>
    <definedName name="_xlnm._FilterDatabase" localSheetId="2" hidden="1">'Gastos Personales'!$A$1:$L$886</definedName>
    <definedName name="_xlnm._FilterDatabase" localSheetId="3" hidden="1">'Almacén Sol'!$A$1:$K$253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46" headerRowCount="1">
  <autoFilter ref="A1:O1046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6" headerRowCount="1">
  <autoFilter ref="A1:L886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3" headerRowCount="1">
  <autoFilter ref="A1:K25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91161898</v>
      </c>
      <c r="C5" s="4" t="inlineStr">
        <is>
          <t>779 movimientos</t>
        </is>
      </c>
    </row>
    <row r="6">
      <c r="A6" s="4" t="inlineStr">
        <is>
          <t>Almacén Sol real 2026</t>
        </is>
      </c>
      <c r="B6" s="5" t="n">
        <v>8969693</v>
      </c>
      <c r="C6" s="4" t="inlineStr">
        <is>
          <t>252 movimientos</t>
        </is>
      </c>
    </row>
    <row r="7">
      <c r="A7" s="6" t="inlineStr">
        <is>
          <t>Total real Sol 2026</t>
        </is>
      </c>
      <c r="B7" s="7" t="n">
        <v>100131591</v>
      </c>
      <c r="C7" s="4" t="inlineStr">
        <is>
          <t>1031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642671</v>
      </c>
      <c r="D21" s="5" t="n">
        <v>11967999</v>
      </c>
      <c r="E21" s="5" t="n">
        <v>1564269</v>
      </c>
      <c r="F21" s="5" t="n">
        <v>13532268</v>
      </c>
    </row>
    <row r="22">
      <c r="A22" s="4" t="inlineStr">
        <is>
          <t>Agosto</t>
        </is>
      </c>
      <c r="B22" s="5" t="n">
        <v>886832</v>
      </c>
      <c r="C22" s="5" t="n">
        <v>8900</v>
      </c>
      <c r="D22" s="5" t="n">
        <v>895732</v>
      </c>
      <c r="E22" s="5" t="n">
        <v>1608575</v>
      </c>
      <c r="F22" s="5" t="n">
        <v>2504307</v>
      </c>
    </row>
    <row r="23">
      <c r="A23" s="4" t="inlineStr">
        <is>
          <t>Septiembre</t>
        </is>
      </c>
      <c r="B23" s="5" t="n">
        <v>14276320</v>
      </c>
      <c r="C23" s="5" t="n">
        <v>668405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46224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ALMACÉN SOL</t>
        </is>
      </c>
      <c r="F890" s="4" t="inlineStr">
        <is>
          <t>COMIDA</t>
        </is>
      </c>
      <c r="G890" s="4" t="inlineStr">
        <is>
          <t>COMIDA · Todo Tartas</t>
        </is>
      </c>
      <c r="H890" s="5" t="n">
        <v>57600</v>
      </c>
      <c r="I890" s="16" t="n"/>
      <c r="J890" s="4" t="inlineStr">
        <is>
          <t>REAL</t>
        </is>
      </c>
      <c r="K890" s="17" t="n"/>
      <c r="L890" s="4" t="inlineStr">
        <is>
          <t>Sin identificar</t>
        </is>
      </c>
      <c r="M890" s="4" t="inlineStr">
        <is>
          <t>MP · panadería · ex `Todo Tartas`</t>
        </is>
      </c>
      <c r="N890" s="4" t="inlineStr">
        <is>
          <t>CIUDAD / Almacen Detalle</t>
        </is>
      </c>
      <c r="O890" s="4" t="n">
        <v>289</v>
      </c>
    </row>
    <row r="891">
      <c r="A891" s="4" t="n">
        <v>890</v>
      </c>
      <c r="B891" s="15" t="n">
        <v>46235</v>
      </c>
      <c r="C891" s="4" t="inlineStr">
        <is>
          <t>2026-08</t>
        </is>
      </c>
      <c r="D891" s="4" t="inlineStr">
        <is>
          <t>Agosto</t>
        </is>
      </c>
      <c r="E891" s="4" t="inlineStr">
        <is>
          <t>GASTO PERSONAL</t>
        </is>
      </c>
      <c r="F891" s="4" t="inlineStr">
        <is>
          <t>VESTIMENTA</t>
        </is>
      </c>
      <c r="G891" s="4" t="inlineStr">
        <is>
          <t>VESTIMENTA</t>
        </is>
      </c>
      <c r="H891" s="5" t="n">
        <v>176000</v>
      </c>
      <c r="I891" s="16" t="n"/>
      <c r="J891" s="4" t="inlineStr">
        <is>
          <t>REAL</t>
        </is>
      </c>
      <c r="K891" s="4" t="inlineStr">
        <is>
          <t>BBVA Crédito ****3200</t>
        </is>
      </c>
      <c r="L891" s="4" t="inlineStr">
        <is>
          <t>BBVA</t>
        </is>
      </c>
      <c r="M891" s="4" t="inlineStr">
        <is>
          <t>VESTIMENTA · Gibiana Cova · Gmail Pago aprobado · distinto de transferencia $131.000 · gasto personal Sol</t>
        </is>
      </c>
      <c r="N891" s="4" t="inlineStr">
        <is>
          <t>CIUDAD / Gasto Personal Sol</t>
        </is>
      </c>
      <c r="O891" s="4" t="n">
        <v>953</v>
      </c>
    </row>
    <row r="892">
      <c r="A892" s="4" t="n">
        <v>891</v>
      </c>
      <c r="B892" s="15" t="n">
        <v>46237</v>
      </c>
      <c r="C892" s="4" t="inlineStr">
        <is>
          <t>2026-08</t>
        </is>
      </c>
      <c r="D892" s="4" t="inlineStr">
        <is>
          <t>Agosto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11010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</t>
        </is>
      </c>
      <c r="N892" s="4" t="inlineStr">
        <is>
          <t>CIUDAD / Gasto Personal Sol</t>
        </is>
      </c>
      <c r="O892" s="4" t="n">
        <v>944</v>
      </c>
    </row>
    <row r="893">
      <c r="A893" s="4" t="n">
        <v>892</v>
      </c>
      <c r="B893" s="15" t="n">
        <v>46239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VESTIMENTA</t>
        </is>
      </c>
      <c r="G893" s="4" t="inlineStr">
        <is>
          <t>VESTIMENTA</t>
        </is>
      </c>
      <c r="H893" s="5" t="n">
        <v>152000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VESTIMENTA · Renová tu vestidor · Gmail Pago aprobado · gasto personal Sol</t>
        </is>
      </c>
      <c r="N893" s="4" t="inlineStr">
        <is>
          <t>CIUDAD / Gasto Personal Sol</t>
        </is>
      </c>
      <c r="O893" s="4" t="n">
        <v>945</v>
      </c>
    </row>
    <row r="894">
      <c r="A894" s="4" t="n">
        <v>893</v>
      </c>
      <c r="B894" s="15" t="n">
        <v>46243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SALUD</t>
        </is>
      </c>
      <c r="G894" s="4" t="inlineStr">
        <is>
          <t>SALUD</t>
        </is>
      </c>
      <c r="H894" s="5" t="n">
        <v>22222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SALUD · Siendo Consciencia · Gmail Pago aprobado · REVISAR ítem</t>
        </is>
      </c>
      <c r="N894" s="4" t="inlineStr">
        <is>
          <t>CIUDAD / Gasto Personal Sol</t>
        </is>
      </c>
      <c r="O894" s="4" t="n">
        <v>946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24000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Lorena Ferreyra · Gmail Pago aprobado · REVISAR ítem</t>
        </is>
      </c>
      <c r="N895" s="4" t="inlineStr">
        <is>
          <t>CIUDAD / Gasto Personal Sol</t>
        </is>
      </c>
      <c r="O895" s="4" t="n">
        <v>947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75000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948</v>
      </c>
    </row>
    <row r="897">
      <c r="A897" s="4" t="n">
        <v>896</v>
      </c>
      <c r="B897" s="15" t="n">
        <v>46244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COMIDA · OFICINA</t>
        </is>
      </c>
      <c r="G897" s="4" t="inlineStr">
        <is>
          <t>COMIDA · Oficina</t>
        </is>
      </c>
      <c r="H897" s="5" t="n">
        <v>13600</v>
      </c>
      <c r="I897" s="16" t="n"/>
      <c r="J897" s="4" t="inlineStr">
        <is>
          <t>REAL</t>
        </is>
      </c>
      <c r="K897" s="4" t="inlineStr">
        <is>
          <t>TC Mercado Pago</t>
        </is>
      </c>
      <c r="L897" s="4" t="inlineStr">
        <is>
          <t>TC Mercado Pago</t>
        </is>
      </c>
      <c r="M897" s="4" t="inlineStr">
        <is>
          <t>COMIDA · Oficina · Copetin Catering · Gmail Pago aprobado</t>
        </is>
      </c>
      <c r="N897" s="4" t="inlineStr">
        <is>
          <t>CIUDAD / Gasto Personal Sol</t>
        </is>
      </c>
      <c r="O897" s="4" t="n">
        <v>950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SALUD</t>
        </is>
      </c>
      <c r="G898" s="4" t="inlineStr">
        <is>
          <t>SALUD</t>
        </is>
      </c>
      <c r="H898" s="5" t="n">
        <v>356000</v>
      </c>
      <c r="I898" s="16" t="n"/>
      <c r="J898" s="4" t="inlineStr">
        <is>
          <t>REAL</t>
        </is>
      </c>
      <c r="K898" s="4" t="inlineStr">
        <is>
          <t>BBVA Crédito ****3200</t>
        </is>
      </c>
      <c r="L898" s="4" t="inlineStr">
        <is>
          <t>BBVA</t>
        </is>
      </c>
      <c r="M898" s="4" t="inlineStr">
        <is>
          <t>SALUD · Reiki · Gmail Pago aprobado · gasto personal Sol</t>
        </is>
      </c>
      <c r="N898" s="4" t="inlineStr">
        <is>
          <t>CIUDAD / Gasto Personal Sol</t>
        </is>
      </c>
      <c r="O898" s="4" t="n">
        <v>949</v>
      </c>
    </row>
    <row r="899">
      <c r="A899" s="4" t="n">
        <v>898</v>
      </c>
      <c r="B899" s="15" t="n">
        <v>46245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VERDULERÍA</t>
        </is>
      </c>
      <c r="H899" s="5" t="n">
        <v>8900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COMIDA · VERDULERÍA · Agosto</t>
        </is>
      </c>
      <c r="N899" s="4" t="inlineStr">
        <is>
          <t>CIUDAD / Almacen Detalle</t>
        </is>
      </c>
      <c r="O899" s="4" t="n">
        <v>314</v>
      </c>
    </row>
    <row r="900">
      <c r="A900" s="4" t="n">
        <v>899</v>
      </c>
      <c r="B900" s="15" t="n">
        <v>46255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GASTO PERSONAL</t>
        </is>
      </c>
      <c r="F900" s="4" t="inlineStr">
        <is>
          <t>SALUD</t>
        </is>
      </c>
      <c r="G900" s="4" t="inlineStr">
        <is>
          <t>SALUD</t>
        </is>
      </c>
      <c r="H900" s="5" t="n">
        <v>27000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SALUD · Karen · Gmail Pago aprobado · REVISAR ítem</t>
        </is>
      </c>
      <c r="N900" s="4" t="inlineStr">
        <is>
          <t>CIUDAD / Gasto Personal Sol</t>
        </is>
      </c>
      <c r="O900" s="4" t="n">
        <v>951</v>
      </c>
    </row>
    <row r="901">
      <c r="A901" s="4" t="n">
        <v>900</v>
      </c>
      <c r="B901" s="15" t="n">
        <v>46262</v>
      </c>
      <c r="C901" s="4" t="inlineStr">
        <is>
          <t>2026-08</t>
        </is>
      </c>
      <c r="D901" s="4" t="inlineStr">
        <is>
          <t>Agosto</t>
        </is>
      </c>
      <c r="E901" s="4" t="inlineStr">
        <is>
          <t>GASTO PERSONAL</t>
        </is>
      </c>
      <c r="F901" s="4" t="inlineStr">
        <is>
          <t>EDUCACIÓN</t>
        </is>
      </c>
      <c r="G901" s="4" t="inlineStr">
        <is>
          <t>EDUCACIÓN</t>
        </is>
      </c>
      <c r="H901" s="5" t="n">
        <v>30000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EDUCACIÓN · Bitgenia · Gmail Pago aprobado · gasto personal Sol</t>
        </is>
      </c>
      <c r="N901" s="4" t="inlineStr">
        <is>
          <t>CIUDAD / Gasto Personal Sol</t>
        </is>
      </c>
      <c r="O901" s="4" t="n">
        <v>952</v>
      </c>
    </row>
    <row r="902">
      <c r="A902" s="4" t="n">
        <v>901</v>
      </c>
      <c r="B902" s="15" t="n">
        <v>46266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SUSCRIPCIONES · APPLE</t>
        </is>
      </c>
      <c r="G902" s="4" t="inlineStr">
        <is>
          <t>SUSCRIPCIONES · Apple</t>
        </is>
      </c>
      <c r="H902" s="5" t="n">
        <v>81961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SUSCRIPCIONES · Apple · Mercado Pago · gasto personal Sol · dinero en cuenta MP screenshot</t>
        </is>
      </c>
      <c r="N902" s="4" t="inlineStr">
        <is>
          <t>CIUDAD / Gasto Personal Sol</t>
        </is>
      </c>
      <c r="O902" s="4" t="n">
        <v>835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TRANSFERENCIAS</t>
        </is>
      </c>
      <c r="G903" s="4" t="inlineStr">
        <is>
          <t>TRANSFERENCIAS</t>
        </is>
      </c>
      <c r="H903" s="5" t="n">
        <v>45000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Facundo Lisandro Marin · Transferencia enviada · gasto personal Sol · dinero en cuenta MP screenshot</t>
        </is>
      </c>
      <c r="N903" s="4" t="inlineStr">
        <is>
          <t>CIUDAD / Gasto Personal Sol</t>
        </is>
      </c>
      <c r="O903" s="4" t="n">
        <v>834</v>
      </c>
    </row>
    <row r="904">
      <c r="A904" s="4" t="n">
        <v>903</v>
      </c>
      <c r="B904" s="15" t="n">
        <v>46267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COMIDA · OFICINA</t>
        </is>
      </c>
      <c r="G904" s="4" t="inlineStr">
        <is>
          <t>COMIDA · Oficina</t>
        </is>
      </c>
      <c r="H904" s="5" t="n">
        <v>4080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COMIDA · Oficina · Copetin Catering · Gmail Pago aprobado · REVISAR vs settlement</t>
        </is>
      </c>
      <c r="N904" s="4" t="inlineStr">
        <is>
          <t>CIUDAD / Gasto Personal Sol</t>
        </is>
      </c>
      <c r="O904" s="4" t="n">
        <v>833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4000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COMPRAS · Kiosk Store · gasto personal Sol · REVISAR ítem · dinero en cuenta MP screenshot</t>
        </is>
      </c>
      <c r="N905" s="4" t="inlineStr">
        <is>
          <t>CIUDAD / Gasto Personal Sol</t>
        </is>
      </c>
      <c r="O905" s="4" t="n">
        <v>841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ENVÍOS</t>
        </is>
      </c>
      <c r="G906" s="4" t="inlineStr">
        <is>
          <t>ENVÍOS</t>
        </is>
      </c>
      <c r="H906" s="5" t="n">
        <v>24000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ENVÍOS · Correo Oficial · gasto personal Sol · dinero en cuenta MP screenshot</t>
        </is>
      </c>
      <c r="N906" s="4" t="inlineStr">
        <is>
          <t>CIUDAD / Gasto Personal Sol</t>
        </is>
      </c>
      <c r="O906" s="4" t="n">
        <v>842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863600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Neira Martina · Transferencia enviada · gasto personal Sol · dinero en cuenta MP screenshot</t>
        </is>
      </c>
      <c r="N907" s="4" t="inlineStr">
        <is>
          <t>CIUDAD / Gasto Personal Sol</t>
        </is>
      </c>
      <c r="O907" s="4" t="n">
        <v>838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TRANSPORTE</t>
        </is>
      </c>
      <c r="G908" s="4" t="inlineStr">
        <is>
          <t>TRANSPORTE · Uber</t>
        </is>
      </c>
      <c r="H908" s="5" t="n">
        <v>6094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TRANSPORTE · Uber · Ebanx (=Uber) · gasto personal Sol · dinero en cuenta MP screenshot</t>
        </is>
      </c>
      <c r="N908" s="4" t="inlineStr">
        <is>
          <t>CIUDAD / Gasto Personal Sol</t>
        </is>
      </c>
      <c r="O908" s="4" t="n">
        <v>836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6607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840</v>
      </c>
    </row>
    <row r="910">
      <c r="A910" s="4" t="n">
        <v>909</v>
      </c>
      <c r="B910" s="15" t="n">
        <v>46268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ALMACÉN SOL</t>
        </is>
      </c>
      <c r="F910" s="4" t="inlineStr">
        <is>
          <t>COMIDA</t>
        </is>
      </c>
      <c r="G910" s="4" t="inlineStr">
        <is>
          <t>PEDIDOS YA · COMIDA</t>
        </is>
      </c>
      <c r="H910" s="5" t="n">
        <v>16149</v>
      </c>
      <c r="I910" s="16" t="n"/>
      <c r="J910" s="4" t="inlineStr">
        <is>
          <t>REAL</t>
        </is>
      </c>
      <c r="K910" s="17" t="n"/>
      <c r="L910" s="4" t="inlineStr">
        <is>
          <t>Sin identificar</t>
        </is>
      </c>
      <c r="M910" s="4" t="inlineStr">
        <is>
          <t>PEDIDOS YA · COMIDA · screenshot · dinero en cuenta MP screenshot</t>
        </is>
      </c>
      <c r="N910" s="4" t="inlineStr">
        <is>
          <t>CIUDAD / Almacen Detalle</t>
        </is>
      </c>
      <c r="O910" s="4" t="n">
        <v>359</v>
      </c>
    </row>
    <row r="911">
      <c r="A911" s="4" t="n">
        <v>910</v>
      </c>
      <c r="B911" s="15" t="n">
        <v>46268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ALMACÉN SOL</t>
        </is>
      </c>
      <c r="F911" s="4" t="inlineStr">
        <is>
          <t>COMIDA</t>
        </is>
      </c>
      <c r="G911" s="4" t="inlineStr">
        <is>
          <t>PEDIDOS YA · COMIDA · propina</t>
        </is>
      </c>
      <c r="H911" s="5" t="n">
        <v>800</v>
      </c>
      <c r="I911" s="16" t="n"/>
      <c r="J911" s="4" t="inlineStr">
        <is>
          <t>REAL</t>
        </is>
      </c>
      <c r="K911" s="17" t="n"/>
      <c r="L911" s="4" t="inlineStr">
        <is>
          <t>Sin identificar</t>
        </is>
      </c>
      <c r="M911" s="4" t="inlineStr">
        <is>
          <t>PEDIDOS YA · COMIDA · propina · screenshot · dinero en cuenta MP screenshot</t>
        </is>
      </c>
      <c r="N911" s="4" t="inlineStr">
        <is>
          <t>CIUDAD / Almacen Detalle</t>
        </is>
      </c>
      <c r="O911" s="4" t="n">
        <v>360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SUPERMERCADO</t>
        </is>
      </c>
      <c r="G912" s="4" t="inlineStr">
        <is>
          <t>SUPERMERCADO · Día</t>
        </is>
      </c>
      <c r="H912" s="5" t="n">
        <v>41139</v>
      </c>
      <c r="I912" s="16" t="n"/>
      <c r="J912" s="4" t="inlineStr">
        <is>
          <t>REAL</t>
        </is>
      </c>
      <c r="K912" s="17" t="n"/>
      <c r="L912" s="4" t="inlineStr">
        <is>
          <t>BBVA</t>
        </is>
      </c>
      <c r="M912" s="4" t="inlineStr">
        <is>
          <t>SUPERMERCADO · Día · BBVA VISA · MERPAGO*SUPERDIA · Gmail Compra aprobada · REVISAR vs settlement</t>
        </is>
      </c>
      <c r="N912" s="4" t="inlineStr">
        <is>
          <t>CIUDAD / Almacen Detalle</t>
        </is>
      </c>
      <c r="O912" s="4" t="n">
        <v>356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Didi</t>
        </is>
      </c>
      <c r="H913" s="5" t="n">
        <v>4900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Didi · gasto personal Sol · dinero en cuenta MP screenshot</t>
        </is>
      </c>
      <c r="N913" s="4" t="inlineStr">
        <is>
          <t>CIUDAD / Gasto Personal Sol</t>
        </is>
      </c>
      <c r="O913" s="4" t="n">
        <v>844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TRANSPORTE</t>
        </is>
      </c>
      <c r="G914" s="4" t="inlineStr">
        <is>
          <t>TRANSPORTE · Uber</t>
        </is>
      </c>
      <c r="H914" s="5" t="n">
        <v>7520</v>
      </c>
      <c r="I914" s="16" t="n"/>
      <c r="J914" s="4" t="inlineStr">
        <is>
          <t>REAL</t>
        </is>
      </c>
      <c r="K914" s="4" t="inlineStr">
        <is>
          <t>Mercado Pago</t>
        </is>
      </c>
      <c r="L914" s="4" t="inlineStr">
        <is>
          <t>Mercado Pago</t>
        </is>
      </c>
      <c r="M914" s="4" t="inlineStr">
        <is>
          <t>TRANSPORTE · Uber · Ebanx (=Uber) · gasto personal Sol · dinero en cuenta MP screenshot</t>
        </is>
      </c>
      <c r="N914" s="4" t="inlineStr">
        <is>
          <t>CIUDAD / Gasto Personal Sol</t>
        </is>
      </c>
      <c r="O914" s="4" t="n">
        <v>843</v>
      </c>
    </row>
    <row r="915">
      <c r="A915" s="4" t="n">
        <v>914</v>
      </c>
      <c r="B915" s="15" t="n">
        <v>46269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COMIDA · Pescadería Belgrano</t>
        </is>
      </c>
      <c r="H915" s="5" t="n">
        <v>6213</v>
      </c>
      <c r="I915" s="16" t="n"/>
      <c r="J915" s="4" t="inlineStr">
        <is>
          <t>REAL</t>
        </is>
      </c>
      <c r="K915" s="17" t="n"/>
      <c r="L915" s="4" t="inlineStr">
        <is>
          <t>Mercado Pago</t>
        </is>
      </c>
      <c r="M915" s="4" t="inlineStr">
        <is>
          <t>COMIDA · Pescadería Belgrano · Mercado Pago · Gmail Pago aprobado · REVISAR vs settlement</t>
        </is>
      </c>
      <c r="N915" s="4" t="inlineStr">
        <is>
          <t>CIUDAD / Almacen Detalle</t>
        </is>
      </c>
      <c r="O915" s="4" t="n">
        <v>358</v>
      </c>
    </row>
    <row r="916">
      <c r="A916" s="4" t="n">
        <v>915</v>
      </c>
      <c r="B916" s="15" t="n">
        <v>46269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AVA FIDEICOMISO</t>
        </is>
      </c>
      <c r="G916" s="4" t="inlineStr">
        <is>
          <t>AVA Fideicomiso</t>
        </is>
      </c>
      <c r="H916" s="5" t="n">
        <v>3134720</v>
      </c>
      <c r="I916" s="16" t="n"/>
      <c r="J916" s="4" t="inlineStr">
        <is>
          <t>REAL</t>
        </is>
      </c>
      <c r="K916" s="4" t="inlineStr">
        <is>
          <t>Mercado Pago / Transferencia</t>
        </is>
      </c>
      <c r="L916" s="4" t="inlineStr">
        <is>
          <t>Mercado Pago</t>
        </is>
      </c>
      <c r="M916" s="4" t="inlineStr">
        <is>
          <t>AVA Fideicomiso · cuota 10 · vto 2026-09-04 · total 6269440 · TC MEP venta 1525.39 · USD 4110.06 · 50% Sol · Gmail factura/recibo 07/09</t>
        </is>
      </c>
      <c r="N916" s="4" t="inlineStr">
        <is>
          <t>CIUDAD / Gasto Personal Sol</t>
        </is>
      </c>
      <c r="O916" s="4" t="n">
        <v>829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COMPRAS</t>
        </is>
      </c>
      <c r="G917" s="4" t="inlineStr">
        <is>
          <t>COMPRAS</t>
        </is>
      </c>
      <c r="H917" s="5" t="n">
        <v>580320</v>
      </c>
      <c r="I917" s="16" t="n"/>
      <c r="J917" s="4" t="inlineStr">
        <is>
          <t>REAL</t>
        </is>
      </c>
      <c r="K917" s="4" t="inlineStr">
        <is>
          <t>BBVA VISA</t>
        </is>
      </c>
      <c r="L917" s="4" t="inlineStr">
        <is>
          <t>BBVA</t>
        </is>
      </c>
      <c r="M917" s="4" t="inlineStr">
        <is>
          <t>COMPRAS · dhgate.com · BBVA VISA · USD 380.44 × TC MEP 1525.39 · importación · alerta Gmail Compra aprobada · REVISAR vs resumen BBVA</t>
        </is>
      </c>
      <c r="N917" s="4" t="inlineStr">
        <is>
          <t>CIUDAD / Gasto Personal Sol</t>
        </is>
      </c>
      <c r="O917" s="4" t="n">
        <v>926</v>
      </c>
    </row>
    <row r="918">
      <c r="A918" s="4" t="n">
        <v>917</v>
      </c>
      <c r="B918" s="15" t="n">
        <v>46270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OTROS PERSONALES</t>
        </is>
      </c>
      <c r="G918" s="4" t="inlineStr">
        <is>
          <t>IMPUESTOS · ARCA</t>
        </is>
      </c>
      <c r="H918" s="5" t="n">
        <v>10000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IMPUESTOS · ARCA / AFIP · MP 2026-09-05 · gasto personal Sol · dinero en cuenta MP screenshot</t>
        </is>
      </c>
      <c r="N918" s="4" t="inlineStr">
        <is>
          <t>CIUDAD / Gasto Personal Sol</t>
        </is>
      </c>
      <c r="O918" s="4" t="n">
        <v>846</v>
      </c>
    </row>
    <row r="919">
      <c r="A919" s="4" t="n">
        <v>918</v>
      </c>
      <c r="B919" s="15" t="n">
        <v>46270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OTROS PERSONALES</t>
        </is>
      </c>
      <c r="G919" s="4" t="inlineStr">
        <is>
          <t>IMPUESTOS · ARCA</t>
        </is>
      </c>
      <c r="H919" s="5" t="n">
        <v>10000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IMPUESTOS · ARCA / AFIP · MP 2026-09-05 · gasto personal Sol · dinero en cuenta MP screenshot</t>
        </is>
      </c>
      <c r="N919" s="4" t="inlineStr">
        <is>
          <t>CIUDAD / Gasto Personal Sol</t>
        </is>
      </c>
      <c r="O919" s="4" t="n">
        <v>847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TRANSFERENCIAS</t>
        </is>
      </c>
      <c r="G920" s="4" t="inlineStr">
        <is>
          <t>TRANSFERENCIAS</t>
        </is>
      </c>
      <c r="H920" s="5" t="n">
        <v>10800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Digno Lopez · Transferencia enviada · gasto personal Sol · dinero en cuenta MP screenshot</t>
        </is>
      </c>
      <c r="N920" s="4" t="inlineStr">
        <is>
          <t>CIUDAD / Gasto Personal Sol</t>
        </is>
      </c>
      <c r="O920" s="4" t="n">
        <v>845</v>
      </c>
    </row>
    <row r="921">
      <c r="A921" s="4" t="n">
        <v>920</v>
      </c>
      <c r="B921" s="15" t="n">
        <v>46271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ALMACÉN SOL</t>
        </is>
      </c>
      <c r="F921" s="4" t="inlineStr">
        <is>
          <t>COMIDA</t>
        </is>
      </c>
      <c r="G921" s="4" t="inlineStr">
        <is>
          <t>COMIDA · AL PASO</t>
        </is>
      </c>
      <c r="H921" s="5" t="n">
        <v>8700</v>
      </c>
      <c r="I921" s="16" t="n"/>
      <c r="J921" s="4" t="inlineStr">
        <is>
          <t>REAL</t>
        </is>
      </c>
      <c r="K921" s="17" t="n"/>
      <c r="L921" s="4" t="inlineStr">
        <is>
          <t>Mercado Pago</t>
        </is>
      </c>
      <c r="M921" s="4" t="inlineStr">
        <is>
          <t>COMIDA · AL PASO · Mercado Pago · dinero en cuenta MP screenshot</t>
        </is>
      </c>
      <c r="N921" s="4" t="inlineStr">
        <is>
          <t>CIUDAD / Almacen Detalle</t>
        </is>
      </c>
      <c r="O921" s="4" t="n">
        <v>361</v>
      </c>
    </row>
    <row r="922">
      <c r="A922" s="4" t="n">
        <v>921</v>
      </c>
      <c r="B922" s="15" t="n">
        <v>46271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TELECOMUNICACIONES</t>
        </is>
      </c>
      <c r="G922" s="4" t="inlineStr">
        <is>
          <t>Servicio - Telefonía</t>
        </is>
      </c>
      <c r="H922" s="5" t="n">
        <v>18300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Servicio - Telefonía · Tuenti · gasto personal Sol · dinero en cuenta MP screenshot</t>
        </is>
      </c>
      <c r="N922" s="4" t="inlineStr">
        <is>
          <t>CIUDAD / Gasto Personal Sol</t>
        </is>
      </c>
      <c r="O922" s="4" t="n">
        <v>848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TRANSPORTE · SUBE</t>
        </is>
      </c>
      <c r="H923" s="5" t="n">
        <v>987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TRANSPORTE · SUBE · gasto personal Sol · dinero en cuenta MP screenshot</t>
        </is>
      </c>
      <c r="N923" s="4" t="inlineStr">
        <is>
          <t>CIUDAD / Gasto Personal Sol</t>
        </is>
      </c>
      <c r="O923" s="4" t="n">
        <v>849</v>
      </c>
    </row>
    <row r="924">
      <c r="A924" s="4" t="n">
        <v>923</v>
      </c>
      <c r="B924" s="15" t="n">
        <v>46272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ALMACÉN SOL</t>
        </is>
      </c>
      <c r="F924" s="4" t="inlineStr">
        <is>
          <t>COMIDA</t>
        </is>
      </c>
      <c r="G924" s="4" t="inlineStr">
        <is>
          <t>COMIDA · McDonald's</t>
        </is>
      </c>
      <c r="H924" s="5" t="n">
        <v>2040</v>
      </c>
      <c r="I924" s="16" t="n"/>
      <c r="J924" s="4" t="inlineStr">
        <is>
          <t>REAL</t>
        </is>
      </c>
      <c r="K924" s="17" t="n"/>
      <c r="L924" s="4" t="inlineStr">
        <is>
          <t>Mercado Pago</t>
        </is>
      </c>
      <c r="M924" s="4" t="inlineStr">
        <is>
          <t>COMIDA · McDonald's · Mercado Pago · dinero en cuenta MP screenshot</t>
        </is>
      </c>
      <c r="N924" s="4" t="inlineStr">
        <is>
          <t>CIUDAD / Almacen Detalle</t>
        </is>
      </c>
      <c r="O924" s="4" t="n">
        <v>362</v>
      </c>
    </row>
    <row r="925">
      <c r="A925" s="4" t="n">
        <v>924</v>
      </c>
      <c r="B925" s="15" t="n">
        <v>46272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GASTO PERSONAL</t>
        </is>
      </c>
      <c r="F925" s="4" t="inlineStr">
        <is>
          <t>COMIDA · OFICINA</t>
        </is>
      </c>
      <c r="G925" s="4" t="inlineStr">
        <is>
          <t>COMIDA · Oficina</t>
        </is>
      </c>
      <c r="H925" s="5" t="n">
        <v>1350</v>
      </c>
      <c r="I925" s="16" t="n"/>
      <c r="J925" s="4" t="inlineStr">
        <is>
          <t>REAL</t>
        </is>
      </c>
      <c r="K925" s="4" t="inlineStr">
        <is>
          <t>Mercado Pago</t>
        </is>
      </c>
      <c r="L925" s="4" t="inlineStr">
        <is>
          <t>Mercado Pago</t>
        </is>
      </c>
      <c r="M925" s="4" t="inlineStr">
        <is>
          <t>COMIDA · Oficina · Feed · gasto personal Sol · dinero en cuenta MP screenshot</t>
        </is>
      </c>
      <c r="N925" s="4" t="inlineStr">
        <is>
          <t>CIUDAD / Gasto Personal Sol</t>
        </is>
      </c>
      <c r="O925" s="4" t="n">
        <v>851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HOGAR</t>
        </is>
      </c>
      <c r="G926" s="4" t="inlineStr">
        <is>
          <t>HOGAR</t>
        </is>
      </c>
      <c r="H926" s="5" t="n">
        <v>186300</v>
      </c>
      <c r="I926" s="16" t="n"/>
      <c r="J926" s="4" t="inlineStr">
        <is>
          <t>REAL</t>
        </is>
      </c>
      <c r="K926" s="4" t="inlineStr">
        <is>
          <t>BBVA VISA</t>
        </is>
      </c>
      <c r="L926" s="4" t="inlineStr">
        <is>
          <t>BBVA</t>
        </is>
      </c>
      <c r="M926" s="4" t="inlineStr">
        <is>
          <t>HOGAR · Luna Hogar · BBVA VISA · MERPAGO*LUNAHOGAR · alerta Gmail</t>
        </is>
      </c>
      <c r="N926" s="4" t="inlineStr">
        <is>
          <t>CIUDAD / Gasto Personal Sol</t>
        </is>
      </c>
      <c r="O926" s="4" t="n">
        <v>932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58118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2026-09-07 · gasto personal Sol · dinero en cuenta MP screenshot</t>
        </is>
      </c>
      <c r="N927" s="4" t="inlineStr">
        <is>
          <t>CIUDAD / Gasto Personal Sol</t>
        </is>
      </c>
      <c r="O927" s="4" t="n">
        <v>852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OTROS PERSONALES</t>
        </is>
      </c>
      <c r="G928" s="4" t="inlineStr">
        <is>
          <t>IMPUESTOS · ARCA</t>
        </is>
      </c>
      <c r="H928" s="5" t="n">
        <v>43038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IMPUESTOS · ARCA / AFIP · MP 2026-09-07 · gasto personal Sol · dinero en cuenta MP screenshot</t>
        </is>
      </c>
      <c r="N928" s="4" t="inlineStr">
        <is>
          <t>CIUDAD / Gasto Personal Sol</t>
        </is>
      </c>
      <c r="O928" s="4" t="n">
        <v>853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Didi</t>
        </is>
      </c>
      <c r="H929" s="5" t="n">
        <v>6700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Didi · gasto personal Sol · dinero en cuenta MP screenshot</t>
        </is>
      </c>
      <c r="N929" s="4" t="inlineStr">
        <is>
          <t>CIUDAD / Gasto Personal Sol</t>
        </is>
      </c>
      <c r="O929" s="4" t="n">
        <v>854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6948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850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VESTIMENTA</t>
        </is>
      </c>
      <c r="G931" s="4" t="inlineStr">
        <is>
          <t>VESTIMENTA</t>
        </is>
      </c>
      <c r="H931" s="5" t="n">
        <v>809200</v>
      </c>
      <c r="I931" s="16" t="n"/>
      <c r="J931" s="4" t="inlineStr">
        <is>
          <t>REAL</t>
        </is>
      </c>
      <c r="K931" s="4" t="inlineStr">
        <is>
          <t>BBVA VISA</t>
        </is>
      </c>
      <c r="L931" s="4" t="inlineStr">
        <is>
          <t>BBVA</t>
        </is>
      </c>
      <c r="M931" s="4" t="inlineStr">
        <is>
          <t>VESTIMENTA · Markova · BBVA VISA · MERPAGO*MARKOVA · alerta Gmail · REVISAR ítem</t>
        </is>
      </c>
      <c r="N931" s="4" t="inlineStr">
        <is>
          <t>CIUDAD / Gasto Personal Sol</t>
        </is>
      </c>
      <c r="O931" s="4" t="n">
        <v>931</v>
      </c>
    </row>
    <row r="932">
      <c r="A932" s="4" t="n">
        <v>931</v>
      </c>
      <c r="B932" s="15" t="n">
        <v>46273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ALMACÉN SOL</t>
        </is>
      </c>
      <c r="F932" s="4" t="inlineStr">
        <is>
          <t>ENTRETENIMIENTO SOCIAL</t>
        </is>
      </c>
      <c r="G932" s="4" t="inlineStr">
        <is>
          <t>ENTRETENIMIENTO · Social</t>
        </is>
      </c>
      <c r="H932" s="5" t="n">
        <v>8248</v>
      </c>
      <c r="I932" s="16" t="n"/>
      <c r="J932" s="4" t="inlineStr">
        <is>
          <t>REAL</t>
        </is>
      </c>
      <c r="K932" s="17" t="n"/>
      <c r="L932" s="4" t="inlineStr">
        <is>
          <t>Mercado Pago</t>
        </is>
      </c>
      <c r="M932" s="4" t="inlineStr">
        <is>
          <t>ENTRETENIMIENTO · Social · la monumental · Mercado Pago · dinero en cuenta MP screenshot</t>
        </is>
      </c>
      <c r="N932" s="4" t="inlineStr">
        <is>
          <t>CIUDAD / Almacen Detalle</t>
        </is>
      </c>
      <c r="O932" s="4" t="n">
        <v>363</v>
      </c>
    </row>
    <row r="933">
      <c r="A933" s="4" t="n">
        <v>932</v>
      </c>
      <c r="B933" s="15" t="n">
        <v>46273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ALMACÉN SOL</t>
        </is>
      </c>
      <c r="F933" s="4" t="inlineStr">
        <is>
          <t>REPUESTOS</t>
        </is>
      </c>
      <c r="G933" s="4" t="inlineStr">
        <is>
          <t>REPUESTOS · Sodastream</t>
        </is>
      </c>
      <c r="H933" s="5" t="n">
        <v>88659</v>
      </c>
      <c r="I933" s="16" t="n"/>
      <c r="J933" s="4" t="inlineStr">
        <is>
          <t>REAL</t>
        </is>
      </c>
      <c r="K933" s="17" t="n"/>
      <c r="L933" s="4" t="inlineStr">
        <is>
          <t>Mercado Pago</t>
        </is>
      </c>
      <c r="M933" s="4" t="inlineStr">
        <is>
          <t>REPUESTOS · Sodastream · Mercado Pago · Gmail Pago aprobado · REVISAR vs settlement</t>
        </is>
      </c>
      <c r="N933" s="4" t="inlineStr">
        <is>
          <t>CIUDAD / Almacen Detalle</t>
        </is>
      </c>
      <c r="O933" s="4" t="n">
        <v>357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OTROS PERSONALES</t>
        </is>
      </c>
      <c r="G934" s="4" t="inlineStr">
        <is>
          <t>IMPUESTOS · ARCA</t>
        </is>
      </c>
      <c r="H934" s="5" t="n">
        <v>4866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IMPUESTOS · ARCA / AFIP · MP 2026-09-08 · gasto personal Sol · dinero en cuenta MP screenshot</t>
        </is>
      </c>
      <c r="N934" s="4" t="inlineStr">
        <is>
          <t>CIUDAD / Gasto Personal Sol</t>
        </is>
      </c>
      <c r="O934" s="4" t="n">
        <v>855</v>
      </c>
    </row>
    <row r="935">
      <c r="A935" s="4" t="n">
        <v>934</v>
      </c>
      <c r="B935" s="15" t="n">
        <v>46273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28199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VESTIMENTA · OZZ · gasto personal Sol · dinero en cuenta MP screenshot</t>
        </is>
      </c>
      <c r="N935" s="4" t="inlineStr">
        <is>
          <t>CIUDAD / Gasto Personal Sol</t>
        </is>
      </c>
      <c r="O935" s="4" t="n">
        <v>856</v>
      </c>
    </row>
    <row r="936">
      <c r="A936" s="4" t="n">
        <v>935</v>
      </c>
      <c r="B936" s="15" t="n">
        <v>46274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COMIDA</t>
        </is>
      </c>
      <c r="G936" s="4" t="inlineStr">
        <is>
          <t>PEDIDOS YA · COMIDA</t>
        </is>
      </c>
      <c r="H936" s="5" t="n">
        <v>39819</v>
      </c>
      <c r="I936" s="16" t="n"/>
      <c r="J936" s="4" t="inlineStr">
        <is>
          <t>REAL</t>
        </is>
      </c>
      <c r="K936" s="17" t="n"/>
      <c r="L936" s="4" t="inlineStr">
        <is>
          <t>Sin identificar</t>
        </is>
      </c>
      <c r="M936" s="4" t="inlineStr">
        <is>
          <t>PEDIDOS YA · COMIDA · screenshot · dinero en cuenta MP screenshot</t>
        </is>
      </c>
      <c r="N936" s="4" t="inlineStr">
        <is>
          <t>CIUDAD / Almacen Detalle</t>
        </is>
      </c>
      <c r="O936" s="4" t="n">
        <v>364</v>
      </c>
    </row>
    <row r="937">
      <c r="A937" s="4" t="n">
        <v>936</v>
      </c>
      <c r="B937" s="15" t="n">
        <v>46274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COMIDA</t>
        </is>
      </c>
      <c r="G937" s="4" t="inlineStr">
        <is>
          <t>PEDIDOS YA · COMIDA · propina</t>
        </is>
      </c>
      <c r="H937" s="5" t="n">
        <v>900</v>
      </c>
      <c r="I937" s="16" t="n"/>
      <c r="J937" s="4" t="inlineStr">
        <is>
          <t>REAL</t>
        </is>
      </c>
      <c r="K937" s="17" t="n"/>
      <c r="L937" s="4" t="inlineStr">
        <is>
          <t>Sin identificar</t>
        </is>
      </c>
      <c r="M937" s="4" t="inlineStr">
        <is>
          <t>PEDIDOS YA · COMIDA · propina · screenshot · dinero en cuenta MP screenshot</t>
        </is>
      </c>
      <c r="N937" s="4" t="inlineStr">
        <is>
          <t>CIUDAD / Almacen Detalle</t>
        </is>
      </c>
      <c r="O937" s="4" t="n">
        <v>365</v>
      </c>
    </row>
    <row r="938">
      <c r="A938" s="4" t="n">
        <v>937</v>
      </c>
      <c r="B938" s="15" t="n">
        <v>46275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COMPRAS</t>
        </is>
      </c>
      <c r="G938" s="4" t="inlineStr">
        <is>
          <t>COMPRAS</t>
        </is>
      </c>
      <c r="H938" s="5" t="n">
        <v>163350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COMPRAS · ZILVER SA · gasto personal Sol · REVISAR ítem · dinero en cuenta MP screenshot</t>
        </is>
      </c>
      <c r="N938" s="4" t="inlineStr">
        <is>
          <t>CIUDAD / Gasto Personal Sol</t>
        </is>
      </c>
      <c r="O938" s="4" t="n">
        <v>862</v>
      </c>
    </row>
    <row r="939">
      <c r="A939" s="4" t="n">
        <v>938</v>
      </c>
      <c r="B939" s="15" t="n">
        <v>46275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OTROS PERSONALES</t>
        </is>
      </c>
      <c r="G939" s="4" t="inlineStr">
        <is>
          <t>IMPUESTOS · ARCA</t>
        </is>
      </c>
      <c r="H939" s="5" t="n">
        <v>43083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IMPUESTOS · ARCA / AFIP · MP 2026-09-10 · gasto personal Sol · dinero en cuenta MP screenshot</t>
        </is>
      </c>
      <c r="N939" s="4" t="inlineStr">
        <is>
          <t>CIUDAD / Gasto Personal Sol</t>
        </is>
      </c>
      <c r="O939" s="4" t="n">
        <v>857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TRANSFERENCIAS</t>
        </is>
      </c>
      <c r="G940" s="4" t="inlineStr">
        <is>
          <t>TRANSFERENCIAS</t>
        </is>
      </c>
      <c r="H940" s="5" t="n">
        <v>131000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Cova Abreu Gibiana Del Valle · Transferencia enviada · gasto personal Sol · dinero en cuenta MP screenshot</t>
        </is>
      </c>
      <c r="N940" s="4" t="inlineStr">
        <is>
          <t>CIUDAD / Gasto Personal Sol</t>
        </is>
      </c>
      <c r="O940" s="4" t="n">
        <v>861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TRANSPORTE</t>
        </is>
      </c>
      <c r="G941" s="4" t="inlineStr">
        <is>
          <t>TRANSPORTE · Uber</t>
        </is>
      </c>
      <c r="H941" s="5" t="n">
        <v>5612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TRANSPORTE · Uber · Ebanx (=Uber) · gasto personal Sol · dinero en cuenta MP screenshot</t>
        </is>
      </c>
      <c r="N941" s="4" t="inlineStr">
        <is>
          <t>CIUDAD / Gasto Personal Sol</t>
        </is>
      </c>
      <c r="O941" s="4" t="n">
        <v>858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TRANSPORTE</t>
        </is>
      </c>
      <c r="G942" s="4" t="inlineStr">
        <is>
          <t>TRANSPORTE · Uber</t>
        </is>
      </c>
      <c r="H942" s="5" t="n">
        <v>7155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TRANSPORTE · Uber · Ebanx (=Uber) · gasto personal Sol · dinero en cuenta MP screenshot</t>
        </is>
      </c>
      <c r="N942" s="4" t="inlineStr">
        <is>
          <t>CIUDAD / Gasto Personal Sol</t>
        </is>
      </c>
      <c r="O942" s="4" t="n">
        <v>859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TRANSPORTE</t>
        </is>
      </c>
      <c r="G943" s="4" t="inlineStr">
        <is>
          <t>TRANSPORTE · Uber</t>
        </is>
      </c>
      <c r="H943" s="5" t="n">
        <v>81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TRANSPORTE · Uber · Ebanx (=Uber) · gasto personal Sol · dinero en cuenta MP screenshot</t>
        </is>
      </c>
      <c r="N943" s="4" t="inlineStr">
        <is>
          <t>CIUDAD / Gasto Personal Sol</t>
        </is>
      </c>
      <c r="O943" s="4" t="n">
        <v>860</v>
      </c>
    </row>
    <row r="944">
      <c r="A944" s="4" t="n">
        <v>943</v>
      </c>
      <c r="B944" s="15" t="n">
        <v>46276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SUSCRIPCIONES · APPLE</t>
        </is>
      </c>
      <c r="G944" s="4" t="inlineStr">
        <is>
          <t>SUSCRIPCIONES · Apple</t>
        </is>
      </c>
      <c r="H944" s="5" t="n">
        <v>29331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SUSCRIPCIONES · Apple · Mercado Pago · gasto personal Sol · dinero en cuenta MP screenshot</t>
        </is>
      </c>
      <c r="N944" s="4" t="inlineStr">
        <is>
          <t>CIUDAD / Gasto Personal Sol</t>
        </is>
      </c>
      <c r="O944" s="4" t="n">
        <v>863</v>
      </c>
    </row>
    <row r="945">
      <c r="A945" s="4" t="n">
        <v>944</v>
      </c>
      <c r="B945" s="15" t="n">
        <v>46276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TRANSFERENCIAS</t>
        </is>
      </c>
      <c r="G945" s="4" t="inlineStr">
        <is>
          <t>TRANSFERENCIAS</t>
        </is>
      </c>
      <c r="H945" s="5" t="n">
        <v>185288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Sanbras oficial · Transferencia enviada · gasto personal Sol · dinero en cuenta MP screenshot</t>
        </is>
      </c>
      <c r="N945" s="4" t="inlineStr">
        <is>
          <t>CIUDAD / Gasto Personal Sol</t>
        </is>
      </c>
      <c r="O945" s="4" t="n">
        <v>867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TRANSFERENCIAS</t>
        </is>
      </c>
      <c r="G946" s="4" t="inlineStr">
        <is>
          <t>TRANSFERENCIAS</t>
        </is>
      </c>
      <c r="H946" s="5" t="n">
        <v>135000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Paula Carolina Fasanella · Transferencia enviada · gasto personal Sol · dinero en cuenta MP screenshot</t>
        </is>
      </c>
      <c r="N946" s="4" t="inlineStr">
        <is>
          <t>CIUDAD / Gasto Personal Sol</t>
        </is>
      </c>
      <c r="O946" s="4" t="n">
        <v>868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Didi</t>
        </is>
      </c>
      <c r="H947" s="5" t="n">
        <v>5800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Didi · gasto personal Sol · dinero en cuenta MP screenshot</t>
        </is>
      </c>
      <c r="N947" s="4" t="inlineStr">
        <is>
          <t>CIUDAD / Gasto Personal Sol</t>
        </is>
      </c>
      <c r="O947" s="4" t="n">
        <v>864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TRANSPORTE</t>
        </is>
      </c>
      <c r="G948" s="4" t="inlineStr">
        <is>
          <t>TRANSPORTE · Didi</t>
        </is>
      </c>
      <c r="H948" s="5" t="n">
        <v>4500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TRANSPORTE · Didi · gasto personal Sol · dinero en cuenta MP screenshot</t>
        </is>
      </c>
      <c r="N948" s="4" t="inlineStr">
        <is>
          <t>CIUDAD / Gasto Personal Sol</t>
        </is>
      </c>
      <c r="O948" s="4" t="n">
        <v>865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TRANSPORTE</t>
        </is>
      </c>
      <c r="G949" s="4" t="inlineStr">
        <is>
          <t>TRANSPORTE · Uber</t>
        </is>
      </c>
      <c r="H949" s="5" t="n">
        <v>7758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TRANSPORTE · Uber · Ebanx (=Uber) · gasto personal Sol · dinero en cuenta MP screenshot</t>
        </is>
      </c>
      <c r="N949" s="4" t="inlineStr">
        <is>
          <t>CIUDAD / Gasto Personal Sol</t>
        </is>
      </c>
      <c r="O949" s="4" t="n">
        <v>866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ALMACÉN SOL</t>
        </is>
      </c>
      <c r="F950" s="4" t="inlineStr">
        <is>
          <t>COMIDA · BARRITAS PROTEICAS</t>
        </is>
      </c>
      <c r="G950" s="4" t="inlineStr">
        <is>
          <t>COMIDA · Barritas proteicas</t>
        </is>
      </c>
      <c r="H950" s="5" t="n">
        <v>66527</v>
      </c>
      <c r="I950" s="16" t="n"/>
      <c r="J950" s="4" t="inlineStr">
        <is>
          <t>REAL</t>
        </is>
      </c>
      <c r="K950" s="17" t="n"/>
      <c r="L950" s="4" t="inlineStr">
        <is>
          <t>TC Mercado Pago</t>
        </is>
      </c>
      <c r="M950" s="4" t="inlineStr">
        <is>
          <t>COMIDA · Barritas proteicas · Enerfit · TC Mercado Pago · C.10/12 · compra 2025-11-26 · cierre 2026-09-12</t>
        </is>
      </c>
      <c r="N950" s="4" t="inlineStr">
        <is>
          <t>CIUDAD / Almacen Detalle</t>
        </is>
      </c>
      <c r="O950" s="4" t="n">
        <v>379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ALMACÉN SOL</t>
        </is>
      </c>
      <c r="F951" s="4" t="inlineStr">
        <is>
          <t>COMIDA</t>
        </is>
      </c>
      <c r="G951" s="4" t="inlineStr">
        <is>
          <t>COMIDA · McDonald's</t>
        </is>
      </c>
      <c r="H951" s="5" t="n">
        <v>8010</v>
      </c>
      <c r="I951" s="16" t="n"/>
      <c r="J951" s="4" t="inlineStr">
        <is>
          <t>REAL</t>
        </is>
      </c>
      <c r="K951" s="17" t="n"/>
      <c r="L951" s="4" t="inlineStr">
        <is>
          <t>Mercado Pago</t>
        </is>
      </c>
      <c r="M951" s="4" t="inlineStr">
        <is>
          <t>COMIDA · McDonald's · Mercado Pago · dinero en cuenta MP screenshot</t>
        </is>
      </c>
      <c r="N951" s="4" t="inlineStr">
        <is>
          <t>CIUDAD / Almacen Detalle</t>
        </is>
      </c>
      <c r="O951" s="4" t="n">
        <v>367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ALMACÉN SOL</t>
        </is>
      </c>
      <c r="F952" s="4" t="inlineStr">
        <is>
          <t>STREAMING TV</t>
        </is>
      </c>
      <c r="G952" s="4" t="inlineStr">
        <is>
          <t>STREAMING TV</t>
        </is>
      </c>
      <c r="H952" s="5" t="n">
        <v>97393</v>
      </c>
      <c r="I952" s="16" t="n"/>
      <c r="J952" s="4" t="inlineStr">
        <is>
          <t>REAL</t>
        </is>
      </c>
      <c r="K952" s="17" t="n"/>
      <c r="L952" s="4" t="inlineStr">
        <is>
          <t>TC Mercado Pago</t>
        </is>
      </c>
      <c r="M952" s="4" t="inlineStr">
        <is>
          <t>STREAMING TV · HBO Max · TC Mercado Pago · compra 2026-09-05 · cierre 2026-09-12</t>
        </is>
      </c>
      <c r="N952" s="4" t="inlineStr">
        <is>
          <t>CIUDAD / Almacen Detalle</t>
        </is>
      </c>
      <c r="O952" s="4" t="n">
        <v>380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COMPRAS</t>
        </is>
      </c>
      <c r="G953" s="4" t="inlineStr">
        <is>
          <t>COMPRAS</t>
        </is>
      </c>
      <c r="H953" s="5" t="n">
        <v>31450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COMPRAS · PPNL · TC Mercado Pago · C.2/2 · REVISAR ítem · compra 2026-07-16 · cierre 2026-09-12</t>
        </is>
      </c>
      <c r="N953" s="4" t="inlineStr">
        <is>
          <t>CIUDAD / Gasto Personal Sol</t>
        </is>
      </c>
      <c r="O953" s="4" t="n">
        <v>907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COMPRAS</t>
        </is>
      </c>
      <c r="G954" s="4" t="inlineStr">
        <is>
          <t>COMPRAS</t>
        </is>
      </c>
      <c r="H954" s="5" t="n">
        <v>126325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COMPRAS · LG Distribuidor · TC Mercado Pago · C.2/3 · REVISAR ítem · compra 2026-07-29 · cierre 2026-09-12</t>
        </is>
      </c>
      <c r="N954" s="4" t="inlineStr">
        <is>
          <t>CIUDAD / Gasto Personal Sol</t>
        </is>
      </c>
      <c r="O954" s="4" t="n">
        <v>908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COMPRAS</t>
        </is>
      </c>
      <c r="G955" s="4" t="inlineStr">
        <is>
          <t>COMPRAS</t>
        </is>
      </c>
      <c r="H955" s="5" t="n">
        <v>58430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COMPRAS · Central Store · TC Mercado Pago · C.2/6 · compra 2026-08-01 · cierre 2026-09-12</t>
        </is>
      </c>
      <c r="N955" s="4" t="inlineStr">
        <is>
          <t>CIUDAD / Gasto Personal Sol</t>
        </is>
      </c>
      <c r="O955" s="4" t="n">
        <v>912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290000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COMPRAS · Mac Station · TC Mercado Pago · C.1/2 · compra 2026-08-13 · cierre 2026-09-12</t>
        </is>
      </c>
      <c r="N956" s="4" t="inlineStr">
        <is>
          <t>CIUDAD / Gasto Personal Sol</t>
        </is>
      </c>
      <c r="O956" s="4" t="n">
        <v>914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52624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Mac Station · TC Mercado Pago · C.1/2 · compra 2026-08-13 · cierre 2026-09-12</t>
        </is>
      </c>
      <c r="N957" s="4" t="inlineStr">
        <is>
          <t>CIUDAD / Gasto Personal Sol</t>
        </is>
      </c>
      <c r="O957" s="4" t="n">
        <v>915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40000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Celugadgets · TC Mercado Pago · compra 2026-08-22 · cierre 2026-09-12</t>
        </is>
      </c>
      <c r="N958" s="4" t="inlineStr">
        <is>
          <t>CIUDAD / Gasto Personal Sol</t>
        </is>
      </c>
      <c r="O958" s="4" t="n">
        <v>919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57725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Juan Cornacchi · TC Mercado Pago · REVISAR ítem · compra 2026-08-27 · cierre 2026-09-12</t>
        </is>
      </c>
      <c r="N959" s="4" t="inlineStr">
        <is>
          <t>CIUDAD / Gasto Personal Sol</t>
        </is>
      </c>
      <c r="O959" s="4" t="n">
        <v>921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39000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Megaventas HM · TC Mercado Pago · compra 2026-08-27 · cierre 2026-09-12</t>
        </is>
      </c>
      <c r="N960" s="4" t="inlineStr">
        <is>
          <t>CIUDAD / Gasto Personal Sol</t>
        </is>
      </c>
      <c r="O960" s="4" t="n">
        <v>922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-39000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REEMBOLSO · COMPRAS · Megaventas HM · TC Mercado Pago · compra 2026-08-27 · cierre 2026-09-12</t>
        </is>
      </c>
      <c r="N961" s="4" t="inlineStr">
        <is>
          <t>CIUDAD / Gasto Personal Sol</t>
        </is>
      </c>
      <c r="O961" s="4" t="n">
        <v>925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HOGAR</t>
        </is>
      </c>
      <c r="G962" s="4" t="inlineStr">
        <is>
          <t>HOGAR</t>
        </is>
      </c>
      <c r="H962" s="5" t="n">
        <v>256862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HOGAR · Banchero Sanitarios · TC Mercado Pago · C.1/3 · compra 2026-08-18 · cierre 2026-09-12</t>
        </is>
      </c>
      <c r="N962" s="4" t="inlineStr">
        <is>
          <t>CIUDAD / Gasto Personal Sol</t>
        </is>
      </c>
      <c r="O962" s="4" t="n">
        <v>916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MERCADO LIBRE</t>
        </is>
      </c>
      <c r="G963" s="4" t="inlineStr">
        <is>
          <t>MERCADO LIBRE</t>
        </is>
      </c>
      <c r="H963" s="5" t="n">
        <v>107500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Mercado Libre · TC Mercado Pago · C.1/2 · compra 2026-08-22 · cierre 2026-09-12</t>
        </is>
      </c>
      <c r="N963" s="4" t="inlineStr">
        <is>
          <t>CIUDAD / Gasto Personal Sol</t>
        </is>
      </c>
      <c r="O963" s="4" t="n">
        <v>918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REGALOS</t>
        </is>
      </c>
      <c r="G964" s="4" t="inlineStr">
        <is>
          <t>REGALOS</t>
        </is>
      </c>
      <c r="H964" s="5" t="n">
        <v>33500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REGALOS · Regalos Dalila · TC Mercado Pago · C.2/2 · compra 2026-07-31 · cierre 2026-09-12</t>
        </is>
      </c>
      <c r="N964" s="4" t="inlineStr">
        <is>
          <t>CIUDAD / Gasto Personal Sol</t>
        </is>
      </c>
      <c r="O964" s="4" t="n">
        <v>909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REGALOS</t>
        </is>
      </c>
      <c r="G965" s="4" t="inlineStr">
        <is>
          <t>REGALOS</t>
        </is>
      </c>
      <c r="H965" s="5" t="n">
        <v>546850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REGALOS · Regalos Dalila · TC Mercado Pago · C.2/2 · compra 2026-07-31 · cierre 2026-09-12</t>
        </is>
      </c>
      <c r="N965" s="4" t="inlineStr">
        <is>
          <t>CIUDAD / Gasto Personal Sol</t>
        </is>
      </c>
      <c r="O965" s="4" t="n">
        <v>910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REGALOS</t>
        </is>
      </c>
      <c r="G966" s="4" t="inlineStr">
        <is>
          <t>REGALOS</t>
        </is>
      </c>
      <c r="H966" s="5" t="n">
        <v>62500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REGALOS · Regalos Dalila · TC Mercado Pago · C.2/2 · compra 2026-07-31 · cierre 2026-09-12</t>
        </is>
      </c>
      <c r="N966" s="4" t="inlineStr">
        <is>
          <t>CIUDAD / Gasto Personal Sol</t>
        </is>
      </c>
      <c r="O966" s="4" t="n">
        <v>911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ROPA</t>
        </is>
      </c>
      <c r="G967" s="4" t="inlineStr">
        <is>
          <t>ROPA</t>
        </is>
      </c>
      <c r="H967" s="5" t="n">
        <v>41715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ROPA · Loccitane · TC Mercado Pago · C.6/6 · compra 2026-03-20 · cierre 2026-09-12</t>
        </is>
      </c>
      <c r="N967" s="4" t="inlineStr">
        <is>
          <t>CIUDAD / Gasto Personal Sol</t>
        </is>
      </c>
      <c r="O967" s="4" t="n">
        <v>899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ROPA</t>
        </is>
      </c>
      <c r="G968" s="4" t="inlineStr">
        <is>
          <t>ROPA</t>
        </is>
      </c>
      <c r="H968" s="5" t="n">
        <v>23000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ROPA · Adidas · TC Mercado Pago · C.6/6 · compra 2026-03-23 · cierre 2026-09-12</t>
        </is>
      </c>
      <c r="N968" s="4" t="inlineStr">
        <is>
          <t>CIUDAD / Gasto Personal Sol</t>
        </is>
      </c>
      <c r="O968" s="4" t="n">
        <v>900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ROPA</t>
        </is>
      </c>
      <c r="G969" s="4" t="inlineStr">
        <is>
          <t>ROPA</t>
        </is>
      </c>
      <c r="H969" s="5" t="n">
        <v>67112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ROPA · Awada · TC Mercado Pago · C.6/9 · compra 2026-03-23 · cierre 2026-09-12</t>
        </is>
      </c>
      <c r="N969" s="4" t="inlineStr">
        <is>
          <t>CIUDAD / Gasto Personal Sol</t>
        </is>
      </c>
      <c r="O969" s="4" t="n">
        <v>901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ROPA</t>
        </is>
      </c>
      <c r="G970" s="4" t="inlineStr">
        <is>
          <t>ROPA</t>
        </is>
      </c>
      <c r="H970" s="5" t="n">
        <v>41345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ROPA · Laparfumerie · TC Mercado Pago · C.6/6 · compra 2026-03-30 · cierre 2026-09-12</t>
        </is>
      </c>
      <c r="N970" s="4" t="inlineStr">
        <is>
          <t>CIUDAD / Gasto Personal Sol</t>
        </is>
      </c>
      <c r="O970" s="4" t="n">
        <v>902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297891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Pandora · TC Mercado Pago · C.3/6 · compra 2026-07-09 · cierre 2026-09-12</t>
        </is>
      </c>
      <c r="N971" s="4" t="inlineStr">
        <is>
          <t>CIUDAD / Gasto Personal Sol</t>
        </is>
      </c>
      <c r="O971" s="4" t="n">
        <v>906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82742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Monofuk · TC Mercado Pago · C.2/12 · compra 2026-08-04 · cierre 2026-09-12</t>
        </is>
      </c>
      <c r="N972" s="4" t="inlineStr">
        <is>
          <t>CIUDAD / Gasto Personal Sol</t>
        </is>
      </c>
      <c r="O972" s="4" t="n">
        <v>913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418000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Galeon Joyas · TC Mercado Pago · C.1/3 · compra 2026-09-10 · cierre 2026-09-12</t>
        </is>
      </c>
      <c r="N973" s="4" t="inlineStr">
        <is>
          <t>CIUDAD / Gasto Personal Sol</t>
        </is>
      </c>
      <c r="O973" s="4" t="n">
        <v>923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-795614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REEMBOLSO · ROPA · Zara · TC Mercado Pago · compra 2026-08-19 · cierre 2026-09-12</t>
        </is>
      </c>
      <c r="N974" s="4" t="inlineStr">
        <is>
          <t>CIUDAD / Gasto Personal Sol</t>
        </is>
      </c>
      <c r="O974" s="4" t="n">
        <v>924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SALUD</t>
        </is>
      </c>
      <c r="G975" s="4" t="inlineStr">
        <is>
          <t>SALUD</t>
        </is>
      </c>
      <c r="H975" s="5" t="n">
        <v>55707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SALUD · Laboratorio · TC Mercado Pago · C.3/9 · compra 2026-06-23 · cierre 2026-09-12</t>
        </is>
      </c>
      <c r="N975" s="4" t="inlineStr">
        <is>
          <t>CIUDAD / Gasto Personal Sol</t>
        </is>
      </c>
      <c r="O975" s="4" t="n">
        <v>904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SALUD</t>
        </is>
      </c>
      <c r="G976" s="4" t="inlineStr">
        <is>
          <t>SALUD</t>
        </is>
      </c>
      <c r="H976" s="5" t="n">
        <v>58334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SALUD · Biodepot · TC Mercado Pago · C.3/3 · compra 2026-06-25 · cierre 2026-09-12</t>
        </is>
      </c>
      <c r="N976" s="4" t="inlineStr">
        <is>
          <t>CIUDAD / Gasto Personal Sol</t>
        </is>
      </c>
      <c r="O976" s="4" t="n">
        <v>905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SALUD · Vitaminas</t>
        </is>
      </c>
      <c r="G977" s="4" t="inlineStr">
        <is>
          <t>SALUD · Vitaminas</t>
        </is>
      </c>
      <c r="H977" s="5" t="n">
        <v>87900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SALUD · Vitaminas · Promarine · TC Mercado Pago · C.6/6 · compra 2026-04-04 · cierre 2026-09-12</t>
        </is>
      </c>
      <c r="N977" s="4" t="inlineStr">
        <is>
          <t>CIUDAD / Gasto Personal Sol</t>
        </is>
      </c>
      <c r="O977" s="4" t="n">
        <v>903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SUSCRIPCIONES · APPLE</t>
        </is>
      </c>
      <c r="G978" s="4" t="inlineStr">
        <is>
          <t>SUSCRIPCIONES · Apple</t>
        </is>
      </c>
      <c r="H978" s="5" t="n">
        <v>19749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SUSCRIPCIONES · Apple · Mercado Pago · gasto personal Sol · dinero en cuenta MP screenshot</t>
        </is>
      </c>
      <c r="N978" s="4" t="inlineStr">
        <is>
          <t>CIUDAD / Gasto Personal Sol</t>
        </is>
      </c>
      <c r="O978" s="4" t="n">
        <v>869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ROPA</t>
        </is>
      </c>
      <c r="G979" s="4" t="inlineStr">
        <is>
          <t>TRANSFERENCIAS</t>
        </is>
      </c>
      <c r="H979" s="5" t="n">
        <v>140000</v>
      </c>
      <c r="I979" s="16" t="n"/>
      <c r="J979" s="4" t="inlineStr">
        <is>
          <t>REAL</t>
        </is>
      </c>
      <c r="K979" s="4" t="inlineStr">
        <is>
          <t>Mercado Pago</t>
        </is>
      </c>
      <c r="L979" s="4" t="inlineStr">
        <is>
          <t>Mercado Pago</t>
        </is>
      </c>
      <c r="M979" s="4" t="inlineStr">
        <is>
          <t>Eva Graciela Zarate Valdovino · Transferencia enviada · gasto personal Sol · dinero en cuenta MP screenshot</t>
        </is>
      </c>
      <c r="N979" s="4" t="inlineStr">
        <is>
          <t>CIUDAD / Gasto Personal Sol</t>
        </is>
      </c>
      <c r="O979" s="4" t="n">
        <v>870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VESTIMENTA</t>
        </is>
      </c>
      <c r="G980" s="4" t="inlineStr">
        <is>
          <t>VESTIMENTA</t>
        </is>
      </c>
      <c r="H980" s="5" t="n">
        <v>72000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VESTIMENTA · Etiqueta Negra · TC Mercado Pago · C.1/6 · compra 2026-08-25 · cierre 2026-09-12</t>
        </is>
      </c>
      <c r="N980" s="4" t="inlineStr">
        <is>
          <t>CIUDAD / Gasto Personal Sol</t>
        </is>
      </c>
      <c r="O980" s="4" t="n">
        <v>920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OTROS PERSONALES</t>
        </is>
      </c>
      <c r="G981" s="4" t="inlineStr">
        <is>
          <t>VIAJES</t>
        </is>
      </c>
      <c r="H981" s="5" t="n">
        <v>1633555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VIAJES · Aerolíneas Argentinas · TC Mercado Pago · compra 2026-08-22 · cierre 2026-09-12</t>
        </is>
      </c>
      <c r="N981" s="4" t="inlineStr">
        <is>
          <t>CIUDAD / Gasto Personal Sol</t>
        </is>
      </c>
      <c r="O981" s="4" t="n">
        <v>917</v>
      </c>
    </row>
    <row r="982">
      <c r="A982" s="4" t="n">
        <v>981</v>
      </c>
      <c r="B982" s="15" t="n">
        <v>46278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ALMACÉN SOL</t>
        </is>
      </c>
      <c r="F982" s="4" t="inlineStr">
        <is>
          <t>COMIDA</t>
        </is>
      </c>
      <c r="G982" s="4" t="inlineStr">
        <is>
          <t>COMIDA · VERDULERÍA</t>
        </is>
      </c>
      <c r="H982" s="5" t="n">
        <v>5900</v>
      </c>
      <c r="I982" s="16" t="n"/>
      <c r="J982" s="4" t="inlineStr">
        <is>
          <t>REAL</t>
        </is>
      </c>
      <c r="K982" s="17" t="n"/>
      <c r="L982" s="4" t="inlineStr">
        <is>
          <t>Mercado Pago</t>
        </is>
      </c>
      <c r="M982" s="4" t="inlineStr">
        <is>
          <t>COMIDA · VERDULERÍA · Noelia Caballero · Mercado Pago · dinero en cuenta MP screenshot</t>
        </is>
      </c>
      <c r="N982" s="4" t="inlineStr">
        <is>
          <t>CIUDAD / Almacen Detalle</t>
        </is>
      </c>
      <c r="O982" s="4" t="n">
        <v>368</v>
      </c>
    </row>
    <row r="983">
      <c r="A983" s="4" t="n">
        <v>982</v>
      </c>
      <c r="B983" s="15" t="n">
        <v>46278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COMPRAS</t>
        </is>
      </c>
      <c r="G983" s="4" t="inlineStr">
        <is>
          <t>COMPRAS</t>
        </is>
      </c>
      <c r="H983" s="5" t="n">
        <v>176509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COMPRAS · El Bazar Digital · gasto personal Sol · REVISAR ítem · dinero en cuenta MP screenshot</t>
        </is>
      </c>
      <c r="N983" s="4" t="inlineStr">
        <is>
          <t>CIUDAD / Gasto Personal Sol</t>
        </is>
      </c>
      <c r="O983" s="4" t="n">
        <v>871</v>
      </c>
    </row>
    <row r="984">
      <c r="A984" s="4" t="n">
        <v>983</v>
      </c>
      <c r="B984" s="15" t="n">
        <v>46278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71250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Pago · Pago · gasto personal Sol · REVISAR ítem · dinero en cuenta MP screenshot</t>
        </is>
      </c>
      <c r="N984" s="4" t="inlineStr">
        <is>
          <t>CIUDAD / Gasto Personal Sol</t>
        </is>
      </c>
      <c r="O984" s="4" t="n">
        <v>873</v>
      </c>
    </row>
    <row r="985">
      <c r="A985" s="4" t="n">
        <v>984</v>
      </c>
      <c r="B985" s="15" t="n">
        <v>46278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76742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Pago · Pago · gasto personal Sol · REVISAR ítem · dinero en cuenta MP screenshot</t>
        </is>
      </c>
      <c r="N985" s="4" t="inlineStr">
        <is>
          <t>CIUDAD / Gasto Personal Sol</t>
        </is>
      </c>
      <c r="O985" s="4" t="n">
        <v>874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COMPRAS</t>
        </is>
      </c>
      <c r="G986" s="4" t="inlineStr">
        <is>
          <t>COMPRAS</t>
        </is>
      </c>
      <c r="H986" s="5" t="n">
        <v>629985</v>
      </c>
      <c r="I986" s="16" t="n"/>
      <c r="J986" s="4" t="inlineStr">
        <is>
          <t>REAL</t>
        </is>
      </c>
      <c r="K986" s="4" t="inlineStr">
        <is>
          <t>BBVA VISA</t>
        </is>
      </c>
      <c r="L986" s="4" t="inlineStr">
        <is>
          <t>BBVA</t>
        </is>
      </c>
      <c r="M986" s="4" t="inlineStr">
        <is>
          <t>COMPRAS · dhgate.com · BBVA VISA · USD 409.57 × TC MEP 1538.16 · importación · MEP 11/09 (13/09 domingo) · alerta Gmail Compra aprobada · REVISAR vs resumen BBVA</t>
        </is>
      </c>
      <c r="N986" s="4" t="inlineStr">
        <is>
          <t>CIUDAD / Gasto Personal Sol</t>
        </is>
      </c>
      <c r="O986" s="4" t="n">
        <v>927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PELUQUERÍA</t>
        </is>
      </c>
      <c r="G987" s="4" t="inlineStr">
        <is>
          <t>PELUQUERÍA</t>
        </is>
      </c>
      <c r="H987" s="5" t="n">
        <v>12720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PELUQUERÍA · Megapeluquerías CABA · gasto personal Sol · dinero en cuenta MP screenshot</t>
        </is>
      </c>
      <c r="N987" s="4" t="inlineStr">
        <is>
          <t>CIUDAD / Gasto Personal Sol</t>
        </is>
      </c>
      <c r="O987" s="4" t="n">
        <v>872</v>
      </c>
    </row>
    <row r="988">
      <c r="A988" s="4" t="n">
        <v>987</v>
      </c>
      <c r="B988" s="15" t="n">
        <v>46279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8520</v>
      </c>
      <c r="I988" s="16" t="n"/>
      <c r="J988" s="4" t="inlineStr">
        <is>
          <t>REAL</t>
        </is>
      </c>
      <c r="K988" s="4" t="inlineStr">
        <is>
          <t>BBVA VISA</t>
        </is>
      </c>
      <c r="L988" s="4" t="inlineStr">
        <is>
          <t>BBVA</t>
        </is>
      </c>
      <c r="M988" s="4" t="inlineStr">
        <is>
          <t>COMPRAS · La Obanesad · BBVA VISA · MERPAGO*LAOBANESAD · alerta Gmail · REVISAR ítem</t>
        </is>
      </c>
      <c r="N988" s="4" t="inlineStr">
        <is>
          <t>CIUDAD / Gasto Personal Sol</t>
        </is>
      </c>
      <c r="O988" s="4" t="n">
        <v>933</v>
      </c>
    </row>
    <row r="989">
      <c r="A989" s="4" t="n">
        <v>988</v>
      </c>
      <c r="B989" s="15" t="n">
        <v>46279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TRANSFERENCIAS</t>
        </is>
      </c>
      <c r="G989" s="4" t="inlineStr">
        <is>
          <t>TRANSFERENCIAS</t>
        </is>
      </c>
      <c r="H989" s="5" t="n">
        <v>85000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Maria Celeste Gonzalez · Transferencia enviada · gasto personal Sol · dinero en cuenta MP screenshot</t>
        </is>
      </c>
      <c r="N989" s="4" t="inlineStr">
        <is>
          <t>CIUDAD / Gasto Personal Sol</t>
        </is>
      </c>
      <c r="O989" s="4" t="n">
        <v>875</v>
      </c>
    </row>
    <row r="990">
      <c r="A990" s="4" t="n">
        <v>989</v>
      </c>
      <c r="B990" s="15" t="n">
        <v>46279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TRANSFERENCIAS</t>
        </is>
      </c>
      <c r="G990" s="4" t="inlineStr">
        <is>
          <t>TRANSFERENCIAS</t>
        </is>
      </c>
      <c r="H990" s="5" t="n">
        <v>1000</v>
      </c>
      <c r="I990" s="16" t="n"/>
      <c r="J990" s="4" t="inlineStr">
        <is>
          <t>REAL</t>
        </is>
      </c>
      <c r="K990" s="4" t="inlineStr">
        <is>
          <t>Mercado Pago</t>
        </is>
      </c>
      <c r="L990" s="4" t="inlineStr">
        <is>
          <t>Mercado Pago</t>
        </is>
      </c>
      <c r="M990" s="4" t="inlineStr">
        <is>
          <t>Mariano Morales · Transferencia enviada · gasto personal Sol · dinero en cuenta MP screenshot</t>
        </is>
      </c>
      <c r="N990" s="4" t="inlineStr">
        <is>
          <t>CIUDAD / Gasto Personal Sol</t>
        </is>
      </c>
      <c r="O990" s="4" t="n">
        <v>876</v>
      </c>
    </row>
    <row r="991">
      <c r="A991" s="4" t="n">
        <v>990</v>
      </c>
      <c r="B991" s="15" t="n">
        <v>46280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ALMACÉN SOL</t>
        </is>
      </c>
      <c r="F991" s="4" t="inlineStr">
        <is>
          <t>COMIDA</t>
        </is>
      </c>
      <c r="G991" s="4" t="inlineStr">
        <is>
          <t>COMIDA · CASAARISTOBULO017</t>
        </is>
      </c>
      <c r="H991" s="5" t="n">
        <v>43667</v>
      </c>
      <c r="I991" s="16" t="n"/>
      <c r="J991" s="4" t="inlineStr">
        <is>
          <t>REAL</t>
        </is>
      </c>
      <c r="K991" s="17" t="n"/>
      <c r="L991" s="4" t="inlineStr">
        <is>
          <t>Mercado Pago</t>
        </is>
      </c>
      <c r="M991" s="4" t="inlineStr">
        <is>
          <t>COMIDA · CASAARISTOBULO017 · QR · Mercado Pago · dinero en cuenta MP screenshot</t>
        </is>
      </c>
      <c r="N991" s="4" t="inlineStr">
        <is>
          <t>CIUDAD / Almacen Detalle</t>
        </is>
      </c>
      <c r="O991" s="4" t="n">
        <v>371</v>
      </c>
    </row>
    <row r="992">
      <c r="A992" s="4" t="n">
        <v>991</v>
      </c>
      <c r="B992" s="15" t="n">
        <v>46280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ALMACÉN SOL</t>
        </is>
      </c>
      <c r="F992" s="4" t="inlineStr">
        <is>
          <t>COMIDA</t>
        </is>
      </c>
      <c r="G992" s="4" t="inlineStr">
        <is>
          <t>PEDIDOS YA · COMIDA</t>
        </is>
      </c>
      <c r="H992" s="5" t="n">
        <v>26019</v>
      </c>
      <c r="I992" s="16" t="n"/>
      <c r="J992" s="4" t="inlineStr">
        <is>
          <t>REAL</t>
        </is>
      </c>
      <c r="K992" s="17" t="n"/>
      <c r="L992" s="4" t="inlineStr">
        <is>
          <t>Sin identificar</t>
        </is>
      </c>
      <c r="M992" s="4" t="inlineStr">
        <is>
          <t>PEDIDOS YA · COMIDA · screenshot · dinero en cuenta MP screenshot</t>
        </is>
      </c>
      <c r="N992" s="4" t="inlineStr">
        <is>
          <t>CIUDAD / Almacen Detalle</t>
        </is>
      </c>
      <c r="O992" s="4" t="n">
        <v>369</v>
      </c>
    </row>
    <row r="993">
      <c r="A993" s="4" t="n">
        <v>992</v>
      </c>
      <c r="B993" s="15" t="n">
        <v>46280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COMIDA</t>
        </is>
      </c>
      <c r="G993" s="4" t="inlineStr">
        <is>
          <t>PEDIDOS YA · COMIDA · propina</t>
        </is>
      </c>
      <c r="H993" s="5" t="n">
        <v>1050</v>
      </c>
      <c r="I993" s="16" t="n"/>
      <c r="J993" s="4" t="inlineStr">
        <is>
          <t>REAL</t>
        </is>
      </c>
      <c r="K993" s="17" t="n"/>
      <c r="L993" s="4" t="inlineStr">
        <is>
          <t>Sin identificar</t>
        </is>
      </c>
      <c r="M993" s="4" t="inlineStr">
        <is>
          <t>PEDIDOS YA · COMIDA · propina · screenshot · dinero en cuenta MP screenshot</t>
        </is>
      </c>
      <c r="N993" s="4" t="inlineStr">
        <is>
          <t>CIUDAD / Almacen Detalle</t>
        </is>
      </c>
      <c r="O993" s="4" t="n">
        <v>370</v>
      </c>
    </row>
    <row r="994">
      <c r="A994" s="4" t="n">
        <v>993</v>
      </c>
      <c r="B994" s="15" t="n">
        <v>46280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COMPRAS</t>
        </is>
      </c>
      <c r="G994" s="4" t="inlineStr">
        <is>
          <t>COMPRAS</t>
        </is>
      </c>
      <c r="H994" s="5" t="n">
        <v>40900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COMPRAS · Happy buy · gasto personal Sol · REVISAR ítem · dinero en cuenta MP screenshot</t>
        </is>
      </c>
      <c r="N994" s="4" t="inlineStr">
        <is>
          <t>CIUDAD / Gasto Personal Sol</t>
        </is>
      </c>
      <c r="O994" s="4" t="n">
        <v>878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OTROS PERSONALES</t>
        </is>
      </c>
      <c r="G995" s="4" t="inlineStr">
        <is>
          <t>IMPUESTOS · Epagos</t>
        </is>
      </c>
      <c r="H995" s="5" t="n">
        <v>10150</v>
      </c>
      <c r="I995" s="16" t="n"/>
      <c r="J995" s="4" t="inlineStr">
        <is>
          <t>REAL</t>
        </is>
      </c>
      <c r="K995" s="4" t="inlineStr">
        <is>
          <t>Mercado Pago</t>
        </is>
      </c>
      <c r="L995" s="4" t="inlineStr">
        <is>
          <t>Mercado Pago</t>
        </is>
      </c>
      <c r="M995" s="4" t="inlineStr">
        <is>
          <t>IMPUESTOS · Epagos · gasto personal Sol · dinero en cuenta MP screenshot</t>
        </is>
      </c>
      <c r="N995" s="4" t="inlineStr">
        <is>
          <t>CIUDAD / Gasto Personal Sol</t>
        </is>
      </c>
      <c r="O995" s="4" t="n">
        <v>880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TRANSFERENCIAS</t>
        </is>
      </c>
      <c r="G996" s="4" t="inlineStr">
        <is>
          <t>TRANSFERENCIAS</t>
        </is>
      </c>
      <c r="H996" s="5" t="n">
        <v>4000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Gaston Osvaldo Roca · Transferencia enviada · gasto personal Sol · dinero en cuenta MP screenshot</t>
        </is>
      </c>
      <c r="N996" s="4" t="inlineStr">
        <is>
          <t>CIUDAD / Gasto Personal Sol</t>
        </is>
      </c>
      <c r="O996" s="4" t="n">
        <v>881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TRANSPORTE</t>
        </is>
      </c>
      <c r="G997" s="4" t="inlineStr">
        <is>
          <t>TRANSPORTE · Didi</t>
        </is>
      </c>
      <c r="H997" s="5" t="n">
        <v>5500</v>
      </c>
      <c r="I997" s="16" t="n"/>
      <c r="J997" s="4" t="inlineStr">
        <is>
          <t>REAL</t>
        </is>
      </c>
      <c r="K997" s="4" t="inlineStr">
        <is>
          <t>Mercado Pago</t>
        </is>
      </c>
      <c r="L997" s="4" t="inlineStr">
        <is>
          <t>Mercado Pago</t>
        </is>
      </c>
      <c r="M997" s="4" t="inlineStr">
        <is>
          <t>TRANSPORTE · Didi · gasto personal Sol · dinero en cuenta MP screenshot</t>
        </is>
      </c>
      <c r="N997" s="4" t="inlineStr">
        <is>
          <t>CIUDAD / Gasto Personal Sol</t>
        </is>
      </c>
      <c r="O997" s="4" t="n">
        <v>879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TRANSPORTE</t>
        </is>
      </c>
      <c r="G998" s="4" t="inlineStr">
        <is>
          <t>TRANSPORTE · Uber</t>
        </is>
      </c>
      <c r="H998" s="5" t="n">
        <v>4980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TRANSPORTE · Uber · Ebanx (=Uber) · gasto personal Sol · dinero en cuenta MP screenshot</t>
        </is>
      </c>
      <c r="N998" s="4" t="inlineStr">
        <is>
          <t>CIUDAD / Gasto Personal Sol</t>
        </is>
      </c>
      <c r="O998" s="4" t="n">
        <v>877</v>
      </c>
    </row>
    <row r="999">
      <c r="A999" s="4" t="n">
        <v>998</v>
      </c>
      <c r="B999" s="15" t="n">
        <v>46282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ALMACÉN SOL</t>
        </is>
      </c>
      <c r="F999" s="4" t="inlineStr">
        <is>
          <t>COMIDA</t>
        </is>
      </c>
      <c r="G999" s="4" t="inlineStr">
        <is>
          <t>COMIDA · McDonald's</t>
        </is>
      </c>
      <c r="H999" s="5" t="n">
        <v>1900</v>
      </c>
      <c r="I999" s="16" t="n"/>
      <c r="J999" s="4" t="inlineStr">
        <is>
          <t>REAL</t>
        </is>
      </c>
      <c r="K999" s="17" t="n"/>
      <c r="L999" s="4" t="inlineStr">
        <is>
          <t>Mercado Pago</t>
        </is>
      </c>
      <c r="M999" s="4" t="inlineStr">
        <is>
          <t>COMIDA · McDonald's · Mercado Pago · dinero en cuenta MP screenshot</t>
        </is>
      </c>
      <c r="N999" s="4" t="inlineStr">
        <is>
          <t>CIUDAD / Almacen Detalle</t>
        </is>
      </c>
      <c r="O999" s="4" t="n">
        <v>372</v>
      </c>
    </row>
    <row r="1000">
      <c r="A1000" s="4" t="n">
        <v>999</v>
      </c>
      <c r="B1000" s="15" t="n">
        <v>46282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TRANSPORTE</t>
        </is>
      </c>
      <c r="G1000" s="4" t="inlineStr">
        <is>
          <t>TRANSPORTE · Didi</t>
        </is>
      </c>
      <c r="H1000" s="5" t="n">
        <v>6200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Didi · gasto personal Sol · dinero en cuenta MP screenshot</t>
        </is>
      </c>
      <c r="N1000" s="4" t="inlineStr">
        <is>
          <t>CIUDAD / Gasto Personal Sol</t>
        </is>
      </c>
      <c r="O1000" s="4" t="n">
        <v>883</v>
      </c>
    </row>
    <row r="1001">
      <c r="A1001" s="4" t="n">
        <v>1000</v>
      </c>
      <c r="B1001" s="15" t="n">
        <v>46282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Uber</t>
        </is>
      </c>
      <c r="H1001" s="5" t="n">
        <v>7257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Uber · Ebanx (=Uber) · gasto personal Sol · dinero en cuenta MP screenshot</t>
        </is>
      </c>
      <c r="N1001" s="4" t="inlineStr">
        <is>
          <t>CIUDAD / Gasto Personal Sol</t>
        </is>
      </c>
      <c r="O1001" s="4" t="n">
        <v>882</v>
      </c>
    </row>
    <row r="1002">
      <c r="A1002" s="4" t="n">
        <v>1001</v>
      </c>
      <c r="B1002" s="15" t="n">
        <v>46282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VESTIMENTA</t>
        </is>
      </c>
      <c r="G1002" s="4" t="inlineStr">
        <is>
          <t>VESTIMENTA</t>
        </is>
      </c>
      <c r="H1002" s="5" t="n">
        <v>719990</v>
      </c>
      <c r="I1002" s="16" t="n"/>
      <c r="J1002" s="4" t="inlineStr">
        <is>
          <t>REAL</t>
        </is>
      </c>
      <c r="K1002" s="4" t="inlineStr">
        <is>
          <t>TC Mercado Pago</t>
        </is>
      </c>
      <c r="L1002" s="4" t="inlineStr">
        <is>
          <t>TC Mercado Pago</t>
        </is>
      </c>
      <c r="M1002" s="4" t="inlineStr">
        <is>
          <t>VESTIMENTA · Itsclassic · TC Mercado Pago · Gmail Pago aprobado · REVISAR (también alerta BBVA MERPAGO*ITSCLASSIC) · post-cierre 12/09 → confirmar en resumen TC MP octubre</t>
        </is>
      </c>
      <c r="N1002" s="4" t="inlineStr">
        <is>
          <t>CIUDAD / Gasto Personal Sol</t>
        </is>
      </c>
      <c r="O1002" s="4" t="n">
        <v>831</v>
      </c>
    </row>
    <row r="1003">
      <c r="A1003" s="4" t="n">
        <v>1002</v>
      </c>
      <c r="B1003" s="15" t="n">
        <v>46283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TRANSPORTE</t>
        </is>
      </c>
      <c r="G1003" s="4" t="inlineStr">
        <is>
          <t>TRANSPORTE · Didi</t>
        </is>
      </c>
      <c r="H1003" s="5" t="n">
        <v>4900</v>
      </c>
      <c r="I1003" s="16" t="n"/>
      <c r="J1003" s="4" t="inlineStr">
        <is>
          <t>REAL</t>
        </is>
      </c>
      <c r="K1003" s="4" t="inlineStr">
        <is>
          <t>Mercado Pago</t>
        </is>
      </c>
      <c r="L1003" s="4" t="inlineStr">
        <is>
          <t>Mercado Pago</t>
        </is>
      </c>
      <c r="M1003" s="4" t="inlineStr">
        <is>
          <t>TRANSPORTE · Didi · gasto personal Sol · dinero en cuenta MP screenshot</t>
        </is>
      </c>
      <c r="N1003" s="4" t="inlineStr">
        <is>
          <t>CIUDAD / Gasto Personal Sol</t>
        </is>
      </c>
      <c r="O1003" s="4" t="n">
        <v>885</v>
      </c>
    </row>
    <row r="1004">
      <c r="A1004" s="4" t="n">
        <v>1003</v>
      </c>
      <c r="B1004" s="15" t="n">
        <v>46283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Uber</t>
        </is>
      </c>
      <c r="H1004" s="5" t="n">
        <v>6478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Uber · Ebanx (=Uber) · gasto personal Sol · dinero en cuenta MP screenshot</t>
        </is>
      </c>
      <c r="N1004" s="4" t="inlineStr">
        <is>
          <t>CIUDAD / Gasto Personal Sol</t>
        </is>
      </c>
      <c r="O1004" s="4" t="n">
        <v>886</v>
      </c>
    </row>
    <row r="1005">
      <c r="A1005" s="4" t="n">
        <v>1004</v>
      </c>
      <c r="B1005" s="15" t="n">
        <v>46284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ALMACÉN SOL</t>
        </is>
      </c>
      <c r="F1005" s="4" t="inlineStr">
        <is>
          <t>ENTRETENIMIENTO SOCIAL</t>
        </is>
      </c>
      <c r="G1005" s="4" t="inlineStr">
        <is>
          <t>ENTRETENIMIENTO · Social</t>
        </is>
      </c>
      <c r="H1005" s="5" t="n">
        <v>33359</v>
      </c>
      <c r="I1005" s="16" t="n"/>
      <c r="J1005" s="4" t="inlineStr">
        <is>
          <t>REAL</t>
        </is>
      </c>
      <c r="K1005" s="17" t="n"/>
      <c r="L1005" s="4" t="inlineStr">
        <is>
          <t>Mercado Pago</t>
        </is>
      </c>
      <c r="M1005" s="4" t="inlineStr">
        <is>
          <t>ENTRETENIMIENTO · Social · la monumental · Mercado Pago · dinero en cuenta MP screenshot</t>
        </is>
      </c>
      <c r="N1005" s="4" t="inlineStr">
        <is>
          <t>CIUDAD / Almacen Detalle</t>
        </is>
      </c>
      <c r="O1005" s="4" t="n">
        <v>373</v>
      </c>
    </row>
    <row r="1006">
      <c r="A1006" s="4" t="n">
        <v>1005</v>
      </c>
      <c r="B1006" s="15" t="n">
        <v>46284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AUTO</t>
        </is>
      </c>
      <c r="G1006" s="4" t="inlineStr">
        <is>
          <t>EDUCACIÓN</t>
        </is>
      </c>
      <c r="H1006" s="5" t="n">
        <v>127196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EDUCACIÓN · EducaciónIT · Automatización Claude · TC Mercado Pago · 3 cuotas · Gmail · post-cierre 12/09 → confirmar en resumen TC MP octubre</t>
        </is>
      </c>
      <c r="N1006" s="4" t="inlineStr">
        <is>
          <t>CIUDAD / Gasto Personal Sol</t>
        </is>
      </c>
      <c r="O1006" s="4" t="n">
        <v>832</v>
      </c>
    </row>
    <row r="1007">
      <c r="A1007" s="4" t="n">
        <v>1006</v>
      </c>
      <c r="B1007" s="15" t="n">
        <v>46284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SALUD · Vitaminas</t>
        </is>
      </c>
      <c r="G1007" s="4" t="inlineStr">
        <is>
          <t>SALUD · Vitaminas</t>
        </is>
      </c>
      <c r="H1007" s="5" t="n">
        <v>530100</v>
      </c>
      <c r="I1007" s="16" t="n"/>
      <c r="J1007" s="4" t="inlineStr">
        <is>
          <t>REAL</t>
        </is>
      </c>
      <c r="K1007" s="4" t="inlineStr">
        <is>
          <t>TC Mercado Pago</t>
        </is>
      </c>
      <c r="L1007" s="4" t="inlineStr">
        <is>
          <t>TC Mercado Pago</t>
        </is>
      </c>
      <c r="M1007" s="4" t="inlineStr">
        <is>
          <t>SALUD · Vitaminas · Promarine · TC Mercado Pago · 6 cuotas · Gmail Pago aprobado · REVISAR vs resumen TC MP · post-cierre 12/09 → confirmar en resumen TC MP octubre</t>
        </is>
      </c>
      <c r="N1007" s="4" t="inlineStr">
        <is>
          <t>CIUDAD / Gasto Personal Sol</t>
        </is>
      </c>
      <c r="O1007" s="4" t="n">
        <v>830</v>
      </c>
    </row>
    <row r="1008">
      <c r="A1008" s="4" t="n">
        <v>1007</v>
      </c>
      <c r="B1008" s="15" t="n">
        <v>46284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OTROS PERSONALES</t>
        </is>
      </c>
      <c r="G1008" s="4" t="inlineStr">
        <is>
          <t>TRANSPORTE · SUBE</t>
        </is>
      </c>
      <c r="H1008" s="5" t="n">
        <v>862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SUBE · gasto personal Sol · dinero en cuenta MP screenshot</t>
        </is>
      </c>
      <c r="N1008" s="4" t="inlineStr">
        <is>
          <t>CIUDAD / Gasto Personal Sol</t>
        </is>
      </c>
      <c r="O1008" s="4" t="n">
        <v>887</v>
      </c>
    </row>
    <row r="1009">
      <c r="A1009" s="4" t="n">
        <v>1008</v>
      </c>
      <c r="B1009" s="15" t="n">
        <v>46285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COMPRAS</t>
        </is>
      </c>
      <c r="G1009" s="4" t="inlineStr">
        <is>
          <t>COMPRAS</t>
        </is>
      </c>
      <c r="H1009" s="5" t="n">
        <v>89998</v>
      </c>
      <c r="I1009" s="16" t="n"/>
      <c r="J1009" s="4" t="inlineStr">
        <is>
          <t>REAL</t>
        </is>
      </c>
      <c r="K1009" s="4" t="inlineStr">
        <is>
          <t>TC Mercado Pago</t>
        </is>
      </c>
      <c r="L1009" s="4" t="inlineStr">
        <is>
          <t>TC Mercado Pago</t>
        </is>
      </c>
      <c r="M1009" s="4" t="inlineStr">
        <is>
          <t>COMPRAS · Yenny El Ateneo · TC Mercado Pago · Gmail Pago aprobado · post-cierre 12/09 → confirmar resumen octubre</t>
        </is>
      </c>
      <c r="N1009" s="4" t="inlineStr">
        <is>
          <t>CIUDAD / Gasto Personal Sol</t>
        </is>
      </c>
      <c r="O1009" s="4" t="n">
        <v>936</v>
      </c>
    </row>
    <row r="1010">
      <c r="A1010" s="4" t="n">
        <v>1009</v>
      </c>
      <c r="B1010" s="15" t="n">
        <v>46287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SUSCRIPCIONES · IA</t>
        </is>
      </c>
      <c r="G1010" s="4" t="inlineStr">
        <is>
          <t>SUSCRIPCIONES · IA</t>
        </is>
      </c>
      <c r="H1010" s="5" t="n">
        <v>7668</v>
      </c>
      <c r="I1010" s="16" t="n"/>
      <c r="J1010" s="4" t="inlineStr">
        <is>
          <t>REAL</t>
        </is>
      </c>
      <c r="K1010" s="4" t="inlineStr">
        <is>
          <t>BBVA VISA</t>
        </is>
      </c>
      <c r="L1010" s="4" t="inlineStr">
        <is>
          <t>BBVA</t>
        </is>
      </c>
      <c r="M1010" s="4" t="inlineStr">
        <is>
          <t>SUSCRIPCIONES · IA · Google One / Gemini · BBVA VISA · USD 4.99 × TC MEP 1536.51 · alerta Gmail Compra aprobada · REVISAR vs resumen BBVA</t>
        </is>
      </c>
      <c r="N1010" s="4" t="inlineStr">
        <is>
          <t>CIUDAD / Gasto Personal Sol</t>
        </is>
      </c>
      <c r="O1010" s="4" t="n">
        <v>928</v>
      </c>
    </row>
    <row r="1011">
      <c r="A1011" s="4" t="n">
        <v>1010</v>
      </c>
      <c r="B1011" s="15" t="n">
        <v>46287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TRANSPORTE</t>
        </is>
      </c>
      <c r="G1011" s="4" t="inlineStr">
        <is>
          <t>TRANSPORTE · Didi</t>
        </is>
      </c>
      <c r="H1011" s="5" t="n">
        <v>3300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TRANSPORTE · Didi · gasto personal Sol · dinero en cuenta MP screenshot</t>
        </is>
      </c>
      <c r="N1011" s="4" t="inlineStr">
        <is>
          <t>CIUDAD / Gasto Personal Sol</t>
        </is>
      </c>
      <c r="O1011" s="4" t="n">
        <v>889</v>
      </c>
    </row>
    <row r="1012">
      <c r="A1012" s="4" t="n">
        <v>1011</v>
      </c>
      <c r="B1012" s="15" t="n">
        <v>46287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Uber</t>
        </is>
      </c>
      <c r="H1012" s="5" t="n">
        <v>5393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Uber · Ebanx (=Uber) · gasto personal Sol · dinero en cuenta MP screenshot</t>
        </is>
      </c>
      <c r="N1012" s="4" t="inlineStr">
        <is>
          <t>CIUDAD / Gasto Personal Sol</t>
        </is>
      </c>
      <c r="O1012" s="4" t="n">
        <v>888</v>
      </c>
    </row>
    <row r="1013">
      <c r="A1013" s="4" t="n">
        <v>1012</v>
      </c>
      <c r="B1013" s="15" t="n">
        <v>46288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ALMACÉN SOL</t>
        </is>
      </c>
      <c r="F1013" s="4" t="inlineStr">
        <is>
          <t>ENTRETENIMIENTO · SALIDAS COMIDA</t>
        </is>
      </c>
      <c r="G1013" s="4" t="inlineStr">
        <is>
          <t>ENTRETENIMIENTO · Salidas comida</t>
        </is>
      </c>
      <c r="H1013" s="5" t="n">
        <v>16598</v>
      </c>
      <c r="I1013" s="16" t="n"/>
      <c r="J1013" s="4" t="inlineStr">
        <is>
          <t>REAL</t>
        </is>
      </c>
      <c r="K1013" s="17" t="n"/>
      <c r="L1013" s="4" t="inlineStr">
        <is>
          <t>Mercado Pago</t>
        </is>
      </c>
      <c r="M1013" s="4" t="inlineStr">
        <is>
          <t>ENTRETENIMIENTO · Salidas comida · Estancia San Francisco Devoto · Mercado Pago · dinero en cuenta MP screenshot</t>
        </is>
      </c>
      <c r="N1013" s="4" t="inlineStr">
        <is>
          <t>CIUDAD / Almacen Detalle</t>
        </is>
      </c>
      <c r="O1013" s="4" t="n">
        <v>376</v>
      </c>
    </row>
    <row r="1014">
      <c r="A1014" s="4" t="n">
        <v>1013</v>
      </c>
      <c r="B1014" s="15" t="n">
        <v>46288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ALMACÉN SOL</t>
        </is>
      </c>
      <c r="F1014" s="4" t="inlineStr">
        <is>
          <t>COMIDA</t>
        </is>
      </c>
      <c r="G1014" s="4" t="inlineStr">
        <is>
          <t>PEDIDOS YA · COMIDA</t>
        </is>
      </c>
      <c r="H1014" s="5" t="n">
        <v>23964</v>
      </c>
      <c r="I1014" s="16" t="n"/>
      <c r="J1014" s="4" t="inlineStr">
        <is>
          <t>REAL</t>
        </is>
      </c>
      <c r="K1014" s="17" t="n"/>
      <c r="L1014" s="4" t="inlineStr">
        <is>
          <t>Sin identificar</t>
        </is>
      </c>
      <c r="M1014" s="4" t="inlineStr">
        <is>
          <t>PEDIDOS YA · COMIDA · screenshot · dinero en cuenta MP screenshot</t>
        </is>
      </c>
      <c r="N1014" s="4" t="inlineStr">
        <is>
          <t>CIUDAD / Almacen Detalle</t>
        </is>
      </c>
      <c r="O1014" s="4" t="n">
        <v>374</v>
      </c>
    </row>
    <row r="1015">
      <c r="A1015" s="4" t="n">
        <v>1014</v>
      </c>
      <c r="B1015" s="15" t="n">
        <v>46288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ALMACÉN SOL</t>
        </is>
      </c>
      <c r="F1015" s="4" t="inlineStr">
        <is>
          <t>COMIDA</t>
        </is>
      </c>
      <c r="G1015" s="4" t="inlineStr">
        <is>
          <t>PEDIDOS YA · COMIDA · propina</t>
        </is>
      </c>
      <c r="H1015" s="5" t="n">
        <v>850</v>
      </c>
      <c r="I1015" s="16" t="n"/>
      <c r="J1015" s="4" t="inlineStr">
        <is>
          <t>REAL</t>
        </is>
      </c>
      <c r="K1015" s="17" t="n"/>
      <c r="L1015" s="4" t="inlineStr">
        <is>
          <t>Sin identificar</t>
        </is>
      </c>
      <c r="M1015" s="4" t="inlineStr">
        <is>
          <t>PEDIDOS YA · COMIDA · propina · screenshot · dinero en cuenta MP screenshot</t>
        </is>
      </c>
      <c r="N1015" s="4" t="inlineStr">
        <is>
          <t>CIUDAD / Almacen Detalle</t>
        </is>
      </c>
      <c r="O1015" s="4" t="n">
        <v>375</v>
      </c>
    </row>
    <row r="1016">
      <c r="A1016" s="4" t="n">
        <v>1015</v>
      </c>
      <c r="B1016" s="15" t="n">
        <v>46288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COMPRAS</t>
        </is>
      </c>
      <c r="G1016" s="4" t="inlineStr">
        <is>
          <t>COMPRAS</t>
        </is>
      </c>
      <c r="H1016" s="5" t="n">
        <v>63514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Randy Kopeles · Pago · gasto personal Sol · dinero en cuenta MP screenshot</t>
        </is>
      </c>
      <c r="N1016" s="4" t="inlineStr">
        <is>
          <t>CIUDAD / Gasto Personal Sol</t>
        </is>
      </c>
      <c r="O1016" s="4" t="n">
        <v>890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COMPRAS</t>
        </is>
      </c>
      <c r="G1017" s="4" t="inlineStr">
        <is>
          <t>COMPRAS</t>
        </is>
      </c>
      <c r="H1017" s="5" t="n">
        <v>72999</v>
      </c>
      <c r="I1017" s="16" t="n"/>
      <c r="J1017" s="4" t="inlineStr">
        <is>
          <t>REAL</t>
        </is>
      </c>
      <c r="K1017" s="4" t="inlineStr">
        <is>
          <t>Mercado Pago</t>
        </is>
      </c>
      <c r="L1017" s="4" t="inlineStr">
        <is>
          <t>Mercado Pago</t>
        </is>
      </c>
      <c r="M1017" s="4" t="inlineStr">
        <is>
          <t>Tatiana Aylén Gonzalez · Pago · gasto personal Sol · dinero en cuenta MP screenshot</t>
        </is>
      </c>
      <c r="N1017" s="4" t="inlineStr">
        <is>
          <t>CIUDAD / Gasto Personal Sol</t>
        </is>
      </c>
      <c r="O1017" s="4" t="n">
        <v>895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GASTO PERSONAL</t>
        </is>
      </c>
      <c r="F1018" s="4" t="inlineStr">
        <is>
          <t>SALUD</t>
        </is>
      </c>
      <c r="G1018" s="4" t="inlineStr">
        <is>
          <t>SALUD</t>
        </is>
      </c>
      <c r="H1018" s="5" t="n">
        <v>50000</v>
      </c>
      <c r="I1018" s="16" t="n"/>
      <c r="J1018" s="4" t="inlineStr">
        <is>
          <t>REAL</t>
        </is>
      </c>
      <c r="K1018" s="4" t="inlineStr">
        <is>
          <t>Mercado Pago</t>
        </is>
      </c>
      <c r="L1018" s="4" t="inlineStr">
        <is>
          <t>Mercado Pago</t>
        </is>
      </c>
      <c r="M1018" s="4" t="inlineStr">
        <is>
          <t>SALUD · Clinicas Altamirao · gasto personal Sol · dinero en cuenta MP screenshot</t>
        </is>
      </c>
      <c r="N1018" s="4" t="inlineStr">
        <is>
          <t>CIUDAD / Gasto Personal Sol</t>
        </is>
      </c>
      <c r="O1018" s="4" t="n">
        <v>893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TRANSPORTE</t>
        </is>
      </c>
      <c r="G1019" s="4" t="inlineStr">
        <is>
          <t>TRANSPORTE · Didi</t>
        </is>
      </c>
      <c r="H1019" s="5" t="n">
        <v>3200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TRANSPORTE · Didi · gasto personal Sol · dinero en cuenta MP screenshot</t>
        </is>
      </c>
      <c r="N1019" s="4" t="inlineStr">
        <is>
          <t>CIUDAD / Gasto Personal Sol</t>
        </is>
      </c>
      <c r="O1019" s="4" t="n">
        <v>894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TRANSPORTE</t>
        </is>
      </c>
      <c r="G1020" s="4" t="inlineStr">
        <is>
          <t>TRANSPORTE · Uber</t>
        </is>
      </c>
      <c r="H1020" s="5" t="n">
        <v>7016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TRANSPORTE · Uber · Ebanx (=Uber) · gasto personal Sol · dinero en cuenta MP screenshot</t>
        </is>
      </c>
      <c r="N1020" s="4" t="inlineStr">
        <is>
          <t>CIUDAD / Gasto Personal Sol</t>
        </is>
      </c>
      <c r="O1020" s="4" t="n">
        <v>891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Uber</t>
        </is>
      </c>
      <c r="H1021" s="5" t="n">
        <v>153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Uber · Ebanx (=Uber) · gasto personal Sol · dinero en cuenta MP screenshot</t>
        </is>
      </c>
      <c r="N1021" s="4" t="inlineStr">
        <is>
          <t>CIUDAD / Gasto Personal Sol</t>
        </is>
      </c>
      <c r="O1021" s="4" t="n">
        <v>892</v>
      </c>
    </row>
    <row r="1022">
      <c r="A1022" s="4" t="n">
        <v>1021</v>
      </c>
      <c r="B1022" s="15" t="n">
        <v>46290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ALMACÉN SOL</t>
        </is>
      </c>
      <c r="F1022" s="4" t="inlineStr">
        <is>
          <t>RAMON · OTROS</t>
        </is>
      </c>
      <c r="G1022" s="4" t="inlineStr">
        <is>
          <t>RAMON · Otros</t>
        </is>
      </c>
      <c r="H1022" s="5" t="n">
        <v>47900</v>
      </c>
      <c r="I1022" s="16" t="n"/>
      <c r="J1022" s="4" t="inlineStr">
        <is>
          <t>REAL</t>
        </is>
      </c>
      <c r="K1022" s="17" t="n"/>
      <c r="L1022" s="4" t="inlineStr">
        <is>
          <t>Mercado Pago</t>
        </is>
      </c>
      <c r="M1022" s="4" t="inlineStr">
        <is>
          <t>RAMON · Otros · Paws Pet Market · Mercado Pago · dinero en cuenta MP screenshot</t>
        </is>
      </c>
      <c r="N1022" s="4" t="inlineStr">
        <is>
          <t>CIUDAD / Almacen Detalle</t>
        </is>
      </c>
      <c r="O1022" s="4" t="n">
        <v>377</v>
      </c>
    </row>
    <row r="1023">
      <c r="A1023" s="4" t="n">
        <v>1022</v>
      </c>
      <c r="B1023" s="15" t="n">
        <v>46290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4800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896</v>
      </c>
    </row>
    <row r="1024">
      <c r="A1024" s="4" t="n">
        <v>1023</v>
      </c>
      <c r="B1024" s="15" t="n">
        <v>46290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Didi</t>
        </is>
      </c>
      <c r="H1024" s="5" t="n">
        <v>6800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Didi · gasto personal Sol · dinero en cuenta MP screenshot</t>
        </is>
      </c>
      <c r="N1024" s="4" t="inlineStr">
        <is>
          <t>CIUDAD / Gasto Personal Sol</t>
        </is>
      </c>
      <c r="O1024" s="4" t="n">
        <v>897</v>
      </c>
    </row>
    <row r="1025">
      <c r="A1025" s="4" t="n">
        <v>1024</v>
      </c>
      <c r="B1025" s="15" t="n">
        <v>46292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ALMACÉN SOL</t>
        </is>
      </c>
      <c r="F1025" s="4" t="inlineStr">
        <is>
          <t>COMIDA</t>
        </is>
      </c>
      <c r="G1025" s="4" t="inlineStr">
        <is>
          <t>COMIDA · Open 25</t>
        </is>
      </c>
      <c r="H1025" s="5" t="n">
        <v>6700</v>
      </c>
      <c r="I1025" s="16" t="n"/>
      <c r="J1025" s="4" t="inlineStr">
        <is>
          <t>REAL</t>
        </is>
      </c>
      <c r="K1025" s="17" t="n"/>
      <c r="L1025" s="4" t="inlineStr">
        <is>
          <t>Mercado Pago</t>
        </is>
      </c>
      <c r="M1025" s="4" t="inlineStr">
        <is>
          <t>COMIDA · Open 25 · Mercado Pago · dinero en cuenta MP screenshot</t>
        </is>
      </c>
      <c r="N1025" s="4" t="inlineStr">
        <is>
          <t>CIUDAD / Almacen Detalle</t>
        </is>
      </c>
      <c r="O1025" s="4" t="n">
        <v>378</v>
      </c>
    </row>
    <row r="1026">
      <c r="A1026" s="4" t="n">
        <v>1025</v>
      </c>
      <c r="B1026" s="15" t="n">
        <v>46292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GASTO PERSONAL</t>
        </is>
      </c>
      <c r="F1026" s="4" t="inlineStr">
        <is>
          <t>ENVÍOS</t>
        </is>
      </c>
      <c r="G1026" s="4" t="inlineStr">
        <is>
          <t>ENVÍOS</t>
        </is>
      </c>
      <c r="H1026" s="5" t="n">
        <v>13288</v>
      </c>
      <c r="I1026" s="16" t="n"/>
      <c r="J1026" s="4" t="inlineStr">
        <is>
          <t>REAL</t>
        </is>
      </c>
      <c r="K1026" s="4" t="inlineStr">
        <is>
          <t>Mercado Pago</t>
        </is>
      </c>
      <c r="L1026" s="4" t="inlineStr">
        <is>
          <t>Mercado Pago</t>
        </is>
      </c>
      <c r="M1026" s="4" t="inlineStr">
        <is>
          <t>ENVÍOS · DHL Express · gasto personal Sol · dinero en cuenta MP screenshot</t>
        </is>
      </c>
      <c r="N1026" s="4" t="inlineStr">
        <is>
          <t>CIUDAD / Gasto Personal Sol</t>
        </is>
      </c>
      <c r="O1026" s="4" t="n">
        <v>898</v>
      </c>
    </row>
    <row r="1027">
      <c r="A1027" s="4" t="n">
        <v>1026</v>
      </c>
      <c r="B1027" s="15" t="n">
        <v>46292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SUSCRIPCIONES · IA</t>
        </is>
      </c>
      <c r="G1027" s="4" t="inlineStr">
        <is>
          <t>SUSCRIPCIONES · IA</t>
        </is>
      </c>
      <c r="H1027" s="5" t="n">
        <v>93150</v>
      </c>
      <c r="I1027" s="16" t="n"/>
      <c r="J1027" s="4" t="inlineStr">
        <is>
          <t>REAL</t>
        </is>
      </c>
      <c r="K1027" s="4" t="inlineStr">
        <is>
          <t>BBVA VISA</t>
        </is>
      </c>
      <c r="L1027" s="4" t="inlineStr">
        <is>
          <t>BBVA</t>
        </is>
      </c>
      <c r="M1027" s="4" t="inlineStr">
        <is>
          <t>SUSCRIPCIONES · IA · Cursor · BBVA VISA · USD 60.00 × TC MEP 1552.5 · MEP 25/09 (27/09 domingo) · alerta Gmail Compra aprobada · REVISAR vs resumen BBVA</t>
        </is>
      </c>
      <c r="N1027" s="4" t="inlineStr">
        <is>
          <t>CIUDAD / Gasto Personal Sol</t>
        </is>
      </c>
      <c r="O1027" s="4" t="n">
        <v>929</v>
      </c>
    </row>
    <row r="1028">
      <c r="A1028" s="4" t="n">
        <v>1027</v>
      </c>
      <c r="B1028" s="15" t="n">
        <v>46292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VESTIMENTA</t>
        </is>
      </c>
      <c r="G1028" s="4" t="inlineStr">
        <is>
          <t>VESTIMENTA</t>
        </is>
      </c>
      <c r="H1028" s="5" t="n">
        <v>334288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VESTIMENTA · Luxodia · BBVA VISA · MERPAGO*LUXODIA · alerta Gmail · REVISAR ítem</t>
        </is>
      </c>
      <c r="N1028" s="4" t="inlineStr">
        <is>
          <t>CIUDAD / Gasto Personal Sol</t>
        </is>
      </c>
      <c r="O1028" s="4" t="n">
        <v>934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VESTIMENTA</t>
        </is>
      </c>
      <c r="G1029" s="4" t="inlineStr">
        <is>
          <t>VESTIMENTA</t>
        </is>
      </c>
      <c r="H1029" s="5" t="n">
        <v>49492</v>
      </c>
      <c r="I1029" s="16" t="n"/>
      <c r="J1029" s="4" t="inlineStr">
        <is>
          <t>REAL</t>
        </is>
      </c>
      <c r="K1029" s="4" t="inlineStr">
        <is>
          <t>BBVA VISA</t>
        </is>
      </c>
      <c r="L1029" s="4" t="inlineStr">
        <is>
          <t>BBVA</t>
        </is>
      </c>
      <c r="M1029" s="4" t="inlineStr">
        <is>
          <t>VESTIMENTA · Luxodia · BBVA VISA · MERPAGO*LUXODIA · alerta Gmail · REVISAR ítem</t>
        </is>
      </c>
      <c r="N1029" s="4" t="inlineStr">
        <is>
          <t>CIUDAD / Gasto Personal Sol</t>
        </is>
      </c>
      <c r="O1029" s="4" t="n">
        <v>935</v>
      </c>
    </row>
    <row r="1030">
      <c r="A1030" s="4" t="n">
        <v>1029</v>
      </c>
      <c r="B1030" s="15" t="n">
        <v>46293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ALMACÉN SOL</t>
        </is>
      </c>
      <c r="F1030" s="4" t="inlineStr">
        <is>
          <t>COMIDA</t>
        </is>
      </c>
      <c r="G1030" s="4" t="inlineStr">
        <is>
          <t>COMIDA · pollo</t>
        </is>
      </c>
      <c r="H1030" s="5" t="n">
        <v>10900</v>
      </c>
      <c r="I1030" s="16" t="n"/>
      <c r="J1030" s="4" t="inlineStr">
        <is>
          <t>REAL</t>
        </is>
      </c>
      <c r="K1030" s="17" t="n"/>
      <c r="L1030" s="4" t="inlineStr">
        <is>
          <t>Sin identificar</t>
        </is>
      </c>
      <c r="M1030" s="4" t="inlineStr">
        <is>
          <t>COMIDA · pollo · Súper Pollo · QR · resumen oficial cuenta MP 1–30 sep 2026</t>
        </is>
      </c>
      <c r="N1030" s="4" t="inlineStr">
        <is>
          <t>CIUDAD / Almacen Detalle</t>
        </is>
      </c>
      <c r="O1030" s="4" t="n">
        <v>381</v>
      </c>
    </row>
    <row r="1031">
      <c r="A1031" s="4" t="n">
        <v>1030</v>
      </c>
      <c r="B1031" s="15" t="n">
        <v>46293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TRANSFERENCIAS</t>
        </is>
      </c>
      <c r="G1031" s="4" t="inlineStr">
        <is>
          <t>TRANSFERENCIAS</t>
        </is>
      </c>
      <c r="H1031" s="5" t="n">
        <v>69900</v>
      </c>
      <c r="I1031" s="16" t="n"/>
      <c r="J1031" s="4" t="inlineStr">
        <is>
          <t>REAL</t>
        </is>
      </c>
      <c r="K1031" s="4" t="inlineStr">
        <is>
          <t>Mercado Pago</t>
        </is>
      </c>
      <c r="L1031" s="4" t="inlineStr">
        <is>
          <t>Mercado Pago</t>
        </is>
      </c>
      <c r="M1031" s="4" t="inlineStr">
        <is>
          <t>TRANSFERENCIAS · Camilo Carlos Ihan · REVISAR ítem · resumen oficial cuenta MP 1–30 sep 2026</t>
        </is>
      </c>
      <c r="N1031" s="4" t="inlineStr">
        <is>
          <t>CIUDAD / Gasto Personal Sol</t>
        </is>
      </c>
      <c r="O1031" s="4" t="n">
        <v>938</v>
      </c>
    </row>
    <row r="1032">
      <c r="A1032" s="4" t="n">
        <v>1031</v>
      </c>
      <c r="B1032" s="15" t="n">
        <v>46294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HOGAR</t>
        </is>
      </c>
      <c r="G1032" s="4" t="inlineStr">
        <is>
          <t>HOGAR</t>
        </is>
      </c>
      <c r="H1032" s="5" t="n">
        <v>134572</v>
      </c>
      <c r="I1032" s="16" t="n"/>
      <c r="J1032" s="4" t="inlineStr">
        <is>
          <t>REAL</t>
        </is>
      </c>
      <c r="K1032" s="4" t="inlineStr">
        <is>
          <t>TC Mercado Pago</t>
        </is>
      </c>
      <c r="L1032" s="4" t="inlineStr">
        <is>
          <t>TC Mercado Pago</t>
        </is>
      </c>
      <c r="M1032" s="4" t="inlineStr">
        <is>
          <t>HOGAR · ViennaHogar · TC Mercado Pago · 3 cuotas · Gmail Pago aprobado · post-cierre 12/09 → confirmar resumen octubre</t>
        </is>
      </c>
      <c r="N1032" s="4" t="inlineStr">
        <is>
          <t>CIUDAD / Gasto Personal Sol</t>
        </is>
      </c>
      <c r="O1032" s="4" t="n">
        <v>937</v>
      </c>
    </row>
    <row r="1033">
      <c r="A1033" s="4" t="n">
        <v>1032</v>
      </c>
      <c r="B1033" s="15" t="n">
        <v>46294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TRANSPORTE</t>
        </is>
      </c>
      <c r="G1033" s="4" t="inlineStr">
        <is>
          <t>TRANSPORTE · Didi</t>
        </is>
      </c>
      <c r="H1033" s="5" t="n">
        <v>5700</v>
      </c>
      <c r="I1033" s="16" t="n"/>
      <c r="J1033" s="4" t="inlineStr">
        <is>
          <t>REAL</t>
        </is>
      </c>
      <c r="K1033" s="4" t="inlineStr">
        <is>
          <t>Mercado Pago</t>
        </is>
      </c>
      <c r="L1033" s="4" t="inlineStr">
        <is>
          <t>Mercado Pago</t>
        </is>
      </c>
      <c r="M1033" s="4" t="inlineStr">
        <is>
          <t>TRANSPORTE · Didi · resumen oficial cuenta MP 1–30 sep 2026</t>
        </is>
      </c>
      <c r="N1033" s="4" t="inlineStr">
        <is>
          <t>CIUDAD / Gasto Personal Sol</t>
        </is>
      </c>
      <c r="O1033" s="4" t="n">
        <v>940</v>
      </c>
    </row>
    <row r="1034">
      <c r="A1034" s="4" t="n">
        <v>1033</v>
      </c>
      <c r="B1034" s="15" t="n">
        <v>46294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GASTO PERSONAL</t>
        </is>
      </c>
      <c r="F1034" s="4" t="inlineStr">
        <is>
          <t>TRANSPORTE</t>
        </is>
      </c>
      <c r="G1034" s="4" t="inlineStr">
        <is>
          <t>TRANSPORTE · Didi</t>
        </is>
      </c>
      <c r="H1034" s="5" t="n">
        <v>4000</v>
      </c>
      <c r="I1034" s="16" t="n"/>
      <c r="J1034" s="4" t="inlineStr">
        <is>
          <t>REAL</t>
        </is>
      </c>
      <c r="K1034" s="4" t="inlineStr">
        <is>
          <t>Mercado Pago</t>
        </is>
      </c>
      <c r="L1034" s="4" t="inlineStr">
        <is>
          <t>Mercado Pago</t>
        </is>
      </c>
      <c r="M1034" s="4" t="inlineStr">
        <is>
          <t>TRANSPORTE · Didi · resumen oficial cuenta MP 1–30 sep 2026</t>
        </is>
      </c>
      <c r="N1034" s="4" t="inlineStr">
        <is>
          <t>CIUDAD / Gasto Personal Sol</t>
        </is>
      </c>
      <c r="O1034" s="4" t="n">
        <v>941</v>
      </c>
    </row>
    <row r="1035">
      <c r="A1035" s="4" t="n">
        <v>1034</v>
      </c>
      <c r="B1035" s="15" t="n">
        <v>46294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TRANSPORTE</t>
        </is>
      </c>
      <c r="G1035" s="4" t="inlineStr">
        <is>
          <t>TRANSPORTE · Uber</t>
        </is>
      </c>
      <c r="H1035" s="5" t="n">
        <v>7230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TRANSPORTE · Uber · Ebanx (=Uber) · resumen oficial cuenta MP 1–30 sep 2026</t>
        </is>
      </c>
      <c r="N1035" s="4" t="inlineStr">
        <is>
          <t>CIUDAD / Gasto Personal Sol</t>
        </is>
      </c>
      <c r="O1035" s="4" t="n">
        <v>939</v>
      </c>
    </row>
    <row r="1036">
      <c r="A1036" s="4" t="n">
        <v>1035</v>
      </c>
      <c r="B1036" s="15" t="n">
        <v>46295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ALMACÉN SOL</t>
        </is>
      </c>
      <c r="F1036" s="4" t="inlineStr">
        <is>
          <t>COMBUSTIBLE</t>
        </is>
      </c>
      <c r="G1036" s="4" t="inlineStr">
        <is>
          <t>Combustible — Shell</t>
        </is>
      </c>
      <c r="H1036" s="5" t="n">
        <v>1039</v>
      </c>
      <c r="I1036" s="16" t="n"/>
      <c r="J1036" s="4" t="inlineStr">
        <is>
          <t>REAL</t>
        </is>
      </c>
      <c r="K1036" s="17" t="n"/>
      <c r="L1036" s="4" t="inlineStr">
        <is>
          <t>Sin identificar</t>
        </is>
      </c>
      <c r="M1036" s="4" t="inlineStr">
        <is>
          <t>Combustible — Shell · QR · resumen oficial cuenta MP 1–30 sep 2026</t>
        </is>
      </c>
      <c r="N1036" s="4" t="inlineStr">
        <is>
          <t>CIUDAD / Almacen Detalle</t>
        </is>
      </c>
      <c r="O1036" s="4" t="n">
        <v>382</v>
      </c>
    </row>
    <row r="1037">
      <c r="A1037" s="4" t="n">
        <v>1036</v>
      </c>
      <c r="B1037" s="15" t="n">
        <v>46295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ALMACÉN SOL</t>
        </is>
      </c>
      <c r="F1037" s="4" t="inlineStr">
        <is>
          <t>COMBUSTIBLE</t>
        </is>
      </c>
      <c r="G1037" s="4" t="inlineStr">
        <is>
          <t>Combustible — Shell</t>
        </is>
      </c>
      <c r="H1037" s="5" t="n">
        <v>288</v>
      </c>
      <c r="I1037" s="16" t="n"/>
      <c r="J1037" s="4" t="inlineStr">
        <is>
          <t>REAL</t>
        </is>
      </c>
      <c r="K1037" s="17" t="n"/>
      <c r="L1037" s="4" t="inlineStr">
        <is>
          <t>Sin identificar</t>
        </is>
      </c>
      <c r="M1037" s="4" t="inlineStr">
        <is>
          <t>Combustible — Shell · QR · ceil 287.50 · resumen oficial cuenta MP 1–30 sep 2026</t>
        </is>
      </c>
      <c r="N1037" s="4" t="inlineStr">
        <is>
          <t>CIUDAD / Almacen Detalle</t>
        </is>
      </c>
      <c r="O1037" s="4" t="n">
        <v>383</v>
      </c>
    </row>
    <row r="1038">
      <c r="A1038" s="4" t="n">
        <v>1037</v>
      </c>
      <c r="B1038" s="15" t="n">
        <v>46295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ALMACÉN SOL</t>
        </is>
      </c>
      <c r="F1038" s="4" t="inlineStr">
        <is>
          <t>COMBUSTIBLE</t>
        </is>
      </c>
      <c r="G1038" s="4" t="inlineStr">
        <is>
          <t>Combustible — Shell</t>
        </is>
      </c>
      <c r="H1038" s="5" t="n">
        <v>1126</v>
      </c>
      <c r="I1038" s="16" t="n"/>
      <c r="J1038" s="4" t="inlineStr">
        <is>
          <t>REAL</t>
        </is>
      </c>
      <c r="K1038" s="17" t="n"/>
      <c r="L1038" s="4" t="inlineStr">
        <is>
          <t>Sin identificar</t>
        </is>
      </c>
      <c r="M1038" s="4" t="inlineStr">
        <is>
          <t>Combustible — Shell · QR · resumen oficial cuenta MP 1–30 sep 2026</t>
        </is>
      </c>
      <c r="N1038" s="4" t="inlineStr">
        <is>
          <t>CIUDAD / Almacen Detalle</t>
        </is>
      </c>
      <c r="O1038" s="4" t="n">
        <v>384</v>
      </c>
    </row>
    <row r="1039">
      <c r="A1039" s="4" t="n">
        <v>1038</v>
      </c>
      <c r="B1039" s="15" t="n">
        <v>46295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ALMACÉN SOL</t>
        </is>
      </c>
      <c r="F1039" s="4" t="inlineStr">
        <is>
          <t>COMBUSTIBLE</t>
        </is>
      </c>
      <c r="G1039" s="4" t="inlineStr">
        <is>
          <t>Combustible — Shell</t>
        </is>
      </c>
      <c r="H1039" s="5" t="n">
        <v>62548</v>
      </c>
      <c r="I1039" s="16" t="n"/>
      <c r="J1039" s="4" t="inlineStr">
        <is>
          <t>REAL</t>
        </is>
      </c>
      <c r="K1039" s="17" t="n"/>
      <c r="L1039" s="4" t="inlineStr">
        <is>
          <t>Sin identificar</t>
        </is>
      </c>
      <c r="M1039" s="4" t="inlineStr">
        <is>
          <t>Combustible — Shell · QR · ceil 62547.50 · resumen oficial cuenta MP 1–30 sep 2026</t>
        </is>
      </c>
      <c r="N1039" s="4" t="inlineStr">
        <is>
          <t>CIUDAD / Almacen Detalle</t>
        </is>
      </c>
      <c r="O1039" s="4" t="n">
        <v>385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GASTO PERSONAL</t>
        </is>
      </c>
      <c r="F1040" s="4" t="inlineStr">
        <is>
          <t>SUSCRIPCIONES · IA</t>
        </is>
      </c>
      <c r="G1040" s="4" t="inlineStr">
        <is>
          <t>SUSCRIPCIONES · IA</t>
        </is>
      </c>
      <c r="H1040" s="5" t="n">
        <v>30852</v>
      </c>
      <c r="I1040" s="16" t="n"/>
      <c r="J1040" s="4" t="inlineStr">
        <is>
          <t>REAL</t>
        </is>
      </c>
      <c r="K1040" s="4" t="inlineStr">
        <is>
          <t>BBVA VISA</t>
        </is>
      </c>
      <c r="L1040" s="4" t="inlineStr">
        <is>
          <t>BBVA</t>
        </is>
      </c>
      <c r="M1040" s="4" t="inlineStr">
        <is>
          <t>SUSCRIPCIONES · IA · ChatGPT / OpenAI · BBVA VISA · USD 20.00 × TC MEP 1542.56 · alerta Gmail Compra aprobada · REVISAR vs resumen BBVA</t>
        </is>
      </c>
      <c r="N1040" s="4" t="inlineStr">
        <is>
          <t>CIUDAD / Gasto Personal Sol</t>
        </is>
      </c>
      <c r="O1040" s="4" t="n">
        <v>930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GASTO PERSONAL</t>
        </is>
      </c>
      <c r="F1041" s="4" t="inlineStr">
        <is>
          <t>OTROS PERSONALES</t>
        </is>
      </c>
      <c r="G1041" s="4" t="inlineStr">
        <is>
          <t>Sol Estética</t>
        </is>
      </c>
      <c r="H1041" s="5" t="n">
        <v>20000</v>
      </c>
      <c r="I1041" s="16" t="n"/>
      <c r="J1041" s="4" t="inlineStr">
        <is>
          <t>REAL</t>
        </is>
      </c>
      <c r="K1041" s="4" t="inlineStr">
        <is>
          <t>Mercado Pago</t>
        </is>
      </c>
      <c r="L1041" s="4" t="inlineStr">
        <is>
          <t>Mercado Pago</t>
        </is>
      </c>
      <c r="M1041" s="4" t="inlineStr">
        <is>
          <t>Sol Estética · Kelly · $20.000 · resumen oficial cuenta MP 1–30 sep 2026</t>
        </is>
      </c>
      <c r="N1041" s="4" t="inlineStr">
        <is>
          <t>CIUDAD / Gasto Personal Sol</t>
        </is>
      </c>
      <c r="O1041" s="4" t="n">
        <v>942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GASTO PERSONAL</t>
        </is>
      </c>
      <c r="F1042" s="4" t="inlineStr">
        <is>
          <t>OTROS PERSONALES</t>
        </is>
      </c>
      <c r="G1042" s="4" t="inlineStr">
        <is>
          <t>Sol Estética</t>
        </is>
      </c>
      <c r="H1042" s="5" t="n">
        <v>86000</v>
      </c>
      <c r="I1042" s="16" t="n"/>
      <c r="J1042" s="4" t="inlineStr">
        <is>
          <t>REAL</t>
        </is>
      </c>
      <c r="K1042" s="4" t="inlineStr">
        <is>
          <t>Mercado Pago</t>
        </is>
      </c>
      <c r="L1042" s="4" t="inlineStr">
        <is>
          <t>Mercado Pago</t>
        </is>
      </c>
      <c r="M1042" s="4" t="inlineStr">
        <is>
          <t>Sol Estética · Kelly · $86.000 · resumen oficial cuenta MP 1–30 sep 2026</t>
        </is>
      </c>
      <c r="N1042" s="4" t="inlineStr">
        <is>
          <t>CIUDAD / Gasto Personal Sol</t>
        </is>
      </c>
      <c r="O1042" s="4" t="n">
        <v>943</v>
      </c>
    </row>
    <row r="1043">
      <c r="A1043" s="4" t="n">
        <v>1042</v>
      </c>
      <c r="B1043" s="15" t="n">
        <v>46299</v>
      </c>
      <c r="C1043" s="4" t="inlineStr">
        <is>
          <t>2026-10</t>
        </is>
      </c>
      <c r="D1043" s="4" t="inlineStr">
        <is>
          <t>Octubre</t>
        </is>
      </c>
      <c r="E1043" s="4" t="inlineStr">
        <is>
          <t>GASTO PERSONAL</t>
        </is>
      </c>
      <c r="F1043" s="4" t="inlineStr">
        <is>
          <t>FARMACIA SALUD</t>
        </is>
      </c>
      <c r="G1043" s="4" t="inlineStr">
        <is>
          <t>FARMACIA SALUD</t>
        </is>
      </c>
      <c r="H1043" s="5" t="n">
        <v>17038</v>
      </c>
      <c r="I1043" s="16" t="n"/>
      <c r="J1043" s="4" t="inlineStr">
        <is>
          <t>REAL</t>
        </is>
      </c>
      <c r="K1043" s="4" t="inlineStr">
        <is>
          <t>Mercado Pago</t>
        </is>
      </c>
      <c r="L1043" s="4" t="inlineStr">
        <is>
          <t>Mercado Pago</t>
        </is>
      </c>
      <c r="M1043" s="4" t="inlineStr">
        <is>
          <t>FARMACIA SALUD · Hiperfarmaceutica Temperley · Gmail Pago aprobado</t>
        </is>
      </c>
      <c r="N1043" s="4" t="inlineStr">
        <is>
          <t>CIUDAD / Gasto Personal Sol</t>
        </is>
      </c>
      <c r="O1043" s="4" t="n">
        <v>954</v>
      </c>
    </row>
    <row r="1044">
      <c r="A1044" s="4" t="n">
        <v>1043</v>
      </c>
      <c r="B1044" s="15" t="n">
        <v>46300</v>
      </c>
      <c r="C1044" s="4" t="inlineStr">
        <is>
          <t>2026-10</t>
        </is>
      </c>
      <c r="D1044" s="4" t="inlineStr">
        <is>
          <t>Octubre</t>
        </is>
      </c>
      <c r="E1044" s="4" t="inlineStr">
        <is>
          <t>GASTO PERSONAL</t>
        </is>
      </c>
      <c r="F1044" s="4" t="inlineStr">
        <is>
          <t>OTROS PERSONALES</t>
        </is>
      </c>
      <c r="G1044" s="4" t="inlineStr">
        <is>
          <t>VIAJES</t>
        </is>
      </c>
      <c r="H1044" s="5" t="n">
        <v>1430000</v>
      </c>
      <c r="I1044" s="16" t="n"/>
      <c r="J1044" s="4" t="inlineStr">
        <is>
          <t>REAL</t>
        </is>
      </c>
      <c r="K1044" s="4" t="inlineStr">
        <is>
          <t>TC Mercado Pago</t>
        </is>
      </c>
      <c r="L1044" s="4" t="inlineStr">
        <is>
          <t>TC Mercado Pago</t>
        </is>
      </c>
      <c r="M1044" s="4" t="inlineStr">
        <is>
          <t>VIAJES · regalo Chris Cumple 50 · MARPATAG SRL · Gmail Pago aprobado · gasto personal Sol</t>
        </is>
      </c>
      <c r="N1044" s="4" t="inlineStr">
        <is>
          <t>CIUDAD / Gasto Personal Sol</t>
        </is>
      </c>
      <c r="O1044" s="4" t="n">
        <v>955</v>
      </c>
    </row>
    <row r="1045">
      <c r="A1045" s="4" t="n">
        <v>1044</v>
      </c>
      <c r="B1045" s="15" t="n">
        <v>46304</v>
      </c>
      <c r="C1045" s="4" t="inlineStr">
        <is>
          <t>2026-10</t>
        </is>
      </c>
      <c r="D1045" s="4" t="inlineStr">
        <is>
          <t>Octubre</t>
        </is>
      </c>
      <c r="E1045" s="4" t="inlineStr">
        <is>
          <t>GASTO PERSONAL</t>
        </is>
      </c>
      <c r="F1045" s="4" t="inlineStr">
        <is>
          <t>PELUQUERÍA</t>
        </is>
      </c>
      <c r="G1045" s="4" t="inlineStr">
        <is>
          <t>PELUQUERÍA</t>
        </is>
      </c>
      <c r="H1045" s="5" t="n">
        <v>7000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PELUQUERÍA · Soy lashista · Gmail Pago aprobado (2 mails mismo monto; se carga 1)</t>
        </is>
      </c>
      <c r="N1045" s="4" t="inlineStr">
        <is>
          <t>CIUDAD / Gasto Personal Sol</t>
        </is>
      </c>
      <c r="O1045" s="4" t="n">
        <v>956</v>
      </c>
    </row>
    <row r="1046">
      <c r="A1046" s="4" t="n">
        <v>1045</v>
      </c>
      <c r="B1046" s="15" t="n">
        <v>46306</v>
      </c>
      <c r="C1046" s="4" t="inlineStr">
        <is>
          <t>2026-10</t>
        </is>
      </c>
      <c r="D1046" s="4" t="inlineStr">
        <is>
          <t>Octubre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VIAJES</t>
        </is>
      </c>
      <c r="H1046" s="5" t="n">
        <v>1143000</v>
      </c>
      <c r="I1046" s="16" t="n"/>
      <c r="J1046" s="4" t="inlineStr">
        <is>
          <t>REAL</t>
        </is>
      </c>
      <c r="K1046" s="4" t="inlineStr">
        <is>
          <t>BBVA Crédito ****3200</t>
        </is>
      </c>
      <c r="L1046" s="4" t="inlineStr">
        <is>
          <t>BBVA</t>
        </is>
      </c>
      <c r="M1046" s="4" t="inlineStr">
        <is>
          <t>VIAJES · regalo Chris Cumple 50 · Patagonia Chic Excursiones · Gmail Pago aprobado · 1 cuota · gasto personal Sol</t>
        </is>
      </c>
      <c r="N1046" s="4" t="inlineStr">
        <is>
          <t>CIUDAD / Gasto Personal Sol</t>
        </is>
      </c>
      <c r="O1046" s="4" t="n">
        <v>957</v>
      </c>
    </row>
  </sheetData>
  <autoFilter ref="A1:O104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46235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VESTIMENTA</t>
        </is>
      </c>
      <c r="E688" s="4" t="inlineStr">
        <is>
          <t>VESTIMENTA</t>
        </is>
      </c>
      <c r="F688" s="5" t="n">
        <v>176000</v>
      </c>
      <c r="G688" s="16" t="n"/>
      <c r="H688" s="4" t="inlineStr">
        <is>
          <t>REAL</t>
        </is>
      </c>
      <c r="I688" s="4" t="inlineStr">
        <is>
          <t>BBVA Crédito ****3200</t>
        </is>
      </c>
      <c r="J688" s="4" t="inlineStr">
        <is>
          <t>BBVA</t>
        </is>
      </c>
      <c r="K688" s="4" t="inlineStr">
        <is>
          <t>VESTIMENTA · Gibiana Cova · Gmail Pago aprobado · distinto de transferencia $131.000 · gasto personal Sol</t>
        </is>
      </c>
      <c r="L688" s="4" t="n">
        <v>953</v>
      </c>
    </row>
    <row r="689">
      <c r="A689" s="15" t="n">
        <v>46237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11010</v>
      </c>
      <c r="G689" s="16" t="n"/>
      <c r="H689" s="4" t="inlineStr">
        <is>
          <t>REAL</t>
        </is>
      </c>
      <c r="I689" s="4" t="inlineStr">
        <is>
          <t>Mercado Pago</t>
        </is>
      </c>
      <c r="J689" s="4" t="inlineStr">
        <is>
          <t>Mercado Pago</t>
        </is>
      </c>
      <c r="K689" s="4" t="inlineStr">
        <is>
          <t>COMIDA · Oficina · Copetin Catering · Gmail Pago aprobado</t>
        </is>
      </c>
      <c r="L689" s="4" t="n">
        <v>944</v>
      </c>
    </row>
    <row r="690">
      <c r="A690" s="15" t="n">
        <v>46239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VESTIMENTA</t>
        </is>
      </c>
      <c r="E690" s="4" t="inlineStr">
        <is>
          <t>VESTIMENTA</t>
        </is>
      </c>
      <c r="F690" s="5" t="n">
        <v>152000</v>
      </c>
      <c r="G690" s="16" t="n"/>
      <c r="H690" s="4" t="inlineStr">
        <is>
          <t>REAL</t>
        </is>
      </c>
      <c r="I690" s="4" t="inlineStr">
        <is>
          <t>Mercado Pago</t>
        </is>
      </c>
      <c r="J690" s="4" t="inlineStr">
        <is>
          <t>Mercado Pago</t>
        </is>
      </c>
      <c r="K690" s="4" t="inlineStr">
        <is>
          <t>VESTIMENTA · Renová tu vestidor · Gmail Pago aprobado · gasto personal Sol</t>
        </is>
      </c>
      <c r="L690" s="4" t="n">
        <v>945</v>
      </c>
    </row>
    <row r="691">
      <c r="A691" s="15" t="n">
        <v>46243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SALUD</t>
        </is>
      </c>
      <c r="E691" s="4" t="inlineStr">
        <is>
          <t>SALUD</t>
        </is>
      </c>
      <c r="F691" s="5" t="n">
        <v>22222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SALUD · Siendo Consciencia · Gmail Pago aprobado · REVISAR ítem</t>
        </is>
      </c>
      <c r="L691" s="4" t="n">
        <v>946</v>
      </c>
    </row>
    <row r="692">
      <c r="A692" s="15" t="n">
        <v>46243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24000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Lorena Ferreyra · Gmail Pago aprobado · REVISAR ítem</t>
        </is>
      </c>
      <c r="L692" s="4" t="n">
        <v>947</v>
      </c>
    </row>
    <row r="693">
      <c r="A693" s="15" t="n">
        <v>46243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SALUD</t>
        </is>
      </c>
      <c r="E693" s="4" t="inlineStr">
        <is>
          <t>SALUD</t>
        </is>
      </c>
      <c r="F693" s="5" t="n">
        <v>75000</v>
      </c>
      <c r="G693" s="16" t="n"/>
      <c r="H693" s="4" t="inlineStr">
        <is>
          <t>REAL</t>
        </is>
      </c>
      <c r="I693" s="4" t="inlineStr">
        <is>
          <t>Mercado Pago</t>
        </is>
      </c>
      <c r="J693" s="4" t="inlineStr">
        <is>
          <t>Mercado Pago</t>
        </is>
      </c>
      <c r="K693" s="4" t="inlineStr">
        <is>
          <t>SALUD · Lorena Ferreyra · Gmail Pago aprobado · REVISAR ítem</t>
        </is>
      </c>
      <c r="L693" s="4" t="n">
        <v>948</v>
      </c>
    </row>
    <row r="694">
      <c r="A694" s="15" t="n">
        <v>46244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COMIDA · OFICINA</t>
        </is>
      </c>
      <c r="E694" s="4" t="inlineStr">
        <is>
          <t>COMIDA · Oficina</t>
        </is>
      </c>
      <c r="F694" s="5" t="n">
        <v>13600</v>
      </c>
      <c r="G694" s="16" t="n"/>
      <c r="H694" s="4" t="inlineStr">
        <is>
          <t>REAL</t>
        </is>
      </c>
      <c r="I694" s="4" t="inlineStr">
        <is>
          <t>TC Mercado Pago</t>
        </is>
      </c>
      <c r="J694" s="4" t="inlineStr">
        <is>
          <t>TC Mercado Pago</t>
        </is>
      </c>
      <c r="K694" s="4" t="inlineStr">
        <is>
          <t>COMIDA · Oficina · Copetin Catering · Gmail Pago aprobado</t>
        </is>
      </c>
      <c r="L694" s="4" t="n">
        <v>950</v>
      </c>
    </row>
    <row r="695">
      <c r="A695" s="15" t="n">
        <v>46244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SALUD</t>
        </is>
      </c>
      <c r="E695" s="4" t="inlineStr">
        <is>
          <t>SALUD</t>
        </is>
      </c>
      <c r="F695" s="5" t="n">
        <v>356000</v>
      </c>
      <c r="G695" s="16" t="n"/>
      <c r="H695" s="4" t="inlineStr">
        <is>
          <t>REAL</t>
        </is>
      </c>
      <c r="I695" s="4" t="inlineStr">
        <is>
          <t>BBVA Crédito ****3200</t>
        </is>
      </c>
      <c r="J695" s="4" t="inlineStr">
        <is>
          <t>BBVA</t>
        </is>
      </c>
      <c r="K695" s="4" t="inlineStr">
        <is>
          <t>SALUD · Reiki · Gmail Pago aprobado · gasto personal Sol</t>
        </is>
      </c>
      <c r="L695" s="4" t="n">
        <v>949</v>
      </c>
    </row>
    <row r="696">
      <c r="A696" s="15" t="n">
        <v>46255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SALUD</t>
        </is>
      </c>
      <c r="E696" s="4" t="inlineStr">
        <is>
          <t>SALUD</t>
        </is>
      </c>
      <c r="F696" s="5" t="n">
        <v>27000</v>
      </c>
      <c r="G696" s="16" t="n"/>
      <c r="H696" s="4" t="inlineStr">
        <is>
          <t>REAL</t>
        </is>
      </c>
      <c r="I696" s="4" t="inlineStr">
        <is>
          <t>Mercado Pago</t>
        </is>
      </c>
      <c r="J696" s="4" t="inlineStr">
        <is>
          <t>Mercado Pago</t>
        </is>
      </c>
      <c r="K696" s="4" t="inlineStr">
        <is>
          <t>SALUD · Karen · Gmail Pago aprobado · REVISAR ítem</t>
        </is>
      </c>
      <c r="L696" s="4" t="n">
        <v>951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EVENTOS DEPORTIVOS - RIVER</t>
        </is>
      </c>
      <c r="E697" s="4" t="inlineStr">
        <is>
          <t>Eventos deportivos - River</t>
        </is>
      </c>
      <c r="F697" s="5" t="n">
        <v>169667</v>
      </c>
      <c r="G697" s="16" t="n"/>
      <c r="H697" s="18" t="inlineStr">
        <is>
          <t>PROYECTADO</t>
        </is>
      </c>
      <c r="I697" s="4" t="inlineStr">
        <is>
          <t>BBVA VISA · proyectado</t>
        </is>
      </c>
      <c r="J697" s="4" t="inlineStr">
        <is>
          <t>BBVA</t>
        </is>
      </c>
      <c r="K697" s="4" t="inlineStr">
        <is>
          <t>PROYECTADO · C.02/06 · cashflow cuotas BBVA · gasto personal Sol · Eventos deportivos - River</t>
        </is>
      </c>
      <c r="L697" s="4" t="n">
        <v>554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HOGAR</t>
        </is>
      </c>
      <c r="E698" s="4" t="inlineStr">
        <is>
          <t>HOGAR</t>
        </is>
      </c>
      <c r="F698" s="5" t="n">
        <v>18334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HOGAR · Stanley · PROYECTADO · C.05/06 · cashflow cuotas BBVA · gasto personal Sol</t>
        </is>
      </c>
      <c r="L698" s="4" t="n">
        <v>553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MERCADO LIBRE</t>
        </is>
      </c>
      <c r="E699" s="4" t="inlineStr">
        <is>
          <t>MERCADO LIBRE</t>
        </is>
      </c>
      <c r="F699" s="5" t="n">
        <v>12084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C.02/06 · cashflow cuotas BBVA · gasto personal Sol · ex `Mercado Libre · MERCADOLIBRE`</t>
        </is>
      </c>
      <c r="L699" s="4" t="n">
        <v>544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MERCADO LIBRE</t>
        </is>
      </c>
      <c r="E700" s="4" t="inlineStr">
        <is>
          <t>MERCADO LIBRE</t>
        </is>
      </c>
      <c r="F700" s="5" t="n">
        <v>275000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C.06/12 · cashflow cuotas BBVA · gasto personal Sol · ex `Mercado Libre · MERCADOLIBRE`</t>
        </is>
      </c>
      <c r="L700" s="4" t="n">
        <v>545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MERCADO LIBRE</t>
        </is>
      </c>
      <c r="E701" s="4" t="inlineStr">
        <is>
          <t>MERCADO LIBRE</t>
        </is>
      </c>
      <c r="F701" s="5" t="n">
        <v>17360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C.07/09 · cashflow cuotas BBVA · gasto personal Sol · ex `Mercado Libre · MERCADOLIBRE`</t>
        </is>
      </c>
      <c r="L701" s="4" t="n">
        <v>546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16950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PROYECTADO · C.07/09 · cashflow cuotas BBVA · gasto personal Sol · ex `Mercado Libre · MERCADOLIBRE`</t>
        </is>
      </c>
      <c r="L702" s="4" t="n">
        <v>547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124667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C.04/06 · cashflow cuotas BBVA · gasto personal Sol</t>
        </is>
      </c>
      <c r="L703" s="4" t="n">
        <v>539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31700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ROPA · Frivilli · PROYECTADO · C.02/03 · cashflow cuotas BBVA · gasto personal Sol</t>
        </is>
      </c>
      <c r="L704" s="4" t="n">
        <v>541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80834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C.04/06 · cashflow cuotas BBVA · gasto personal Sol</t>
        </is>
      </c>
      <c r="L705" s="4" t="n">
        <v>542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95984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ROPA · Monofuk · PROYECTADO · C.05/06 · cashflow cuotas BBVA · gasto personal Sol</t>
        </is>
      </c>
      <c r="L706" s="4" t="n">
        <v>548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284794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C.02/06 · cashflow cuotas BBVA · gasto personal Sol</t>
        </is>
      </c>
      <c r="L707" s="4" t="n">
        <v>549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73600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C.02/06 · cashflow cuotas BBVA · gasto personal Sol</t>
        </is>
      </c>
      <c r="L708" s="4" t="n">
        <v>550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36667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552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60917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C.04/12 · cashflow cuotas BBVA · gasto personal Sol</t>
        </is>
      </c>
      <c r="L710" s="4" t="n">
        <v>555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69750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C.04/12 · cashflow cuotas BBVA · gasto personal Sol</t>
        </is>
      </c>
      <c r="L711" s="4" t="n">
        <v>556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SALUD</t>
        </is>
      </c>
      <c r="E712" s="4" t="inlineStr">
        <is>
          <t>SALUD</t>
        </is>
      </c>
      <c r="F712" s="5" t="n">
        <v>54033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SALUD · Laboratorio · PROYECTADO · C.05/06 · cashflow cuotas BBVA · gasto personal Sol</t>
        </is>
      </c>
      <c r="L712" s="4" t="n">
        <v>543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SALUD · Vitaminas</t>
        </is>
      </c>
      <c r="E713" s="4" t="inlineStr">
        <is>
          <t>SALUD · Vitaminas</t>
        </is>
      </c>
      <c r="F713" s="5" t="n">
        <v>87900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SALUD · Vitaminas · Promarine · BBVA · C.05/06 · gasto personal Sol</t>
        </is>
      </c>
      <c r="L713" s="4" t="n">
        <v>551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VESTIMENTA</t>
        </is>
      </c>
      <c r="F714" s="5" t="n">
        <v>98334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ROPA · Bokenvoreno · PROYECTADO · C.04/06 · cashflow cuotas BBVA · gasto personal Sol</t>
        </is>
      </c>
      <c r="L714" s="4" t="n">
        <v>540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EDUCACIÓN</t>
        </is>
      </c>
      <c r="E715" s="4" t="inlineStr">
        <is>
          <t>EDUCACIÓN</t>
        </is>
      </c>
      <c r="F715" s="5" t="n">
        <v>30000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EDUCACIÓN · Bitgenia · Gmail Pago aprobado · gasto personal Sol</t>
        </is>
      </c>
      <c r="L715" s="4" t="n">
        <v>952</v>
      </c>
    </row>
    <row r="716">
      <c r="A716" s="15" t="n">
        <v>46266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SUSCRIPCIONES · APPLE</t>
        </is>
      </c>
      <c r="E716" s="4" t="inlineStr">
        <is>
          <t>SUSCRIPCIONES · Apple</t>
        </is>
      </c>
      <c r="F716" s="5" t="n">
        <v>81961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SUSCRIPCIONES · Apple · Mercado Pago · gasto personal Sol · dinero en cuenta MP screenshot</t>
        </is>
      </c>
      <c r="L716" s="4" t="n">
        <v>835</v>
      </c>
    </row>
    <row r="717">
      <c r="A717" s="15" t="n">
        <v>46266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TRANSFERENCIAS</t>
        </is>
      </c>
      <c r="E717" s="4" t="inlineStr">
        <is>
          <t>TRANSFERENCIAS</t>
        </is>
      </c>
      <c r="F717" s="5" t="n">
        <v>45000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Facundo Lisandro Marin · Transferencia enviada · gasto personal Sol · dinero en cuenta MP screenshot</t>
        </is>
      </c>
      <c r="L717" s="4" t="n">
        <v>834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COMIDA · OFICINA</t>
        </is>
      </c>
      <c r="E718" s="4" t="inlineStr">
        <is>
          <t>COMIDA · Oficina</t>
        </is>
      </c>
      <c r="F718" s="5" t="n">
        <v>4080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COMIDA · Oficina · Copetin Catering · Gmail Pago aprobado · REVISAR vs settlement</t>
        </is>
      </c>
      <c r="L718" s="4" t="n">
        <v>833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COMPRAS</t>
        </is>
      </c>
      <c r="E719" s="4" t="inlineStr">
        <is>
          <t>COMPRAS</t>
        </is>
      </c>
      <c r="F719" s="5" t="n">
        <v>4000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COMPRAS · Kiosk Store · gasto personal Sol · REVISAR ítem · dinero en cuenta MP screenshot</t>
        </is>
      </c>
      <c r="L719" s="4" t="n">
        <v>841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ENVÍOS</t>
        </is>
      </c>
      <c r="E720" s="4" t="inlineStr">
        <is>
          <t>ENVÍOS</t>
        </is>
      </c>
      <c r="F720" s="5" t="n">
        <v>24000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ENVÍOS · Correo Oficial · gasto personal Sol · dinero en cuenta MP screenshot</t>
        </is>
      </c>
      <c r="L720" s="4" t="n">
        <v>842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TRANSFERENCIAS</t>
        </is>
      </c>
      <c r="E721" s="4" t="inlineStr">
        <is>
          <t>TRANSFERENCIAS</t>
        </is>
      </c>
      <c r="F721" s="5" t="n">
        <v>863600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Neira Martina · Transferencia enviada · gasto personal Sol · dinero en cuenta MP screenshot</t>
        </is>
      </c>
      <c r="L721" s="4" t="n">
        <v>838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TRANSPORTE</t>
        </is>
      </c>
      <c r="E722" s="4" t="inlineStr">
        <is>
          <t>TRANSPORTE · Uber</t>
        </is>
      </c>
      <c r="F722" s="5" t="n">
        <v>6094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Uber · Ebanx (=Uber) · gasto personal Sol · dinero en cuenta MP screenshot</t>
        </is>
      </c>
      <c r="L722" s="4" t="n">
        <v>836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TRANSPORTE</t>
        </is>
      </c>
      <c r="E723" s="4" t="inlineStr">
        <is>
          <t>TRANSPORTE · Uber</t>
        </is>
      </c>
      <c r="F723" s="5" t="n">
        <v>6607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TRANSPORTE · Uber · Ebanx (=Uber) · gasto personal Sol · dinero en cuenta MP screenshot</t>
        </is>
      </c>
      <c r="L723" s="4" t="n">
        <v>840</v>
      </c>
    </row>
    <row r="724">
      <c r="A724" s="15" t="n">
        <v>46268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Didi</t>
        </is>
      </c>
      <c r="F724" s="5" t="n">
        <v>4900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Didi · gasto personal Sol · dinero en cuenta MP screenshot</t>
        </is>
      </c>
      <c r="L724" s="4" t="n">
        <v>844</v>
      </c>
    </row>
    <row r="725">
      <c r="A725" s="15" t="n">
        <v>46268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Uber</t>
        </is>
      </c>
      <c r="F725" s="5" t="n">
        <v>7520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Uber · Ebanx (=Uber) · gasto personal Sol · dinero en cuenta MP screenshot</t>
        </is>
      </c>
      <c r="L725" s="4" t="n">
        <v>843</v>
      </c>
    </row>
    <row r="726">
      <c r="A726" s="15" t="n">
        <v>46269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AVA FIDEICOMISO</t>
        </is>
      </c>
      <c r="E726" s="4" t="inlineStr">
        <is>
          <t>AVA Fideicomiso</t>
        </is>
      </c>
      <c r="F726" s="5" t="n">
        <v>3134720</v>
      </c>
      <c r="G726" s="16" t="n"/>
      <c r="H726" s="4" t="inlineStr">
        <is>
          <t>REAL</t>
        </is>
      </c>
      <c r="I726" s="4" t="inlineStr">
        <is>
          <t>Mercado Pago / Transferencia</t>
        </is>
      </c>
      <c r="J726" s="4" t="inlineStr">
        <is>
          <t>Mercado Pago</t>
        </is>
      </c>
      <c r="K726" s="4" t="inlineStr">
        <is>
          <t>AVA Fideicomiso · cuota 10 · vto 2026-09-04 · total 6269440 · TC MEP venta 1525.39 · USD 4110.06 · 50% Sol · Gmail factura/recibo 07/09</t>
        </is>
      </c>
      <c r="L726" s="4" t="n">
        <v>829</v>
      </c>
    </row>
    <row r="727">
      <c r="A727" s="15" t="n">
        <v>46269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COMPRAS</t>
        </is>
      </c>
      <c r="E727" s="4" t="inlineStr">
        <is>
          <t>COMPRAS</t>
        </is>
      </c>
      <c r="F727" s="5" t="n">
        <v>580320</v>
      </c>
      <c r="G727" s="16" t="n"/>
      <c r="H727" s="4" t="inlineStr">
        <is>
          <t>REAL</t>
        </is>
      </c>
      <c r="I727" s="4" t="inlineStr">
        <is>
          <t>BBVA VISA</t>
        </is>
      </c>
      <c r="J727" s="4" t="inlineStr">
        <is>
          <t>BBVA</t>
        </is>
      </c>
      <c r="K727" s="4" t="inlineStr">
        <is>
          <t>COMPRAS · dhgate.com · BBVA VISA · USD 380.44 × TC MEP 1525.39 · importación · alerta Gmail Compra aprobada · REVISAR vs resumen BBVA</t>
        </is>
      </c>
      <c r="L727" s="4" t="n">
        <v>926</v>
      </c>
    </row>
    <row r="728">
      <c r="A728" s="15" t="n">
        <v>46270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IMPUESTOS · ARCA</t>
        </is>
      </c>
      <c r="F728" s="5" t="n">
        <v>10000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IMPUESTOS · ARCA / AFIP · MP 2026-09-05 · gasto personal Sol · dinero en cuenta MP screenshot</t>
        </is>
      </c>
      <c r="L728" s="4" t="n">
        <v>846</v>
      </c>
    </row>
    <row r="729">
      <c r="A729" s="15" t="n">
        <v>46270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OTROS PERSONALES</t>
        </is>
      </c>
      <c r="E729" s="4" t="inlineStr">
        <is>
          <t>IMPUESTOS · ARCA</t>
        </is>
      </c>
      <c r="F729" s="5" t="n">
        <v>10000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IMPUESTOS · ARCA / AFIP · MP 2026-09-05 · gasto personal Sol · dinero en cuenta MP screenshot</t>
        </is>
      </c>
      <c r="L729" s="4" t="n">
        <v>847</v>
      </c>
    </row>
    <row r="730">
      <c r="A730" s="15" t="n">
        <v>46270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TRANSFERENCIAS</t>
        </is>
      </c>
      <c r="E730" s="4" t="inlineStr">
        <is>
          <t>TRANSFERENCIAS</t>
        </is>
      </c>
      <c r="F730" s="5" t="n">
        <v>10800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Digno Lopez · Transferencia enviada · gasto personal Sol · dinero en cuenta MP screenshot</t>
        </is>
      </c>
      <c r="L730" s="4" t="n">
        <v>845</v>
      </c>
    </row>
    <row r="731">
      <c r="A731" s="15" t="n">
        <v>46271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TELECOMUNICACIONES</t>
        </is>
      </c>
      <c r="E731" s="4" t="inlineStr">
        <is>
          <t>Servicio - Telefonía</t>
        </is>
      </c>
      <c r="F731" s="5" t="n">
        <v>18300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Servicio - Telefonía · Tuenti · gasto personal Sol · dinero en cuenta MP screenshot</t>
        </is>
      </c>
      <c r="L731" s="4" t="n">
        <v>848</v>
      </c>
    </row>
    <row r="732">
      <c r="A732" s="15" t="n">
        <v>46271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TRANSPORTE · SUBE</t>
        </is>
      </c>
      <c r="F732" s="5" t="n">
        <v>987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TRANSPORTE · SUBE · gasto personal Sol · dinero en cuenta MP screenshot</t>
        </is>
      </c>
      <c r="L732" s="4" t="n">
        <v>849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COMIDA · OFICINA</t>
        </is>
      </c>
      <c r="E733" s="4" t="inlineStr">
        <is>
          <t>COMIDA · Oficina</t>
        </is>
      </c>
      <c r="F733" s="5" t="n">
        <v>1350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COMIDA · Oficina · Feed · gasto personal Sol · dinero en cuenta MP screenshot</t>
        </is>
      </c>
      <c r="L733" s="4" t="n">
        <v>851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HOGAR</t>
        </is>
      </c>
      <c r="E734" s="4" t="inlineStr">
        <is>
          <t>HOGAR</t>
        </is>
      </c>
      <c r="F734" s="5" t="n">
        <v>186300</v>
      </c>
      <c r="G734" s="16" t="n"/>
      <c r="H734" s="4" t="inlineStr">
        <is>
          <t>REAL</t>
        </is>
      </c>
      <c r="I734" s="4" t="inlineStr">
        <is>
          <t>BBVA VISA</t>
        </is>
      </c>
      <c r="J734" s="4" t="inlineStr">
        <is>
          <t>BBVA</t>
        </is>
      </c>
      <c r="K734" s="4" t="inlineStr">
        <is>
          <t>HOGAR · Luna Hogar · BBVA VISA · MERPAGO*LUNAHOGAR · alerta Gmail</t>
        </is>
      </c>
      <c r="L734" s="4" t="n">
        <v>932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IMPUESTOS · ARCA</t>
        </is>
      </c>
      <c r="F735" s="5" t="n">
        <v>58118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IMPUESTOS · ARCA / AFIP · MP 2026-09-07 · gasto personal Sol · dinero en cuenta MP screenshot</t>
        </is>
      </c>
      <c r="L735" s="4" t="n">
        <v>852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43038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2026-09-07 · gasto personal Sol · dinero en cuenta MP screenshot</t>
        </is>
      </c>
      <c r="L736" s="4" t="n">
        <v>853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Didi</t>
        </is>
      </c>
      <c r="F737" s="5" t="n">
        <v>6700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Didi · gasto personal Sol · dinero en cuenta MP screenshot</t>
        </is>
      </c>
      <c r="L737" s="4" t="n">
        <v>854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TRANSPORTE</t>
        </is>
      </c>
      <c r="E738" s="4" t="inlineStr">
        <is>
          <t>TRANSPORTE · Uber</t>
        </is>
      </c>
      <c r="F738" s="5" t="n">
        <v>6948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TRANSPORTE · Uber · Ebanx (=Uber) · gasto personal Sol · dinero en cuenta MP screenshot</t>
        </is>
      </c>
      <c r="L738" s="4" t="n">
        <v>850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VESTIMENTA</t>
        </is>
      </c>
      <c r="E739" s="4" t="inlineStr">
        <is>
          <t>VESTIMENTA</t>
        </is>
      </c>
      <c r="F739" s="5" t="n">
        <v>809200</v>
      </c>
      <c r="G739" s="16" t="n"/>
      <c r="H739" s="4" t="inlineStr">
        <is>
          <t>REAL</t>
        </is>
      </c>
      <c r="I739" s="4" t="inlineStr">
        <is>
          <t>BBVA VISA</t>
        </is>
      </c>
      <c r="J739" s="4" t="inlineStr">
        <is>
          <t>BBVA</t>
        </is>
      </c>
      <c r="K739" s="4" t="inlineStr">
        <is>
          <t>VESTIMENTA · Markova · BBVA VISA · MERPAGO*MARKOVA · alerta Gmail · REVISAR ítem</t>
        </is>
      </c>
      <c r="L739" s="4" t="n">
        <v>931</v>
      </c>
    </row>
    <row r="740">
      <c r="A740" s="15" t="n">
        <v>46273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OTROS PERSONALES</t>
        </is>
      </c>
      <c r="E740" s="4" t="inlineStr">
        <is>
          <t>IMPUESTOS · ARCA</t>
        </is>
      </c>
      <c r="F740" s="5" t="n">
        <v>4866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IMPUESTOS · ARCA / AFIP · MP 2026-09-08 · gasto personal Sol · dinero en cuenta MP screenshot</t>
        </is>
      </c>
      <c r="L740" s="4" t="n">
        <v>855</v>
      </c>
    </row>
    <row r="741">
      <c r="A741" s="15" t="n">
        <v>46273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VESTIMENTA</t>
        </is>
      </c>
      <c r="E741" s="4" t="inlineStr">
        <is>
          <t>VESTIMENTA</t>
        </is>
      </c>
      <c r="F741" s="5" t="n">
        <v>28199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VESTIMENTA · OZZ · gasto personal Sol · dinero en cuenta MP screenshot</t>
        </is>
      </c>
      <c r="L741" s="4" t="n">
        <v>856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COMPRAS</t>
        </is>
      </c>
      <c r="E742" s="4" t="inlineStr">
        <is>
          <t>COMPRAS</t>
        </is>
      </c>
      <c r="F742" s="5" t="n">
        <v>163350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COMPRAS · ZILVER SA · gasto personal Sol · REVISAR ítem · dinero en cuenta MP screenshot</t>
        </is>
      </c>
      <c r="L742" s="4" t="n">
        <v>862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OTROS PERSONALES</t>
        </is>
      </c>
      <c r="E743" s="4" t="inlineStr">
        <is>
          <t>IMPUESTOS · ARCA</t>
        </is>
      </c>
      <c r="F743" s="5" t="n">
        <v>43083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IMPUESTOS · ARCA / AFIP · MP 2026-09-10 · gasto personal Sol · dinero en cuenta MP screenshot</t>
        </is>
      </c>
      <c r="L743" s="4" t="n">
        <v>857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TRANSFERENCIAS</t>
        </is>
      </c>
      <c r="E744" s="4" t="inlineStr">
        <is>
          <t>TRANSFERENCIAS</t>
        </is>
      </c>
      <c r="F744" s="5" t="n">
        <v>131000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Cova Abreu Gibiana Del Valle · Transferencia enviada · gasto personal Sol · dinero en cuenta MP screenshot</t>
        </is>
      </c>
      <c r="L744" s="4" t="n">
        <v>861</v>
      </c>
    </row>
    <row r="745">
      <c r="A745" s="15" t="n">
        <v>46275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TRANSPORTE</t>
        </is>
      </c>
      <c r="E745" s="4" t="inlineStr">
        <is>
          <t>TRANSPORTE · Uber</t>
        </is>
      </c>
      <c r="F745" s="5" t="n">
        <v>5612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TRANSPORTE · Uber · Ebanx (=Uber) · gasto personal Sol · dinero en cuenta MP screenshot</t>
        </is>
      </c>
      <c r="L745" s="4" t="n">
        <v>858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Uber</t>
        </is>
      </c>
      <c r="F746" s="5" t="n">
        <v>7155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Uber · Ebanx (=Uber) · gasto personal Sol · dinero en cuenta MP screenshot</t>
        </is>
      </c>
      <c r="L746" s="4" t="n">
        <v>859</v>
      </c>
    </row>
    <row r="747">
      <c r="A747" s="15" t="n">
        <v>46275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Uber</t>
        </is>
      </c>
      <c r="F747" s="5" t="n">
        <v>81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Uber · Ebanx (=Uber) · gasto personal Sol · dinero en cuenta MP screenshot</t>
        </is>
      </c>
      <c r="L747" s="4" t="n">
        <v>860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SUSCRIPCIONES · APPLE</t>
        </is>
      </c>
      <c r="E748" s="4" t="inlineStr">
        <is>
          <t>SUSCRIPCIONES · Apple</t>
        </is>
      </c>
      <c r="F748" s="5" t="n">
        <v>29331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SUSCRIPCIONES · Apple · Mercado Pago · gasto personal Sol · dinero en cuenta MP screenshot</t>
        </is>
      </c>
      <c r="L748" s="4" t="n">
        <v>863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TRANSFERENCIAS</t>
        </is>
      </c>
      <c r="E749" s="4" t="inlineStr">
        <is>
          <t>TRANSFERENCIAS</t>
        </is>
      </c>
      <c r="F749" s="5" t="n">
        <v>185288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Sanbras oficial · Transferencia enviada · gasto personal Sol · dinero en cuenta MP screenshot</t>
        </is>
      </c>
      <c r="L749" s="4" t="n">
        <v>867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TRANSFERENCIAS</t>
        </is>
      </c>
      <c r="E750" s="4" t="inlineStr">
        <is>
          <t>TRANSFERENCIAS</t>
        </is>
      </c>
      <c r="F750" s="5" t="n">
        <v>135000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Paula Carolina Fasanella · Transferencia enviada · gasto personal Sol · dinero en cuenta MP screenshot</t>
        </is>
      </c>
      <c r="L750" s="4" t="n">
        <v>868</v>
      </c>
    </row>
    <row r="751">
      <c r="A751" s="15" t="n">
        <v>46276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TRANSPORTE</t>
        </is>
      </c>
      <c r="E751" s="4" t="inlineStr">
        <is>
          <t>TRANSPORTE · Didi</t>
        </is>
      </c>
      <c r="F751" s="5" t="n">
        <v>5800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TRANSPORTE · Didi · gasto personal Sol · dinero en cuenta MP screenshot</t>
        </is>
      </c>
      <c r="L751" s="4" t="n">
        <v>864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TRANSPORTE</t>
        </is>
      </c>
      <c r="E752" s="4" t="inlineStr">
        <is>
          <t>TRANSPORTE · Didi</t>
        </is>
      </c>
      <c r="F752" s="5" t="n">
        <v>4500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TRANSPORTE · Didi · gasto personal Sol · dinero en cuenta MP screenshot</t>
        </is>
      </c>
      <c r="L752" s="4" t="n">
        <v>865</v>
      </c>
    </row>
    <row r="753">
      <c r="A753" s="15" t="n">
        <v>46276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TRANSPORTE</t>
        </is>
      </c>
      <c r="E753" s="4" t="inlineStr">
        <is>
          <t>TRANSPORTE · Uber</t>
        </is>
      </c>
      <c r="F753" s="5" t="n">
        <v>7758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TRANSPORTE · Uber · Ebanx (=Uber) · gasto personal Sol · dinero en cuenta MP screenshot</t>
        </is>
      </c>
      <c r="L753" s="4" t="n">
        <v>866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31450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PPNL · TC Mercado Pago · C.2/2 · REVISAR ítem · compra 2026-07-16 · cierre 2026-09-12</t>
        </is>
      </c>
      <c r="L754" s="4" t="n">
        <v>907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126325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LG Distribuidor · TC Mercado Pago · C.2/3 · REVISAR ítem · compra 2026-07-29 · cierre 2026-09-12</t>
        </is>
      </c>
      <c r="L755" s="4" t="n">
        <v>908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58430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Central Store · TC Mercado Pago · C.2/6 · compra 2026-08-01 · cierre 2026-09-12</t>
        </is>
      </c>
      <c r="L756" s="4" t="n">
        <v>912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290000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Mac Station · TC Mercado Pago · C.1/2 · compra 2026-08-13 · cierre 2026-09-12</t>
        </is>
      </c>
      <c r="L757" s="4" t="n">
        <v>914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52624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COMPRAS · Mac Station · TC Mercado Pago · C.1/2 · compra 2026-08-13 · cierre 2026-09-12</t>
        </is>
      </c>
      <c r="L758" s="4" t="n">
        <v>915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40000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COMPRAS · Celugadgets · TC Mercado Pago · compra 2026-08-22 · cierre 2026-09-12</t>
        </is>
      </c>
      <c r="L759" s="4" t="n">
        <v>919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COMPRAS</t>
        </is>
      </c>
      <c r="E760" s="4" t="inlineStr">
        <is>
          <t>COMPRAS</t>
        </is>
      </c>
      <c r="F760" s="5" t="n">
        <v>57725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COMPRAS · Juan Cornacchi · TC Mercado Pago · REVISAR ítem · compra 2026-08-27 · cierre 2026-09-12</t>
        </is>
      </c>
      <c r="L760" s="4" t="n">
        <v>921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COMPRAS</t>
        </is>
      </c>
      <c r="E761" s="4" t="inlineStr">
        <is>
          <t>COMPRAS</t>
        </is>
      </c>
      <c r="F761" s="5" t="n">
        <v>39000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COMPRAS · Megaventas HM · TC Mercado Pago · compra 2026-08-27 · cierre 2026-09-12</t>
        </is>
      </c>
      <c r="L761" s="4" t="n">
        <v>922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COMPRAS</t>
        </is>
      </c>
      <c r="E762" s="4" t="inlineStr">
        <is>
          <t>COMPRAS</t>
        </is>
      </c>
      <c r="F762" s="5" t="n">
        <v>-39000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REEMBOLSO · COMPRAS · Megaventas HM · TC Mercado Pago · compra 2026-08-27 · cierre 2026-09-12</t>
        </is>
      </c>
      <c r="L762" s="4" t="n">
        <v>925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HOGAR</t>
        </is>
      </c>
      <c r="E763" s="4" t="inlineStr">
        <is>
          <t>HOGAR</t>
        </is>
      </c>
      <c r="F763" s="5" t="n">
        <v>256862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HOGAR · Banchero Sanitarios · TC Mercado Pago · C.1/3 · compra 2026-08-18 · cierre 2026-09-12</t>
        </is>
      </c>
      <c r="L763" s="4" t="n">
        <v>916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MERCADO LIBRE</t>
        </is>
      </c>
      <c r="E764" s="4" t="inlineStr">
        <is>
          <t>MERCADO LIBRE</t>
        </is>
      </c>
      <c r="F764" s="5" t="n">
        <v>107500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Mercado Libre · TC Mercado Pago · C.1/2 · compra 2026-08-22 · cierre 2026-09-12</t>
        </is>
      </c>
      <c r="L764" s="4" t="n">
        <v>918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REGALOS</t>
        </is>
      </c>
      <c r="E765" s="4" t="inlineStr">
        <is>
          <t>REGALOS</t>
        </is>
      </c>
      <c r="F765" s="5" t="n">
        <v>33500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REGALOS · Regalos Dalila · TC Mercado Pago · C.2/2 · compra 2026-07-31 · cierre 2026-09-12</t>
        </is>
      </c>
      <c r="L765" s="4" t="n">
        <v>909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REGALOS</t>
        </is>
      </c>
      <c r="E766" s="4" t="inlineStr">
        <is>
          <t>REGALOS</t>
        </is>
      </c>
      <c r="F766" s="5" t="n">
        <v>546850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REGALOS · Regalos Dalila · TC Mercado Pago · C.2/2 · compra 2026-07-31 · cierre 2026-09-12</t>
        </is>
      </c>
      <c r="L766" s="4" t="n">
        <v>910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REGALOS</t>
        </is>
      </c>
      <c r="E767" s="4" t="inlineStr">
        <is>
          <t>REGALOS</t>
        </is>
      </c>
      <c r="F767" s="5" t="n">
        <v>62500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REGALOS · Regalos Dalila · TC Mercado Pago · C.2/2 · compra 2026-07-31 · cierre 2026-09-12</t>
        </is>
      </c>
      <c r="L767" s="4" t="n">
        <v>911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41715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Loccitane · TC Mercado Pago · C.6/6 · compra 2026-03-20 · cierre 2026-09-12</t>
        </is>
      </c>
      <c r="L768" s="4" t="n">
        <v>899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23000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Adidas · TC Mercado Pago · C.6/6 · compra 2026-03-23 · cierre 2026-09-12</t>
        </is>
      </c>
      <c r="L769" s="4" t="n">
        <v>900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67112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Awada · TC Mercado Pago · C.6/9 · compra 2026-03-23 · cierre 2026-09-12</t>
        </is>
      </c>
      <c r="L770" s="4" t="n">
        <v>901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41345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ROPA · Laparfumerie · TC Mercado Pago · C.6/6 · compra 2026-03-30 · cierre 2026-09-12</t>
        </is>
      </c>
      <c r="L771" s="4" t="n">
        <v>902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ROPA</t>
        </is>
      </c>
      <c r="F772" s="5" t="n">
        <v>297891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ROPA · Pandora · TC Mercado Pago · C.3/6 · compra 2026-07-09 · cierre 2026-09-12</t>
        </is>
      </c>
      <c r="L772" s="4" t="n">
        <v>906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ROPA</t>
        </is>
      </c>
      <c r="E773" s="4" t="inlineStr">
        <is>
          <t>ROPA</t>
        </is>
      </c>
      <c r="F773" s="5" t="n">
        <v>82742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ROPA · Monofuk · TC Mercado Pago · C.2/12 · compra 2026-08-04 · cierre 2026-09-12</t>
        </is>
      </c>
      <c r="L773" s="4" t="n">
        <v>913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ROPA</t>
        </is>
      </c>
      <c r="E774" s="4" t="inlineStr">
        <is>
          <t>ROPA</t>
        </is>
      </c>
      <c r="F774" s="5" t="n">
        <v>418000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ROPA · Galeon Joyas · TC Mercado Pago · C.1/3 · compra 2026-09-10 · cierre 2026-09-12</t>
        </is>
      </c>
      <c r="L774" s="4" t="n">
        <v>923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ROPA</t>
        </is>
      </c>
      <c r="F775" s="5" t="n">
        <v>-795614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REEMBOLSO · ROPA · Zara · TC Mercado Pago · compra 2026-08-19 · cierre 2026-09-12</t>
        </is>
      </c>
      <c r="L775" s="4" t="n">
        <v>924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SALUD</t>
        </is>
      </c>
      <c r="E776" s="4" t="inlineStr">
        <is>
          <t>SALUD</t>
        </is>
      </c>
      <c r="F776" s="5" t="n">
        <v>55707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SALUD · Laboratorio · TC Mercado Pago · C.3/9 · compra 2026-06-23 · cierre 2026-09-12</t>
        </is>
      </c>
      <c r="L776" s="4" t="n">
        <v>904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SALUD</t>
        </is>
      </c>
      <c r="E777" s="4" t="inlineStr">
        <is>
          <t>SALUD</t>
        </is>
      </c>
      <c r="F777" s="5" t="n">
        <v>58334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SALUD · Biodepot · TC Mercado Pago · C.3/3 · compra 2026-06-25 · cierre 2026-09-12</t>
        </is>
      </c>
      <c r="L777" s="4" t="n">
        <v>905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SALUD · Vitaminas</t>
        </is>
      </c>
      <c r="E778" s="4" t="inlineStr">
        <is>
          <t>SALUD · Vitaminas</t>
        </is>
      </c>
      <c r="F778" s="5" t="n">
        <v>87900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SALUD · Vitaminas · Promarine · TC Mercado Pago · C.6/6 · compra 2026-04-04 · cierre 2026-09-12</t>
        </is>
      </c>
      <c r="L778" s="4" t="n">
        <v>903</v>
      </c>
    </row>
    <row r="779">
      <c r="A779" s="15" t="n">
        <v>46277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SUSCRIPCIONES · APPLE</t>
        </is>
      </c>
      <c r="E779" s="4" t="inlineStr">
        <is>
          <t>SUSCRIPCIONES · Apple</t>
        </is>
      </c>
      <c r="F779" s="5" t="n">
        <v>19749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SUSCRIPCIONES · Apple · Mercado Pago · gasto personal Sol · dinero en cuenta MP screenshot</t>
        </is>
      </c>
      <c r="L779" s="4" t="n">
        <v>869</v>
      </c>
    </row>
    <row r="780">
      <c r="A780" s="15" t="n">
        <v>46277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ROPA</t>
        </is>
      </c>
      <c r="E780" s="4" t="inlineStr">
        <is>
          <t>TRANSFERENCIAS</t>
        </is>
      </c>
      <c r="F780" s="5" t="n">
        <v>140000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Eva Graciela Zarate Valdovino · Transferencia enviada · gasto personal Sol · dinero en cuenta MP screenshot</t>
        </is>
      </c>
      <c r="L780" s="4" t="n">
        <v>870</v>
      </c>
    </row>
    <row r="781">
      <c r="A781" s="15" t="n">
        <v>46277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VESTIMENTA</t>
        </is>
      </c>
      <c r="E781" s="4" t="inlineStr">
        <is>
          <t>VESTIMENTA</t>
        </is>
      </c>
      <c r="F781" s="5" t="n">
        <v>72000</v>
      </c>
      <c r="G781" s="16" t="n"/>
      <c r="H781" s="4" t="inlineStr">
        <is>
          <t>REAL</t>
        </is>
      </c>
      <c r="I781" s="4" t="inlineStr">
        <is>
          <t>TC Mercado Pago</t>
        </is>
      </c>
      <c r="J781" s="4" t="inlineStr">
        <is>
          <t>TC Mercado Pago</t>
        </is>
      </c>
      <c r="K781" s="4" t="inlineStr">
        <is>
          <t>VESTIMENTA · Etiqueta Negra · TC Mercado Pago · C.1/6 · compra 2026-08-25 · cierre 2026-09-12</t>
        </is>
      </c>
      <c r="L781" s="4" t="n">
        <v>920</v>
      </c>
    </row>
    <row r="782">
      <c r="A782" s="15" t="n">
        <v>46277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OTROS PERSONALES</t>
        </is>
      </c>
      <c r="E782" s="4" t="inlineStr">
        <is>
          <t>VIAJES</t>
        </is>
      </c>
      <c r="F782" s="5" t="n">
        <v>1633555</v>
      </c>
      <c r="G782" s="16" t="n"/>
      <c r="H782" s="4" t="inlineStr">
        <is>
          <t>REAL</t>
        </is>
      </c>
      <c r="I782" s="4" t="inlineStr">
        <is>
          <t>TC Mercado Pago</t>
        </is>
      </c>
      <c r="J782" s="4" t="inlineStr">
        <is>
          <t>TC Mercado Pago</t>
        </is>
      </c>
      <c r="K782" s="4" t="inlineStr">
        <is>
          <t>VIAJES · Aerolíneas Argentinas · TC Mercado Pago · compra 2026-08-22 · cierre 2026-09-12</t>
        </is>
      </c>
      <c r="L782" s="4" t="n">
        <v>917</v>
      </c>
    </row>
    <row r="783">
      <c r="A783" s="15" t="n">
        <v>46278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176509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COMPRAS · El Bazar Digital · gasto personal Sol · REVISAR ítem · dinero en cuenta MP screenshot</t>
        </is>
      </c>
      <c r="L783" s="4" t="n">
        <v>871</v>
      </c>
    </row>
    <row r="784">
      <c r="A784" s="15" t="n">
        <v>46278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COMPRAS</t>
        </is>
      </c>
      <c r="E784" s="4" t="inlineStr">
        <is>
          <t>COMPRAS</t>
        </is>
      </c>
      <c r="F784" s="5" t="n">
        <v>71250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Pago · Pago · gasto personal Sol · REVISAR ítem · dinero en cuenta MP screenshot</t>
        </is>
      </c>
      <c r="L784" s="4" t="n">
        <v>873</v>
      </c>
    </row>
    <row r="785">
      <c r="A785" s="15" t="n">
        <v>46278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COMPRAS</t>
        </is>
      </c>
      <c r="E785" s="4" t="inlineStr">
        <is>
          <t>COMPRAS</t>
        </is>
      </c>
      <c r="F785" s="5" t="n">
        <v>76742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Pago · Pago · gasto personal Sol · REVISAR ítem · dinero en cuenta MP screenshot</t>
        </is>
      </c>
      <c r="L785" s="4" t="n">
        <v>874</v>
      </c>
    </row>
    <row r="786">
      <c r="A786" s="15" t="n">
        <v>46278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629985</v>
      </c>
      <c r="G786" s="16" t="n"/>
      <c r="H786" s="4" t="inlineStr">
        <is>
          <t>REAL</t>
        </is>
      </c>
      <c r="I786" s="4" t="inlineStr">
        <is>
          <t>BBVA VISA</t>
        </is>
      </c>
      <c r="J786" s="4" t="inlineStr">
        <is>
          <t>BBVA</t>
        </is>
      </c>
      <c r="K786" s="4" t="inlineStr">
        <is>
          <t>COMPRAS · dhgate.com · BBVA VISA · USD 409.57 × TC MEP 1538.16 · importación · MEP 11/09 (13/09 domingo) · alerta Gmail Compra aprobada · REVISAR vs resumen BBVA</t>
        </is>
      </c>
      <c r="L786" s="4" t="n">
        <v>927</v>
      </c>
    </row>
    <row r="787">
      <c r="A787" s="15" t="n">
        <v>46278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PELUQUERÍA</t>
        </is>
      </c>
      <c r="E787" s="4" t="inlineStr">
        <is>
          <t>PELUQUERÍA</t>
        </is>
      </c>
      <c r="F787" s="5" t="n">
        <v>12720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PELUQUERÍA · Megapeluquerías CABA · gasto personal Sol · dinero en cuenta MP screenshot</t>
        </is>
      </c>
      <c r="L787" s="4" t="n">
        <v>872</v>
      </c>
    </row>
    <row r="788">
      <c r="A788" s="15" t="n">
        <v>46279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COMPRAS</t>
        </is>
      </c>
      <c r="E788" s="4" t="inlineStr">
        <is>
          <t>COMPRAS</t>
        </is>
      </c>
      <c r="F788" s="5" t="n">
        <v>8520</v>
      </c>
      <c r="G788" s="16" t="n"/>
      <c r="H788" s="4" t="inlineStr">
        <is>
          <t>REAL</t>
        </is>
      </c>
      <c r="I788" s="4" t="inlineStr">
        <is>
          <t>BBVA VISA</t>
        </is>
      </c>
      <c r="J788" s="4" t="inlineStr">
        <is>
          <t>BBVA</t>
        </is>
      </c>
      <c r="K788" s="4" t="inlineStr">
        <is>
          <t>COMPRAS · La Obanesad · BBVA VISA · MERPAGO*LAOBANESAD · alerta Gmail · REVISAR ítem</t>
        </is>
      </c>
      <c r="L788" s="4" t="n">
        <v>933</v>
      </c>
    </row>
    <row r="789">
      <c r="A789" s="15" t="n">
        <v>46279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TRANSFERENCIAS</t>
        </is>
      </c>
      <c r="E789" s="4" t="inlineStr">
        <is>
          <t>TRANSFERENCIAS</t>
        </is>
      </c>
      <c r="F789" s="5" t="n">
        <v>85000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Maria Celeste Gonzalez · Transferencia enviada · gasto personal Sol · dinero en cuenta MP screenshot</t>
        </is>
      </c>
      <c r="L789" s="4" t="n">
        <v>875</v>
      </c>
    </row>
    <row r="790">
      <c r="A790" s="15" t="n">
        <v>46279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TRANSFERENCIAS</t>
        </is>
      </c>
      <c r="E790" s="4" t="inlineStr">
        <is>
          <t>TRANSFERENCIAS</t>
        </is>
      </c>
      <c r="F790" s="5" t="n">
        <v>1000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Mariano Morales · Transferencia enviada · gasto personal Sol · dinero en cuenta MP screenshot</t>
        </is>
      </c>
      <c r="L790" s="4" t="n">
        <v>876</v>
      </c>
    </row>
    <row r="791">
      <c r="A791" s="15" t="n">
        <v>46280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COMPRAS</t>
        </is>
      </c>
      <c r="E791" s="4" t="inlineStr">
        <is>
          <t>COMPRAS</t>
        </is>
      </c>
      <c r="F791" s="5" t="n">
        <v>40900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COMPRAS · Happy buy · gasto personal Sol · REVISAR ítem · dinero en cuenta MP screenshot</t>
        </is>
      </c>
      <c r="L791" s="4" t="n">
        <v>878</v>
      </c>
    </row>
    <row r="792">
      <c r="A792" s="15" t="n">
        <v>46280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OTROS PERSONALES</t>
        </is>
      </c>
      <c r="E792" s="4" t="inlineStr">
        <is>
          <t>IMPUESTOS · Epagos</t>
        </is>
      </c>
      <c r="F792" s="5" t="n">
        <v>10150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IMPUESTOS · Epagos · gasto personal Sol · dinero en cuenta MP screenshot</t>
        </is>
      </c>
      <c r="L792" s="4" t="n">
        <v>880</v>
      </c>
    </row>
    <row r="793">
      <c r="A793" s="15" t="n">
        <v>46280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TRANSFERENCIAS</t>
        </is>
      </c>
      <c r="E793" s="4" t="inlineStr">
        <is>
          <t>TRANSFERENCIAS</t>
        </is>
      </c>
      <c r="F793" s="5" t="n">
        <v>4000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Gaston Osvaldo Roca · Transferencia enviada · gasto personal Sol · dinero en cuenta MP screenshot</t>
        </is>
      </c>
      <c r="L793" s="4" t="n">
        <v>881</v>
      </c>
    </row>
    <row r="794">
      <c r="A794" s="15" t="n">
        <v>46280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Didi</t>
        </is>
      </c>
      <c r="F794" s="5" t="n">
        <v>5500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Didi · gasto personal Sol · dinero en cuenta MP screenshot</t>
        </is>
      </c>
      <c r="L794" s="4" t="n">
        <v>879</v>
      </c>
    </row>
    <row r="795">
      <c r="A795" s="15" t="n">
        <v>46280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Uber</t>
        </is>
      </c>
      <c r="F795" s="5" t="n">
        <v>4980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Uber · Ebanx (=Uber) · gasto personal Sol · dinero en cuenta MP screenshot</t>
        </is>
      </c>
      <c r="L795" s="4" t="n">
        <v>877</v>
      </c>
    </row>
    <row r="796">
      <c r="A796" s="15" t="n">
        <v>46282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Didi</t>
        </is>
      </c>
      <c r="F796" s="5" t="n">
        <v>6200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Didi · gasto personal Sol · dinero en cuenta MP screenshot</t>
        </is>
      </c>
      <c r="L796" s="4" t="n">
        <v>883</v>
      </c>
    </row>
    <row r="797">
      <c r="A797" s="15" t="n">
        <v>46282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Uber</t>
        </is>
      </c>
      <c r="F797" s="5" t="n">
        <v>7257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Uber · Ebanx (=Uber) · gasto personal Sol · dinero en cuenta MP screenshot</t>
        </is>
      </c>
      <c r="L797" s="4" t="n">
        <v>882</v>
      </c>
    </row>
    <row r="798">
      <c r="A798" s="15" t="n">
        <v>46282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VESTIMENTA</t>
        </is>
      </c>
      <c r="E798" s="4" t="inlineStr">
        <is>
          <t>VESTIMENTA</t>
        </is>
      </c>
      <c r="F798" s="5" t="n">
        <v>719990</v>
      </c>
      <c r="G798" s="16" t="n"/>
      <c r="H798" s="4" t="inlineStr">
        <is>
          <t>REAL</t>
        </is>
      </c>
      <c r="I798" s="4" t="inlineStr">
        <is>
          <t>TC Mercado Pago</t>
        </is>
      </c>
      <c r="J798" s="4" t="inlineStr">
        <is>
          <t>TC Mercado Pago</t>
        </is>
      </c>
      <c r="K798" s="4" t="inlineStr">
        <is>
          <t>VESTIMENTA · Itsclassic · TC Mercado Pago · Gmail Pago aprobado · REVISAR (también alerta BBVA MERPAGO*ITSCLASSIC) · post-cierre 12/09 → confirmar en resumen TC MP octubre</t>
        </is>
      </c>
      <c r="L798" s="4" t="n">
        <v>831</v>
      </c>
    </row>
    <row r="799">
      <c r="A799" s="15" t="n">
        <v>46283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TRANSPORTE</t>
        </is>
      </c>
      <c r="E799" s="4" t="inlineStr">
        <is>
          <t>TRANSPORTE · Didi</t>
        </is>
      </c>
      <c r="F799" s="5" t="n">
        <v>4900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Didi · gasto personal Sol · dinero en cuenta MP screenshot</t>
        </is>
      </c>
      <c r="L799" s="4" t="n">
        <v>885</v>
      </c>
    </row>
    <row r="800">
      <c r="A800" s="15" t="n">
        <v>46283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TRANSPORTE</t>
        </is>
      </c>
      <c r="E800" s="4" t="inlineStr">
        <is>
          <t>TRANSPORTE · Uber</t>
        </is>
      </c>
      <c r="F800" s="5" t="n">
        <v>6478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TRANSPORTE · Uber · Ebanx (=Uber) · gasto personal Sol · dinero en cuenta MP screenshot</t>
        </is>
      </c>
      <c r="L800" s="4" t="n">
        <v>886</v>
      </c>
    </row>
    <row r="801">
      <c r="A801" s="15" t="n">
        <v>46284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AUTO</t>
        </is>
      </c>
      <c r="E801" s="4" t="inlineStr">
        <is>
          <t>EDUCACIÓN</t>
        </is>
      </c>
      <c r="F801" s="5" t="n">
        <v>127196</v>
      </c>
      <c r="G801" s="16" t="n"/>
      <c r="H801" s="4" t="inlineStr">
        <is>
          <t>REAL</t>
        </is>
      </c>
      <c r="I801" s="4" t="inlineStr">
        <is>
          <t>TC Mercado Pago</t>
        </is>
      </c>
      <c r="J801" s="4" t="inlineStr">
        <is>
          <t>TC Mercado Pago</t>
        </is>
      </c>
      <c r="K801" s="4" t="inlineStr">
        <is>
          <t>EDUCACIÓN · EducaciónIT · Automatización Claude · TC Mercado Pago · 3 cuotas · Gmail · post-cierre 12/09 → confirmar en resumen TC MP octubre</t>
        </is>
      </c>
      <c r="L801" s="4" t="n">
        <v>832</v>
      </c>
    </row>
    <row r="802">
      <c r="A802" s="15" t="n">
        <v>46284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SALUD · Vitaminas</t>
        </is>
      </c>
      <c r="E802" s="4" t="inlineStr">
        <is>
          <t>SALUD · Vitaminas</t>
        </is>
      </c>
      <c r="F802" s="5" t="n">
        <v>530100</v>
      </c>
      <c r="G802" s="16" t="n"/>
      <c r="H802" s="4" t="inlineStr">
        <is>
          <t>REAL</t>
        </is>
      </c>
      <c r="I802" s="4" t="inlineStr">
        <is>
          <t>TC Mercado Pago</t>
        </is>
      </c>
      <c r="J802" s="4" t="inlineStr">
        <is>
          <t>TC Mercado Pago</t>
        </is>
      </c>
      <c r="K802" s="4" t="inlineStr">
        <is>
          <t>SALUD · Vitaminas · Promarine · TC Mercado Pago · 6 cuotas · Gmail Pago aprobado · REVISAR vs resumen TC MP · post-cierre 12/09 → confirmar en resumen TC MP octubre</t>
        </is>
      </c>
      <c r="L802" s="4" t="n">
        <v>830</v>
      </c>
    </row>
    <row r="803">
      <c r="A803" s="15" t="n">
        <v>46284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OTROS PERSONALES</t>
        </is>
      </c>
      <c r="E803" s="4" t="inlineStr">
        <is>
          <t>TRANSPORTE · SUBE</t>
        </is>
      </c>
      <c r="F803" s="5" t="n">
        <v>862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SUBE · gasto personal Sol · dinero en cuenta MP screenshot</t>
        </is>
      </c>
      <c r="L803" s="4" t="n">
        <v>887</v>
      </c>
    </row>
    <row r="804">
      <c r="A804" s="15" t="n">
        <v>46285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89998</v>
      </c>
      <c r="G804" s="16" t="n"/>
      <c r="H804" s="4" t="inlineStr">
        <is>
          <t>REAL</t>
        </is>
      </c>
      <c r="I804" s="4" t="inlineStr">
        <is>
          <t>TC Mercado Pago</t>
        </is>
      </c>
      <c r="J804" s="4" t="inlineStr">
        <is>
          <t>TC Mercado Pago</t>
        </is>
      </c>
      <c r="K804" s="4" t="inlineStr">
        <is>
          <t>COMPRAS · Yenny El Ateneo · TC Mercado Pago · Gmail Pago aprobado · post-cierre 12/09 → confirmar resumen octubre</t>
        </is>
      </c>
      <c r="L804" s="4" t="n">
        <v>936</v>
      </c>
    </row>
    <row r="805">
      <c r="A805" s="15" t="n">
        <v>46287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SUSCRIPCIONES · IA</t>
        </is>
      </c>
      <c r="E805" s="4" t="inlineStr">
        <is>
          <t>SUSCRIPCIONES · IA</t>
        </is>
      </c>
      <c r="F805" s="5" t="n">
        <v>7668</v>
      </c>
      <c r="G805" s="16" t="n"/>
      <c r="H805" s="4" t="inlineStr">
        <is>
          <t>REAL</t>
        </is>
      </c>
      <c r="I805" s="4" t="inlineStr">
        <is>
          <t>BBVA VISA</t>
        </is>
      </c>
      <c r="J805" s="4" t="inlineStr">
        <is>
          <t>BBVA</t>
        </is>
      </c>
      <c r="K805" s="4" t="inlineStr">
        <is>
          <t>SUSCRIPCIONES · IA · Google One / Gemini · BBVA VISA · USD 4.99 × TC MEP 1536.51 · alerta Gmail Compra aprobada · REVISAR vs resumen BBVA</t>
        </is>
      </c>
      <c r="L805" s="4" t="n">
        <v>928</v>
      </c>
    </row>
    <row r="806">
      <c r="A806" s="15" t="n">
        <v>46287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Didi</t>
        </is>
      </c>
      <c r="F806" s="5" t="n">
        <v>3300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Didi · gasto personal Sol · dinero en cuenta MP screenshot</t>
        </is>
      </c>
      <c r="L806" s="4" t="n">
        <v>889</v>
      </c>
    </row>
    <row r="807">
      <c r="A807" s="15" t="n">
        <v>46287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Uber</t>
        </is>
      </c>
      <c r="F807" s="5" t="n">
        <v>5393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Uber · Ebanx (=Uber) · gasto personal Sol · dinero en cuenta MP screenshot</t>
        </is>
      </c>
      <c r="L807" s="4" t="n">
        <v>888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COMPRAS</t>
        </is>
      </c>
      <c r="E808" s="4" t="inlineStr">
        <is>
          <t>COMPRAS</t>
        </is>
      </c>
      <c r="F808" s="5" t="n">
        <v>63514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Randy Kopeles · Pago · gasto personal Sol · dinero en cuenta MP screenshot</t>
        </is>
      </c>
      <c r="L808" s="4" t="n">
        <v>890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COMPRAS</t>
        </is>
      </c>
      <c r="E809" s="4" t="inlineStr">
        <is>
          <t>COMPRAS</t>
        </is>
      </c>
      <c r="F809" s="5" t="n">
        <v>72999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Tatiana Aylén Gonzalez · Pago · gasto personal Sol · dinero en cuenta MP screenshot</t>
        </is>
      </c>
      <c r="L809" s="4" t="n">
        <v>895</v>
      </c>
    </row>
    <row r="810">
      <c r="A810" s="15" t="n">
        <v>46288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SALUD</t>
        </is>
      </c>
      <c r="E810" s="4" t="inlineStr">
        <is>
          <t>SALUD</t>
        </is>
      </c>
      <c r="F810" s="5" t="n">
        <v>50000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SALUD · Clinicas Altamirao · gasto personal Sol · dinero en cuenta MP screenshot</t>
        </is>
      </c>
      <c r="L810" s="4" t="n">
        <v>893</v>
      </c>
    </row>
    <row r="811">
      <c r="A811" s="15" t="n">
        <v>46288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Didi</t>
        </is>
      </c>
      <c r="F811" s="5" t="n">
        <v>3200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Didi · gasto personal Sol · dinero en cuenta MP screenshot</t>
        </is>
      </c>
      <c r="L811" s="4" t="n">
        <v>894</v>
      </c>
    </row>
    <row r="812">
      <c r="A812" s="15" t="n">
        <v>46288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TRANSPORTE</t>
        </is>
      </c>
      <c r="E812" s="4" t="inlineStr">
        <is>
          <t>TRANSPORTE · Uber</t>
        </is>
      </c>
      <c r="F812" s="5" t="n">
        <v>7016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TRANSPORTE · Uber · Ebanx (=Uber) · gasto personal Sol · dinero en cuenta MP screenshot</t>
        </is>
      </c>
      <c r="L812" s="4" t="n">
        <v>891</v>
      </c>
    </row>
    <row r="813">
      <c r="A813" s="15" t="n">
        <v>46288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TRANSPORTE</t>
        </is>
      </c>
      <c r="E813" s="4" t="inlineStr">
        <is>
          <t>TRANSPORTE · Uber</t>
        </is>
      </c>
      <c r="F813" s="5" t="n">
        <v>153</v>
      </c>
      <c r="G813" s="16" t="n"/>
      <c r="H813" s="4" t="inlineStr">
        <is>
          <t>REAL</t>
        </is>
      </c>
      <c r="I813" s="4" t="inlineStr">
        <is>
          <t>Mercado Pago</t>
        </is>
      </c>
      <c r="J813" s="4" t="inlineStr">
        <is>
          <t>Mercado Pago</t>
        </is>
      </c>
      <c r="K813" s="4" t="inlineStr">
        <is>
          <t>TRANSPORTE · Uber · Ebanx (=Uber) · gasto personal Sol · dinero en cuenta MP screenshot</t>
        </is>
      </c>
      <c r="L813" s="4" t="n">
        <v>892</v>
      </c>
    </row>
    <row r="814">
      <c r="A814" s="15" t="n">
        <v>46290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TRANSPORTE</t>
        </is>
      </c>
      <c r="E814" s="4" t="inlineStr">
        <is>
          <t>TRANSPORTE · Didi</t>
        </is>
      </c>
      <c r="F814" s="5" t="n">
        <v>4800</v>
      </c>
      <c r="G814" s="16" t="n"/>
      <c r="H814" s="4" t="inlineStr">
        <is>
          <t>REAL</t>
        </is>
      </c>
      <c r="I814" s="4" t="inlineStr">
        <is>
          <t>Mercado Pago</t>
        </is>
      </c>
      <c r="J814" s="4" t="inlineStr">
        <is>
          <t>Mercado Pago</t>
        </is>
      </c>
      <c r="K814" s="4" t="inlineStr">
        <is>
          <t>TRANSPORTE · Didi · gasto personal Sol · dinero en cuenta MP screenshot</t>
        </is>
      </c>
      <c r="L814" s="4" t="n">
        <v>896</v>
      </c>
    </row>
    <row r="815">
      <c r="A815" s="15" t="n">
        <v>46290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TRANSPORTE</t>
        </is>
      </c>
      <c r="E815" s="4" t="inlineStr">
        <is>
          <t>TRANSPORTE · Didi</t>
        </is>
      </c>
      <c r="F815" s="5" t="n">
        <v>6800</v>
      </c>
      <c r="G815" s="16" t="n"/>
      <c r="H815" s="4" t="inlineStr">
        <is>
          <t>REAL</t>
        </is>
      </c>
      <c r="I815" s="4" t="inlineStr">
        <is>
          <t>Mercado Pago</t>
        </is>
      </c>
      <c r="J815" s="4" t="inlineStr">
        <is>
          <t>Mercado Pago</t>
        </is>
      </c>
      <c r="K815" s="4" t="inlineStr">
        <is>
          <t>TRANSPORTE · Didi · gasto personal Sol · dinero en cuenta MP screenshot</t>
        </is>
      </c>
      <c r="L815" s="4" t="n">
        <v>897</v>
      </c>
    </row>
    <row r="816">
      <c r="A816" s="15" t="n">
        <v>46292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ENVÍOS</t>
        </is>
      </c>
      <c r="E816" s="4" t="inlineStr">
        <is>
          <t>ENVÍOS</t>
        </is>
      </c>
      <c r="F816" s="5" t="n">
        <v>13288</v>
      </c>
      <c r="G816" s="16" t="n"/>
      <c r="H816" s="4" t="inlineStr">
        <is>
          <t>REAL</t>
        </is>
      </c>
      <c r="I816" s="4" t="inlineStr">
        <is>
          <t>Mercado Pago</t>
        </is>
      </c>
      <c r="J816" s="4" t="inlineStr">
        <is>
          <t>Mercado Pago</t>
        </is>
      </c>
      <c r="K816" s="4" t="inlineStr">
        <is>
          <t>ENVÍOS · DHL Express · gasto personal Sol · dinero en cuenta MP screenshot</t>
        </is>
      </c>
      <c r="L816" s="4" t="n">
        <v>898</v>
      </c>
    </row>
    <row r="817">
      <c r="A817" s="15" t="n">
        <v>46292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SUSCRIPCIONES · IA</t>
        </is>
      </c>
      <c r="E817" s="4" t="inlineStr">
        <is>
          <t>SUSCRIPCIONES · IA</t>
        </is>
      </c>
      <c r="F817" s="5" t="n">
        <v>93150</v>
      </c>
      <c r="G817" s="16" t="n"/>
      <c r="H817" s="4" t="inlineStr">
        <is>
          <t>REAL</t>
        </is>
      </c>
      <c r="I817" s="4" t="inlineStr">
        <is>
          <t>BBVA VISA</t>
        </is>
      </c>
      <c r="J817" s="4" t="inlineStr">
        <is>
          <t>BBVA</t>
        </is>
      </c>
      <c r="K817" s="4" t="inlineStr">
        <is>
          <t>SUSCRIPCIONES · IA · Cursor · BBVA VISA · USD 60.00 × TC MEP 1552.5 · MEP 25/09 (27/09 domingo) · alerta Gmail Compra aprobada · REVISAR vs resumen BBVA</t>
        </is>
      </c>
      <c r="L817" s="4" t="n">
        <v>929</v>
      </c>
    </row>
    <row r="818">
      <c r="A818" s="15" t="n">
        <v>46292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VESTIMENTA</t>
        </is>
      </c>
      <c r="E818" s="4" t="inlineStr">
        <is>
          <t>VESTIMENTA</t>
        </is>
      </c>
      <c r="F818" s="5" t="n">
        <v>334288</v>
      </c>
      <c r="G818" s="16" t="n"/>
      <c r="H818" s="4" t="inlineStr">
        <is>
          <t>REAL</t>
        </is>
      </c>
      <c r="I818" s="4" t="inlineStr">
        <is>
          <t>BBVA VISA</t>
        </is>
      </c>
      <c r="J818" s="4" t="inlineStr">
        <is>
          <t>BBVA</t>
        </is>
      </c>
      <c r="K818" s="4" t="inlineStr">
        <is>
          <t>VESTIMENTA · Luxodia · BBVA VISA · MERPAGO*LUXODIA · alerta Gmail · REVISAR ítem</t>
        </is>
      </c>
      <c r="L818" s="4" t="n">
        <v>934</v>
      </c>
    </row>
    <row r="819">
      <c r="A819" s="15" t="n">
        <v>46292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VESTIMENTA</t>
        </is>
      </c>
      <c r="E819" s="4" t="inlineStr">
        <is>
          <t>VESTIMENTA</t>
        </is>
      </c>
      <c r="F819" s="5" t="n">
        <v>49492</v>
      </c>
      <c r="G819" s="16" t="n"/>
      <c r="H819" s="4" t="inlineStr">
        <is>
          <t>REAL</t>
        </is>
      </c>
      <c r="I819" s="4" t="inlineStr">
        <is>
          <t>BBVA VISA</t>
        </is>
      </c>
      <c r="J819" s="4" t="inlineStr">
        <is>
          <t>BBVA</t>
        </is>
      </c>
      <c r="K819" s="4" t="inlineStr">
        <is>
          <t>VESTIMENTA · Luxodia · BBVA VISA · MERPAGO*LUXODIA · alerta Gmail · REVISAR ítem</t>
        </is>
      </c>
      <c r="L819" s="4" t="n">
        <v>935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EVENTOS DEPORTIVOS - RIVER</t>
        </is>
      </c>
      <c r="E820" s="4" t="inlineStr">
        <is>
          <t>Eventos deportivos - River</t>
        </is>
      </c>
      <c r="F820" s="5" t="n">
        <v>169667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C.03/06 · cashflow cuotas BBVA · gasto personal Sol · Eventos deportivos - River</t>
        </is>
      </c>
      <c r="L820" s="4" t="n">
        <v>572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HOGAR</t>
        </is>
      </c>
      <c r="E821" s="4" t="inlineStr">
        <is>
          <t>HOGAR</t>
        </is>
      </c>
      <c r="F821" s="5" t="n">
        <v>18334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HOGAR · Stanley · PROYECTADO · C.06/06 · cashflow cuotas BBVA · gasto personal Sol</t>
        </is>
      </c>
      <c r="L821" s="4" t="n">
        <v>571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MERCADO LIBRE</t>
        </is>
      </c>
      <c r="E822" s="4" t="inlineStr">
        <is>
          <t>MERCADO LIBRE</t>
        </is>
      </c>
      <c r="F822" s="5" t="n">
        <v>12084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PROYECTADO · C.03/06 · cashflow cuotas BBVA · gasto personal Sol · ex `Mercado Libre · MERCADOLIBRE`</t>
        </is>
      </c>
      <c r="L822" s="4" t="n">
        <v>562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MERCADO LIBRE</t>
        </is>
      </c>
      <c r="E823" s="4" t="inlineStr">
        <is>
          <t>MERCADO LIBRE</t>
        </is>
      </c>
      <c r="F823" s="5" t="n">
        <v>275000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C.07/12 · cashflow cuotas BBVA · gasto personal Sol · ex `Mercado Libre · MERCADOLIBRE`</t>
        </is>
      </c>
      <c r="L823" s="4" t="n">
        <v>563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MERCADO LIBRE</t>
        </is>
      </c>
      <c r="E824" s="4" t="inlineStr">
        <is>
          <t>MERCADO LIBRE</t>
        </is>
      </c>
      <c r="F824" s="5" t="n">
        <v>17360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PROYECTADO · C.08/09 · cashflow cuotas BBVA · gasto personal Sol · ex `Mercado Libre · MERCADOLIBRE`</t>
        </is>
      </c>
      <c r="L824" s="4" t="n">
        <v>564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MERCADO LIBRE</t>
        </is>
      </c>
      <c r="E825" s="4" t="inlineStr">
        <is>
          <t>MERCADO LIBRE</t>
        </is>
      </c>
      <c r="F825" s="5" t="n">
        <v>16950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PROYECTADO · C.08/09 · cashflow cuotas BBVA · gasto personal Sol · ex `Mercado Libre · MERCADOLIBRE`</t>
        </is>
      </c>
      <c r="L825" s="4" t="n">
        <v>565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124667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C.05/06 · cashflow cuotas BBVA · gasto personal Sol</t>
        </is>
      </c>
      <c r="L826" s="4" t="n">
        <v>557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31700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ROPA · Frivilli · PROYECTADO · C.03/03 · cashflow cuotas BBVA · gasto personal Sol</t>
        </is>
      </c>
      <c r="L827" s="4" t="n">
        <v>559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80834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C.05/06 · cashflow cuotas BBVA · gasto personal Sol</t>
        </is>
      </c>
      <c r="L828" s="4" t="n">
        <v>560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95984</v>
      </c>
      <c r="G829" s="16" t="n"/>
      <c r="H829" s="18" t="inlineStr">
        <is>
          <t>PROYECTADO</t>
        </is>
      </c>
      <c r="I829" s="4" t="inlineStr">
        <is>
          <t>BBVA MASTERCARD · proyectado</t>
        </is>
      </c>
      <c r="J829" s="4" t="inlineStr">
        <is>
          <t>BBVA</t>
        </is>
      </c>
      <c r="K829" s="4" t="inlineStr">
        <is>
          <t>ROPA · Monofuk · PROYECTADO · C.06/06 · cashflow cuotas BBVA · gasto personal Sol</t>
        </is>
      </c>
      <c r="L829" s="4" t="n">
        <v>566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ROPA</t>
        </is>
      </c>
      <c r="F830" s="5" t="n">
        <v>284794</v>
      </c>
      <c r="G830" s="16" t="n"/>
      <c r="H830" s="18" t="inlineStr">
        <is>
          <t>PROYECTADO</t>
        </is>
      </c>
      <c r="I830" s="4" t="inlineStr">
        <is>
          <t>BBVA VISA · proyectado</t>
        </is>
      </c>
      <c r="J830" s="4" t="inlineStr">
        <is>
          <t>BBVA</t>
        </is>
      </c>
      <c r="K830" s="4" t="inlineStr">
        <is>
          <t>PROYECTADO · C.03/06 · cashflow cuotas BBVA · gasto personal Sol</t>
        </is>
      </c>
      <c r="L830" s="4" t="n">
        <v>567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ROPA</t>
        </is>
      </c>
      <c r="E831" s="4" t="inlineStr">
        <is>
          <t>ROPA</t>
        </is>
      </c>
      <c r="F831" s="5" t="n">
        <v>73600</v>
      </c>
      <c r="G831" s="16" t="n"/>
      <c r="H831" s="18" t="inlineStr">
        <is>
          <t>PROYECTADO</t>
        </is>
      </c>
      <c r="I831" s="4" t="inlineStr">
        <is>
          <t>BBVA MASTERCARD · proyectado</t>
        </is>
      </c>
      <c r="J831" s="4" t="inlineStr">
        <is>
          <t>BBVA</t>
        </is>
      </c>
      <c r="K831" s="4" t="inlineStr">
        <is>
          <t>PROYECTADO · C.03/06 · cashflow cuotas BBVA · gasto personal Sol</t>
        </is>
      </c>
      <c r="L831" s="4" t="n">
        <v>568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ROPA</t>
        </is>
      </c>
      <c r="F832" s="5" t="n">
        <v>36667</v>
      </c>
      <c r="G832" s="16" t="n"/>
      <c r="H832" s="18" t="inlineStr">
        <is>
          <t>PROYECTADO</t>
        </is>
      </c>
      <c r="I832" s="4" t="inlineStr">
        <is>
          <t>BBVA MASTERCARD · proyectado</t>
        </is>
      </c>
      <c r="J832" s="4" t="inlineStr">
        <is>
          <t>BBVA</t>
        </is>
      </c>
      <c r="K832" s="4" t="inlineStr">
        <is>
          <t>PROYECTADO · C.05/06 · cashflow cuotas BBVA · gasto personal Sol</t>
        </is>
      </c>
      <c r="L832" s="4" t="n">
        <v>570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ROPA</t>
        </is>
      </c>
      <c r="E833" s="4" t="inlineStr">
        <is>
          <t>ROPA</t>
        </is>
      </c>
      <c r="F833" s="5" t="n">
        <v>60917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PROYECTADO · C.05/12 · cashflow cuotas BBVA · gasto personal Sol</t>
        </is>
      </c>
      <c r="L833" s="4" t="n">
        <v>573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ROPA</t>
        </is>
      </c>
      <c r="E834" s="4" t="inlineStr">
        <is>
          <t>ROPA</t>
        </is>
      </c>
      <c r="F834" s="5" t="n">
        <v>69750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PROYECTADO · C.05/12 · cashflow cuotas BBVA · gasto personal Sol</t>
        </is>
      </c>
      <c r="L834" s="4" t="n">
        <v>574</v>
      </c>
    </row>
    <row r="835">
      <c r="A835" s="15" t="n">
        <v>46293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SALUD</t>
        </is>
      </c>
      <c r="E835" s="4" t="inlineStr">
        <is>
          <t>SALUD</t>
        </is>
      </c>
      <c r="F835" s="5" t="n">
        <v>54033</v>
      </c>
      <c r="G835" s="16" t="n"/>
      <c r="H835" s="18" t="inlineStr">
        <is>
          <t>PROYECTADO</t>
        </is>
      </c>
      <c r="I835" s="4" t="inlineStr">
        <is>
          <t>BBVA MASTERCARD · proyectado</t>
        </is>
      </c>
      <c r="J835" s="4" t="inlineStr">
        <is>
          <t>BBVA</t>
        </is>
      </c>
      <c r="K835" s="4" t="inlineStr">
        <is>
          <t>SALUD · Laboratorio · PROYECTADO · C.06/06 · cashflow cuotas BBVA · gasto personal Sol</t>
        </is>
      </c>
      <c r="L835" s="4" t="n">
        <v>561</v>
      </c>
    </row>
    <row r="836">
      <c r="A836" s="15" t="n">
        <v>46293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SALUD · Vitaminas</t>
        </is>
      </c>
      <c r="E836" s="4" t="inlineStr">
        <is>
          <t>SALUD · Vitaminas</t>
        </is>
      </c>
      <c r="F836" s="5" t="n">
        <v>87900</v>
      </c>
      <c r="G836" s="16" t="n"/>
      <c r="H836" s="18" t="inlineStr">
        <is>
          <t>PROYECTADO</t>
        </is>
      </c>
      <c r="I836" s="4" t="inlineStr">
        <is>
          <t>BBVA VISA · proyectado</t>
        </is>
      </c>
      <c r="J836" s="4" t="inlineStr">
        <is>
          <t>BBVA</t>
        </is>
      </c>
      <c r="K836" s="4" t="inlineStr">
        <is>
          <t>PROYECTADO · SALUD · Vitaminas · Promarine · BBVA · C.06/06 · gasto personal Sol</t>
        </is>
      </c>
      <c r="L836" s="4" t="n">
        <v>569</v>
      </c>
    </row>
    <row r="837">
      <c r="A837" s="15" t="n">
        <v>46293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ROPA</t>
        </is>
      </c>
      <c r="E837" s="4" t="inlineStr">
        <is>
          <t>VESTIMENTA</t>
        </is>
      </c>
      <c r="F837" s="5" t="n">
        <v>98334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ROPA · Bokenvoreno · PROYECTADO · C.05/06 · cashflow cuotas BBVA · gasto personal Sol</t>
        </is>
      </c>
      <c r="L837" s="4" t="n">
        <v>558</v>
      </c>
    </row>
    <row r="838">
      <c r="A838" s="15" t="n">
        <v>46293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TRANSFERENCIAS</t>
        </is>
      </c>
      <c r="E838" s="4" t="inlineStr">
        <is>
          <t>TRANSFERENCIAS</t>
        </is>
      </c>
      <c r="F838" s="5" t="n">
        <v>69900</v>
      </c>
      <c r="G838" s="16" t="n"/>
      <c r="H838" s="4" t="inlineStr">
        <is>
          <t>REAL</t>
        </is>
      </c>
      <c r="I838" s="4" t="inlineStr">
        <is>
          <t>Mercado Pago</t>
        </is>
      </c>
      <c r="J838" s="4" t="inlineStr">
        <is>
          <t>Mercado Pago</t>
        </is>
      </c>
      <c r="K838" s="4" t="inlineStr">
        <is>
          <t>TRANSFERENCIAS · Camilo Carlos Ihan · REVISAR ítem · resumen oficial cuenta MP 1–30 sep 2026</t>
        </is>
      </c>
      <c r="L838" s="4" t="n">
        <v>938</v>
      </c>
    </row>
    <row r="839">
      <c r="A839" s="15" t="n">
        <v>46294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HOGAR</t>
        </is>
      </c>
      <c r="E839" s="4" t="inlineStr">
        <is>
          <t>HOGAR</t>
        </is>
      </c>
      <c r="F839" s="5" t="n">
        <v>134572</v>
      </c>
      <c r="G839" s="16" t="n"/>
      <c r="H839" s="4" t="inlineStr">
        <is>
          <t>REAL</t>
        </is>
      </c>
      <c r="I839" s="4" t="inlineStr">
        <is>
          <t>TC Mercado Pago</t>
        </is>
      </c>
      <c r="J839" s="4" t="inlineStr">
        <is>
          <t>TC Mercado Pago</t>
        </is>
      </c>
      <c r="K839" s="4" t="inlineStr">
        <is>
          <t>HOGAR · ViennaHogar · TC Mercado Pago · 3 cuotas · Gmail Pago aprobado · post-cierre 12/09 → confirmar resumen octubre</t>
        </is>
      </c>
      <c r="L839" s="4" t="n">
        <v>937</v>
      </c>
    </row>
    <row r="840">
      <c r="A840" s="15" t="n">
        <v>46294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TRANSPORTE</t>
        </is>
      </c>
      <c r="E840" s="4" t="inlineStr">
        <is>
          <t>TRANSPORTE · Didi</t>
        </is>
      </c>
      <c r="F840" s="5" t="n">
        <v>5700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TRANSPORTE · Didi · resumen oficial cuenta MP 1–30 sep 2026</t>
        </is>
      </c>
      <c r="L840" s="4" t="n">
        <v>940</v>
      </c>
    </row>
    <row r="841">
      <c r="A841" s="15" t="n">
        <v>46294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TRANSPORTE</t>
        </is>
      </c>
      <c r="E841" s="4" t="inlineStr">
        <is>
          <t>TRANSPORTE · Didi</t>
        </is>
      </c>
      <c r="F841" s="5" t="n">
        <v>4000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TRANSPORTE · Didi · resumen oficial cuenta MP 1–30 sep 2026</t>
        </is>
      </c>
      <c r="L841" s="4" t="n">
        <v>941</v>
      </c>
    </row>
    <row r="842">
      <c r="A842" s="15" t="n">
        <v>46294</v>
      </c>
      <c r="B842" s="4" t="inlineStr">
        <is>
          <t>2026-09</t>
        </is>
      </c>
      <c r="C842" s="4" t="inlineStr">
        <is>
          <t>Septiembre</t>
        </is>
      </c>
      <c r="D842" s="4" t="inlineStr">
        <is>
          <t>TRANSPORTE</t>
        </is>
      </c>
      <c r="E842" s="4" t="inlineStr">
        <is>
          <t>TRANSPORTE · Uber</t>
        </is>
      </c>
      <c r="F842" s="5" t="n">
        <v>7230</v>
      </c>
      <c r="G842" s="16" t="n"/>
      <c r="H842" s="4" t="inlineStr">
        <is>
          <t>REAL</t>
        </is>
      </c>
      <c r="I842" s="4" t="inlineStr">
        <is>
          <t>Mercado Pago</t>
        </is>
      </c>
      <c r="J842" s="4" t="inlineStr">
        <is>
          <t>Mercado Pago</t>
        </is>
      </c>
      <c r="K842" s="4" t="inlineStr">
        <is>
          <t>TRANSPORTE · Uber · Ebanx (=Uber) · resumen oficial cuenta MP 1–30 sep 2026</t>
        </is>
      </c>
      <c r="L842" s="4" t="n">
        <v>939</v>
      </c>
    </row>
    <row r="843">
      <c r="A843" s="15" t="n">
        <v>46295</v>
      </c>
      <c r="B843" s="4" t="inlineStr">
        <is>
          <t>2026-09</t>
        </is>
      </c>
      <c r="C843" s="4" t="inlineStr">
        <is>
          <t>Septiembre</t>
        </is>
      </c>
      <c r="D843" s="4" t="inlineStr">
        <is>
          <t>SUSCRIPCIONES · IA</t>
        </is>
      </c>
      <c r="E843" s="4" t="inlineStr">
        <is>
          <t>SUSCRIPCIONES · IA</t>
        </is>
      </c>
      <c r="F843" s="5" t="n">
        <v>30852</v>
      </c>
      <c r="G843" s="16" t="n"/>
      <c r="H843" s="4" t="inlineStr">
        <is>
          <t>REAL</t>
        </is>
      </c>
      <c r="I843" s="4" t="inlineStr">
        <is>
          <t>BBVA VISA</t>
        </is>
      </c>
      <c r="J843" s="4" t="inlineStr">
        <is>
          <t>BBVA</t>
        </is>
      </c>
      <c r="K843" s="4" t="inlineStr">
        <is>
          <t>SUSCRIPCIONES · IA · ChatGPT / OpenAI · BBVA VISA · USD 20.00 × TC MEP 1542.56 · alerta Gmail Compra aprobada · REVISAR vs resumen BBVA</t>
        </is>
      </c>
      <c r="L843" s="4" t="n">
        <v>930</v>
      </c>
    </row>
    <row r="844">
      <c r="A844" s="15" t="n">
        <v>46295</v>
      </c>
      <c r="B844" s="4" t="inlineStr">
        <is>
          <t>2026-09</t>
        </is>
      </c>
      <c r="C844" s="4" t="inlineStr">
        <is>
          <t>Septiembre</t>
        </is>
      </c>
      <c r="D844" s="4" t="inlineStr">
        <is>
          <t>OTROS PERSONALES</t>
        </is>
      </c>
      <c r="E844" s="4" t="inlineStr">
        <is>
          <t>Sol Estética</t>
        </is>
      </c>
      <c r="F844" s="5" t="n">
        <v>20000</v>
      </c>
      <c r="G844" s="16" t="n"/>
      <c r="H844" s="4" t="inlineStr">
        <is>
          <t>REAL</t>
        </is>
      </c>
      <c r="I844" s="4" t="inlineStr">
        <is>
          <t>Mercado Pago</t>
        </is>
      </c>
      <c r="J844" s="4" t="inlineStr">
        <is>
          <t>Mercado Pago</t>
        </is>
      </c>
      <c r="K844" s="4" t="inlineStr">
        <is>
          <t>Sol Estética · Kelly · $20.000 · resumen oficial cuenta MP 1–30 sep 2026</t>
        </is>
      </c>
      <c r="L844" s="4" t="n">
        <v>942</v>
      </c>
    </row>
    <row r="845">
      <c r="A845" s="15" t="n">
        <v>46295</v>
      </c>
      <c r="B845" s="4" t="inlineStr">
        <is>
          <t>2026-09</t>
        </is>
      </c>
      <c r="C845" s="4" t="inlineStr">
        <is>
          <t>Septiembre</t>
        </is>
      </c>
      <c r="D845" s="4" t="inlineStr">
        <is>
          <t>OTROS PERSONALES</t>
        </is>
      </c>
      <c r="E845" s="4" t="inlineStr">
        <is>
          <t>Sol Estética</t>
        </is>
      </c>
      <c r="F845" s="5" t="n">
        <v>86000</v>
      </c>
      <c r="G845" s="16" t="n"/>
      <c r="H845" s="4" t="inlineStr">
        <is>
          <t>REAL</t>
        </is>
      </c>
      <c r="I845" s="4" t="inlineStr">
        <is>
          <t>Mercado Pago</t>
        </is>
      </c>
      <c r="J845" s="4" t="inlineStr">
        <is>
          <t>Mercado Pago</t>
        </is>
      </c>
      <c r="K845" s="4" t="inlineStr">
        <is>
          <t>Sol Estética · Kelly · $86.000 · resumen oficial cuenta MP 1–30 sep 2026</t>
        </is>
      </c>
      <c r="L845" s="4" t="n">
        <v>943</v>
      </c>
    </row>
    <row r="846">
      <c r="A846" s="15" t="n">
        <v>46299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FARMACIA SALUD</t>
        </is>
      </c>
      <c r="E846" s="4" t="inlineStr">
        <is>
          <t>FARMACIA SALUD</t>
        </is>
      </c>
      <c r="F846" s="5" t="n">
        <v>17038</v>
      </c>
      <c r="G846" s="16" t="n"/>
      <c r="H846" s="4" t="inlineStr">
        <is>
          <t>REAL</t>
        </is>
      </c>
      <c r="I846" s="4" t="inlineStr">
        <is>
          <t>Mercado Pago</t>
        </is>
      </c>
      <c r="J846" s="4" t="inlineStr">
        <is>
          <t>Mercado Pago</t>
        </is>
      </c>
      <c r="K846" s="4" t="inlineStr">
        <is>
          <t>FARMACIA SALUD · Hiperfarmaceutica Temperley · Gmail Pago aprobado</t>
        </is>
      </c>
      <c r="L846" s="4" t="n">
        <v>954</v>
      </c>
    </row>
    <row r="847">
      <c r="A847" s="15" t="n">
        <v>46300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OTROS PERSONALES</t>
        </is>
      </c>
      <c r="E847" s="4" t="inlineStr">
        <is>
          <t>VIAJES</t>
        </is>
      </c>
      <c r="F847" s="5" t="n">
        <v>1430000</v>
      </c>
      <c r="G847" s="16" t="n"/>
      <c r="H847" s="4" t="inlineStr">
        <is>
          <t>REAL</t>
        </is>
      </c>
      <c r="I847" s="4" t="inlineStr">
        <is>
          <t>TC Mercado Pago</t>
        </is>
      </c>
      <c r="J847" s="4" t="inlineStr">
        <is>
          <t>TC Mercado Pago</t>
        </is>
      </c>
      <c r="K847" s="4" t="inlineStr">
        <is>
          <t>VIAJES · regalo Chris Cumple 50 · MARPATAG SRL · Gmail Pago aprobado · gasto personal Sol</t>
        </is>
      </c>
      <c r="L847" s="4" t="n">
        <v>955</v>
      </c>
    </row>
    <row r="848">
      <c r="A848" s="15" t="n">
        <v>46304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PELUQUERÍA</t>
        </is>
      </c>
      <c r="E848" s="4" t="inlineStr">
        <is>
          <t>PELUQUERÍA</t>
        </is>
      </c>
      <c r="F848" s="5" t="n">
        <v>7000</v>
      </c>
      <c r="G848" s="16" t="n"/>
      <c r="H848" s="4" t="inlineStr">
        <is>
          <t>REAL</t>
        </is>
      </c>
      <c r="I848" s="4" t="inlineStr">
        <is>
          <t>Mercado Pago</t>
        </is>
      </c>
      <c r="J848" s="4" t="inlineStr">
        <is>
          <t>Mercado Pago</t>
        </is>
      </c>
      <c r="K848" s="4" t="inlineStr">
        <is>
          <t>PELUQUERÍA · Soy lashista · Gmail Pago aprobado (2 mails mismo monto; se carga 1)</t>
        </is>
      </c>
      <c r="L848" s="4" t="n">
        <v>956</v>
      </c>
    </row>
    <row r="849">
      <c r="A849" s="15" t="n">
        <v>46306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OTROS PERSONALES</t>
        </is>
      </c>
      <c r="E849" s="4" t="inlineStr">
        <is>
          <t>VIAJES</t>
        </is>
      </c>
      <c r="F849" s="5" t="n">
        <v>1143000</v>
      </c>
      <c r="G849" s="16" t="n"/>
      <c r="H849" s="4" t="inlineStr">
        <is>
          <t>REAL</t>
        </is>
      </c>
      <c r="I849" s="4" t="inlineStr">
        <is>
          <t>BBVA Crédito ****3200</t>
        </is>
      </c>
      <c r="J849" s="4" t="inlineStr">
        <is>
          <t>BBVA</t>
        </is>
      </c>
      <c r="K849" s="4" t="inlineStr">
        <is>
          <t>VIAJES · regalo Chris Cumple 50 · Patagonia Chic Excursiones · Gmail Pago aprobado · 1 cuota · gasto personal Sol</t>
        </is>
      </c>
      <c r="L849" s="4" t="n">
        <v>957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EVENTOS DEPORTIVOS - RIVER</t>
        </is>
      </c>
      <c r="E850" s="4" t="inlineStr">
        <is>
          <t>Eventos deportivos - River</t>
        </is>
      </c>
      <c r="F850" s="5" t="n">
        <v>169667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C.04/06 · cashflow cuotas BBVA · gasto personal Sol · Eventos deportivos - River</t>
        </is>
      </c>
      <c r="L850" s="4" t="n">
        <v>585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12084</v>
      </c>
      <c r="G851" s="16" t="n"/>
      <c r="H851" s="18" t="inlineStr">
        <is>
          <t>PROYECTADO</t>
        </is>
      </c>
      <c r="I851" s="4" t="inlineStr">
        <is>
          <t>BBVA VISA · proyectado</t>
        </is>
      </c>
      <c r="J851" s="4" t="inlineStr">
        <is>
          <t>BBVA</t>
        </is>
      </c>
      <c r="K851" s="4" t="inlineStr">
        <is>
          <t>PROYECTADO · C.04/06 · cashflow cuotas BBVA · gasto personal Sol · ex `Mercado Libre · MERCADOLIBRE`</t>
        </is>
      </c>
      <c r="L851" s="4" t="n">
        <v>578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MERCADO LIBRE</t>
        </is>
      </c>
      <c r="E852" s="4" t="inlineStr">
        <is>
          <t>MERCADO LIBRE</t>
        </is>
      </c>
      <c r="F852" s="5" t="n">
        <v>275000</v>
      </c>
      <c r="G852" s="16" t="n"/>
      <c r="H852" s="18" t="inlineStr">
        <is>
          <t>PROYECTADO</t>
        </is>
      </c>
      <c r="I852" s="4" t="inlineStr">
        <is>
          <t>BBVA MASTERCARD · proyectado</t>
        </is>
      </c>
      <c r="J852" s="4" t="inlineStr">
        <is>
          <t>BBVA</t>
        </is>
      </c>
      <c r="K852" s="4" t="inlineStr">
        <is>
          <t>PROYECTADO · C.08/12 · cashflow cuotas BBVA · gasto personal Sol · ex `Mercado Libre · MERCADOLIBRE`</t>
        </is>
      </c>
      <c r="L852" s="4" t="n">
        <v>579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MERCADO LIBRE</t>
        </is>
      </c>
      <c r="E853" s="4" t="inlineStr">
        <is>
          <t>MERCADO LIBRE</t>
        </is>
      </c>
      <c r="F853" s="5" t="n">
        <v>17360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C.09/09 · cashflow cuotas BBVA · gasto personal Sol · ex `Mercado Libre · MERCADOLIBRE`</t>
        </is>
      </c>
      <c r="L853" s="4" t="n">
        <v>580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MERCADO LIBRE</t>
        </is>
      </c>
      <c r="E854" s="4" t="inlineStr">
        <is>
          <t>MERCADO LIBRE</t>
        </is>
      </c>
      <c r="F854" s="5" t="n">
        <v>16950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C.09/09 · cashflow cuotas BBVA · gasto personal Sol · ex `Mercado Libre · MERCADOLIBRE`</t>
        </is>
      </c>
      <c r="L854" s="4" t="n">
        <v>581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124667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C.06/06 · cashflow cuotas BBVA · gasto personal Sol</t>
        </is>
      </c>
      <c r="L855" s="4" t="n">
        <v>575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80834</v>
      </c>
      <c r="G856" s="16" t="n"/>
      <c r="H856" s="18" t="inlineStr">
        <is>
          <t>PROYECTADO</t>
        </is>
      </c>
      <c r="I856" s="4" t="inlineStr">
        <is>
          <t>BBVA MASTERCARD · proyectado</t>
        </is>
      </c>
      <c r="J856" s="4" t="inlineStr">
        <is>
          <t>BBVA</t>
        </is>
      </c>
      <c r="K856" s="4" t="inlineStr">
        <is>
          <t>PROYECTADO · C.06/06 · cashflow cuotas BBVA · gasto personal Sol</t>
        </is>
      </c>
      <c r="L856" s="4" t="n">
        <v>577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284794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C.04/06 · cashflow cuotas BBVA · gasto personal Sol</t>
        </is>
      </c>
      <c r="L857" s="4" t="n">
        <v>582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ROPA</t>
        </is>
      </c>
      <c r="F858" s="5" t="n">
        <v>73600</v>
      </c>
      <c r="G858" s="16" t="n"/>
      <c r="H858" s="18" t="inlineStr">
        <is>
          <t>PROYECTADO</t>
        </is>
      </c>
      <c r="I858" s="4" t="inlineStr">
        <is>
          <t>BBVA MASTERCARD · proyectado</t>
        </is>
      </c>
      <c r="J858" s="4" t="inlineStr">
        <is>
          <t>BBVA</t>
        </is>
      </c>
      <c r="K858" s="4" t="inlineStr">
        <is>
          <t>PROYECTADO · C.04/06 · cashflow cuotas BBVA · gasto personal Sol</t>
        </is>
      </c>
      <c r="L858" s="4" t="n">
        <v>583</v>
      </c>
    </row>
    <row r="859">
      <c r="A859" s="15" t="n">
        <v>46323</v>
      </c>
      <c r="B859" s="4" t="inlineStr">
        <is>
          <t>2026-10</t>
        </is>
      </c>
      <c r="C859" s="4" t="inlineStr">
        <is>
          <t>Octubre</t>
        </is>
      </c>
      <c r="D859" s="4" t="inlineStr">
        <is>
          <t>ROPA</t>
        </is>
      </c>
      <c r="E859" s="4" t="inlineStr">
        <is>
          <t>ROPA</t>
        </is>
      </c>
      <c r="F859" s="5" t="n">
        <v>36667</v>
      </c>
      <c r="G859" s="16" t="n"/>
      <c r="H859" s="18" t="inlineStr">
        <is>
          <t>PROYECTADO</t>
        </is>
      </c>
      <c r="I859" s="4" t="inlineStr">
        <is>
          <t>BBVA MASTERCARD · proyectado</t>
        </is>
      </c>
      <c r="J859" s="4" t="inlineStr">
        <is>
          <t>BBVA</t>
        </is>
      </c>
      <c r="K859" s="4" t="inlineStr">
        <is>
          <t>PROYECTADO · C.06/06 · cashflow cuotas BBVA · gasto personal Sol</t>
        </is>
      </c>
      <c r="L859" s="4" t="n">
        <v>584</v>
      </c>
    </row>
    <row r="860">
      <c r="A860" s="15" t="n">
        <v>46323</v>
      </c>
      <c r="B860" s="4" t="inlineStr">
        <is>
          <t>2026-10</t>
        </is>
      </c>
      <c r="C860" s="4" t="inlineStr">
        <is>
          <t>Octubre</t>
        </is>
      </c>
      <c r="D860" s="4" t="inlineStr">
        <is>
          <t>ROPA</t>
        </is>
      </c>
      <c r="E860" s="4" t="inlineStr">
        <is>
          <t>ROPA</t>
        </is>
      </c>
      <c r="F860" s="5" t="n">
        <v>60917</v>
      </c>
      <c r="G860" s="16" t="n"/>
      <c r="H860" s="18" t="inlineStr">
        <is>
          <t>PROYECTADO</t>
        </is>
      </c>
      <c r="I860" s="4" t="inlineStr">
        <is>
          <t>BBVA VISA · proyectado</t>
        </is>
      </c>
      <c r="J860" s="4" t="inlineStr">
        <is>
          <t>BBVA</t>
        </is>
      </c>
      <c r="K860" s="4" t="inlineStr">
        <is>
          <t>PROYECTADO · C.06/12 · cashflow cuotas BBVA · gasto personal Sol</t>
        </is>
      </c>
      <c r="L860" s="4" t="n">
        <v>586</v>
      </c>
    </row>
    <row r="861">
      <c r="A861" s="15" t="n">
        <v>46323</v>
      </c>
      <c r="B861" s="4" t="inlineStr">
        <is>
          <t>2026-10</t>
        </is>
      </c>
      <c r="C861" s="4" t="inlineStr">
        <is>
          <t>Octubre</t>
        </is>
      </c>
      <c r="D861" s="4" t="inlineStr">
        <is>
          <t>ROPA</t>
        </is>
      </c>
      <c r="E861" s="4" t="inlineStr">
        <is>
          <t>ROPA</t>
        </is>
      </c>
      <c r="F861" s="5" t="n">
        <v>69750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C.06/12 · cashflow cuotas BBVA · gasto personal Sol</t>
        </is>
      </c>
      <c r="L861" s="4" t="n">
        <v>587</v>
      </c>
    </row>
    <row r="862">
      <c r="A862" s="15" t="n">
        <v>46323</v>
      </c>
      <c r="B862" s="4" t="inlineStr">
        <is>
          <t>2026-10</t>
        </is>
      </c>
      <c r="C862" s="4" t="inlineStr">
        <is>
          <t>Octubre</t>
        </is>
      </c>
      <c r="D862" s="4" t="inlineStr">
        <is>
          <t>ROPA</t>
        </is>
      </c>
      <c r="E862" s="4" t="inlineStr">
        <is>
          <t>VESTIMENTA</t>
        </is>
      </c>
      <c r="F862" s="5" t="n">
        <v>98334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ROPA · Bokenvoreno · PROYECTADO · C.06/06 · cashflow cuotas BBVA · gasto personal Sol</t>
        </is>
      </c>
      <c r="L862" s="4" t="n">
        <v>576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EVENTOS DEPORTIVOS - RIVER</t>
        </is>
      </c>
      <c r="E863" s="4" t="inlineStr">
        <is>
          <t>Eventos deportivos - River</t>
        </is>
      </c>
      <c r="F863" s="5" t="n">
        <v>169667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C.05/06 · cashflow cuotas BBVA · gasto personal Sol · Eventos deportivos - River</t>
        </is>
      </c>
      <c r="L863" s="4" t="n">
        <v>592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MERCADO LIBRE</t>
        </is>
      </c>
      <c r="E864" s="4" t="inlineStr">
        <is>
          <t>MERCADO LIBRE</t>
        </is>
      </c>
      <c r="F864" s="5" t="n">
        <v>12084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C.05/06 · cashflow cuotas BBVA · gasto personal Sol · ex `Mercado Libre · MERCADOLIBRE`</t>
        </is>
      </c>
      <c r="L864" s="4" t="n">
        <v>588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MERCADO LIBRE</t>
        </is>
      </c>
      <c r="E865" s="4" t="inlineStr">
        <is>
          <t>MERCADO LIBRE</t>
        </is>
      </c>
      <c r="F865" s="5" t="n">
        <v>275000</v>
      </c>
      <c r="G865" s="16" t="n"/>
      <c r="H865" s="18" t="inlineStr">
        <is>
          <t>PROYECTADO</t>
        </is>
      </c>
      <c r="I865" s="4" t="inlineStr">
        <is>
          <t>BBVA MASTERCARD · proyectado</t>
        </is>
      </c>
      <c r="J865" s="4" t="inlineStr">
        <is>
          <t>BBVA</t>
        </is>
      </c>
      <c r="K865" s="4" t="inlineStr">
        <is>
          <t>PROYECTADO · C.09/12 · cashflow cuotas BBVA · gasto personal Sol · ex `Mercado Libre · MERCADOLIBRE`</t>
        </is>
      </c>
      <c r="L865" s="4" t="n">
        <v>589</v>
      </c>
    </row>
    <row r="866">
      <c r="A866" s="15" t="n">
        <v>46354</v>
      </c>
      <c r="B866" s="4" t="inlineStr">
        <is>
          <t>2026-11</t>
        </is>
      </c>
      <c r="C866" s="4" t="inlineStr">
        <is>
          <t>Noviembre</t>
        </is>
      </c>
      <c r="D866" s="4" t="inlineStr">
        <is>
          <t>ROPA</t>
        </is>
      </c>
      <c r="E866" s="4" t="inlineStr">
        <is>
          <t>ROPA</t>
        </is>
      </c>
      <c r="F866" s="5" t="n">
        <v>284794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C.05/06 · cashflow cuotas BBVA · gasto personal Sol</t>
        </is>
      </c>
      <c r="L866" s="4" t="n">
        <v>590</v>
      </c>
    </row>
    <row r="867">
      <c r="A867" s="15" t="n">
        <v>46354</v>
      </c>
      <c r="B867" s="4" t="inlineStr">
        <is>
          <t>2026-11</t>
        </is>
      </c>
      <c r="C867" s="4" t="inlineStr">
        <is>
          <t>Noviembre</t>
        </is>
      </c>
      <c r="D867" s="4" t="inlineStr">
        <is>
          <t>ROPA</t>
        </is>
      </c>
      <c r="E867" s="4" t="inlineStr">
        <is>
          <t>ROPA</t>
        </is>
      </c>
      <c r="F867" s="5" t="n">
        <v>73600</v>
      </c>
      <c r="G867" s="16" t="n"/>
      <c r="H867" s="18" t="inlineStr">
        <is>
          <t>PROYECTADO</t>
        </is>
      </c>
      <c r="I867" s="4" t="inlineStr">
        <is>
          <t>BBVA MASTERCARD · proyectado</t>
        </is>
      </c>
      <c r="J867" s="4" t="inlineStr">
        <is>
          <t>BBVA</t>
        </is>
      </c>
      <c r="K867" s="4" t="inlineStr">
        <is>
          <t>PROYECTADO · C.05/06 · cashflow cuotas BBVA · gasto personal Sol</t>
        </is>
      </c>
      <c r="L867" s="4" t="n">
        <v>591</v>
      </c>
    </row>
    <row r="868">
      <c r="A868" s="15" t="n">
        <v>46354</v>
      </c>
      <c r="B868" s="4" t="inlineStr">
        <is>
          <t>2026-11</t>
        </is>
      </c>
      <c r="C868" s="4" t="inlineStr">
        <is>
          <t>Noviembre</t>
        </is>
      </c>
      <c r="D868" s="4" t="inlineStr">
        <is>
          <t>ROPA</t>
        </is>
      </c>
      <c r="E868" s="4" t="inlineStr">
        <is>
          <t>ROPA</t>
        </is>
      </c>
      <c r="F868" s="5" t="n">
        <v>60917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C.07/12 · cashflow cuotas BBVA · gasto personal Sol</t>
        </is>
      </c>
      <c r="L868" s="4" t="n">
        <v>593</v>
      </c>
    </row>
    <row r="869">
      <c r="A869" s="15" t="n">
        <v>46354</v>
      </c>
      <c r="B869" s="4" t="inlineStr">
        <is>
          <t>2026-11</t>
        </is>
      </c>
      <c r="C869" s="4" t="inlineStr">
        <is>
          <t>Noviembre</t>
        </is>
      </c>
      <c r="D869" s="4" t="inlineStr">
        <is>
          <t>ROPA</t>
        </is>
      </c>
      <c r="E869" s="4" t="inlineStr">
        <is>
          <t>ROPA</t>
        </is>
      </c>
      <c r="F869" s="5" t="n">
        <v>69750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C.07/12 · cashflow cuotas BBVA · gasto personal Sol</t>
        </is>
      </c>
      <c r="L869" s="4" t="n">
        <v>594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EVENTOS DEPORTIVOS - RIVER</t>
        </is>
      </c>
      <c r="E870" s="4" t="inlineStr">
        <is>
          <t>Eventos deportivos - River</t>
        </is>
      </c>
      <c r="F870" s="5" t="n">
        <v>169667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C.06/06 · cashflow cuotas BBVA · gasto personal Sol · Eventos deportivos - River</t>
        </is>
      </c>
      <c r="L870" s="4" t="n">
        <v>599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MERCADO LIBRE</t>
        </is>
      </c>
      <c r="E871" s="4" t="inlineStr">
        <is>
          <t>MERCADO LIBRE</t>
        </is>
      </c>
      <c r="F871" s="5" t="n">
        <v>12084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C.06/06 · cashflow cuotas BBVA · gasto personal Sol · ex `Mercado Libre · MERCADOLIBRE`</t>
        </is>
      </c>
      <c r="L871" s="4" t="n">
        <v>595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275000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C.10/12 · cashflow cuotas BBVA · gasto personal Sol · ex `Mercado Libre · MERCADOLIBRE`</t>
        </is>
      </c>
      <c r="L872" s="4" t="n">
        <v>596</v>
      </c>
    </row>
    <row r="873">
      <c r="A873" s="15" t="n">
        <v>46384</v>
      </c>
      <c r="B873" s="4" t="inlineStr">
        <is>
          <t>2026-12</t>
        </is>
      </c>
      <c r="C873" s="4" t="inlineStr">
        <is>
          <t>Diciembre</t>
        </is>
      </c>
      <c r="D873" s="4" t="inlineStr">
        <is>
          <t>ROPA</t>
        </is>
      </c>
      <c r="E873" s="4" t="inlineStr">
        <is>
          <t>ROPA</t>
        </is>
      </c>
      <c r="F873" s="5" t="n">
        <v>284794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C.06/06 · cashflow cuotas BBVA · gasto personal Sol</t>
        </is>
      </c>
      <c r="L873" s="4" t="n">
        <v>597</v>
      </c>
    </row>
    <row r="874">
      <c r="A874" s="15" t="n">
        <v>46384</v>
      </c>
      <c r="B874" s="4" t="inlineStr">
        <is>
          <t>2026-12</t>
        </is>
      </c>
      <c r="C874" s="4" t="inlineStr">
        <is>
          <t>Diciembre</t>
        </is>
      </c>
      <c r="D874" s="4" t="inlineStr">
        <is>
          <t>ROPA</t>
        </is>
      </c>
      <c r="E874" s="4" t="inlineStr">
        <is>
          <t>ROPA</t>
        </is>
      </c>
      <c r="F874" s="5" t="n">
        <v>73600</v>
      </c>
      <c r="G874" s="16" t="n"/>
      <c r="H874" s="18" t="inlineStr">
        <is>
          <t>PROYECTADO</t>
        </is>
      </c>
      <c r="I874" s="4" t="inlineStr">
        <is>
          <t>BBVA MASTERCARD · proyectado</t>
        </is>
      </c>
      <c r="J874" s="4" t="inlineStr">
        <is>
          <t>BBVA</t>
        </is>
      </c>
      <c r="K874" s="4" t="inlineStr">
        <is>
          <t>PROYECTADO · C.06/06 · cashflow cuotas BBVA · gasto personal Sol</t>
        </is>
      </c>
      <c r="L874" s="4" t="n">
        <v>598</v>
      </c>
    </row>
    <row r="875">
      <c r="A875" s="15" t="n">
        <v>46384</v>
      </c>
      <c r="B875" s="4" t="inlineStr">
        <is>
          <t>2026-12</t>
        </is>
      </c>
      <c r="C875" s="4" t="inlineStr">
        <is>
          <t>Diciembre</t>
        </is>
      </c>
      <c r="D875" s="4" t="inlineStr">
        <is>
          <t>ROPA</t>
        </is>
      </c>
      <c r="E875" s="4" t="inlineStr">
        <is>
          <t>ROPA</t>
        </is>
      </c>
      <c r="F875" s="5" t="n">
        <v>60917</v>
      </c>
      <c r="G875" s="16" t="n"/>
      <c r="H875" s="18" t="inlineStr">
        <is>
          <t>PROYECTADO</t>
        </is>
      </c>
      <c r="I875" s="4" t="inlineStr">
        <is>
          <t>BBVA VISA · proyectado</t>
        </is>
      </c>
      <c r="J875" s="4" t="inlineStr">
        <is>
          <t>BBVA</t>
        </is>
      </c>
      <c r="K875" s="4" t="inlineStr">
        <is>
          <t>PROYECTADO · C.08/12 · cashflow cuotas BBVA · gasto personal Sol</t>
        </is>
      </c>
      <c r="L875" s="4" t="n">
        <v>600</v>
      </c>
    </row>
    <row r="876">
      <c r="A876" s="15" t="n">
        <v>46384</v>
      </c>
      <c r="B876" s="4" t="inlineStr">
        <is>
          <t>2026-12</t>
        </is>
      </c>
      <c r="C876" s="4" t="inlineStr">
        <is>
          <t>Diciembre</t>
        </is>
      </c>
      <c r="D876" s="4" t="inlineStr">
        <is>
          <t>ROPA</t>
        </is>
      </c>
      <c r="E876" s="4" t="inlineStr">
        <is>
          <t>ROPA</t>
        </is>
      </c>
      <c r="F876" s="5" t="n">
        <v>69750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C.08/12 · cashflow cuotas BBVA · gasto personal Sol</t>
        </is>
      </c>
      <c r="L876" s="4" t="n">
        <v>601</v>
      </c>
    </row>
    <row r="877">
      <c r="A877" s="15" t="n">
        <v>46415</v>
      </c>
      <c r="B877" s="4" t="inlineStr">
        <is>
          <t>2027-01</t>
        </is>
      </c>
      <c r="C877" s="4" t="inlineStr">
        <is>
          <t>Enero 2027</t>
        </is>
      </c>
      <c r="D877" s="4" t="inlineStr">
        <is>
          <t>MERCADO LIBRE</t>
        </is>
      </c>
      <c r="E877" s="4" t="inlineStr">
        <is>
          <t>MERCADO LIBRE</t>
        </is>
      </c>
      <c r="F877" s="5" t="n">
        <v>275000</v>
      </c>
      <c r="G877" s="16" t="n"/>
      <c r="H877" s="18" t="inlineStr">
        <is>
          <t>PROYECTADO</t>
        </is>
      </c>
      <c r="I877" s="4" t="inlineStr">
        <is>
          <t>BBVA MASTERCARD · proyectado</t>
        </is>
      </c>
      <c r="J877" s="4" t="inlineStr">
        <is>
          <t>BBVA</t>
        </is>
      </c>
      <c r="K877" s="4" t="inlineStr">
        <is>
          <t>PROYECTADO · C.11/12 · cashflow cuotas BBVA · gasto personal Sol · ex `Mercado Libre · MERCADOLIBRE`</t>
        </is>
      </c>
      <c r="L877" s="4" t="n">
        <v>602</v>
      </c>
    </row>
    <row r="878">
      <c r="A878" s="15" t="n">
        <v>46415</v>
      </c>
      <c r="B878" s="4" t="inlineStr">
        <is>
          <t>2027-01</t>
        </is>
      </c>
      <c r="C878" s="4" t="inlineStr">
        <is>
          <t>Enero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C.09/12 · cashflow cuotas BBVA · gasto personal Sol</t>
        </is>
      </c>
      <c r="L878" s="4" t="n">
        <v>603</v>
      </c>
    </row>
    <row r="879">
      <c r="A879" s="15" t="n">
        <v>46415</v>
      </c>
      <c r="B879" s="4" t="inlineStr">
        <is>
          <t>2027-01</t>
        </is>
      </c>
      <c r="C879" s="4" t="inlineStr">
        <is>
          <t>Enero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C.09/12 · cashflow cuotas BBVA · gasto personal Sol</t>
        </is>
      </c>
      <c r="L879" s="4" t="n">
        <v>604</v>
      </c>
    </row>
    <row r="880">
      <c r="A880" s="15" t="n">
        <v>46446</v>
      </c>
      <c r="B880" s="4" t="inlineStr">
        <is>
          <t>2027-02</t>
        </is>
      </c>
      <c r="C880" s="4" t="inlineStr">
        <is>
          <t>Febrero 2027</t>
        </is>
      </c>
      <c r="D880" s="4" t="inlineStr">
        <is>
          <t>MERCADO LIBRE</t>
        </is>
      </c>
      <c r="E880" s="4" t="inlineStr">
        <is>
          <t>MERCADO LIBRE</t>
        </is>
      </c>
      <c r="F880" s="5" t="n">
        <v>275000</v>
      </c>
      <c r="G880" s="16" t="n"/>
      <c r="H880" s="18" t="inlineStr">
        <is>
          <t>PROYECTADO</t>
        </is>
      </c>
      <c r="I880" s="4" t="inlineStr">
        <is>
          <t>BBVA MASTERCARD · proyectado</t>
        </is>
      </c>
      <c r="J880" s="4" t="inlineStr">
        <is>
          <t>BBVA</t>
        </is>
      </c>
      <c r="K880" s="4" t="inlineStr">
        <is>
          <t>PROYECTADO · C.12/12 · cashflow cuotas BBVA · gasto personal Sol · ex `Mercado Libre · MERCADOLIBRE`</t>
        </is>
      </c>
      <c r="L880" s="4" t="n">
        <v>605</v>
      </c>
    </row>
    <row r="881">
      <c r="A881" s="15" t="n">
        <v>46446</v>
      </c>
      <c r="B881" s="4" t="inlineStr">
        <is>
          <t>2027-02</t>
        </is>
      </c>
      <c r="C881" s="4" t="inlineStr">
        <is>
          <t>Febrero 2027</t>
        </is>
      </c>
      <c r="D881" s="4" t="inlineStr">
        <is>
          <t>ROPA</t>
        </is>
      </c>
      <c r="E881" s="4" t="inlineStr">
        <is>
          <t>ROPA</t>
        </is>
      </c>
      <c r="F881" s="5" t="n">
        <v>60917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C.10/12 · cashflow cuotas BBVA · gasto personal Sol</t>
        </is>
      </c>
      <c r="L881" s="4" t="n">
        <v>606</v>
      </c>
    </row>
    <row r="882">
      <c r="A882" s="15" t="n">
        <v>46446</v>
      </c>
      <c r="B882" s="4" t="inlineStr">
        <is>
          <t>2027-02</t>
        </is>
      </c>
      <c r="C882" s="4" t="inlineStr">
        <is>
          <t>Febrero 2027</t>
        </is>
      </c>
      <c r="D882" s="4" t="inlineStr">
        <is>
          <t>ROPA</t>
        </is>
      </c>
      <c r="E882" s="4" t="inlineStr">
        <is>
          <t>ROPA</t>
        </is>
      </c>
      <c r="F882" s="5" t="n">
        <v>69750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C.10/12 · cashflow cuotas BBVA · gasto personal Sol</t>
        </is>
      </c>
      <c r="L882" s="4" t="n">
        <v>607</v>
      </c>
    </row>
    <row r="883">
      <c r="A883" s="15" t="n">
        <v>46474</v>
      </c>
      <c r="B883" s="4" t="inlineStr">
        <is>
          <t>2027-03</t>
        </is>
      </c>
      <c r="C883" s="4" t="inlineStr">
        <is>
          <t>Marzo 2027</t>
        </is>
      </c>
      <c r="D883" s="4" t="inlineStr">
        <is>
          <t>ROPA</t>
        </is>
      </c>
      <c r="E883" s="4" t="inlineStr">
        <is>
          <t>ROPA</t>
        </is>
      </c>
      <c r="F883" s="5" t="n">
        <v>60917</v>
      </c>
      <c r="G883" s="16" t="n"/>
      <c r="H883" s="18" t="inlineStr">
        <is>
          <t>PROYECTADO</t>
        </is>
      </c>
      <c r="I883" s="4" t="inlineStr">
        <is>
          <t>BBVA VISA · proyectado</t>
        </is>
      </c>
      <c r="J883" s="4" t="inlineStr">
        <is>
          <t>BBVA</t>
        </is>
      </c>
      <c r="K883" s="4" t="inlineStr">
        <is>
          <t>PROYECTADO · C.11/12 · cashflow cuotas BBVA · gasto personal Sol</t>
        </is>
      </c>
      <c r="L883" s="4" t="n">
        <v>608</v>
      </c>
    </row>
    <row r="884">
      <c r="A884" s="15" t="n">
        <v>46474</v>
      </c>
      <c r="B884" s="4" t="inlineStr">
        <is>
          <t>2027-03</t>
        </is>
      </c>
      <c r="C884" s="4" t="inlineStr">
        <is>
          <t>Marzo 2027</t>
        </is>
      </c>
      <c r="D884" s="4" t="inlineStr">
        <is>
          <t>ROPA</t>
        </is>
      </c>
      <c r="E884" s="4" t="inlineStr">
        <is>
          <t>ROPA</t>
        </is>
      </c>
      <c r="F884" s="5" t="n">
        <v>69750</v>
      </c>
      <c r="G884" s="16" t="n"/>
      <c r="H884" s="18" t="inlineStr">
        <is>
          <t>PROYECTADO</t>
        </is>
      </c>
      <c r="I884" s="4" t="inlineStr">
        <is>
          <t>BBVA VISA · proyectado</t>
        </is>
      </c>
      <c r="J884" s="4" t="inlineStr">
        <is>
          <t>BBVA</t>
        </is>
      </c>
      <c r="K884" s="4" t="inlineStr">
        <is>
          <t>PROYECTADO · C.11/12 · cashflow cuotas BBVA · gasto personal Sol</t>
        </is>
      </c>
      <c r="L884" s="4" t="n">
        <v>609</v>
      </c>
    </row>
    <row r="885">
      <c r="A885" s="15" t="n">
        <v>46505</v>
      </c>
      <c r="B885" s="4" t="inlineStr">
        <is>
          <t>2027-04</t>
        </is>
      </c>
      <c r="C885" s="4" t="inlineStr">
        <is>
          <t>Abril 2027</t>
        </is>
      </c>
      <c r="D885" s="4" t="inlineStr">
        <is>
          <t>ROPA</t>
        </is>
      </c>
      <c r="E885" s="4" t="inlineStr">
        <is>
          <t>ROPA</t>
        </is>
      </c>
      <c r="F885" s="5" t="n">
        <v>60917</v>
      </c>
      <c r="G885" s="16" t="n"/>
      <c r="H885" s="18" t="inlineStr">
        <is>
          <t>PROYECTADO</t>
        </is>
      </c>
      <c r="I885" s="4" t="inlineStr">
        <is>
          <t>BBVA VISA · proyectado</t>
        </is>
      </c>
      <c r="J885" s="4" t="inlineStr">
        <is>
          <t>BBVA</t>
        </is>
      </c>
      <c r="K885" s="4" t="inlineStr">
        <is>
          <t>PROYECTADO · C.12/12 · cashflow cuotas BBVA · gasto personal Sol</t>
        </is>
      </c>
      <c r="L885" s="4" t="n">
        <v>610</v>
      </c>
    </row>
    <row r="886">
      <c r="A886" s="15" t="n">
        <v>46505</v>
      </c>
      <c r="B886" s="4" t="inlineStr">
        <is>
          <t>2027-04</t>
        </is>
      </c>
      <c r="C886" s="4" t="inlineStr">
        <is>
          <t>Abril 2027</t>
        </is>
      </c>
      <c r="D886" s="4" t="inlineStr">
        <is>
          <t>ROPA</t>
        </is>
      </c>
      <c r="E886" s="4" t="inlineStr">
        <is>
          <t>ROPA</t>
        </is>
      </c>
      <c r="F886" s="5" t="n">
        <v>69750</v>
      </c>
      <c r="G886" s="16" t="n"/>
      <c r="H886" s="18" t="inlineStr">
        <is>
          <t>PROYECTADO</t>
        </is>
      </c>
      <c r="I886" s="4" t="inlineStr">
        <is>
          <t>BBVA VISA · proyectado</t>
        </is>
      </c>
      <c r="J886" s="4" t="inlineStr">
        <is>
          <t>BBVA</t>
        </is>
      </c>
      <c r="K886" s="4" t="inlineStr">
        <is>
          <t>PROYECTADO · C.12/12 · cashflow cuotas BBVA · gasto personal Sol</t>
        </is>
      </c>
      <c r="L886" s="4" t="n">
        <v>611</v>
      </c>
    </row>
  </sheetData>
  <autoFilter ref="A1:L88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46224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Todo Tartas</t>
        </is>
      </c>
      <c r="F223" s="5" t="n">
        <v>57600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panadería · ex `Todo Tartas`</t>
        </is>
      </c>
      <c r="K223" s="4" t="n">
        <v>289</v>
      </c>
    </row>
    <row r="224">
      <c r="A224" s="15" t="n">
        <v>46245</v>
      </c>
      <c r="B224" s="4" t="inlineStr">
        <is>
          <t>2026-08</t>
        </is>
      </c>
      <c r="C224" s="4" t="inlineStr">
        <is>
          <t>Agosto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 · Agosto</t>
        </is>
      </c>
      <c r="K224" s="4" t="n">
        <v>314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COMIDA</t>
        </is>
      </c>
      <c r="E225" s="4" t="inlineStr">
        <is>
          <t>PEDIDOS YA · COMIDA</t>
        </is>
      </c>
      <c r="F225" s="5" t="n">
        <v>16149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PEDIDOS YA · COMIDA · screenshot · dinero en cuenta MP screenshot</t>
        </is>
      </c>
      <c r="K225" s="4" t="n">
        <v>359</v>
      </c>
    </row>
    <row r="226">
      <c r="A226" s="15" t="n">
        <v>46268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PEDIDOS YA · COMIDA · propina</t>
        </is>
      </c>
      <c r="F226" s="5" t="n">
        <v>800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 · propina · screenshot · dinero en cuenta MP screenshot</t>
        </is>
      </c>
      <c r="K226" s="4" t="n">
        <v>360</v>
      </c>
    </row>
    <row r="227">
      <c r="A227" s="15" t="n">
        <v>46268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SUPERMERCADO</t>
        </is>
      </c>
      <c r="E227" s="4" t="inlineStr">
        <is>
          <t>SUPERMERCADO · Día</t>
        </is>
      </c>
      <c r="F227" s="5" t="n">
        <v>41139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SUPERMERCADO · Día · BBVA VISA · MERPAGO*SUPERDIA · Gmail Compra aprobada · REVISAR vs settlement</t>
        </is>
      </c>
      <c r="K227" s="4" t="n">
        <v>356</v>
      </c>
    </row>
    <row r="228">
      <c r="A228" s="15" t="n">
        <v>46269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Pescadería Belgrano</t>
        </is>
      </c>
      <c r="F228" s="5" t="n">
        <v>6213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Pescadería Belgrano · Mercado Pago · Gmail Pago aprobado · REVISAR vs settlement</t>
        </is>
      </c>
      <c r="K228" s="4" t="n">
        <v>358</v>
      </c>
    </row>
    <row r="229">
      <c r="A229" s="15" t="n">
        <v>46271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COMIDA</t>
        </is>
      </c>
      <c r="E229" s="4" t="inlineStr">
        <is>
          <t>COMIDA · AL PASO</t>
        </is>
      </c>
      <c r="F229" s="5" t="n">
        <v>8700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COMIDA · AL PASO · Mercado Pago · dinero en cuenta MP screenshot</t>
        </is>
      </c>
      <c r="K229" s="4" t="n">
        <v>361</v>
      </c>
    </row>
    <row r="230">
      <c r="A230" s="15" t="n">
        <v>46272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COMIDA</t>
        </is>
      </c>
      <c r="E230" s="4" t="inlineStr">
        <is>
          <t>COMIDA · McDonald's</t>
        </is>
      </c>
      <c r="F230" s="5" t="n">
        <v>2040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COMIDA · McDonald's · Mercado Pago · dinero en cuenta MP screenshot</t>
        </is>
      </c>
      <c r="K230" s="4" t="n">
        <v>362</v>
      </c>
    </row>
    <row r="231">
      <c r="A231" s="15" t="n">
        <v>46273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8248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ENTRETENIMIENTO · Social · la monumental · Mercado Pago · dinero en cuenta MP screenshot</t>
        </is>
      </c>
      <c r="K231" s="4" t="n">
        <v>363</v>
      </c>
    </row>
    <row r="232">
      <c r="A232" s="15" t="n">
        <v>46273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REPUESTOS</t>
        </is>
      </c>
      <c r="E232" s="4" t="inlineStr">
        <is>
          <t>REPUESTOS · Sodastream</t>
        </is>
      </c>
      <c r="F232" s="5" t="n">
        <v>88659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REPUESTOS · Sodastream · Mercado Pago · Gmail Pago aprobado · REVISAR vs settlement</t>
        </is>
      </c>
      <c r="K232" s="4" t="n">
        <v>357</v>
      </c>
    </row>
    <row r="233">
      <c r="A233" s="15" t="n">
        <v>46274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39819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364</v>
      </c>
    </row>
    <row r="234">
      <c r="A234" s="15" t="n">
        <v>46274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900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365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 · BARRITAS PROTEICAS</t>
        </is>
      </c>
      <c r="E235" s="4" t="inlineStr">
        <is>
          <t>COMIDA · Barritas proteicas</t>
        </is>
      </c>
      <c r="F235" s="5" t="n">
        <v>66527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COMIDA · Barritas proteicas · Enerfit · TC Mercado Pago · C.10/12 · compra 2025-11-26 · cierre 2026-09-12</t>
        </is>
      </c>
      <c r="K235" s="4" t="n">
        <v>379</v>
      </c>
    </row>
    <row r="236">
      <c r="A236" s="15" t="n">
        <v>46277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McDonald's</t>
        </is>
      </c>
      <c r="F236" s="5" t="n">
        <v>8010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McDonald's · Mercado Pago · dinero en cuenta MP screenshot</t>
        </is>
      </c>
      <c r="K236" s="4" t="n">
        <v>367</v>
      </c>
    </row>
    <row r="237">
      <c r="A237" s="15" t="n">
        <v>46277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STREAMING TV</t>
        </is>
      </c>
      <c r="E237" s="4" t="inlineStr">
        <is>
          <t>STREAMING TV</t>
        </is>
      </c>
      <c r="F237" s="5" t="n">
        <v>97393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STREAMING TV · HBO Max · TC Mercado Pago · compra 2026-09-05 · cierre 2026-09-12</t>
        </is>
      </c>
      <c r="K237" s="4" t="n">
        <v>380</v>
      </c>
    </row>
    <row r="238">
      <c r="A238" s="15" t="n">
        <v>46278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VERDULERÍA</t>
        </is>
      </c>
      <c r="F238" s="5" t="n">
        <v>5900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VERDULERÍA · Noelia Caballero · Mercado Pago · dinero en cuenta MP screenshot</t>
        </is>
      </c>
      <c r="K238" s="4" t="n">
        <v>368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COMIDA · CASAARISTOBULO017</t>
        </is>
      </c>
      <c r="F239" s="5" t="n">
        <v>43667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COMIDA · CASAARISTOBULO017 · QR · Mercado Pago · dinero en cuenta MP screenshot</t>
        </is>
      </c>
      <c r="K239" s="4" t="n">
        <v>371</v>
      </c>
    </row>
    <row r="240">
      <c r="A240" s="15" t="n">
        <v>46280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</t>
        </is>
      </c>
      <c r="F240" s="5" t="n">
        <v>26019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screenshot · dinero en cuenta MP screenshot</t>
        </is>
      </c>
      <c r="K240" s="4" t="n">
        <v>369</v>
      </c>
    </row>
    <row r="241">
      <c r="A241" s="15" t="n">
        <v>46280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 · propina</t>
        </is>
      </c>
      <c r="F241" s="5" t="n">
        <v>1050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propina · screenshot · dinero en cuenta MP screenshot</t>
        </is>
      </c>
      <c r="K241" s="4" t="n">
        <v>370</v>
      </c>
    </row>
    <row r="242">
      <c r="A242" s="15" t="n">
        <v>46282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COMIDA · McDonald's</t>
        </is>
      </c>
      <c r="F242" s="5" t="n">
        <v>1900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COMIDA · McDonald's · Mercado Pago · dinero en cuenta MP screenshot</t>
        </is>
      </c>
      <c r="K242" s="4" t="n">
        <v>372</v>
      </c>
    </row>
    <row r="243">
      <c r="A243" s="15" t="n">
        <v>46284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ENTRETENIMIENTO SOCIAL</t>
        </is>
      </c>
      <c r="E243" s="4" t="inlineStr">
        <is>
          <t>ENTRETENIMIENTO · Social</t>
        </is>
      </c>
      <c r="F243" s="5" t="n">
        <v>33359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ENTRETENIMIENTO · Social · la monumental · Mercado Pago · dinero en cuenta MP screenshot</t>
        </is>
      </c>
      <c r="K243" s="4" t="n">
        <v>373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ENTRETENIMIENTO · SALIDAS COMIDA</t>
        </is>
      </c>
      <c r="E244" s="4" t="inlineStr">
        <is>
          <t>ENTRETENIMIENTO · Salidas comida</t>
        </is>
      </c>
      <c r="F244" s="5" t="n">
        <v>16598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ENTRETENIMIENTO · Salidas comida · Estancia San Francisco Devoto · Mercado Pago · dinero en cuenta MP screenshot</t>
        </is>
      </c>
      <c r="K244" s="4" t="n">
        <v>376</v>
      </c>
    </row>
    <row r="245">
      <c r="A245" s="15" t="n">
        <v>46288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PEDIDOS YA · COMIDA</t>
        </is>
      </c>
      <c r="F245" s="5" t="n">
        <v>23964</v>
      </c>
      <c r="G245" s="16" t="n"/>
      <c r="H245" s="4" t="inlineStr">
        <is>
          <t>REAL</t>
        </is>
      </c>
      <c r="I245" s="4" t="inlineStr">
        <is>
          <t>Sin identificar</t>
        </is>
      </c>
      <c r="J245" s="4" t="inlineStr">
        <is>
          <t>PEDIDOS YA · COMIDA · screenshot · dinero en cuenta MP screenshot</t>
        </is>
      </c>
      <c r="K245" s="4" t="n">
        <v>374</v>
      </c>
    </row>
    <row r="246">
      <c r="A246" s="15" t="n">
        <v>46288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PEDIDOS YA · COMIDA · propina</t>
        </is>
      </c>
      <c r="F246" s="5" t="n">
        <v>850</v>
      </c>
      <c r="G246" s="16" t="n"/>
      <c r="H246" s="4" t="inlineStr">
        <is>
          <t>REAL</t>
        </is>
      </c>
      <c r="I246" s="4" t="inlineStr">
        <is>
          <t>Sin identificar</t>
        </is>
      </c>
      <c r="J246" s="4" t="inlineStr">
        <is>
          <t>PEDIDOS YA · COMIDA · propina · screenshot · dinero en cuenta MP screenshot</t>
        </is>
      </c>
      <c r="K246" s="4" t="n">
        <v>375</v>
      </c>
    </row>
    <row r="247">
      <c r="A247" s="15" t="n">
        <v>46290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RAMON · OTROS</t>
        </is>
      </c>
      <c r="E247" s="4" t="inlineStr">
        <is>
          <t>RAMON · Otros</t>
        </is>
      </c>
      <c r="F247" s="5" t="n">
        <v>47900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RAMON · Otros · Paws Pet Market · Mercado Pago · dinero en cuenta MP screenshot</t>
        </is>
      </c>
      <c r="K247" s="4" t="n">
        <v>377</v>
      </c>
    </row>
    <row r="248">
      <c r="A248" s="15" t="n">
        <v>46292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Open 25</t>
        </is>
      </c>
      <c r="F248" s="5" t="n">
        <v>6700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Open 25 · Mercado Pago · dinero en cuenta MP screenshot</t>
        </is>
      </c>
      <c r="K248" s="4" t="n">
        <v>378</v>
      </c>
    </row>
    <row r="249">
      <c r="A249" s="15" t="n">
        <v>46293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COMIDA · pollo</t>
        </is>
      </c>
      <c r="F249" s="5" t="n">
        <v>10900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COMIDA · pollo · Súper Pollo · QR · resumen oficial cuenta MP 1–30 sep 2026</t>
        </is>
      </c>
      <c r="K249" s="4" t="n">
        <v>381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1039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382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288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287.50 · resumen oficial cuenta MP 1–30 sep 2026</t>
        </is>
      </c>
      <c r="K251" s="4" t="n">
        <v>383</v>
      </c>
    </row>
    <row r="252">
      <c r="A252" s="15" t="n">
        <v>46295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COMBUSTIBLE</t>
        </is>
      </c>
      <c r="E252" s="4" t="inlineStr">
        <is>
          <t>Combustible — Shell</t>
        </is>
      </c>
      <c r="F252" s="5" t="n">
        <v>1126</v>
      </c>
      <c r="G252" s="16" t="n"/>
      <c r="H252" s="4" t="inlineStr">
        <is>
          <t>REAL</t>
        </is>
      </c>
      <c r="I252" s="4" t="inlineStr">
        <is>
          <t>Sin identificar</t>
        </is>
      </c>
      <c r="J252" s="4" t="inlineStr">
        <is>
          <t>Combustible — Shell · QR · resumen oficial cuenta MP 1–30 sep 2026</t>
        </is>
      </c>
      <c r="K252" s="4" t="n">
        <v>384</v>
      </c>
    </row>
    <row r="253">
      <c r="A253" s="15" t="n">
        <v>46295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COMBUSTIBLE</t>
        </is>
      </c>
      <c r="E253" s="4" t="inlineStr">
        <is>
          <t>Combustible — Shell</t>
        </is>
      </c>
      <c r="F253" s="5" t="n">
        <v>62548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Combustible — Shell · QR · ceil 62547.50 · resumen oficial cuenta MP 1–30 sep 2026</t>
        </is>
      </c>
      <c r="K253" s="4" t="n">
        <v>385</v>
      </c>
    </row>
  </sheetData>
  <autoFilter ref="A1:K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0.001874443401183948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0.2269999385109141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0.002147603946490773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99</v>
      </c>
      <c r="E8" s="5" t="n">
        <v>1914830</v>
      </c>
      <c r="F8" s="20" t="n">
        <v>0.01912313567453452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0.00531516572027703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0.004823652507428949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0.01148551609451606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0.00538643194034538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0.002479806797437185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0.0006211825796316369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0.004663862776333994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0.001858634204663741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0.001901497800029963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0.003556489979271377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0.00238732849056598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0.007719451896055462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0.03994743277373871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0.000560871943001485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0.06142960416957721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16</v>
      </c>
      <c r="E26" s="5" t="n">
        <v>4613812</v>
      </c>
      <c r="F26" s="20" t="n">
        <v>0.04607748617516724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0.008495320922245208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0.029518885802983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0.003983028692712972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0.002020341412531835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0.008016191413556986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0.00141509785857692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0.06964041947560785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0.02424756239017515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0.01404056388158259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0.02056715547443963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0.001101480550728491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0.02715826217122626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0.001585413738207755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0.01034440769047603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0.006557301181801855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0.009689699227889028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22</v>
      </c>
      <c r="E44" s="5" t="n">
        <v>7494965</v>
      </c>
      <c r="F44" s="20" t="n">
        <v>0.07485115261975614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793</v>
      </c>
      <c r="C7" s="4" t="inlineStr">
        <is>
          <t>ARS 96,909,235</t>
        </is>
      </c>
    </row>
    <row r="8">
      <c r="A8" s="4" t="inlineStr">
        <is>
          <t>Movimientos Almacén Sol</t>
        </is>
      </c>
      <c r="B8" s="4" t="n">
        <v>252</v>
      </c>
      <c r="C8" s="4" t="inlineStr">
        <is>
          <t>ARS 8,969,693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2026-10-12T22:00:43Z</dcterms:created>
  <dcterms:modified xsi:type="dcterms:W3CDTF">2026-10-12T22:00:46Z</dcterms:modified>
</cp:coreProperties>
</file>
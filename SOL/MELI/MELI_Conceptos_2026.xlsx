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gresos" sheetId="1" state="visible" r:id="rId1"/>
    <sheet name="Conceptos por mes" sheetId="2" state="visible" r:id="rId2"/>
    <sheet name="Fuentes" sheetId="3" state="visible" r:id="rId3"/>
  </sheets>
  <definedNames>
    <definedName name="_xlnm._FilterDatabase" localSheetId="1" hidden="1">'Conceptos por mes'!$A$4:$O$27</definedName>
    <definedName name="_xlnm._FilterDatabase" localSheetId="2" hidden="1">'Fuentes'!$A$1:$J$10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[$ARS] #,##0.00;[Red]-[$ARS] #,##0.00;–"/>
    <numFmt numFmtId="165" formatCode="DD/MM/YYYY"/>
    <numFmt numFmtId="166" formatCode="[$ARS] #,##0.00"/>
  </numFmts>
  <fonts count="5">
    <font>
      <name val="Calibri"/>
      <family val="2"/>
      <color theme="1"/>
      <sz val="11"/>
      <scheme val="minor"/>
    </font>
    <font>
      <b val="1"/>
      <color rgb="001F4E78"/>
      <sz val="16"/>
    </font>
    <font>
      <i val="1"/>
      <color rgb="00666666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D9EAF7"/>
      </patternFill>
    </fill>
    <fill>
      <patternFill patternType="solid">
        <fgColor rgb="00EAF2F8"/>
      </patternFill>
    </fill>
    <fill>
      <patternFill patternType="solid">
        <fgColor rgb="00E2F0D9"/>
      </patternFill>
    </fill>
    <fill>
      <patternFill patternType="solid">
        <fgColor rgb="00DDEBF7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wrapText="1"/>
    </xf>
    <xf numFmtId="0" fontId="4" fillId="4" borderId="1" pivotButton="0" quotePrefix="0" xfId="0"/>
    <xf numFmtId="0" fontId="0" fillId="0" borderId="1" pivotButton="0" quotePrefix="0" xfId="0"/>
    <xf numFmtId="164" fontId="0" fillId="0" borderId="1" pivotButton="0" quotePrefix="0" xfId="0"/>
    <xf numFmtId="164" fontId="0" fillId="3" borderId="1" pivotButton="0" quotePrefix="0" xfId="0"/>
    <xf numFmtId="0" fontId="4" fillId="5" borderId="1" pivotButton="0" quotePrefix="0" xfId="0"/>
    <xf numFmtId="0" fontId="4" fillId="6" borderId="1" pivotButton="0" quotePrefix="0" xfId="0"/>
    <xf numFmtId="0" fontId="4" fillId="7" borderId="1" pivotButton="0" quotePrefix="0" xfId="0"/>
    <xf numFmtId="0" fontId="4" fillId="3" borderId="1" pivotButton="0" quotePrefix="0" xfId="0"/>
    <xf numFmtId="164" fontId="4" fillId="6" borderId="1" pivotButton="0" quotePrefix="0" xfId="0"/>
    <xf numFmtId="0" fontId="4" fillId="8" borderId="1" pivotButton="0" quotePrefix="0" xfId="0"/>
    <xf numFmtId="164" fontId="4" fillId="8" borderId="1" pivotButton="0" quotePrefix="0" xfId="0"/>
    <xf numFmtId="0" fontId="3" fillId="2" borderId="0" pivotButton="0" quotePrefix="0" xfId="0"/>
    <xf numFmtId="0" fontId="0" fillId="2" borderId="0" pivotButton="0" quotePrefix="0" xfId="0"/>
    <xf numFmtId="0" fontId="4" fillId="9" borderId="1" pivotButton="0" quotePrefix="0" xfId="0"/>
    <xf numFmtId="0" fontId="2" fillId="0" borderId="0" applyAlignment="1" pivotButton="0" quotePrefix="0" xfId="0">
      <alignment wrapText="1"/>
    </xf>
    <xf numFmtId="0" fontId="3" fillId="2" borderId="1" pivotButton="0" quotePrefix="0" xfId="0"/>
    <xf numFmtId="165" fontId="0" fillId="0" borderId="1" pivotButton="0" quotePrefix="0" xfId="0"/>
    <xf numFmtId="164" fontId="0" fillId="0" borderId="0" pivotButton="0" quotePrefix="0" xfId="0"/>
    <xf numFmtId="164" fontId="0" fillId="9" borderId="1" pivotButton="0" quotePrefix="0" xfId="0"/>
    <xf numFmtId="0" fontId="4" fillId="3" borderId="1" applyAlignment="1" pivotButton="0" quotePrefix="0" xfId="0">
      <alignment wrapText="1"/>
    </xf>
    <xf numFmtId="165" fontId="0" fillId="0" borderId="1" pivotButton="0" quotePrefix="0" xfId="0"/>
    <xf numFmtId="0" fontId="3" fillId="2" borderId="1" applyAlignment="1" pivotButton="0" quotePrefix="0" xfId="0">
      <alignment horizontal="center"/>
    </xf>
    <xf numFmtId="166" fontId="0" fillId="0" borderId="1" pivotButton="0" quotePrefix="0" xfId="0"/>
    <xf numFmtId="0" fontId="0" fillId="6" borderId="1" pivotButton="0" quotePrefix="0" xfId="0"/>
    <xf numFmtId="166" fontId="0" fillId="6" borderId="1" pivotButton="0" quotePrefix="0" xfId="0"/>
    <xf numFmtId="166" fontId="4" fillId="3" borderId="1" pivotButton="0" quotePrefix="0" xfId="0"/>
    <xf numFmtId="166" fontId="0" fillId="3" borderId="1" pivotButton="0" quotePrefix="0" xfId="0"/>
    <xf numFmtId="166" fontId="0" fillId="0" borderId="0" pivotButton="0" quotePrefix="0" xfId="0"/>
    <xf numFmtId="4" fontId="0" fillId="0" borderId="1" pivotButton="0" quotePrefix="0" xfId="0"/>
    <xf numFmtId="4" fontId="0" fillId="6" borderId="1" pivotButton="0" quotePrefix="0" xfId="0"/>
    <xf numFmtId="4" fontId="4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Cursor</author>
  </authors>
  <commentList>
    <comment ref="B12" authorId="0" shapeId="0">
      <text>
        <t>Recibo MELI: período julio 2026, pago 01/08/2026, neto ARS 8.784.847,44.</t>
      </text>
    </comment>
  </commentList>
</comments>
</file>

<file path=xl/comments/comment2.xml><?xml version="1.0" encoding="utf-8"?>
<comments xmlns="http://schemas.openxmlformats.org/spreadsheetml/2006/main">
  <authors>
    <author>Cursor</author>
  </authors>
  <commentList>
    <comment ref="B17" authorId="0" shapeId="0">
      <text>
        <t>Ingresar el importe por mes cuando se disponga del recibo o liquidación LTRP.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22" customWidth="1" min="4" max="4"/>
    <col width="22" customWidth="1" min="5" max="5"/>
    <col width="48" customWidth="1" min="6" max="6"/>
  </cols>
  <sheetData>
    <row r="1">
      <c r="A1" s="1" t="inlineStr">
        <is>
          <t>SOL — Ingresos 2026</t>
        </is>
      </c>
    </row>
    <row r="2">
      <c r="A2" s="2" t="inlineStr">
        <is>
          <t>Ingresos por mes de cobro, identificando por separado el período salarial. No se mezclan con gastos.</t>
        </is>
      </c>
    </row>
    <row r="4">
      <c r="A4" s="25" t="inlineStr">
        <is>
          <t>Mes de cobro</t>
        </is>
      </c>
      <c r="B4" s="25" t="inlineStr">
        <is>
          <t>MELI</t>
        </is>
      </c>
      <c r="C4" s="25" t="inlineStr">
        <is>
          <t>Otros ingresos</t>
        </is>
      </c>
      <c r="D4" s="25" t="inlineStr">
        <is>
          <t>TOTAL INGRESOS</t>
        </is>
      </c>
      <c r="E4" s="25" t="inlineStr">
        <is>
          <t>Período salarial</t>
        </is>
      </c>
      <c r="F4" s="25" t="inlineStr">
        <is>
          <t>Comentario</t>
        </is>
      </c>
    </row>
    <row r="5">
      <c r="A5" s="5" t="inlineStr">
        <is>
          <t>Enero</t>
        </is>
      </c>
      <c r="B5" s="26" t="n"/>
      <c r="C5" s="26" t="n"/>
      <c r="D5" s="32">
        <f>SUM(B5:C5)</f>
        <v/>
      </c>
      <c r="E5" s="5" t="n"/>
      <c r="F5" s="5" t="n"/>
    </row>
    <row r="6">
      <c r="A6" s="5" t="inlineStr">
        <is>
          <t>Febrero</t>
        </is>
      </c>
      <c r="B6" s="32" t="n">
        <v>6192507.77</v>
      </c>
      <c r="C6" s="26" t="n"/>
      <c r="D6" s="32">
        <f>SUM(B6:C6)</f>
        <v/>
      </c>
      <c r="E6" s="5" t="inlineStr">
        <is>
          <t>Enero</t>
        </is>
      </c>
      <c r="F6" s="5" t="inlineStr">
        <is>
          <t>MELI · neto cobrado · Enero (Sueldo)</t>
        </is>
      </c>
    </row>
    <row r="7">
      <c r="A7" s="5" t="inlineStr">
        <is>
          <t>Marzo</t>
        </is>
      </c>
      <c r="B7" s="32" t="n">
        <v>5998683.11</v>
      </c>
      <c r="C7" s="26" t="n"/>
      <c r="D7" s="32">
        <f>SUM(B7:C7)</f>
        <v/>
      </c>
      <c r="E7" s="5" t="inlineStr">
        <is>
          <t>Febrero</t>
        </is>
      </c>
      <c r="F7" s="5" t="inlineStr">
        <is>
          <t>MELI · neto cobrado · Febrero (Sueldo)</t>
        </is>
      </c>
    </row>
    <row r="8">
      <c r="A8" s="5" t="inlineStr">
        <is>
          <t>Abril</t>
        </is>
      </c>
      <c r="B8" s="32" t="n">
        <v>32852947.48</v>
      </c>
      <c r="C8" s="26" t="n"/>
      <c r="D8" s="32">
        <f>SUM(B8:C8)</f>
        <v/>
      </c>
      <c r="E8" s="5" t="inlineStr">
        <is>
          <t>Marzo · Abril</t>
        </is>
      </c>
      <c r="F8" s="5" t="inlineStr">
        <is>
          <t>MELI · neto cobrado · Marzo (Sueldo + retroactivo) · Abril (Bono)</t>
        </is>
      </c>
    </row>
    <row r="9">
      <c r="A9" s="5" t="inlineStr">
        <is>
          <t>Mayo</t>
        </is>
      </c>
      <c r="B9" s="32" t="n">
        <v>13182377.92</v>
      </c>
      <c r="C9" s="26" t="n"/>
      <c r="D9" s="32">
        <f>SUM(B9:C9)</f>
        <v/>
      </c>
      <c r="E9" s="5" t="inlineStr">
        <is>
          <t>Abril</t>
        </is>
      </c>
      <c r="F9" s="5" t="inlineStr">
        <is>
          <t>MELI · neto cobrado · Abril (Sueldo + vacaciones)</t>
        </is>
      </c>
    </row>
    <row r="10">
      <c r="A10" s="5" t="inlineStr">
        <is>
          <t>Junio</t>
        </is>
      </c>
      <c r="B10" s="32" t="n">
        <v>13157841.1</v>
      </c>
      <c r="C10" s="26" t="n"/>
      <c r="D10" s="32">
        <f>SUM(B10:C10)</f>
        <v/>
      </c>
      <c r="E10" s="5" t="inlineStr">
        <is>
          <t>Mayo · Junio</t>
        </is>
      </c>
      <c r="F10" s="5" t="inlineStr">
        <is>
          <t>MELI · neto cobrado · Mayo (Sueldo) · Junio (SAC)</t>
        </is>
      </c>
    </row>
    <row r="11">
      <c r="A11" s="5" t="inlineStr">
        <is>
          <t>Julio</t>
        </is>
      </c>
      <c r="B11" s="32" t="n">
        <v>7435365.04</v>
      </c>
      <c r="C11" s="26" t="n"/>
      <c r="D11" s="32">
        <f>SUM(B11:C11)</f>
        <v/>
      </c>
      <c r="E11" s="5" t="inlineStr">
        <is>
          <t>Junio</t>
        </is>
      </c>
      <c r="F11" s="5" t="inlineStr">
        <is>
          <t>MELI · neto cobrado · Junio (Sueldo)</t>
        </is>
      </c>
    </row>
    <row r="12">
      <c r="A12" s="27" t="inlineStr">
        <is>
          <t>Agosto</t>
        </is>
      </c>
      <c r="B12" s="33" t="n">
        <v>8784847.439999999</v>
      </c>
      <c r="C12" s="28" t="n"/>
      <c r="D12" s="33">
        <f>SUM(B12:C12)</f>
        <v/>
      </c>
      <c r="E12" s="27" t="inlineStr">
        <is>
          <t>Julio</t>
        </is>
      </c>
      <c r="F12" s="27" t="inlineStr">
        <is>
          <t>MELI · sueldo neto julio cobrado 01/08/2026 · verificado con recibo</t>
        </is>
      </c>
    </row>
    <row r="13">
      <c r="A13" s="5" t="inlineStr">
        <is>
          <t>Septiembre</t>
        </is>
      </c>
      <c r="B13" s="26" t="n"/>
      <c r="C13" s="26" t="n"/>
      <c r="D13" s="32">
        <f>SUM(B13:C13)</f>
        <v/>
      </c>
      <c r="E13" s="5" t="n"/>
      <c r="F13" s="5" t="n"/>
    </row>
    <row r="14">
      <c r="A14" s="5" t="inlineStr">
        <is>
          <t>Octubre</t>
        </is>
      </c>
      <c r="B14" s="26" t="n"/>
      <c r="C14" s="26" t="n"/>
      <c r="D14" s="32">
        <f>SUM(B14:C14)</f>
        <v/>
      </c>
      <c r="E14" s="5" t="n"/>
      <c r="F14" s="5" t="n"/>
    </row>
    <row r="15">
      <c r="A15" s="5" t="inlineStr">
        <is>
          <t>Noviembre</t>
        </is>
      </c>
      <c r="B15" s="26" t="n"/>
      <c r="C15" s="26" t="n"/>
      <c r="D15" s="32">
        <f>SUM(B15:C15)</f>
        <v/>
      </c>
      <c r="E15" s="5" t="n"/>
      <c r="F15" s="5" t="n"/>
    </row>
    <row r="16">
      <c r="A16" s="5" t="inlineStr">
        <is>
          <t>Diciembre</t>
        </is>
      </c>
      <c r="B16" s="26" t="n"/>
      <c r="C16" s="26" t="n"/>
      <c r="D16" s="32">
        <f>SUM(B16:C16)</f>
        <v/>
      </c>
      <c r="E16" s="5" t="n"/>
      <c r="F16" s="5" t="n"/>
    </row>
    <row r="17">
      <c r="A17" s="11" t="inlineStr">
        <is>
          <t>TOTAL AÑO</t>
        </is>
      </c>
      <c r="B17" s="34">
        <f>SUM(B5:B16)</f>
        <v/>
      </c>
      <c r="C17" s="34">
        <f>SUM(C5:C16)</f>
        <v/>
      </c>
      <c r="D17" s="34">
        <f>SUM(D5:D16)</f>
        <v/>
      </c>
      <c r="E17" s="11" t="n"/>
      <c r="F17" s="11" t="n"/>
    </row>
  </sheetData>
  <mergeCells count="2">
    <mergeCell ref="A2:F2"/>
    <mergeCell ref="A1:F1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7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46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</cols>
  <sheetData>
    <row r="1" ht="20" customHeight="1">
      <c r="A1" s="1" t="inlineStr">
        <is>
          <t>MELI — Conceptos mensuales 2026</t>
        </is>
      </c>
    </row>
    <row r="2" ht="30" customHeight="1">
      <c r="A2" s="2" t="inlineStr">
        <is>
          <t>Valores reales extraídos de recibos enero–julio. Agosto–diciembre sin recibos. LTRP queda editable hasta contar con documentación.</t>
        </is>
      </c>
    </row>
    <row r="3" ht="20" customHeight="1"/>
    <row r="4" ht="20" customHeight="1">
      <c r="A4" s="3" t="inlineStr">
        <is>
          <t>Grupo</t>
        </is>
      </c>
      <c r="B4" s="3" t="inlineStr">
        <is>
          <t>Concepto</t>
        </is>
      </c>
      <c r="C4" s="3" t="inlineStr">
        <is>
          <t>Enero</t>
        </is>
      </c>
      <c r="D4" s="3" t="inlineStr">
        <is>
          <t>Febrero</t>
        </is>
      </c>
      <c r="E4" s="3" t="inlineStr">
        <is>
          <t>Marzo</t>
        </is>
      </c>
      <c r="F4" s="3" t="inlineStr">
        <is>
          <t>Abril</t>
        </is>
      </c>
      <c r="G4" s="3" t="inlineStr">
        <is>
          <t>Mayo</t>
        </is>
      </c>
      <c r="H4" s="3" t="inlineStr">
        <is>
          <t>Junio</t>
        </is>
      </c>
      <c r="I4" s="3" t="inlineStr">
        <is>
          <t>Julio</t>
        </is>
      </c>
      <c r="J4" s="3" t="inlineStr">
        <is>
          <t>Agosto</t>
        </is>
      </c>
      <c r="K4" s="3" t="inlineStr">
        <is>
          <t>Septiembre</t>
        </is>
      </c>
      <c r="L4" s="3" t="inlineStr">
        <is>
          <t>Octubre</t>
        </is>
      </c>
      <c r="M4" s="3" t="inlineStr">
        <is>
          <t>Noviembre</t>
        </is>
      </c>
      <c r="N4" s="3" t="inlineStr">
        <is>
          <t>Diciembre</t>
        </is>
      </c>
      <c r="O4" s="3" t="inlineStr">
        <is>
          <t>TOTAL 2026</t>
        </is>
      </c>
    </row>
    <row r="5" ht="20" customHeight="1">
      <c r="A5" s="4" t="inlineStr">
        <is>
          <t>HABERES FIJOS</t>
        </is>
      </c>
      <c r="B5" s="5" t="inlineStr">
        <is>
          <t>Sueldo básico</t>
        </is>
      </c>
      <c r="C5" s="6" t="n">
        <v>7906085</v>
      </c>
      <c r="D5" s="6" t="n">
        <v>7906085</v>
      </c>
      <c r="E5" s="6" t="n">
        <v>11305702</v>
      </c>
      <c r="F5" s="6" t="n">
        <v>11305702</v>
      </c>
      <c r="G5" s="6" t="n">
        <v>11305702</v>
      </c>
      <c r="H5" s="6" t="n">
        <v>11305702</v>
      </c>
      <c r="I5" s="30" t="n">
        <v>12662386</v>
      </c>
      <c r="J5" s="7" t="n"/>
      <c r="K5" s="7" t="n"/>
      <c r="L5" s="7" t="n"/>
      <c r="M5" s="7" t="n"/>
      <c r="N5" s="7" t="n"/>
      <c r="O5" s="6">
        <f>SUM(C5:N5)</f>
        <v/>
      </c>
    </row>
    <row r="6" ht="20" customHeight="1">
      <c r="A6" s="4" t="inlineStr">
        <is>
          <t>HABERES FIJOS</t>
        </is>
      </c>
      <c r="B6" s="5" t="inlineStr">
        <is>
          <t>Beneficio auto</t>
        </is>
      </c>
      <c r="C6" s="6" t="n">
        <v>180000</v>
      </c>
      <c r="D6" s="6" t="n">
        <v>208000</v>
      </c>
      <c r="E6" s="6" t="n">
        <v>208000</v>
      </c>
      <c r="F6" s="6" t="n">
        <v>312000</v>
      </c>
      <c r="G6" s="6" t="n">
        <v>312000</v>
      </c>
      <c r="H6" s="6" t="n">
        <v>312000</v>
      </c>
      <c r="I6" s="30" t="n">
        <v>360000</v>
      </c>
      <c r="J6" s="7" t="n"/>
      <c r="K6" s="7" t="n"/>
      <c r="L6" s="7" t="n"/>
      <c r="M6" s="7" t="n"/>
      <c r="N6" s="7" t="n"/>
      <c r="O6" s="6">
        <f>SUM(C6:N6)</f>
        <v/>
      </c>
    </row>
    <row r="7" ht="20" customHeight="1">
      <c r="A7" s="8" t="inlineStr">
        <is>
          <t>HABERES VARIABLES</t>
        </is>
      </c>
      <c r="B7" s="5" t="inlineStr">
        <is>
          <t>Retroactivo sueldo básico</t>
        </is>
      </c>
      <c r="C7" s="6" t="n"/>
      <c r="D7" s="6" t="n"/>
      <c r="E7" s="6" t="n">
        <v>6799234</v>
      </c>
      <c r="F7" s="6" t="n"/>
      <c r="G7" s="6" t="n"/>
      <c r="H7" s="6" t="n"/>
      <c r="I7" s="7" t="n"/>
      <c r="J7" s="7" t="n"/>
      <c r="K7" s="7" t="n"/>
      <c r="L7" s="7" t="n"/>
      <c r="M7" s="7" t="n"/>
      <c r="N7" s="7" t="n"/>
      <c r="O7" s="6">
        <f>SUM(C7:N7)</f>
        <v/>
      </c>
    </row>
    <row r="8" ht="20" customHeight="1">
      <c r="A8" s="8" t="inlineStr">
        <is>
          <t>HABERES VARIABLES</t>
        </is>
      </c>
      <c r="B8" s="5" t="inlineStr">
        <is>
          <t>Pago de vacaciones</t>
        </is>
      </c>
      <c r="C8" s="6" t="n"/>
      <c r="D8" s="6" t="n"/>
      <c r="E8" s="6" t="n"/>
      <c r="F8" s="6" t="n">
        <v>9758869.68</v>
      </c>
      <c r="G8" s="6" t="n"/>
      <c r="H8" s="6" t="n"/>
      <c r="I8" s="7" t="n"/>
      <c r="J8" s="7" t="n"/>
      <c r="K8" s="7" t="n"/>
      <c r="L8" s="7" t="n"/>
      <c r="M8" s="7" t="n"/>
      <c r="N8" s="7" t="n"/>
      <c r="O8" s="6">
        <f>SUM(C8:N8)</f>
        <v/>
      </c>
    </row>
    <row r="9" ht="20" customHeight="1">
      <c r="A9" s="8" t="inlineStr">
        <is>
          <t>HABERES VARIABLES</t>
        </is>
      </c>
      <c r="B9" s="5" t="inlineStr">
        <is>
          <t>Descuento días no trabajados por vacaciones</t>
        </is>
      </c>
      <c r="C9" s="6" t="n"/>
      <c r="D9" s="6" t="n"/>
      <c r="E9" s="6" t="n"/>
      <c r="F9" s="6" t="n">
        <v>-8132391.4</v>
      </c>
      <c r="G9" s="6" t="n"/>
      <c r="H9" s="6" t="n"/>
      <c r="I9" s="7" t="n"/>
      <c r="J9" s="7" t="n"/>
      <c r="K9" s="7" t="n"/>
      <c r="L9" s="7" t="n"/>
      <c r="M9" s="7" t="n"/>
      <c r="N9" s="7" t="n"/>
      <c r="O9" s="6">
        <f>SUM(C9:N9)</f>
        <v/>
      </c>
    </row>
    <row r="10" ht="20" customHeight="1">
      <c r="A10" s="8" t="inlineStr">
        <is>
          <t>HABERES VARIABLES</t>
        </is>
      </c>
      <c r="B10" s="5" t="inlineStr">
        <is>
          <t>Retroactivo descuento días no trabajados</t>
        </is>
      </c>
      <c r="C10" s="6" t="n"/>
      <c r="D10" s="6" t="n"/>
      <c r="E10" s="6" t="n"/>
      <c r="F10" s="6" t="n">
        <v>-1151370.2</v>
      </c>
      <c r="G10" s="6" t="n"/>
      <c r="H10" s="6" t="n"/>
      <c r="I10" s="7" t="n"/>
      <c r="J10" s="7" t="n"/>
      <c r="K10" s="7" t="n"/>
      <c r="L10" s="7" t="n"/>
      <c r="M10" s="7" t="n"/>
      <c r="N10" s="7" t="n"/>
      <c r="O10" s="6">
        <f>SUM(C10:N10)</f>
        <v/>
      </c>
    </row>
    <row r="11" ht="20" customHeight="1">
      <c r="A11" s="8" t="inlineStr">
        <is>
          <t>HABERES VARIABLES</t>
        </is>
      </c>
      <c r="B11" s="5" t="inlineStr">
        <is>
          <t>Retroactivo licencia especial</t>
        </is>
      </c>
      <c r="C11" s="6" t="n"/>
      <c r="D11" s="6" t="n"/>
      <c r="E11" s="6" t="n"/>
      <c r="F11" s="6" t="n">
        <v>1381644.24</v>
      </c>
      <c r="G11" s="6" t="n"/>
      <c r="H11" s="6" t="n"/>
      <c r="I11" s="7" t="n"/>
      <c r="J11" s="7" t="n"/>
      <c r="K11" s="7" t="n"/>
      <c r="L11" s="7" t="n"/>
      <c r="M11" s="7" t="n"/>
      <c r="N11" s="7" t="n"/>
      <c r="O11" s="6">
        <f>SUM(C11:N11)</f>
        <v/>
      </c>
    </row>
    <row r="12" ht="20" customHeight="1">
      <c r="A12" s="9" t="inlineStr">
        <is>
          <t>BONO</t>
        </is>
      </c>
      <c r="B12" s="5" t="inlineStr">
        <is>
          <t>Bono de transición</t>
        </is>
      </c>
      <c r="C12" s="6" t="n"/>
      <c r="D12" s="6" t="n"/>
      <c r="E12" s="6" t="n"/>
      <c r="F12" s="6" t="n">
        <v>7296916.15</v>
      </c>
      <c r="G12" s="6" t="n"/>
      <c r="H12" s="6" t="n"/>
      <c r="I12" s="7" t="n"/>
      <c r="J12" s="7" t="n"/>
      <c r="K12" s="7" t="n"/>
      <c r="L12" s="7" t="n"/>
      <c r="M12" s="7" t="n"/>
      <c r="N12" s="7" t="n"/>
      <c r="O12" s="6">
        <f>SUM(C12:N12)</f>
        <v/>
      </c>
    </row>
    <row r="13" ht="20" customHeight="1">
      <c r="A13" s="9" t="inlineStr">
        <is>
          <t>BONO</t>
        </is>
      </c>
      <c r="B13" s="5" t="inlineStr">
        <is>
          <t>Gratificación extraordinaria anual</t>
        </is>
      </c>
      <c r="C13" s="6" t="n"/>
      <c r="D13" s="6" t="n"/>
      <c r="E13" s="6" t="n"/>
      <c r="F13" s="6" t="n">
        <v>14596298</v>
      </c>
      <c r="G13" s="6" t="n"/>
      <c r="H13" s="6" t="n"/>
      <c r="I13" s="7" t="n"/>
      <c r="J13" s="7" t="n"/>
      <c r="K13" s="7" t="n"/>
      <c r="L13" s="7" t="n"/>
      <c r="M13" s="7" t="n"/>
      <c r="N13" s="7" t="n"/>
      <c r="O13" s="6">
        <f>SUM(C13:N13)</f>
        <v/>
      </c>
    </row>
    <row r="14" ht="20" customHeight="1">
      <c r="A14" s="9" t="inlineStr">
        <is>
          <t>BONO</t>
        </is>
      </c>
      <c r="B14" s="5" t="inlineStr">
        <is>
          <t>SAC gratificación extraordinaria</t>
        </is>
      </c>
      <c r="C14" s="6" t="n"/>
      <c r="D14" s="6" t="n"/>
      <c r="E14" s="6" t="n"/>
      <c r="F14" s="6" t="n">
        <v>1215872</v>
      </c>
      <c r="G14" s="6" t="n"/>
      <c r="H14" s="6" t="n"/>
      <c r="I14" s="7" t="n"/>
      <c r="J14" s="7" t="n"/>
      <c r="K14" s="7" t="n"/>
      <c r="L14" s="7" t="n"/>
      <c r="M14" s="7" t="n"/>
      <c r="N14" s="7" t="n"/>
      <c r="O14" s="6">
        <f>SUM(C14:N14)</f>
        <v/>
      </c>
    </row>
    <row r="15" ht="20" customHeight="1">
      <c r="A15" s="9" t="inlineStr">
        <is>
          <t>BONO</t>
        </is>
      </c>
      <c r="B15" s="5" t="inlineStr">
        <is>
          <t>SAC sobre bono de transición</t>
        </is>
      </c>
      <c r="C15" s="6" t="n"/>
      <c r="D15" s="6" t="n"/>
      <c r="E15" s="6" t="n"/>
      <c r="F15" s="6" t="n">
        <v>608076.35</v>
      </c>
      <c r="G15" s="6" t="n"/>
      <c r="H15" s="6" t="n"/>
      <c r="I15" s="7" t="n"/>
      <c r="J15" s="7" t="n"/>
      <c r="K15" s="7" t="n"/>
      <c r="L15" s="7" t="n"/>
      <c r="M15" s="7" t="n"/>
      <c r="N15" s="7" t="n"/>
      <c r="O15" s="6">
        <f>SUM(C15:N15)</f>
        <v/>
      </c>
    </row>
    <row r="16" ht="20" customHeight="1">
      <c r="A16" s="10" t="inlineStr">
        <is>
          <t>SAC</t>
        </is>
      </c>
      <c r="B16" s="5" t="inlineStr">
        <is>
          <t>SAC 1.er semestre</t>
        </is>
      </c>
      <c r="C16" s="6" t="n"/>
      <c r="D16" s="6" t="n"/>
      <c r="E16" s="6" t="n"/>
      <c r="F16" s="6" t="n"/>
      <c r="G16" s="6" t="n"/>
      <c r="H16" s="6" t="n">
        <v>6622090.14</v>
      </c>
      <c r="I16" s="7" t="n"/>
      <c r="J16" s="7" t="n"/>
      <c r="K16" s="7" t="n"/>
      <c r="L16" s="7" t="n"/>
      <c r="M16" s="7" t="n"/>
      <c r="N16" s="7" t="n"/>
      <c r="O16" s="6">
        <f>SUM(C16:N16)</f>
        <v/>
      </c>
    </row>
    <row r="17" ht="20" customHeight="1">
      <c r="A17" s="11" t="inlineStr">
        <is>
          <t>LTRP</t>
        </is>
      </c>
      <c r="B17" s="5" t="inlineStr">
        <is>
          <t>LTRP (editable; sin recibo informado)</t>
        </is>
      </c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6">
        <f>SUM(C17:N17)</f>
        <v/>
      </c>
    </row>
    <row r="18" ht="20" customHeight="1">
      <c r="A18" s="9" t="inlineStr">
        <is>
          <t>RESULTADO</t>
        </is>
      </c>
      <c r="B18" s="9" t="inlineStr">
        <is>
          <t>TOTAL HABERES</t>
        </is>
      </c>
      <c r="C18" s="12">
        <f>SUM(C5:C17)</f>
        <v/>
      </c>
      <c r="D18" s="12">
        <f>SUM(D5:D17)</f>
        <v/>
      </c>
      <c r="E18" s="12">
        <f>SUM(E5:E17)</f>
        <v/>
      </c>
      <c r="F18" s="12">
        <f>SUM(F5:F17)</f>
        <v/>
      </c>
      <c r="G18" s="12">
        <f>SUM(G5:G17)</f>
        <v/>
      </c>
      <c r="H18" s="12">
        <f>SUM(H5:H17)</f>
        <v/>
      </c>
      <c r="I18" s="12">
        <f>SUM(I5:I17)</f>
        <v/>
      </c>
      <c r="J18" s="12">
        <f>SUM(J5:J17)</f>
        <v/>
      </c>
      <c r="K18" s="12">
        <f>SUM(K5:K17)</f>
        <v/>
      </c>
      <c r="L18" s="12">
        <f>SUM(L5:L17)</f>
        <v/>
      </c>
      <c r="M18" s="12">
        <f>SUM(M5:M17)</f>
        <v/>
      </c>
      <c r="N18" s="12">
        <f>SUM(N5:N17)</f>
        <v/>
      </c>
      <c r="O18" s="12">
        <f>SUM(C18:N18)</f>
        <v/>
      </c>
    </row>
    <row r="19" ht="20" customHeight="1"/>
    <row r="20" ht="20" customHeight="1">
      <c r="A20" s="13" t="inlineStr">
        <is>
          <t>DESCUENTOS</t>
        </is>
      </c>
      <c r="B20" s="5" t="inlineStr">
        <is>
          <t>Aporte SIJP</t>
        </is>
      </c>
      <c r="C20" s="6" t="n">
        <v>420571.02</v>
      </c>
      <c r="D20" s="6" t="n">
        <v>432557.3</v>
      </c>
      <c r="E20" s="6" t="n">
        <v>445014.95</v>
      </c>
      <c r="F20" s="6" t="n">
        <v>457920.38</v>
      </c>
      <c r="G20" s="6" t="n">
        <v>473398.09</v>
      </c>
      <c r="H20" s="6" t="n">
        <v>728417.64</v>
      </c>
      <c r="I20" s="30" t="n">
        <v>496052.42</v>
      </c>
      <c r="J20" s="7" t="n"/>
      <c r="K20" s="7" t="n"/>
      <c r="L20" s="7" t="n"/>
      <c r="M20" s="7" t="n"/>
      <c r="N20" s="7" t="n"/>
      <c r="O20" s="6">
        <f>SUM(C20:N20)</f>
        <v/>
      </c>
    </row>
    <row r="21" ht="20" customHeight="1">
      <c r="A21" s="13" t="inlineStr">
        <is>
          <t>DESCUENTOS</t>
        </is>
      </c>
      <c r="B21" s="5" t="inlineStr">
        <is>
          <t>Aporte INSSJP / PAMI</t>
        </is>
      </c>
      <c r="C21" s="6" t="n">
        <v>114701.19</v>
      </c>
      <c r="D21" s="6" t="n">
        <v>117970.17</v>
      </c>
      <c r="E21" s="6" t="n">
        <v>121367.71</v>
      </c>
      <c r="F21" s="6" t="n">
        <v>124887.37</v>
      </c>
      <c r="G21" s="6" t="n">
        <v>129108.57</v>
      </c>
      <c r="H21" s="6" t="n">
        <v>198659.36</v>
      </c>
      <c r="I21" s="30" t="n">
        <v>135287.02</v>
      </c>
      <c r="J21" s="7" t="n"/>
      <c r="K21" s="7" t="n"/>
      <c r="L21" s="7" t="n"/>
      <c r="M21" s="7" t="n"/>
      <c r="N21" s="7" t="n"/>
      <c r="O21" s="6">
        <f>SUM(C21:N21)</f>
        <v/>
      </c>
    </row>
    <row r="22" ht="20" customHeight="1">
      <c r="A22" s="13" t="inlineStr">
        <is>
          <t>DESCUENTOS</t>
        </is>
      </c>
      <c r="B22" s="5" t="inlineStr">
        <is>
          <t>Aporte obra social</t>
        </is>
      </c>
      <c r="C22" s="6" t="n">
        <v>114701.19</v>
      </c>
      <c r="D22" s="6" t="n">
        <v>117970.17</v>
      </c>
      <c r="E22" s="6" t="n">
        <v>121367.71</v>
      </c>
      <c r="F22" s="6" t="n">
        <v>124887.37</v>
      </c>
      <c r="G22" s="6" t="n">
        <v>129108.57</v>
      </c>
      <c r="H22" s="6" t="n">
        <v>198659.36</v>
      </c>
      <c r="I22" s="30" t="n">
        <v>135287.02</v>
      </c>
      <c r="J22" s="7" t="n"/>
      <c r="K22" s="7" t="n"/>
      <c r="L22" s="7" t="n"/>
      <c r="M22" s="7" t="n"/>
      <c r="N22" s="7" t="n"/>
      <c r="O22" s="6">
        <f>SUM(C22:N22)</f>
        <v/>
      </c>
    </row>
    <row r="23" ht="20" customHeight="1">
      <c r="A23" s="13" t="inlineStr">
        <is>
          <t>DESCUENTOS</t>
        </is>
      </c>
      <c r="B23" s="5" t="inlineStr">
        <is>
          <t>Impuesto a las Ganancias</t>
        </is>
      </c>
      <c r="C23" s="6" t="n">
        <v>1221703.83</v>
      </c>
      <c r="D23" s="6" t="n">
        <v>1425004.25</v>
      </c>
      <c r="E23" s="6" t="n">
        <v>4658857.2</v>
      </c>
      <c r="F23" s="6" t="n">
        <v>6934372.77</v>
      </c>
      <c r="G23" s="6" t="n">
        <v>3415603.09</v>
      </c>
      <c r="H23" s="6" t="n">
        <v>3944533.32</v>
      </c>
      <c r="I23" s="30" t="n">
        <v>3445112.1</v>
      </c>
      <c r="J23" s="7" t="n"/>
      <c r="K23" s="7" t="n"/>
      <c r="L23" s="7" t="n"/>
      <c r="M23" s="7" t="n"/>
      <c r="N23" s="7" t="n"/>
      <c r="O23" s="6">
        <f>SUM(C23:N23)</f>
        <v/>
      </c>
    </row>
    <row r="24" ht="20" customHeight="1">
      <c r="A24" s="9" t="inlineStr">
        <is>
          <t>AJUSTES</t>
        </is>
      </c>
      <c r="B24" s="5" t="inlineStr">
        <is>
          <t>Devolución Ganancias año anterior</t>
        </is>
      </c>
      <c r="C24" s="6" t="n"/>
      <c r="D24" s="6" t="n"/>
      <c r="E24" s="6" t="n"/>
      <c r="F24" s="6" t="n">
        <v>-3564748.04</v>
      </c>
      <c r="G24" s="6" t="n"/>
      <c r="H24" s="6" t="n"/>
      <c r="I24" s="7" t="n"/>
      <c r="J24" s="7" t="n"/>
      <c r="K24" s="7" t="n"/>
      <c r="L24" s="7" t="n"/>
      <c r="M24" s="7" t="n"/>
      <c r="N24" s="7" t="n"/>
      <c r="O24" s="6">
        <f>SUM(C24:N24)</f>
        <v/>
      </c>
    </row>
    <row r="25" ht="20" customHeight="1">
      <c r="A25" s="13" t="inlineStr">
        <is>
          <t>DESCUENTOS</t>
        </is>
      </c>
      <c r="B25" s="5" t="inlineStr">
        <is>
          <t>Gimnasio</t>
        </is>
      </c>
      <c r="C25" s="6" t="n">
        <v>21900</v>
      </c>
      <c r="D25" s="6" t="n">
        <v>21900</v>
      </c>
      <c r="E25" s="6" t="n">
        <v>21900</v>
      </c>
      <c r="F25" s="6" t="n">
        <v>23400</v>
      </c>
      <c r="G25" s="6" t="n">
        <v>23400</v>
      </c>
      <c r="H25" s="6" t="n">
        <v>23400</v>
      </c>
      <c r="I25" s="30" t="n">
        <v>25800</v>
      </c>
      <c r="J25" s="7" t="n"/>
      <c r="K25" s="7" t="n"/>
      <c r="L25" s="7" t="n"/>
      <c r="M25" s="7" t="n"/>
      <c r="N25" s="7" t="n"/>
      <c r="O25" s="6">
        <f>SUM(C25:N25)</f>
        <v/>
      </c>
    </row>
    <row r="26" ht="20" customHeight="1">
      <c r="A26" s="13" t="inlineStr">
        <is>
          <t>RESULTADO</t>
        </is>
      </c>
      <c r="B26" s="13" t="inlineStr">
        <is>
          <t>TOTAL DESCUENTOS NETOS</t>
        </is>
      </c>
      <c r="C26" s="14">
        <f>SUM(C20:C25)</f>
        <v/>
      </c>
      <c r="D26" s="14">
        <f>SUM(D20:D25)</f>
        <v/>
      </c>
      <c r="E26" s="14">
        <f>SUM(E20:E25)</f>
        <v/>
      </c>
      <c r="F26" s="14">
        <f>SUM(F20:F25)</f>
        <v/>
      </c>
      <c r="G26" s="14">
        <f>SUM(G20:G25)</f>
        <v/>
      </c>
      <c r="H26" s="14">
        <f>SUM(H20:H25)</f>
        <v/>
      </c>
      <c r="I26" s="14">
        <f>SUM(I20:I25)</f>
        <v/>
      </c>
      <c r="J26" s="14">
        <f>SUM(J20:J25)</f>
        <v/>
      </c>
      <c r="K26" s="14">
        <f>SUM(K20:K25)</f>
        <v/>
      </c>
      <c r="L26" s="14">
        <f>SUM(L20:L25)</f>
        <v/>
      </c>
      <c r="M26" s="14">
        <f>SUM(M20:M25)</f>
        <v/>
      </c>
      <c r="N26" s="14">
        <f>SUM(N20:N25)</f>
        <v/>
      </c>
      <c r="O26" s="14">
        <f>SUM(C26:N26)</f>
        <v/>
      </c>
    </row>
    <row r="27" ht="20" customHeight="1">
      <c r="A27" s="9" t="inlineStr">
        <is>
          <t>RESULTADO</t>
        </is>
      </c>
      <c r="B27" s="9" t="inlineStr">
        <is>
          <t>NETO PAGADO</t>
        </is>
      </c>
      <c r="C27" s="12">
        <f>C18-C26</f>
        <v/>
      </c>
      <c r="D27" s="12">
        <f>D18-D26</f>
        <v/>
      </c>
      <c r="E27" s="12">
        <f>E18-E26</f>
        <v/>
      </c>
      <c r="F27" s="12">
        <f>F18-F26</f>
        <v/>
      </c>
      <c r="G27" s="12">
        <f>G18-G26</f>
        <v/>
      </c>
      <c r="H27" s="12">
        <f>H18-H26</f>
        <v/>
      </c>
      <c r="I27" s="12">
        <f>I18-I26</f>
        <v/>
      </c>
      <c r="J27" s="12">
        <f>J18-J26</f>
        <v/>
      </c>
      <c r="K27" s="12">
        <f>K18-K26</f>
        <v/>
      </c>
      <c r="L27" s="12">
        <f>L18-L26</f>
        <v/>
      </c>
      <c r="M27" s="12">
        <f>M18-M26</f>
        <v/>
      </c>
      <c r="N27" s="12">
        <f>N18-N26</f>
        <v/>
      </c>
      <c r="O27" s="12">
        <f>SUM(C27:N27)</f>
        <v/>
      </c>
    </row>
    <row r="28" ht="20" customHeight="1"/>
    <row r="29" ht="20" customHeight="1"/>
    <row r="30" ht="20" customHeight="1">
      <c r="A30" s="15" t="inlineStr">
        <is>
          <t>INDICADORES (NO SE SUMAN NUEVAMENTE)</t>
        </is>
      </c>
    </row>
    <row r="31" ht="20" customHeight="1">
      <c r="A31" s="17" t="inlineStr">
        <is>
          <t>INDICADOR</t>
        </is>
      </c>
      <c r="B31" s="5" t="inlineStr">
        <is>
          <t>TOTAL BONO</t>
        </is>
      </c>
      <c r="C31" s="6">
        <f>SUM(C12,C13,C14,C15)</f>
        <v/>
      </c>
      <c r="D31" s="6">
        <f>SUM(D12,D13,D14,D15)</f>
        <v/>
      </c>
      <c r="E31" s="6">
        <f>SUM(E12,E13,E14,E15)</f>
        <v/>
      </c>
      <c r="F31" s="6">
        <f>SUM(F12,F13,F14,F15)</f>
        <v/>
      </c>
      <c r="G31" s="6">
        <f>SUM(G12,G13,G14,G15)</f>
        <v/>
      </c>
      <c r="H31" s="6">
        <f>SUM(H12,H13,H14,H15)</f>
        <v/>
      </c>
      <c r="I31" s="6">
        <f>SUM(I12,I13,I14,I15)</f>
        <v/>
      </c>
      <c r="J31" s="6">
        <f>SUM(J12,J13,J14,J15)</f>
        <v/>
      </c>
      <c r="K31" s="6">
        <f>SUM(K12,K13,K14,K15)</f>
        <v/>
      </c>
      <c r="L31" s="6">
        <f>SUM(L12,L13,L14,L15)</f>
        <v/>
      </c>
      <c r="M31" s="6">
        <f>SUM(M12,M13,M14,M15)</f>
        <v/>
      </c>
      <c r="N31" s="6">
        <f>SUM(N12,N13,N14,N15)</f>
        <v/>
      </c>
      <c r="O31" s="6">
        <f>SUM(C31:N31)</f>
        <v/>
      </c>
    </row>
    <row r="32" ht="20" customHeight="1">
      <c r="A32" s="17" t="inlineStr">
        <is>
          <t>INDICADOR</t>
        </is>
      </c>
      <c r="B32" s="5" t="inlineStr">
        <is>
          <t>TOTAL SAC</t>
        </is>
      </c>
      <c r="C32" s="6">
        <f>SUM(C14,C15,C16)</f>
        <v/>
      </c>
      <c r="D32" s="6">
        <f>SUM(D14,D15,D16)</f>
        <v/>
      </c>
      <c r="E32" s="6">
        <f>SUM(E14,E15,E16)</f>
        <v/>
      </c>
      <c r="F32" s="6">
        <f>SUM(F14,F15,F16)</f>
        <v/>
      </c>
      <c r="G32" s="6">
        <f>SUM(G14,G15,G16)</f>
        <v/>
      </c>
      <c r="H32" s="6">
        <f>SUM(H14,H15,H16)</f>
        <v/>
      </c>
      <c r="I32" s="6">
        <f>SUM(I14,I15,I16)</f>
        <v/>
      </c>
      <c r="J32" s="6">
        <f>SUM(J14,J15,J16)</f>
        <v/>
      </c>
      <c r="K32" s="6">
        <f>SUM(K14,K15,K16)</f>
        <v/>
      </c>
      <c r="L32" s="6">
        <f>SUM(L14,L15,L16)</f>
        <v/>
      </c>
      <c r="M32" s="6">
        <f>SUM(M14,M15,M16)</f>
        <v/>
      </c>
      <c r="N32" s="6">
        <f>SUM(N14,N15,N16)</f>
        <v/>
      </c>
      <c r="O32" s="6">
        <f>SUM(C32:N32)</f>
        <v/>
      </c>
    </row>
    <row r="33" ht="20" customHeight="1">
      <c r="A33" s="17" t="inlineStr">
        <is>
          <t>INDICADOR</t>
        </is>
      </c>
      <c r="B33" s="5" t="inlineStr">
        <is>
          <t>BÁSICO VIGENTE DESDE JULIO (RECIBO)</t>
        </is>
      </c>
      <c r="C33" s="6" t="n"/>
      <c r="D33" s="6" t="n"/>
      <c r="E33" s="6" t="n"/>
      <c r="F33" s="6" t="n"/>
      <c r="G33" s="6" t="n"/>
      <c r="H33" s="6" t="n"/>
      <c r="I33" s="6" t="n">
        <v>12662386</v>
      </c>
      <c r="J33" s="6" t="n">
        <v>12662386</v>
      </c>
      <c r="K33" s="6" t="n">
        <v>12662386</v>
      </c>
      <c r="L33" s="6" t="n">
        <v>12662386</v>
      </c>
      <c r="M33" s="6" t="n">
        <v>12662386</v>
      </c>
      <c r="N33" s="6" t="n">
        <v>12662386</v>
      </c>
      <c r="O33" s="6">
        <f>SUM(C33:N33)</f>
        <v/>
      </c>
    </row>
    <row r="34" ht="20" customHeight="1">
      <c r="A34" s="17" t="inlineStr">
        <is>
          <t>INDICADOR</t>
        </is>
      </c>
      <c r="B34" s="17" t="inlineStr">
        <is>
          <t>CAR ALLOWANCE DESDE JULIO (RECIBO)</t>
        </is>
      </c>
      <c r="C34" s="22" t="n"/>
      <c r="D34" s="22" t="n"/>
      <c r="E34" s="22" t="n"/>
      <c r="F34" s="22" t="n"/>
      <c r="G34" s="22" t="n"/>
      <c r="H34" s="22" t="n"/>
      <c r="I34" s="22" t="n">
        <v>360000</v>
      </c>
      <c r="J34" s="22" t="n">
        <v>360000</v>
      </c>
      <c r="K34" s="22" t="n">
        <v>360000</v>
      </c>
      <c r="L34" s="22" t="n">
        <v>360000</v>
      </c>
      <c r="M34" s="22" t="n">
        <v>360000</v>
      </c>
      <c r="N34" s="22" t="n">
        <v>360000</v>
      </c>
      <c r="O34" s="22">
        <f>SUM(C34:N34)</f>
        <v/>
      </c>
    </row>
    <row r="35" ht="35" customHeight="1">
      <c r="A35" s="23" t="inlineStr">
        <is>
          <t>INDICADOR</t>
        </is>
      </c>
      <c r="B35" s="11" t="inlineStr">
        <is>
          <t>BRUTO TOTAL DESDE JULIO (RECIBO)</t>
        </is>
      </c>
      <c r="C35" s="7" t="n"/>
      <c r="D35" s="7" t="n"/>
      <c r="E35" s="7" t="n"/>
      <c r="F35" s="7" t="n"/>
      <c r="G35" s="7" t="n"/>
      <c r="H35" s="7" t="n"/>
      <c r="I35" s="7">
        <f>I33+I34</f>
        <v/>
      </c>
      <c r="J35" s="7">
        <f>J33+J34</f>
        <v/>
      </c>
      <c r="K35" s="7">
        <f>K33+K34</f>
        <v/>
      </c>
      <c r="L35" s="7">
        <f>L33+L34</f>
        <v/>
      </c>
      <c r="M35" s="7">
        <f>M33+M34</f>
        <v/>
      </c>
      <c r="N35" s="7">
        <f>N33+N34</f>
        <v/>
      </c>
      <c r="O35" s="7">
        <f>SUM(C35:N35)</f>
        <v/>
      </c>
    </row>
    <row r="37" ht="35" customHeight="1">
      <c r="A37" s="18" t="inlineStr">
        <is>
          <t>Notas: valores enero–junio extraídos de recibos previos. Julio: recibo MELI pagado 01/08/2026; básico ARS 12.662.386, beneficio auto ARS 360.000, bruto ARS 13.022.386.</t>
        </is>
      </c>
    </row>
  </sheetData>
  <autoFilter ref="A4:O27"/>
  <mergeCells count="4">
    <mergeCell ref="A1:O1"/>
    <mergeCell ref="A37:O37"/>
    <mergeCell ref="A2:O2"/>
    <mergeCell ref="A30:O30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  <col width="16" customWidth="1" min="3" max="3"/>
    <col width="24" customWidth="1" min="4" max="4"/>
    <col width="20" customWidth="1" min="5" max="5"/>
    <col width="20" customWidth="1" min="6" max="6"/>
    <col width="20" customWidth="1" min="7" max="7"/>
    <col width="20" customWidth="1" min="8" max="8"/>
    <col width="24" customWidth="1" min="9" max="9"/>
    <col width="24" customWidth="1" min="10" max="10"/>
  </cols>
  <sheetData>
    <row r="1">
      <c r="A1" s="19" t="inlineStr">
        <is>
          <t>Período</t>
        </is>
      </c>
      <c r="B1" s="19" t="inlineStr">
        <is>
          <t>Tipo</t>
        </is>
      </c>
      <c r="C1" s="19" t="inlineStr">
        <is>
          <t>Fecha de pago</t>
        </is>
      </c>
      <c r="D1" s="19" t="inlineStr">
        <is>
          <t>Archivo</t>
        </is>
      </c>
      <c r="E1" s="19" t="inlineStr">
        <is>
          <t>Haberes</t>
        </is>
      </c>
      <c r="F1" s="19" t="inlineStr">
        <is>
          <t>Descuentos netos</t>
        </is>
      </c>
      <c r="G1" s="19" t="inlineStr">
        <is>
          <t>Neto</t>
        </is>
      </c>
      <c r="H1" s="19" t="inlineStr">
        <is>
          <t>Estado</t>
        </is>
      </c>
      <c r="I1" s="19" t="inlineStr">
        <is>
          <t>Contribuciones empleador</t>
        </is>
      </c>
      <c r="J1" s="19" t="inlineStr">
        <is>
          <t>Costo total empleador</t>
        </is>
      </c>
    </row>
    <row r="2">
      <c r="A2" s="5" t="inlineStr">
        <is>
          <t>Enero</t>
        </is>
      </c>
      <c r="B2" s="5" t="inlineStr">
        <is>
          <t>Sueldo</t>
        </is>
      </c>
      <c r="C2" s="24" t="n">
        <v>46054</v>
      </c>
      <c r="D2" s="5" t="inlineStr">
        <is>
          <t>ENERO.pdf</t>
        </is>
      </c>
      <c r="E2" s="6" t="n">
        <v>8086085</v>
      </c>
      <c r="F2" s="6" t="n">
        <v>1893577.23</v>
      </c>
      <c r="G2" s="6" t="n">
        <v>6192507.77</v>
      </c>
      <c r="H2" s="21">
        <f>ROUND(E2-F2-G2,2)</f>
        <v/>
      </c>
    </row>
    <row r="3">
      <c r="A3" s="5" t="inlineStr">
        <is>
          <t>Febrero</t>
        </is>
      </c>
      <c r="B3" s="5" t="inlineStr">
        <is>
          <t>Sueldo</t>
        </is>
      </c>
      <c r="C3" s="24" t="n">
        <v>46082</v>
      </c>
      <c r="D3" s="5" t="inlineStr">
        <is>
          <t>FEBRERO.pdf</t>
        </is>
      </c>
      <c r="E3" s="6" t="n">
        <v>8114085</v>
      </c>
      <c r="F3" s="6" t="n">
        <v>2115401.89</v>
      </c>
      <c r="G3" s="6" t="n">
        <v>5998683.11</v>
      </c>
      <c r="H3" s="21">
        <f>ROUND(E3-F3-G3,2)</f>
        <v/>
      </c>
    </row>
    <row r="4">
      <c r="A4" s="5" t="inlineStr">
        <is>
          <t>Marzo</t>
        </is>
      </c>
      <c r="B4" s="5" t="inlineStr">
        <is>
          <t>Sueldo + retroactivo</t>
        </is>
      </c>
      <c r="C4" s="24" t="n">
        <v>46113</v>
      </c>
      <c r="D4" s="5" t="inlineStr">
        <is>
          <t>MARZO.pdf</t>
        </is>
      </c>
      <c r="E4" s="6" t="n">
        <v>18312936</v>
      </c>
      <c r="F4" s="6" t="n">
        <v>5368507.57</v>
      </c>
      <c r="G4" s="6" t="n">
        <v>12944428.43</v>
      </c>
      <c r="H4" s="21">
        <f>ROUND(E4-F4-G4,2)</f>
        <v/>
      </c>
    </row>
    <row r="5">
      <c r="A5" s="5" t="inlineStr">
        <is>
          <t>Abril</t>
        </is>
      </c>
      <c r="B5" s="5" t="inlineStr">
        <is>
          <t>Bono</t>
        </is>
      </c>
      <c r="C5" s="24" t="n">
        <v>46118</v>
      </c>
      <c r="D5" s="5" t="inlineStr">
        <is>
          <t>ABRIL BONO.pdf</t>
        </is>
      </c>
      <c r="E5" s="6" t="n">
        <v>23717162.5</v>
      </c>
      <c r="F5" s="6" t="n">
        <v>3808643.45</v>
      </c>
      <c r="G5" s="6" t="n">
        <v>19908519.05</v>
      </c>
      <c r="H5" s="21">
        <f>ROUND(E5-F5-G5,2)</f>
        <v/>
      </c>
    </row>
    <row r="6">
      <c r="A6" s="5" t="inlineStr">
        <is>
          <t>Abril</t>
        </is>
      </c>
      <c r="B6" s="5" t="inlineStr">
        <is>
          <t>Sueldo + vacaciones</t>
        </is>
      </c>
      <c r="C6" s="24" t="n">
        <v>46143</v>
      </c>
      <c r="D6" s="5" t="inlineStr">
        <is>
          <t>ABRIL.pdf</t>
        </is>
      </c>
      <c r="E6" s="6" t="n">
        <v>13474454.32</v>
      </c>
      <c r="F6" s="6" t="n">
        <v>292076.4</v>
      </c>
      <c r="G6" s="6" t="n">
        <v>13182377.92</v>
      </c>
      <c r="H6" s="21">
        <f>ROUND(E6-F6-G6,2)</f>
        <v/>
      </c>
    </row>
    <row r="7">
      <c r="A7" s="5" t="inlineStr">
        <is>
          <t>Mayo</t>
        </is>
      </c>
      <c r="B7" s="5" t="inlineStr">
        <is>
          <t>Sueldo</t>
        </is>
      </c>
      <c r="C7" s="24" t="n">
        <v>46174</v>
      </c>
      <c r="D7" s="5" t="inlineStr">
        <is>
          <t>MAYO.pdf</t>
        </is>
      </c>
      <c r="E7" s="6" t="n">
        <v>11617702</v>
      </c>
      <c r="F7" s="6" t="n">
        <v>4170618.32</v>
      </c>
      <c r="G7" s="6" t="n">
        <v>7447083.68</v>
      </c>
      <c r="H7" s="21">
        <f>ROUND(E7-F7-G7,2)</f>
        <v/>
      </c>
    </row>
    <row r="8">
      <c r="A8" s="5" t="inlineStr">
        <is>
          <t>Junio</t>
        </is>
      </c>
      <c r="B8" s="5" t="inlineStr">
        <is>
          <t>SAC</t>
        </is>
      </c>
      <c r="C8" s="24" t="n">
        <v>46196</v>
      </c>
      <c r="D8" s="5" t="inlineStr">
        <is>
          <t>SAC.pdf</t>
        </is>
      </c>
      <c r="E8" s="6" t="n">
        <v>6622090.14</v>
      </c>
      <c r="F8" s="6" t="n">
        <v>911332.72</v>
      </c>
      <c r="G8" s="6" t="n">
        <v>5710757.42</v>
      </c>
      <c r="H8" s="21">
        <f>ROUND(E8-F8-G8,2)</f>
        <v/>
      </c>
    </row>
    <row r="9">
      <c r="A9" s="5" t="inlineStr">
        <is>
          <t>Junio</t>
        </is>
      </c>
      <c r="B9" s="5" t="inlineStr">
        <is>
          <t>Sueldo</t>
        </is>
      </c>
      <c r="C9" s="24" t="n">
        <v>46204</v>
      </c>
      <c r="D9" s="5" t="inlineStr">
        <is>
          <t>JUNIO.pdf</t>
        </is>
      </c>
      <c r="E9" s="6" t="n">
        <v>11617702</v>
      </c>
      <c r="F9" s="6" t="n">
        <v>4182336.96</v>
      </c>
      <c r="G9" s="6" t="n">
        <v>7435365.04</v>
      </c>
      <c r="H9" s="21">
        <f>ROUND(E9-F9-G9,2)</f>
        <v/>
      </c>
    </row>
    <row r="10">
      <c r="A10" s="5" t="inlineStr">
        <is>
          <t>Julio</t>
        </is>
      </c>
      <c r="B10" s="5" t="inlineStr">
        <is>
          <t>Sueldo</t>
        </is>
      </c>
      <c r="C10" s="24" t="n">
        <v>46235</v>
      </c>
      <c r="D10" s="5" t="inlineStr">
        <is>
          <t>Tu Recibo.pdf</t>
        </is>
      </c>
      <c r="E10" s="26" t="n">
        <v>13022386</v>
      </c>
      <c r="F10" s="26" t="n">
        <v>4237538.56</v>
      </c>
      <c r="G10" s="26" t="n">
        <v>8784847.439999999</v>
      </c>
      <c r="H10" s="31">
        <f>ROUND(E10-F10-G10,2)</f>
        <v/>
      </c>
      <c r="I10" s="31" t="n">
        <v>3191487.53</v>
      </c>
      <c r="J10" s="31" t="n">
        <v>16213873.53</v>
      </c>
    </row>
  </sheetData>
  <autoFilter ref="A1:J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2026-07-20T19:51:05Z</dcterms:created>
  <dcterms:modified xsi:type="dcterms:W3CDTF">2026-08-06T16:01:22Z</dcterms:modified>
</cp:coreProperties>
</file>
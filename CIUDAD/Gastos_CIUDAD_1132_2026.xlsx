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v>46250</v>
      </c>
      <c r="C417" t="inlineStr">
        <is>
          <t>ENTRETENIMIENTO · Social</t>
        </is>
      </c>
      <c r="D417" t="n">
        <v>1060501</v>
      </c>
      <c r="F417">
        <f>IF(OR(D417&lt;&gt;"",E417&lt;&gt;""),IF(D417="",0,D417)+IF(E417="",0,E417),"")</f>
        <v/>
      </c>
      <c r="G417" t="inlineStr">
        <is>
          <t>AJUSTE SEPT · gasto origen Agosto 16/08/2026 · no se pasó/rindió en el mes de origen por error · ENTRETENIMIENTO · Social · Gardiner Restaurant · BBVA VISA · mesa 9 · ALMACEN SOL</t>
        </is>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v>46307</v>
      </c>
      <c r="C428" s="14" t="inlineStr">
        <is>
          <t>RAMON · Comida</t>
        </is>
      </c>
      <c r="D428" s="27" t="n">
        <v>139100</v>
      </c>
      <c r="E428" s="28" t="n"/>
      <c r="F428" s="15">
        <f>IF(OR(D428&lt;&gt;"",E428&lt;&gt;""),IF(D428="",0,D428)+IF(E428="",0,E428),"")</f>
        <v/>
      </c>
      <c r="G428" s="14" t="inlineStr">
        <is>
          <t>RAMON · Comida · Almacén CIUDAD · carga 12/10/2026 · ALMACEN SOL</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2026-10-12T22:26:05Z</dcterms:modified>
</cp:coreProperties>
</file>
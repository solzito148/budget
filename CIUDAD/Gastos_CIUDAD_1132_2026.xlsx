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46909</v>
      </c>
      <c r="H6" s="9" t="n">
        <v>47939</v>
      </c>
      <c r="I6" s="9" t="n">
        <v>48420</v>
      </c>
      <c r="J6" s="9" t="n">
        <v>31999</v>
      </c>
      <c r="K6" s="9" t="n">
        <v>31999</v>
      </c>
      <c r="L6" s="9" t="n">
        <v>82364</v>
      </c>
      <c r="M6" s="9" t="n">
        <v>69659</v>
      </c>
      <c r="N6" s="9" t="n"/>
      <c r="O6" s="9" t="n"/>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montos desde facturas Gmail (facturadigital@factura.telecentro.com.ar); mes = período de factura. Cliente 3491192. Nov/Dic sin factura aún.</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46234</v>
      </c>
      <c r="C288" s="14" t="inlineStr">
        <is>
          <t>Almacén</t>
        </is>
      </c>
      <c r="D288" s="27" t="n"/>
      <c r="E288" s="28" t="n">
        <v>155800</v>
      </c>
      <c r="F288" s="15">
        <f>IF(OR(D288&lt;&gt;"",E288&lt;&gt;""),IF(D288="",0,D288)+IF(E288="",0,E288),"")</f>
        <v/>
      </c>
      <c r="G288" s="14" t="inlineStr">
        <is>
          <t>ALMACEN CHRIS · total julio (sin desglose) · REVISAR</t>
        </is>
      </c>
    </row>
    <row r="289">
      <c r="A289" s="14" t="inlineStr">
        <is>
          <t>Julio</t>
        </is>
      </c>
      <c r="B289" s="17" t="n">
        <v>46224</v>
      </c>
      <c r="C289" s="14" t="inlineStr">
        <is>
          <t>COMIDA · Todo Tartas</t>
        </is>
      </c>
      <c r="D289" s="27" t="n">
        <v>57600</v>
      </c>
      <c r="E289" s="28" t="n"/>
      <c r="F289" s="15">
        <f>IF(OR(D289&lt;&gt;"",E289&lt;&gt;""),IF(D289="",0,D289)+IF(E289="",0,E289),"")</f>
        <v/>
      </c>
      <c r="G289" s="14" t="inlineStr">
        <is>
          <t>MP · panadería · ex `Todo Tartas`</t>
        </is>
      </c>
    </row>
    <row r="290">
      <c r="A290" s="14" t="inlineStr">
        <is>
          <t>Julio</t>
        </is>
      </c>
      <c r="B290" s="17" t="n"/>
      <c r="C290" s="14" t="n"/>
      <c r="D290" s="27" t="n"/>
      <c r="E290" s="28" t="n"/>
      <c r="F290" s="15">
        <f>IF(OR(D290&lt;&gt;"",E290&lt;&gt;""),IF(D290="",0,D290)+IF(E290="",0,E290),"")</f>
        <v/>
      </c>
      <c r="G290" s="14" t="n"/>
    </row>
    <row r="291">
      <c r="A291" s="14" t="inlineStr">
        <is>
          <t>Julio</t>
        </is>
      </c>
      <c r="B291" s="17" t="n"/>
      <c r="C291" s="14" t="n"/>
      <c r="D291" s="27" t="n"/>
      <c r="E291" s="28" t="n"/>
      <c r="F291" s="15">
        <f>IF(OR(D291&lt;&gt;"",E291&lt;&gt;""),IF(D291="",0,D291)+IF(E291="",0,E291),"")</f>
        <v/>
      </c>
      <c r="G291" s="14" t="n"/>
    </row>
    <row r="292">
      <c r="A292" s="14" t="inlineStr">
        <is>
          <t>Julio</t>
        </is>
      </c>
      <c r="B292" s="17" t="n"/>
      <c r="C292" s="14" t="n"/>
      <c r="D292" s="27" t="n"/>
      <c r="E292" s="28" t="n"/>
      <c r="F292" s="15">
        <f>IF(OR(D292&lt;&gt;"",E292&lt;&gt;""),IF(D292="",0,D292)+IF(E292="",0,E292),"")</f>
        <v/>
      </c>
      <c r="G292" s="14" t="n"/>
    </row>
    <row r="293">
      <c r="A293" s="14" t="inlineStr">
        <is>
          <t>Julio</t>
        </is>
      </c>
      <c r="B293" s="17" t="n"/>
      <c r="C293" s="14" t="n"/>
      <c r="D293" s="27" t="n"/>
      <c r="E293" s="28" t="n"/>
      <c r="F293" s="15">
        <f>IF(OR(D293&lt;&gt;"",E293&lt;&gt;""),IF(D293="",0,D293)+IF(E293="",0,E293),"")</f>
        <v/>
      </c>
      <c r="G293" s="14" t="n"/>
    </row>
    <row r="294">
      <c r="A294" s="14" t="inlineStr">
        <is>
          <t>Julio</t>
        </is>
      </c>
      <c r="B294" s="17" t="n"/>
      <c r="C294" s="14" t="n"/>
      <c r="D294" s="27" t="n"/>
      <c r="E294" s="28" t="n"/>
      <c r="F294" s="15">
        <f>IF(OR(D294&lt;&gt;"",E294&lt;&gt;""),IF(D294="",0,D294)+IF(E294="",0,E294),"")</f>
        <v/>
      </c>
      <c r="G294" s="14" t="n"/>
    </row>
    <row r="295">
      <c r="A295" s="14" t="inlineStr">
        <is>
          <t>Julio</t>
        </is>
      </c>
      <c r="B295" s="17" t="n"/>
      <c r="C295" s="14" t="n"/>
      <c r="D295" s="27" t="n"/>
      <c r="E295" s="28" t="n"/>
      <c r="F295" s="15">
        <f>IF(OR(D295&lt;&gt;"",E295&lt;&gt;""),IF(D295="",0,D295)+IF(E295="",0,E295),"")</f>
        <v/>
      </c>
      <c r="G295" s="14" t="n"/>
    </row>
    <row r="296">
      <c r="A296" s="14" t="inlineStr">
        <is>
          <t>Julio</t>
        </is>
      </c>
      <c r="B296" s="17" t="n"/>
      <c r="C296" s="14" t="n"/>
      <c r="D296" s="27" t="n"/>
      <c r="E296" s="28" t="n"/>
      <c r="F296" s="15">
        <f>IF(OR(D296&lt;&gt;"",E296&lt;&gt;""),IF(D296="",0,D296)+IF(E296="",0,E296),"")</f>
        <v/>
      </c>
      <c r="G296" s="14" t="n"/>
    </row>
    <row r="297">
      <c r="A297" s="14" t="inlineStr">
        <is>
          <t>Julio</t>
        </is>
      </c>
      <c r="B297" s="17" t="n"/>
      <c r="C297" s="14" t="n"/>
      <c r="D297" s="27" t="n"/>
      <c r="E297" s="28" t="n"/>
      <c r="F297" s="15">
        <f>IF(OR(D297&lt;&gt;"",E297&lt;&gt;""),IF(D297="",0,D297)+IF(E297="",0,E297),"")</f>
        <v/>
      </c>
      <c r="G297" s="14" t="n"/>
    </row>
    <row r="298">
      <c r="A298" s="14" t="inlineStr">
        <is>
          <t>Julio</t>
        </is>
      </c>
      <c r="B298" s="17" t="n"/>
      <c r="C298" s="14" t="n"/>
      <c r="D298" s="27" t="n"/>
      <c r="E298" s="28" t="n"/>
      <c r="F298" s="15">
        <f>IF(OR(D298&lt;&gt;"",E298&lt;&gt;""),IF(D298="",0,D298)+IF(E298="",0,E298),"")</f>
        <v/>
      </c>
      <c r="G298" s="14" t="n"/>
    </row>
    <row r="299">
      <c r="A299" s="14" t="inlineStr">
        <is>
          <t>Julio</t>
        </is>
      </c>
      <c r="B299" s="17" t="n"/>
      <c r="C299" s="14" t="n"/>
      <c r="D299" s="27" t="n"/>
      <c r="E299" s="28" t="n"/>
      <c r="F299" s="15">
        <f>IF(OR(D299&lt;&gt;"",E299&lt;&gt;""),IF(D299="",0,D299)+IF(E299="",0,E299),"")</f>
        <v/>
      </c>
      <c r="G299" s="14" t="n"/>
    </row>
    <row r="300">
      <c r="A300" s="14" t="inlineStr">
        <is>
          <t>Julio</t>
        </is>
      </c>
      <c r="B300" s="17" t="n"/>
      <c r="C300" s="14" t="n"/>
      <c r="D300" s="27" t="n"/>
      <c r="E300" s="28" t="n"/>
      <c r="F300" s="15">
        <f>IF(OR(D300&lt;&gt;"",E300&lt;&gt;""),IF(D300="",0,D300)+IF(E300="",0,E300),"")</f>
        <v/>
      </c>
      <c r="G300" s="14" t="n"/>
    </row>
    <row r="301">
      <c r="A301" s="14" t="inlineStr">
        <is>
          <t>Julio</t>
        </is>
      </c>
      <c r="B301" s="17" t="n"/>
      <c r="C301" s="14" t="n"/>
      <c r="D301" s="27" t="n"/>
      <c r="E301" s="28" t="n"/>
      <c r="F301" s="15">
        <f>IF(OR(D301&lt;&gt;"",E301&lt;&gt;""),IF(D301="",0,D301)+IF(E301="",0,E301),"")</f>
        <v/>
      </c>
      <c r="G301" s="14" t="n"/>
    </row>
    <row r="302">
      <c r="A302" s="14" t="inlineStr">
        <is>
          <t>Julio</t>
        </is>
      </c>
      <c r="B302" s="17" t="n"/>
      <c r="C302" s="14" t="n"/>
      <c r="D302" s="27" t="n"/>
      <c r="E302" s="28" t="n"/>
      <c r="F302" s="15">
        <f>IF(OR(D302&lt;&gt;"",E302&lt;&gt;""),IF(D302="",0,D302)+IF(E302="",0,E302),"")</f>
        <v/>
      </c>
      <c r="G302" s="14" t="n"/>
    </row>
    <row r="303">
      <c r="A303" s="14" t="inlineStr">
        <is>
          <t>Julio</t>
        </is>
      </c>
      <c r="B303" s="17" t="n"/>
      <c r="C303" s="14" t="n"/>
      <c r="D303" s="27" t="n"/>
      <c r="E303" s="28" t="n"/>
      <c r="F303" s="15">
        <f>IF(OR(D303&lt;&gt;"",E303&lt;&gt;""),IF(D303="",0,D303)+IF(E303="",0,E303),"")</f>
        <v/>
      </c>
      <c r="G303" s="14" t="n"/>
    </row>
    <row r="304">
      <c r="A304" s="14" t="inlineStr">
        <is>
          <t>Julio</t>
        </is>
      </c>
      <c r="B304" s="17" t="n"/>
      <c r="C304" s="14" t="n"/>
      <c r="D304" s="27" t="n"/>
      <c r="E304" s="28" t="n"/>
      <c r="F304" s="15">
        <f>IF(OR(D304&lt;&gt;"",E304&lt;&gt;""),IF(D304="",0,D304)+IF(E304="",0,E304),"")</f>
        <v/>
      </c>
      <c r="G304" s="14" t="n"/>
    </row>
    <row r="305">
      <c r="A305" s="14" t="inlineStr">
        <is>
          <t>Julio</t>
        </is>
      </c>
      <c r="B305" s="17" t="n"/>
      <c r="C305" s="14" t="n"/>
      <c r="D305" s="27" t="n"/>
      <c r="E305" s="28" t="n"/>
      <c r="F305" s="15">
        <f>IF(OR(D305&lt;&gt;"",E305&lt;&gt;""),IF(D305="",0,D305)+IF(E305="",0,E305),"")</f>
        <v/>
      </c>
      <c r="G305" s="14" t="n"/>
    </row>
    <row r="306">
      <c r="A306" s="14" t="inlineStr">
        <is>
          <t>Julio</t>
        </is>
      </c>
      <c r="B306" s="17" t="n"/>
      <c r="C306" s="14" t="n"/>
      <c r="D306" s="27" t="n"/>
      <c r="E306" s="28" t="n"/>
      <c r="F306" s="15">
        <f>IF(OR(D306&lt;&gt;"",E306&lt;&gt;""),IF(D306="",0,D306)+IF(E306="",0,E306),"")</f>
        <v/>
      </c>
      <c r="G306" s="14" t="n"/>
    </row>
    <row r="307">
      <c r="A307" s="14" t="inlineStr">
        <is>
          <t>Julio</t>
        </is>
      </c>
      <c r="B307" s="17" t="n"/>
      <c r="C307" s="14" t="n"/>
      <c r="D307" s="27" t="n"/>
      <c r="E307" s="28" t="n"/>
      <c r="F307" s="15">
        <f>IF(OR(D307&lt;&gt;"",E307&lt;&gt;""),IF(D307="",0,D307)+IF(E307="",0,E307),"")</f>
        <v/>
      </c>
      <c r="G307" s="14" t="n"/>
    </row>
    <row r="308">
      <c r="A308" s="14" t="inlineStr">
        <is>
          <t>Julio</t>
        </is>
      </c>
      <c r="B308" s="17" t="n"/>
      <c r="C308" s="14" t="n"/>
      <c r="D308" s="27" t="n"/>
      <c r="E308" s="28" t="n"/>
      <c r="F308" s="15">
        <f>IF(OR(D308&lt;&gt;"",E308&lt;&gt;""),IF(D308="",0,D308)+IF(E308="",0,E308),"")</f>
        <v/>
      </c>
      <c r="G308" s="14" t="n"/>
    </row>
    <row r="309">
      <c r="A309" s="14" t="inlineStr">
        <is>
          <t>Julio</t>
        </is>
      </c>
      <c r="B309" s="17" t="n"/>
      <c r="C309" s="14" t="n"/>
      <c r="D309" s="27" t="n"/>
      <c r="E309" s="28" t="n"/>
      <c r="F309" s="15">
        <f>IF(OR(D309&lt;&gt;"",E309&lt;&gt;""),IF(D309="",0,D309)+IF(E309="",0,E309),"")</f>
        <v/>
      </c>
      <c r="G309" s="14" t="n"/>
    </row>
    <row r="310">
      <c r="A310" s="14" t="inlineStr">
        <is>
          <t>Julio</t>
        </is>
      </c>
      <c r="B310" s="17" t="n"/>
      <c r="C310" s="14" t="n"/>
      <c r="D310" s="27" t="n"/>
      <c r="E310" s="28" t="n"/>
      <c r="F310" s="15">
        <f>IF(OR(D310&lt;&gt;"",E310&lt;&gt;""),IF(D310="",0,D310)+IF(E310="",0,E310),"")</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v>46235</v>
      </c>
      <c r="C316" s="14" t="inlineStr">
        <is>
          <t>RAMON · Comida</t>
        </is>
      </c>
      <c r="D316" s="27" t="n">
        <v>176000</v>
      </c>
      <c r="E316" s="28" t="n"/>
      <c r="F316" s="15">
        <f>IF(OR(D316&lt;&gt;"",E316&lt;&gt;""),IF(D316="",0,D316)+IF(E316="",0,E316),"")</f>
        <v/>
      </c>
      <c r="G316" s="14" t="inlineStr">
        <is>
          <t>RAMON · Comida · DR BARF · Gibiana Cova · Gmail Pago aprobado BBVA · ALMACEN SOL</t>
        </is>
      </c>
    </row>
    <row r="317">
      <c r="A317" s="14" t="inlineStr">
        <is>
          <t>Agosto</t>
        </is>
      </c>
      <c r="B317" s="17" t="n"/>
      <c r="C317" s="14" t="n"/>
      <c r="D317" s="27" t="n"/>
      <c r="E317" s="28" t="n"/>
      <c r="F317" s="15">
        <f>IF(OR(D317&lt;&gt;"",E317&lt;&gt;""),IF(D317="",0,D317)+IF(E317="",0,E317),"")</f>
        <v/>
      </c>
      <c r="G317" s="14" t="n"/>
    </row>
    <row r="318">
      <c r="A318" s="14" t="inlineStr">
        <is>
          <t>Agosto</t>
        </is>
      </c>
      <c r="B318" s="17" t="n"/>
      <c r="C318" s="14" t="n"/>
      <c r="D318" s="27" t="n"/>
      <c r="E318" s="28" t="n"/>
      <c r="F318" s="15">
        <f>IF(OR(D318&lt;&gt;"",E318&lt;&gt;""),IF(D318="",0,D318)+IF(E318="",0,E318),"")</f>
        <v/>
      </c>
      <c r="G318" s="14" t="n"/>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B410" s="52" t="n">
        <v>46275</v>
      </c>
      <c r="C410" t="inlineStr">
        <is>
          <t>RAMON · Comida</t>
        </is>
      </c>
      <c r="D410" t="n">
        <v>131000</v>
      </c>
      <c r="F410">
        <f>IF(OR(D410&lt;&gt;"",E410&lt;&gt;""),IF(D410="",0,D410)+IF(E410="",0,E410),"")</f>
        <v/>
      </c>
      <c r="G410" t="inlineStr">
        <is>
          <t>RAMON · Comida · DR BARF · Cova Abreu Gibiana Del Valle · transferencia MP · ALMACEN SOL</t>
        </is>
      </c>
    </row>
    <row r="411">
      <c r="A411" t="inlineStr">
        <is>
          <t>Septiembre</t>
        </is>
      </c>
      <c r="F411">
        <f>IF(OR(D411&lt;&gt;"",E411&lt;&gt;""),IF(D411="",0,D411)+IF(E411="",0,E411),"")</f>
        <v/>
      </c>
    </row>
    <row r="412">
      <c r="A412" t="inlineStr">
        <is>
          <t>Septiembre</t>
        </is>
      </c>
      <c r="F412">
        <f>IF(OR(D412&lt;&gt;"",E412&lt;&gt;""),IF(D412="",0,D412)+IF(E412="",0,E412),"")</f>
        <v/>
      </c>
    </row>
    <row r="413">
      <c r="A413" t="inlineStr">
        <is>
          <t>Septiembre</t>
        </is>
      </c>
      <c r="F413">
        <f>IF(OR(D413&lt;&gt;"",E413&lt;&gt;""),IF(D413="",0,D413)+IF(E413="",0,E413),"")</f>
        <v/>
      </c>
    </row>
    <row r="414">
      <c r="A414" t="inlineStr">
        <is>
          <t>Septiembre</t>
        </is>
      </c>
      <c r="F414">
        <f>IF(OR(D414&lt;&gt;"",E414&lt;&gt;""),IF(D414="",0,D414)+IF(E414="",0,E414),"")</f>
        <v/>
      </c>
    </row>
    <row r="415">
      <c r="A415" t="inlineStr">
        <is>
          <t>Septiembre</t>
        </is>
      </c>
      <c r="F415">
        <f>IF(OR(D415&lt;&gt;"",E415&lt;&gt;""),IF(D415="",0,D415)+IF(E415="",0,E415),"")</f>
        <v/>
      </c>
    </row>
    <row r="416">
      <c r="A416" t="inlineStr">
        <is>
          <t>Septiembre</t>
        </is>
      </c>
      <c r="F416">
        <f>IF(OR(D416&lt;&gt;"",E416&lt;&gt;""),IF(D416="",0,D416)+IF(E416="",0,E416),"")</f>
        <v/>
      </c>
    </row>
    <row r="417">
      <c r="A417" t="inlineStr">
        <is>
          <t>Septiembre</t>
        </is>
      </c>
      <c r="F417">
        <f>IF(OR(D417&lt;&gt;"",E417&lt;&gt;""),IF(D417="",0,D417)+IF(E417="",0,E417),"")</f>
        <v/>
      </c>
    </row>
    <row r="418">
      <c r="A418" t="inlineStr">
        <is>
          <t>Septiembre</t>
        </is>
      </c>
      <c r="F418">
        <f>IF(OR(D418&lt;&gt;"",E418&lt;&gt;""),IF(D418="",0,D418)+IF(E418="",0,E418),"")</f>
        <v/>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8">
      <c r="A428" s="14" t="inlineStr">
        <is>
          <t>Octubre</t>
        </is>
      </c>
      <c r="B428" s="17" t="n"/>
      <c r="C428" s="14" t="n"/>
      <c r="D428" s="27" t="n"/>
      <c r="E428" s="28" t="n"/>
      <c r="F428" s="15">
        <f>IF(OR(D382&lt;&gt;"",E382&lt;&gt;""),IF(D382="",0,D382)+IF(E382="",0,E382),"")</f>
        <v/>
      </c>
      <c r="G428" s="14" t="n"/>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is>
          <t>3491192</t>
        </is>
      </c>
      <c r="G5" s="18" t="inlineStr"/>
      <c r="H5" s="14" t="inlineStr">
        <is>
          <t>Gmail factura 01/2026 $37.983,38 · cliente 3491192</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is>
          <t>3491192</t>
        </is>
      </c>
      <c r="G9" s="18" t="inlineStr"/>
      <c r="H9" s="14" t="inlineStr">
        <is>
          <t>Gmail factura 02/2026 $38.489,00 · cliente 3491192</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is>
          <t>3491192</t>
        </is>
      </c>
      <c r="G13" s="18" t="inlineStr"/>
      <c r="H13" s="14" t="inlineStr">
        <is>
          <t>Gmail factura 03/2026 $39.162,75 · cliente 3491192</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04/2026 (Gmail)</t>
        </is>
      </c>
      <c r="D19" s="15" t="n">
        <v>46909</v>
      </c>
      <c r="E19" s="14" t="inlineStr"/>
      <c r="F19" s="18" t="inlineStr">
        <is>
          <t>3491192</t>
        </is>
      </c>
      <c r="G19" s="18" t="inlineStr"/>
      <c r="H19" s="14" t="inlineStr">
        <is>
          <t>Gmail factura 04/2026 $46.909,00 · cliente 3491192</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05/2026 (Gmail)</t>
        </is>
      </c>
      <c r="D24" s="15" t="n">
        <v>47939</v>
      </c>
      <c r="E24" s="14" t="inlineStr"/>
      <c r="F24" s="18" t="inlineStr">
        <is>
          <t>3491192</t>
        </is>
      </c>
      <c r="G24" s="18" t="inlineStr"/>
      <c r="H24" s="14" t="inlineStr">
        <is>
          <t>Gmail factura 05/2026 $47.939,00 · cliente 3491192</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(duplicado) ver fila pago MP 17/06 — no sumar</t>
        </is>
      </c>
      <c r="D28" s="15" t="n"/>
      <c r="E28" s="14" t="inlineStr">
        <is>
          <t>Mercado Pago</t>
        </is>
      </c>
      <c r="F28" s="18" t="inlineStr">
        <is>
          <t>3491192</t>
        </is>
      </c>
      <c r="G28" s="18" t="inlineStr"/>
      <c r="H28" s="14" t="inlineStr">
        <is>
          <t>SUPERSEDE · Telecentro Junio está en Detalle pago MP 17/06 $48.420 · Gmail factura 06/2026 $48.419,26</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(duplicado) ver fila débito BBVA 30/06 — no sumar</t>
        </is>
      </c>
      <c r="D33" s="15" t="n"/>
      <c r="E33" s="14" t="inlineStr"/>
      <c r="F33" s="18" t="inlineStr"/>
      <c r="G33" s="18" t="inlineStr"/>
      <c r="H33" s="14" t="inlineStr">
        <is>
          <t>SUPERSEDE · Telecentro Julio está en Detalle débito 30/06 $31.999 · Gmail factura 07/2026 $31.999,00</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08/2026 (Gmail) · cobro Visa *3200 24/07/2026</t>
        </is>
      </c>
      <c r="D35" s="15" t="n">
        <v>31999</v>
      </c>
      <c r="E35" s="14" t="inlineStr">
        <is>
          <t>BBVA Visa *3200</t>
        </is>
      </c>
      <c r="F35" s="18" t="inlineStr">
        <is>
          <t>3491192</t>
        </is>
      </c>
      <c r="G35" s="18" t="inlineStr"/>
      <c r="H35" s="14" t="inlineStr">
        <is>
          <t>Gmail factura 08/2026 $31.999,00 · cobro 24/07 · reemplaza recurrente $50.000</t>
        </is>
      </c>
      <c r="I35" s="14" t="inlineStr">
        <is>
          <t>Agosto</t>
        </is>
      </c>
    </row>
    <row r="36">
      <c r="A36" s="17" t="n">
        <v>46266</v>
      </c>
      <c r="B36" s="14" t="inlineStr">
        <is>
          <t>Telecentro</t>
        </is>
      </c>
      <c r="C36" s="14" t="inlineStr">
        <is>
          <t>Telecentro CIUDAD — 09/2026 (Gmail)</t>
        </is>
      </c>
      <c r="D36" s="15" t="n">
        <v>82364</v>
      </c>
      <c r="E36" s="14" t="n"/>
      <c r="F36" s="18" t="inlineStr">
        <is>
          <t>3491192</t>
        </is>
      </c>
      <c r="G36" s="18" t="inlineStr"/>
      <c r="H36" s="14" t="inlineStr">
        <is>
          <t>Gmail factura 09/2026 $82.363,35 · mes=período factura (no cobro Oct $69.659)</t>
        </is>
      </c>
      <c r="I36" s="14" t="inlineStr">
        <is>
          <t>Septiembre</t>
        </is>
      </c>
    </row>
    <row r="37">
      <c r="A37" s="17" t="n">
        <v>46296</v>
      </c>
      <c r="B37" s="14" t="inlineStr">
        <is>
          <t>Telecentro</t>
        </is>
      </c>
      <c r="C37" s="14" t="inlineStr">
        <is>
          <t>(duplicado) ver fila débito BBVA 25/09 — no sumar</t>
        </is>
      </c>
      <c r="D37" s="15" t="n"/>
      <c r="E37" s="14" t="inlineStr">
        <is>
          <t>Débito BBVA</t>
        </is>
      </c>
      <c r="F37" s="18" t="inlineStr">
        <is>
          <t>3491192</t>
        </is>
      </c>
      <c r="G37" s="18" t="inlineStr"/>
      <c r="H37" s="14" t="inlineStr">
        <is>
          <t>SUPERSEDE · Telecentro Octubre está en Detalle débito 25/09 $69.659 · Gmail factura 10/2026 $69.659,00</t>
        </is>
      </c>
      <c r="I37" s="14" t="inlineStr">
        <is>
          <t>Octubre</t>
        </is>
      </c>
    </row>
    <row r="38">
      <c r="A38" s="17" t="n">
        <v>46327</v>
      </c>
      <c r="B38" s="14" t="inlineStr">
        <is>
          <t>Telecentro</t>
        </is>
      </c>
      <c r="C38" s="14" t="inlineStr">
        <is>
          <t>Telecentro CIUDAD — sin factura Gmail aún (Noviembre)</t>
        </is>
      </c>
      <c r="D38" s="15" t="n"/>
      <c r="E38" s="14" t="inlineStr"/>
      <c r="F38" s="18" t="inlineStr"/>
      <c r="G38" s="18" t="inlineStr"/>
      <c r="H38" s="14" t="inlineStr">
        <is>
          <t>Sin mail ¡Ya está disponible tu factura! — no cargar placeholder</t>
        </is>
      </c>
      <c r="I38" s="14" t="inlineStr">
        <is>
          <t>Noviembre</t>
        </is>
      </c>
    </row>
    <row r="39">
      <c r="A39" s="17" t="n">
        <v>46357</v>
      </c>
      <c r="B39" s="14" t="inlineStr">
        <is>
          <t>Telecentro</t>
        </is>
      </c>
      <c r="C39" s="14" t="inlineStr">
        <is>
          <t>Telecentro CIUDAD — sin factura Gmail aún (Diciembre)</t>
        </is>
      </c>
      <c r="D39" s="15" t="n"/>
      <c r="E39" s="14" t="inlineStr"/>
      <c r="F39" s="18" t="inlineStr"/>
      <c r="G39" s="18" t="inlineStr"/>
      <c r="H39" s="14" t="inlineStr">
        <is>
          <t>Sin mail ¡Ya está disponible tu factura! — no cargar placeholder</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(no CIUDAD) ABL OHIGGINS partida 3016365 — ver OHIGGINS/Detalle</t>
        </is>
      </c>
      <c r="D52" s="26" t="n"/>
      <c r="E52" t="inlineStr">
        <is>
          <t>Mercado Pago — Dinero disponible</t>
        </is>
      </c>
      <c r="H52" t="inlineStr">
        <is>
          <t>SUPERSEDE · monto 88141 es OHIGGINS (&gt;80k) · no sumar a CIUDAD</t>
        </is>
      </c>
      <c r="I52" t="inlineStr">
        <is>
          <t>Marzo</t>
        </is>
      </c>
    </row>
    <row r="53">
      <c r="A53" s="25" t="n">
        <v>46066</v>
      </c>
      <c r="B53" t="inlineStr">
        <is>
          <t>ABL</t>
        </is>
      </c>
      <c r="C53" t="inlineStr">
        <is>
          <t>(no CIUDAD) ABL OHIGGINS partida 3016365 — ver OHIGGINS/Detalle</t>
        </is>
      </c>
      <c r="D53" s="26" t="n"/>
      <c r="E53" t="inlineStr">
        <is>
          <t>Mercado Pago — Dinero disponible</t>
        </is>
      </c>
      <c r="H53" t="inlineStr">
        <is>
          <t>SUPERSEDE · monto 83757 es OHIGGINS (&gt;80k) · no sumar a CIUDAD</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c r="H72" t="inlineStr">
        <is>
          <t>Gmail factura 06/2026 $48.419,26 · pago MP; mes=Junio</t>
        </is>
      </c>
      <c r="I72" t="inlineStr">
        <is>
          <t>Junio</t>
        </is>
      </c>
    </row>
    <row r="73">
      <c r="A73" s="53" t="n">
        <v>46203</v>
      </c>
      <c r="B73" s="14" t="inlineStr">
        <is>
          <t>Telecentro</t>
        </is>
      </c>
      <c r="C73" s="14" t="inlineStr">
        <is>
          <t>Telecentro CIUDAD — débito BBVA 30/06/2026 (julio)</t>
        </is>
      </c>
      <c r="D73" s="15" t="n">
        <v>31999</v>
      </c>
      <c r="E73" s="14" t="inlineStr">
        <is>
          <t>Débito BBVA</t>
        </is>
      </c>
      <c r="F73" s="18" t="inlineStr">
        <is>
          <t>3491192</t>
        </is>
      </c>
      <c r="H73" t="inlineStr">
        <is>
          <t>Gmail factura 07/2026 $31.999,00 · débito BBVA; mes=Julio</t>
        </is>
      </c>
      <c r="I73" t="inlineStr">
        <is>
          <t>Julio</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F76" t="inlineStr">
        <is>
          <t>3491192</t>
        </is>
      </c>
      <c r="H76" t="inlineStr">
        <is>
          <t>Gmail Telecentro 10/2026 $69.659 + Compra aprobada; mes=período factura Octubre (cobro 25/09)</t>
        </is>
      </c>
      <c r="I76" t="inlineStr">
        <is>
          <t>Octubre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5"/>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row r="214">
      <c r="A214" s="52" t="n">
        <v>46280</v>
      </c>
      <c r="B214" t="inlineStr">
        <is>
          <t>Septiembre</t>
        </is>
      </c>
      <c r="C214" t="inlineStr">
        <is>
          <t>Pago de resumen TC</t>
        </is>
      </c>
      <c r="D214" t="inlineStr">
        <is>
          <t>Pagaste una parte del resumen de tu tarjeta · Gmail</t>
        </is>
      </c>
      <c r="E214" t="n">
        <v>1214000</v>
      </c>
      <c r="F214" t="inlineStr">
        <is>
          <t>ARS</t>
        </is>
      </c>
    </row>
    <row r="215">
      <c r="A215" s="52" t="n">
        <v>46282</v>
      </c>
      <c r="B215" t="inlineStr">
        <is>
          <t>Septiembre</t>
        </is>
      </c>
      <c r="C215" t="inlineStr">
        <is>
          <t>Pago de resumen TC</t>
        </is>
      </c>
      <c r="D215" t="inlineStr">
        <is>
          <t>Pagaste una parte del resumen de tu tarjeta · Gmail</t>
        </is>
      </c>
      <c r="E215" t="n">
        <v>1000000</v>
      </c>
      <c r="F215" t="inlineStr">
        <is>
          <t>ARS</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row r="31">
      <c r="A31" s="52" t="n">
        <v>46280</v>
      </c>
      <c r="B31" t="inlineStr">
        <is>
          <t>Septiembre</t>
        </is>
      </c>
      <c r="C31" t="inlineStr">
        <is>
          <t>Tarjeta de crédito</t>
        </is>
      </c>
      <c r="D31" t="n">
        <v>1214000</v>
      </c>
      <c r="E31" t="inlineStr">
        <is>
          <t>Mercado Pago</t>
        </is>
      </c>
      <c r="F31" t="inlineStr">
        <is>
          <t>Pago parcial resumen · Gmail · espejo MP No Gasto</t>
        </is>
      </c>
    </row>
    <row r="32">
      <c r="A32" s="52" t="n">
        <v>46282</v>
      </c>
      <c r="B32" t="inlineStr">
        <is>
          <t>Septiembre</t>
        </is>
      </c>
      <c r="C32" t="inlineStr">
        <is>
          <t>Tarjeta de crédito</t>
        </is>
      </c>
      <c r="D32" t="n">
        <v>1000000</v>
      </c>
      <c r="E32" t="inlineStr">
        <is>
          <t>Mercado Pago</t>
        </is>
      </c>
      <c r="F32" t="inlineStr">
        <is>
          <t>Pago parcial resumen · Gmail · espejo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5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Courier</t>
        </is>
      </c>
      <c r="D174" s="26" t="n">
        <v>22500</v>
      </c>
      <c r="E174" t="inlineStr">
        <is>
          <t>Mercado Pago</t>
        </is>
      </c>
      <c r="F174" t="inlineStr">
        <is>
          <t>Courier · Correo Oficial · Gmail Pago aprobado · $22.500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Courier</t>
        </is>
      </c>
      <c r="D182" s="26" t="n">
        <v>48000</v>
      </c>
      <c r="E182" t="inlineStr">
        <is>
          <t>Mercado Pago</t>
        </is>
      </c>
      <c r="F182" t="inlineStr">
        <is>
          <t>Courier · Correo Oficial · Gmail Pago aprobado · $48.000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Courier</t>
        </is>
      </c>
      <c r="D842" t="n">
        <v>24000</v>
      </c>
      <c r="E842" t="inlineStr">
        <is>
          <t>Mercado Pago</t>
        </is>
      </c>
      <c r="F842" t="inlineStr">
        <is>
          <t>Courier · Correo Oficial · Gmail Pago aprobado · $24.000 · gasto personal Sol</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MOVIDO → Almacén</t>
        </is>
      </c>
      <c r="F861" t="inlineStr">
        <is>
          <t>SUPERSEDE · DR BARF / Gibiana Cova → Almacen Detalle · RAMON · Comida (no GPS)</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row r="944">
      <c r="A944" s="52" t="n">
        <v>46237</v>
      </c>
      <c r="B944" t="inlineStr">
        <is>
          <t>Agosto</t>
        </is>
      </c>
      <c r="C944" t="inlineStr">
        <is>
          <t>COMIDA · Oficina</t>
        </is>
      </c>
      <c r="D944" t="n">
        <v>11010</v>
      </c>
      <c r="E944" t="inlineStr">
        <is>
          <t>Mercado Pago</t>
        </is>
      </c>
      <c r="F944" t="inlineStr">
        <is>
          <t>COMIDA · Oficina · Copetin Catering · Gmail Pago aprobado</t>
        </is>
      </c>
    </row>
    <row r="945">
      <c r="A945" s="52" t="n">
        <v>46239</v>
      </c>
      <c r="B945" t="inlineStr">
        <is>
          <t>Agosto</t>
        </is>
      </c>
      <c r="C945" t="inlineStr">
        <is>
          <t>VESTIMENTA</t>
        </is>
      </c>
      <c r="D945" t="n">
        <v>152000</v>
      </c>
      <c r="E945" t="inlineStr">
        <is>
          <t>Mercado Pago</t>
        </is>
      </c>
      <c r="F945" t="inlineStr">
        <is>
          <t>VESTIMENTA · Renová tu vestidor · Gmail Pago aprobado · gasto personal Sol</t>
        </is>
      </c>
    </row>
    <row r="946">
      <c r="A946" s="52" t="n">
        <v>46243</v>
      </c>
      <c r="B946" t="inlineStr">
        <is>
          <t>Agosto</t>
        </is>
      </c>
      <c r="C946" t="inlineStr">
        <is>
          <t>SALUD</t>
        </is>
      </c>
      <c r="D946" t="n">
        <v>22222</v>
      </c>
      <c r="E946" t="inlineStr">
        <is>
          <t>Mercado Pago</t>
        </is>
      </c>
      <c r="F946" t="inlineStr">
        <is>
          <t>SALUD · Siendo Consciencia · Gmail Pago aprobado · REVISAR ítem</t>
        </is>
      </c>
    </row>
    <row r="947">
      <c r="A947" s="52" t="n">
        <v>46243</v>
      </c>
      <c r="B947" t="inlineStr">
        <is>
          <t>Agosto</t>
        </is>
      </c>
      <c r="C947" t="inlineStr">
        <is>
          <t>SALUD</t>
        </is>
      </c>
      <c r="D947" t="n">
        <v>24000</v>
      </c>
      <c r="E947" t="inlineStr">
        <is>
          <t>Mercado Pago</t>
        </is>
      </c>
      <c r="F947" t="inlineStr">
        <is>
          <t>SALUD · Lorena Ferreyra · Gmail Pago aprobado · REVISAR ítem</t>
        </is>
      </c>
    </row>
    <row r="948">
      <c r="A948" s="52" t="n">
        <v>46243</v>
      </c>
      <c r="B948" t="inlineStr">
        <is>
          <t>Agosto</t>
        </is>
      </c>
      <c r="C948" t="inlineStr">
        <is>
          <t>SALUD</t>
        </is>
      </c>
      <c r="D948" t="n">
        <v>75000</v>
      </c>
      <c r="E948" t="inlineStr">
        <is>
          <t>Mercado Pago</t>
        </is>
      </c>
      <c r="F948" t="inlineStr">
        <is>
          <t>SALUD · Lorena Ferreyra · Gmail Pago aprobado · REVISAR ítem</t>
        </is>
      </c>
    </row>
    <row r="949">
      <c r="A949" s="52" t="n">
        <v>46244</v>
      </c>
      <c r="B949" t="inlineStr">
        <is>
          <t>Agosto</t>
        </is>
      </c>
      <c r="C949" t="inlineStr">
        <is>
          <t>SALUD</t>
        </is>
      </c>
      <c r="D949" t="n">
        <v>356000</v>
      </c>
      <c r="E949" t="inlineStr">
        <is>
          <t>BBVA Crédito ****3200</t>
        </is>
      </c>
      <c r="F949" t="inlineStr">
        <is>
          <t>SALUD · Reiki · Gmail Pago aprobado · gasto personal Sol</t>
        </is>
      </c>
    </row>
    <row r="950">
      <c r="A950" s="52" t="n">
        <v>46244</v>
      </c>
      <c r="B950" t="inlineStr">
        <is>
          <t>Agosto</t>
        </is>
      </c>
      <c r="C950" t="inlineStr">
        <is>
          <t>COMIDA · Oficina</t>
        </is>
      </c>
      <c r="D950" t="n">
        <v>13600</v>
      </c>
      <c r="E950" t="inlineStr">
        <is>
          <t>TC Mercado Pago</t>
        </is>
      </c>
      <c r="F950" t="inlineStr">
        <is>
          <t>COMIDA · Oficina · Copetin Catering · Gmail Pago aprobado</t>
        </is>
      </c>
    </row>
    <row r="951">
      <c r="A951" s="52" t="n">
        <v>46255</v>
      </c>
      <c r="B951" t="inlineStr">
        <is>
          <t>Agosto</t>
        </is>
      </c>
      <c r="C951" t="inlineStr">
        <is>
          <t>SALUD</t>
        </is>
      </c>
      <c r="D951" t="n">
        <v>27000</v>
      </c>
      <c r="E951" t="inlineStr">
        <is>
          <t>Mercado Pago</t>
        </is>
      </c>
      <c r="F951" t="inlineStr">
        <is>
          <t>SALUD · Karen · Gmail Pago aprobado · REVISAR ítem</t>
        </is>
      </c>
    </row>
    <row r="952">
      <c r="A952" s="52" t="n">
        <v>46262</v>
      </c>
      <c r="B952" t="inlineStr">
        <is>
          <t>Agosto</t>
        </is>
      </c>
      <c r="C952" t="inlineStr">
        <is>
          <t>EDUCACIÓN</t>
        </is>
      </c>
      <c r="D952" t="n">
        <v>30000</v>
      </c>
      <c r="E952" t="inlineStr">
        <is>
          <t>Mercado Pago</t>
        </is>
      </c>
      <c r="F952" t="inlineStr">
        <is>
          <t>EDUCACIÓN · Bitgenia · Gmail Pago aprobado · gasto personal Sol</t>
        </is>
      </c>
    </row>
    <row r="953">
      <c r="A953" s="52" t="n">
        <v>46235</v>
      </c>
      <c r="B953" t="inlineStr">
        <is>
          <t>Agosto</t>
        </is>
      </c>
      <c r="C953" t="inlineStr">
        <is>
          <t>MOVIDO → Almacén</t>
        </is>
      </c>
      <c r="F953" t="inlineStr">
        <is>
          <t>SUPERSEDE · DR BARF / Gibiana Cova → Almacen Detalle · RAMON · Comida (no GPS)</t>
        </is>
      </c>
    </row>
    <row r="954">
      <c r="A954" s="52" t="n">
        <v>46299</v>
      </c>
      <c r="B954" t="inlineStr">
        <is>
          <t>Octubre</t>
        </is>
      </c>
      <c r="C954" t="inlineStr">
        <is>
          <t>FARMACIA SALUD</t>
        </is>
      </c>
      <c r="D954" t="n">
        <v>17038</v>
      </c>
      <c r="E954" t="inlineStr">
        <is>
          <t>Mercado Pago</t>
        </is>
      </c>
      <c r="F954" t="inlineStr">
        <is>
          <t>FARMACIA SALUD · Hiperfarmaceutica Temperley · Gmail Pago aprobado</t>
        </is>
      </c>
    </row>
    <row r="955">
      <c r="A955" s="52" t="n">
        <v>46300</v>
      </c>
      <c r="B955" t="inlineStr">
        <is>
          <t>Octubre</t>
        </is>
      </c>
      <c r="C955" t="inlineStr">
        <is>
          <t>VIAJES</t>
        </is>
      </c>
      <c r="D955" t="n">
        <v>1430000</v>
      </c>
      <c r="E955" t="inlineStr">
        <is>
          <t>TC Mercado Pago</t>
        </is>
      </c>
      <c r="F955" t="inlineStr">
        <is>
          <t>VIAJES · regalo Chris Cumple 50 · MARPATAG SRL · Gmail Pago aprobado · gasto personal Sol</t>
        </is>
      </c>
    </row>
    <row r="956">
      <c r="A956" s="52" t="n">
        <v>46304</v>
      </c>
      <c r="B956" t="inlineStr">
        <is>
          <t>Octubre</t>
        </is>
      </c>
      <c r="C956" t="inlineStr">
        <is>
          <t>PELUQUERÍA</t>
        </is>
      </c>
      <c r="D956" t="n">
        <v>7000</v>
      </c>
      <c r="E956" t="inlineStr">
        <is>
          <t>Mercado Pago</t>
        </is>
      </c>
      <c r="F956" t="inlineStr">
        <is>
          <t>PELUQUERÍA · Soy lashista · Gmail Pago aprobado (2 mails mismo monto; se carga 1)</t>
        </is>
      </c>
    </row>
    <row r="957">
      <c r="A957" s="52" t="n">
        <v>46306</v>
      </c>
      <c r="B957" t="inlineStr">
        <is>
          <t>Octubre</t>
        </is>
      </c>
      <c r="C957" t="inlineStr">
        <is>
          <t>VIAJES</t>
        </is>
      </c>
      <c r="D957" t="n">
        <v>1143000</v>
      </c>
      <c r="E957" t="inlineStr">
        <is>
          <t>BBVA Crédito ****3200</t>
        </is>
      </c>
      <c r="F957" t="inlineStr">
        <is>
          <t>VIAJES · regalo Chris Cumple 50 · Patagonia Chic Excursiones · Gmail Pago aprobado · 1 cuota · gasto personal Sol</t>
        </is>
      </c>
    </row>
    <row r="958">
      <c r="A958" s="52" t="n">
        <v>46254</v>
      </c>
      <c r="B958" t="inlineStr">
        <is>
          <t>Agosto</t>
        </is>
      </c>
      <c r="C958" t="inlineStr">
        <is>
          <t>Courier</t>
        </is>
      </c>
      <c r="D958" t="n">
        <v>24000</v>
      </c>
      <c r="E958" t="inlineStr">
        <is>
          <t>Mercado Pago</t>
        </is>
      </c>
      <c r="F958" t="inlineStr">
        <is>
          <t>Courier · Correo Oficial · Gmail Pago aprobado · $24.000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2026-10-12T22:07:30Z</dcterms:modified>
</cp:coreProperties>
</file>
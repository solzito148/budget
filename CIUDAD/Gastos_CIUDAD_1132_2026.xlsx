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5"/>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v>75000</v>
      </c>
      <c r="G11" s="5" t="n">
        <v>155000</v>
      </c>
      <c r="H11" s="5" t="n">
        <v>125000</v>
      </c>
      <c r="I11" s="5" t="n">
        <v>135000</v>
      </c>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t="inlineStr">
        <is>
          <t>• PedidosYa Plus / suscripciones PedidosYa → CIUDAD SUSCRIPCIONES (no Gasto Personal Sol)</t>
        </is>
      </c>
    </row>
    <row r="23">
      <c r="A23" s="11" t="inlineStr">
        <is>
          <t>Notas</t>
        </is>
      </c>
    </row>
    <row r="24">
      <c r="A24" t="inlineStr">
        <is>
          <t>• Catálogo fijo de conceptos CIUDAD 1132</t>
        </is>
      </c>
    </row>
    <row r="25">
      <c r="A25" t="inlineStr">
        <is>
          <t>• Telecentro: $50.000 mensuales hasta nuevo aviso</t>
        </is>
      </c>
    </row>
    <row r="26">
      <c r="A26" t="inlineStr">
        <is>
          <t>• Montos enteros, siempre redondeados hacia arriba</t>
        </is>
      </c>
    </row>
    <row r="27">
      <c r="A27" t="inlineStr">
        <is>
          <t>• Expensas: abr $235.210 (banco 7-abr → Consorcio De Propiet Patagonia); may/jun desde MP con período Gmail (pago jun=mayo, pago jul=junio). Julio período pendiente.</t>
        </is>
      </c>
    </row>
    <row r="28">
      <c r="A28" t="inlineStr">
        <is>
          <t>• En Detalle: Forma de pago, N° Cliente y N° Medidor cuando existan</t>
        </is>
      </c>
    </row>
    <row r="29">
      <c r="A29" t="inlineStr">
        <is>
          <t>• ALMACEN SOL / ALMACEN CHRIS: totales automáticos desde hoja "Almacen Detalle"</t>
        </is>
      </c>
    </row>
    <row r="30">
      <c r="A30" t="inlineStr">
        <is>
          <t>• TRANSPORTE (Cabify/Uber/Didi/Emova) → solo Gasto Personal Sol; sin fila en matriz 2026</t>
        </is>
      </c>
    </row>
    <row r="31">
      <c r="A31" s="30" t="inlineStr">
        <is>
          <t>• Dinero retirado: hoja "Dinero Retirado" (no suma al TOTAL de gastos)</t>
        </is>
      </c>
    </row>
    <row r="32">
      <c r="A32" s="30" t="inlineStr">
        <is>
          <t>• FARMACIA · Farmacity → Almacen Detalle. Farmacia Maure / Selma → Gasto Personal Sol · FARMACIA SALUD</t>
        </is>
      </c>
    </row>
    <row r="33">
      <c r="A33" s="30" t="inlineStr">
        <is>
          <t>• Personal (Pago directo): va a OHIGGINS → TV CABLE-INTERNET — no CIUDAD</t>
        </is>
      </c>
    </row>
    <row r="34">
      <c r="A34" s="30" t="inlineStr">
        <is>
          <t>• Inversión: hoja "Inversión" (bonos, plazos fijos y otros; no suma al TOTAL de gastos)</t>
        </is>
      </c>
    </row>
    <row r="35">
      <c r="A35" s="30" t="inlineStr">
        <is>
          <t>• Transferencias recibidas: hoja "Transferencias recibidas" (no suma al total de gastos)</t>
        </is>
      </c>
    </row>
    <row r="36">
      <c r="A36" s="30" t="inlineStr">
        <is>
          <t>• Expensas consorcios: hoja "Expensas Consorcios" (Consorcio De Propiet = CIUDAD; no ALMACEN SOL)</t>
        </is>
      </c>
    </row>
    <row r="37">
      <c r="A37" s="30" t="inlineStr">
        <is>
          <t>• Gasto personal Sol (Tuenti, Apple, ropa, ML, extras, transferencias a terceros): hoja "Gasto Personal Sol" (no suma al total CIUDAD)</t>
        </is>
      </c>
    </row>
    <row r="38">
      <c r="A38" t="inlineStr">
        <is>
          <t>• Pago de tarjetas: hoja "Pago de Tarjetas" (pago de resumen TC; no es gasto nuevo de la matriz)</t>
        </is>
      </c>
    </row>
    <row r="39">
      <c r="A39" t="inlineStr">
        <is>
          <t>• ALMACEN SOL: solo comida/súper/combustible en "Almacen Detalle". Resto personal → "Gasto Personal Sol"</t>
        </is>
      </c>
    </row>
    <row r="40">
      <c r="A40" t="inlineStr">
        <is>
          <t>• ABL CIUDAD: partida AGIP 397789 (OHIGGINS = 3016365 → otra carpeta)</t>
        </is>
      </c>
    </row>
    <row r="41">
      <c r="A41" t="inlineStr">
        <is>
          <t>• Edesur → BONORINO. Edenor: Sanes=CIUDAD; Ivilmar/Marta Chagas=OHIGGINS. Telecentro=CIUDAD.</t>
        </is>
      </c>
    </row>
    <row r="42">
      <c r="A42" t="inlineStr">
        <is>
          <t>• STREAMING: Spotify (BBVA Visa USD) → ARS con TC MEP del mes (tabla AVA). Fila STREAMING / Streaming música — Spotify</t>
        </is>
      </c>
    </row>
    <row r="43">
      <c r="A43" t="inlineStr">
        <is>
          <t>• GAS CIUDAD (Metrogas 30010996459): mes = fecha de cobro BBVA / pago / vencimiento factura — no período de consumo</t>
        </is>
      </c>
    </row>
    <row r="44">
      <c r="A44" t="inlineStr">
        <is>
          <t>• FARMACIA · Farmacity y REPUESTOS · Sodastream → hoja "Almacen Detalle" (suman en ALMACEN SOL)</t>
        </is>
      </c>
    </row>
    <row r="45">
      <c r="A45"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IF(OR(D7&lt;&gt;"",E7&lt;&gt;""),IF(D7="",0,D7)+IF(E7="",0,E7),"")</f>
        <v/>
      </c>
      <c r="G6" s="14" t="inlineStr">
        <is>
          <t>COMIDA · pollo · BBVA MASTERCARD · neto (bonif 11003)</t>
        </is>
      </c>
    </row>
    <row r="7">
      <c r="A7" s="14" t="inlineStr">
        <is>
          <t>Enero</t>
        </is>
      </c>
      <c r="B7" s="17" t="n">
        <v>46049</v>
      </c>
      <c r="C7" s="14" t="inlineStr">
        <is>
          <t>PEDIDOS YA · SUPERMERCADO · propina</t>
        </is>
      </c>
      <c r="D7" s="27" t="n">
        <v>750</v>
      </c>
      <c r="E7" s="28" t="n"/>
      <c r="F7" s="15">
        <f>IF(OR(D8&lt;&gt;"",E8&lt;&gt;""),IF(D8="",0,D8)+IF(E8="",0,E8),"")</f>
        <v/>
      </c>
      <c r="G7" s="14" t="inlineStr">
        <is>
          <t>PEDIDOS YA · SUPERMERCADO · propina</t>
        </is>
      </c>
    </row>
    <row r="8">
      <c r="A8" s="14" t="inlineStr">
        <is>
          <t>Enero</t>
        </is>
      </c>
      <c r="B8" s="17" t="n">
        <v>46049</v>
      </c>
      <c r="C8" s="14" t="inlineStr">
        <is>
          <t>PEDIDOS YA · SUPERMERCADO</t>
        </is>
      </c>
      <c r="D8" s="27" t="n">
        <v>35404</v>
      </c>
      <c r="E8" s="28" t="n"/>
      <c r="F8" s="15">
        <f>IF(OR(D9&lt;&gt;"",E9&lt;&gt;""),IF(D9="",0,D9)+IF(E9="",0,E9),"")</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IF(OR(D17&lt;&gt;"",E17&lt;&gt;""),IF(D17="",0,D17)+IF(E17="",0,E17),"")</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IF(OR(D19&lt;&gt;"",E19&lt;&gt;""),IF(D19="",0,D19)+IF(E19="",0,E19),"")</f>
        <v/>
      </c>
      <c r="G17" s="14" t="inlineStr">
        <is>
          <t>COMIDA · HAVANNA</t>
        </is>
      </c>
    </row>
    <row r="18">
      <c r="A18" s="14" t="inlineStr">
        <is>
          <t>Enero</t>
        </is>
      </c>
      <c r="B18" s="17" t="n">
        <v>46032</v>
      </c>
      <c r="C18" s="14" t="inlineStr">
        <is>
          <t>PEDIDOS YA · COMIDA · propina</t>
        </is>
      </c>
      <c r="D18" s="27" t="n">
        <v>1000</v>
      </c>
      <c r="E18" s="28" t="n"/>
      <c r="F18" s="15">
        <f>IF(OR(D20&lt;&gt;"",E20&lt;&gt;""),IF(D20="",0,D20)+IF(E20="",0,E20),"")</f>
        <v/>
      </c>
      <c r="G18" s="14" t="inlineStr">
        <is>
          <t>PEDIDOS YA · COMIDA · propina</t>
        </is>
      </c>
    </row>
    <row r="19">
      <c r="A19" s="14" t="inlineStr">
        <is>
          <t>Enero</t>
        </is>
      </c>
      <c r="B19" s="17" t="n">
        <v>46032</v>
      </c>
      <c r="C19" s="14" t="inlineStr">
        <is>
          <t>PEDIDOS YA · COMIDA</t>
        </is>
      </c>
      <c r="D19" s="27" t="n">
        <v>51455</v>
      </c>
      <c r="E19" s="28" t="n"/>
      <c r="F19" s="15">
        <f>IF(OR(D21&lt;&gt;"",E21&lt;&gt;""),IF(D21="",0,D21)+IF(E21="",0,E21),"")</f>
        <v/>
      </c>
      <c r="G19" s="14" t="inlineStr">
        <is>
          <t>PEDIDOS YA · COMIDA · neto</t>
        </is>
      </c>
    </row>
    <row r="20">
      <c r="A20" s="14" t="inlineStr">
        <is>
          <t>Enero</t>
        </is>
      </c>
      <c r="B20" s="17" t="n">
        <v>46030</v>
      </c>
      <c r="C20" s="14" t="inlineStr">
        <is>
          <t>PEDIDOS YA · COMIDA · propina</t>
        </is>
      </c>
      <c r="D20" s="27" t="n">
        <v>750</v>
      </c>
      <c r="E20" s="28" t="n"/>
      <c r="F20" s="15">
        <f>IF(OR(D22&lt;&gt;"",E22&lt;&gt;""),IF(D22="",0,D22)+IF(E22="",0,E22),"")</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IF(OR(D25&lt;&gt;"",E25&lt;&gt;""),IF(D25="",0,D25)+IF(E25="",0,E25),"")</f>
        <v/>
      </c>
      <c r="G23" s="14" t="inlineStr">
        <is>
          <t>MP · Shell · ex `Combustible — Shell (5/1)`</t>
        </is>
      </c>
    </row>
    <row r="24">
      <c r="A24" s="14" t="inlineStr">
        <is>
          <t>Enero</t>
        </is>
      </c>
      <c r="B24" s="17" t="n">
        <v>46027</v>
      </c>
      <c r="C24" s="14" t="inlineStr">
        <is>
          <t>Combustible — Shell</t>
        </is>
      </c>
      <c r="D24" s="27" t="n">
        <v>46</v>
      </c>
      <c r="E24" s="28" t="n"/>
      <c r="F24" s="15">
        <f>IF(OR(D26&lt;&gt;"",E26&lt;&gt;""),IF(D26="",0,D26)+IF(E26="",0,E26),"")</f>
        <v/>
      </c>
      <c r="G24" s="14" t="inlineStr">
        <is>
          <t>MP · Shell · ex `Combustible — Shell (5/1b)`</t>
        </is>
      </c>
    </row>
    <row r="25">
      <c r="A25" s="14" t="inlineStr">
        <is>
          <t>Enero</t>
        </is>
      </c>
      <c r="B25" s="17" t="n">
        <v>46027</v>
      </c>
      <c r="C25" s="14" t="inlineStr">
        <is>
          <t>SUPERMERCADO · Día</t>
        </is>
      </c>
      <c r="D25" s="27" t="n">
        <v>15092</v>
      </c>
      <c r="E25" s="28" t="n"/>
      <c r="F25" s="15">
        <f>IF(OR(D27&lt;&gt;"",E27&lt;&gt;""),IF(D27="",0,D27)+IF(E27="",0,E27),"")</f>
        <v/>
      </c>
      <c r="G25" s="14" t="inlineStr">
        <is>
          <t>SUPERMERCADO · Día</t>
        </is>
      </c>
    </row>
    <row r="26">
      <c r="A26" s="14" t="inlineStr">
        <is>
          <t>Enero</t>
        </is>
      </c>
      <c r="B26" s="17" t="n">
        <v>46025</v>
      </c>
      <c r="C26" s="14" t="inlineStr">
        <is>
          <t>SUPERMERCADO · Día</t>
        </is>
      </c>
      <c r="D26" s="27" t="n">
        <v>3624</v>
      </c>
      <c r="E26" s="28" t="n"/>
      <c r="F26" s="15">
        <f>IF(OR(D28&lt;&gt;"",E28&lt;&gt;""),IF(D28="",0,D28)+IF(E28="",0,E28),"")</f>
        <v/>
      </c>
      <c r="G26" s="14" t="inlineStr">
        <is>
          <t>SUPERMERCADO · Día</t>
        </is>
      </c>
    </row>
    <row r="27">
      <c r="A27" s="14" t="inlineStr">
        <is>
          <t>Enero</t>
        </is>
      </c>
      <c r="B27" s="17" t="n">
        <v>46024</v>
      </c>
      <c r="C27" s="14" t="inlineStr">
        <is>
          <t>SUPERMERCADO · Día</t>
        </is>
      </c>
      <c r="D27" s="27" t="n">
        <v>17603</v>
      </c>
      <c r="E27" s="28" t="n"/>
      <c r="F27" s="15">
        <f>IF(OR(D29&lt;&gt;"",E29&lt;&gt;""),IF(D29="",0,D29)+IF(E29="",0,E29),"")</f>
        <v/>
      </c>
      <c r="G27" s="14" t="inlineStr">
        <is>
          <t>SUPERMERCADO · Día</t>
        </is>
      </c>
    </row>
    <row r="28">
      <c r="A28" s="14" t="inlineStr">
        <is>
          <t>Enero</t>
        </is>
      </c>
      <c r="B28" s="17" t="n">
        <v>46024</v>
      </c>
      <c r="C28" s="14" t="inlineStr">
        <is>
          <t>SUPERMERCADO · Carrefour</t>
        </is>
      </c>
      <c r="D28" s="27" t="n">
        <v>8037</v>
      </c>
      <c r="E28" s="28" t="n"/>
      <c r="F28" s="15">
        <f>IF(OR(D30&lt;&gt;"",E30&lt;&gt;""),IF(D30="",0,D30)+IF(E30="",0,E30),"")</f>
        <v/>
      </c>
      <c r="G28" s="14" t="inlineStr">
        <is>
          <t>SUPERMERCADO · Carrefour</t>
        </is>
      </c>
    </row>
    <row r="29">
      <c r="A29" s="14" t="inlineStr">
        <is>
          <t>Enero</t>
        </is>
      </c>
      <c r="B29" s="17" t="n">
        <v>46024</v>
      </c>
      <c r="C29" s="14" t="inlineStr">
        <is>
          <t>SUPERMERCADO · Día</t>
        </is>
      </c>
      <c r="D29" s="27" t="n">
        <v>4005</v>
      </c>
      <c r="E29" s="28" t="n"/>
      <c r="F29" s="15">
        <f>IF(OR(D31&lt;&gt;"",E31&lt;&gt;""),IF(D31="",0,D31)+IF(E31="",0,E31),"")</f>
        <v/>
      </c>
      <c r="G29" s="14" t="inlineStr">
        <is>
          <t>SUPERMERCADO · Día</t>
        </is>
      </c>
    </row>
    <row r="30">
      <c r="A30" s="14" t="inlineStr">
        <is>
          <t>Enero</t>
        </is>
      </c>
      <c r="B30" s="17" t="n">
        <v>46026</v>
      </c>
      <c r="C30" s="14" t="inlineStr">
        <is>
          <t>COMIDA · VERDULERÍA</t>
        </is>
      </c>
      <c r="D30" s="27" t="n">
        <v>8180</v>
      </c>
      <c r="E30" s="28" t="n"/>
      <c r="F30" s="15">
        <f>IF(OR(D32&lt;&gt;"",E32&lt;&gt;""),IF(D32="",0,D32)+IF(E32="",0,E32),"")</f>
        <v/>
      </c>
      <c r="G30" s="14" t="inlineStr">
        <is>
          <t>COMIDA · VERDULERÍA</t>
        </is>
      </c>
    </row>
    <row r="31">
      <c r="A31" s="14" t="inlineStr">
        <is>
          <t>Enero</t>
        </is>
      </c>
      <c r="B31" s="17" t="n">
        <v>46032</v>
      </c>
      <c r="C31" s="14" t="inlineStr">
        <is>
          <t>RAMON · Comida</t>
        </is>
      </c>
      <c r="D31" s="27" t="n">
        <v>77748</v>
      </c>
      <c r="E31" s="28" t="n"/>
      <c r="F31" s="15">
        <f>IF(OR(D33&lt;&gt;"",E33&lt;&gt;""),IF(D33="",0,D33)+IF(E33="",0,E33),"")</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IF(OR(D35&lt;&gt;"",E35&lt;&gt;""),IF(D35="",0,D35)+IF(E35="",0,E35),"")</f>
        <v/>
      </c>
      <c r="G33" s="14" t="inlineStr">
        <is>
          <t>PEDIDOS YA · SUPERMERCADO · propina · BBVA TC Visa</t>
        </is>
      </c>
    </row>
    <row r="34">
      <c r="A34" s="14" t="inlineStr">
        <is>
          <t>Enero</t>
        </is>
      </c>
      <c r="B34" s="53" t="n">
        <v>46034</v>
      </c>
      <c r="C34" s="14" t="inlineStr">
        <is>
          <t>PEDIDOS YA · SUPERMERCADO</t>
        </is>
      </c>
      <c r="D34" s="27" t="n">
        <v>54750</v>
      </c>
      <c r="E34" s="28" t="n"/>
      <c r="F34" s="15">
        <f>IF(OR(D36&lt;&gt;"",E36&lt;&gt;""),IF(D36="",0,D36)+IF(E36="",0,E36),"")</f>
        <v/>
      </c>
      <c r="G34" s="14" t="inlineStr">
        <is>
          <t>PEDIDOS YA · SUPERMERCADO · BBVA TC Visa</t>
        </is>
      </c>
    </row>
    <row r="35">
      <c r="A35" s="14" t="inlineStr">
        <is>
          <t>Enero</t>
        </is>
      </c>
      <c r="B35" s="53" t="n">
        <v>46038</v>
      </c>
      <c r="C35" s="14" t="inlineStr">
        <is>
          <t>PEDIDOS YA · SUPERMERCADO · propina</t>
        </is>
      </c>
      <c r="D35" s="27" t="n">
        <v>700</v>
      </c>
      <c r="E35" s="28" t="n"/>
      <c r="F35" s="15">
        <f>IF(OR(D37&lt;&gt;"",E37&lt;&gt;""),IF(D37="",0,D37)+IF(E37="",0,E37),"")</f>
        <v/>
      </c>
      <c r="G35" s="14" t="inlineStr">
        <is>
          <t>PEDIDOS YA · SUPERMERCADO · propina · BBVA TC Visa</t>
        </is>
      </c>
    </row>
    <row r="36">
      <c r="A36" s="14" t="inlineStr">
        <is>
          <t>Enero</t>
        </is>
      </c>
      <c r="B36" s="53" t="n">
        <v>46038</v>
      </c>
      <c r="C36" s="14" t="inlineStr">
        <is>
          <t>PEDIDOS YA · SUPERMERCADO</t>
        </is>
      </c>
      <c r="D36" s="27" t="n">
        <v>78882</v>
      </c>
      <c r="E36" s="28" t="n"/>
      <c r="F36" s="15">
        <f>IF(OR(D38&lt;&gt;"",E38&lt;&gt;""),IF(D38="",0,D38)+IF(E38="",0,E38),"")</f>
        <v/>
      </c>
      <c r="G36" s="14" t="inlineStr">
        <is>
          <t>PEDIDOS YA · SUPERMERCADO · BBVA TC Visa</t>
        </is>
      </c>
    </row>
    <row r="37">
      <c r="A37" s="14" t="inlineStr">
        <is>
          <t>Enero</t>
        </is>
      </c>
      <c r="B37" s="53" t="n">
        <v>46038</v>
      </c>
      <c r="C37" s="14" t="inlineStr">
        <is>
          <t>PEDIDOS YA · SUPERMERCADO</t>
        </is>
      </c>
      <c r="D37" s="27" t="n">
        <v>4425</v>
      </c>
      <c r="E37" s="28" t="n"/>
      <c r="F37" s="15">
        <f>IF(OR(D39&lt;&gt;"",E39&lt;&gt;""),IF(D39="",0,D39)+IF(E39="",0,E39),"")</f>
        <v/>
      </c>
      <c r="G37" s="14" t="inlineStr">
        <is>
          <t>PEDIDOS YA · SUPERMERCADO · BBVA TC Visa</t>
        </is>
      </c>
    </row>
    <row r="38">
      <c r="A38" s="14" t="inlineStr">
        <is>
          <t>Enero</t>
        </is>
      </c>
      <c r="B38" s="53" t="n">
        <v>46043</v>
      </c>
      <c r="C38" s="14" t="inlineStr">
        <is>
          <t>PEDIDOS YA · SUPERMERCADO · propina</t>
        </is>
      </c>
      <c r="D38" s="27" t="n">
        <v>400</v>
      </c>
      <c r="E38" s="28" t="n"/>
      <c r="F38" s="15">
        <f>IF(OR(D40&lt;&gt;"",E40&lt;&gt;""),IF(D40="",0,D40)+IF(E40="",0,E40),"")</f>
        <v/>
      </c>
      <c r="G38" s="14" t="inlineStr">
        <is>
          <t>PEDIDOS YA · SUPERMERCADO · propina · BBVA TC Visa</t>
        </is>
      </c>
    </row>
    <row r="39">
      <c r="A39" s="14" t="inlineStr">
        <is>
          <t>Enero</t>
        </is>
      </c>
      <c r="B39" s="53" t="n">
        <v>46043</v>
      </c>
      <c r="C39" s="14" t="inlineStr">
        <is>
          <t>PEDIDOS YA · SUPERMERCADO</t>
        </is>
      </c>
      <c r="D39" s="27" t="n">
        <v>2599</v>
      </c>
      <c r="E39" s="28" t="n"/>
      <c r="F39" s="15">
        <f>IF(OR(D41&lt;&gt;"",E41&lt;&gt;""),IF(D41="",0,D41)+IF(E41="",0,E41),"")</f>
        <v/>
      </c>
      <c r="G39" s="14" t="inlineStr">
        <is>
          <t>PEDIDOS YA · SUPERMERCADO · BBVA TC Visa</t>
        </is>
      </c>
    </row>
    <row r="40">
      <c r="A40" s="14" t="inlineStr">
        <is>
          <t>Enero</t>
        </is>
      </c>
      <c r="B40" s="53" t="n">
        <v>46045</v>
      </c>
      <c r="C40" s="14" t="inlineStr">
        <is>
          <t>COMIDA · HAVANNA</t>
        </is>
      </c>
      <c r="D40" s="27" t="n">
        <v>23700</v>
      </c>
      <c r="E40" s="28" t="n"/>
      <c r="F40" s="15">
        <f>IF(OR(D42&lt;&gt;"",E42&lt;&gt;""),IF(D42="",0,D42)+IF(E42="",0,E42),"")</f>
        <v/>
      </c>
      <c r="G40" s="14" t="inlineStr">
        <is>
          <t>COMIDA · HAVANNA · BBVA MASTERCARD</t>
        </is>
      </c>
    </row>
    <row r="41">
      <c r="A41" s="14" t="inlineStr">
        <is>
          <t>Enero</t>
        </is>
      </c>
      <c r="B41" s="53" t="n">
        <v>46042</v>
      </c>
      <c r="C41" s="14" t="inlineStr">
        <is>
          <t>COMIDA · pollo</t>
        </is>
      </c>
      <c r="D41" s="27" t="n">
        <v>26202</v>
      </c>
      <c r="E41" s="28" t="n"/>
      <c r="F41" s="15">
        <f>IF(OR(D43&lt;&gt;"",E43&lt;&gt;""),IF(D43="",0,D43)+IF(E43="",0,E43),"")</f>
        <v/>
      </c>
      <c r="G41" s="14" t="inlineStr">
        <is>
          <t>COMIDA · pollo · BBVA MASTERCARD · neto (bonif 11018)</t>
        </is>
      </c>
    </row>
    <row r="42">
      <c r="A42" s="14" t="inlineStr">
        <is>
          <t>Enero</t>
        </is>
      </c>
      <c r="B42" s="17" t="n">
        <v>46043</v>
      </c>
      <c r="C42" s="14" t="inlineStr">
        <is>
          <t>SUPERMERCADO · Día</t>
        </is>
      </c>
      <c r="D42" s="27" t="n">
        <v>24834</v>
      </c>
      <c r="E42" s="28" t="n"/>
      <c r="F42" s="15" t="n"/>
      <c r="G42" s="14" t="inlineStr">
        <is>
          <t>SUPERMERCADO · Día · SUPERDIA · BBVA MASTERCARD · ALMACEN SOL</t>
        </is>
      </c>
    </row>
    <row r="43">
      <c r="A43" s="14" t="inlineStr">
        <is>
          <t>Enero</t>
        </is>
      </c>
      <c r="B43" s="17" t="n">
        <v>46045</v>
      </c>
      <c r="C43" s="14" t="inlineStr">
        <is>
          <t>SUPERMERCADO · Día</t>
        </is>
      </c>
      <c r="D43" s="27" t="n">
        <v>137929</v>
      </c>
      <c r="E43" s="28" t="n"/>
      <c r="F43" s="15" t="n"/>
      <c r="G43" s="14" t="inlineStr">
        <is>
          <t>SUPERMERCADO · Día · SUPERDIA · BBVA MASTERCARD · ALMACEN SOL</t>
        </is>
      </c>
    </row>
    <row r="44">
      <c r="A44" s="14" t="inlineStr">
        <is>
          <t>Enero</t>
        </is>
      </c>
      <c r="B44" s="17" t="n">
        <v>46035</v>
      </c>
      <c r="C44" s="14" t="inlineStr">
        <is>
          <t>RAMON · Veterinario</t>
        </is>
      </c>
      <c r="D44" s="27" t="n">
        <v>44100</v>
      </c>
      <c r="E44" s="28" t="n"/>
      <c r="F44" s="15" t="n"/>
      <c r="G44" s="14" t="inlineStr">
        <is>
          <t>RAMON · Veterinario · Valeria Mele / El Perro Verde · ALMACEN SOL</t>
        </is>
      </c>
    </row>
    <row r="45">
      <c r="A45" s="14" t="inlineStr">
        <is>
          <t>Enero</t>
        </is>
      </c>
      <c r="B45" s="17" t="n">
        <v>46046</v>
      </c>
      <c r="C45" s="14" t="inlineStr">
        <is>
          <t>RAMON · Veterinario</t>
        </is>
      </c>
      <c r="D45" s="27" t="n">
        <v>16200</v>
      </c>
      <c r="E45" s="28" t="n"/>
      <c r="F45" s="15" t="n"/>
      <c r="G45" s="14" t="inlineStr">
        <is>
          <t>RAMON · Veterinario · Valeria Mele / El Perro Verde · ALMACEN SOL</t>
        </is>
      </c>
    </row>
    <row r="46">
      <c r="A46" s="14" t="inlineStr">
        <is>
          <t>Enero</t>
        </is>
      </c>
      <c r="B46" s="17" t="n">
        <v>46050</v>
      </c>
      <c r="C46" s="14" t="inlineStr">
        <is>
          <t>RAMON · Veterinario</t>
        </is>
      </c>
      <c r="D46" s="27" t="n">
        <v>145400</v>
      </c>
      <c r="E46" s="28" t="n"/>
      <c r="F46" s="15" t="n"/>
      <c r="G46" s="14" t="inlineStr">
        <is>
          <t>RAMON · Veterinario · Valeria Mele / El Perro Verde · ALMACEN SOL</t>
        </is>
      </c>
    </row>
    <row r="47">
      <c r="A47" s="10" t="inlineStr">
        <is>
          <t>TOTAL ENERO</t>
        </is>
      </c>
      <c r="B47" s="22" t="n"/>
      <c r="C47" s="29" t="inlineStr">
        <is>
          <t>Totales mes →</t>
        </is>
      </c>
      <c r="D47" s="7">
        <f>SUM(D4:D46)</f>
        <v/>
      </c>
      <c r="E47" s="7">
        <f>SUM(E4:E46)</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IF(OR(D46&lt;&gt;"",E46&lt;&gt;""),IF(D46="",0,D46)+IF(E46="",0,E46),"")</f>
        <v/>
      </c>
      <c r="G49" s="14" t="inlineStr">
        <is>
          <t>MP · Shell</t>
        </is>
      </c>
    </row>
    <row r="50">
      <c r="A50" s="14" t="inlineStr">
        <is>
          <t>Febrero</t>
        </is>
      </c>
      <c r="B50" s="17" t="n">
        <v>46081</v>
      </c>
      <c r="C50" s="14" t="inlineStr">
        <is>
          <t>Combustible — Shell</t>
        </is>
      </c>
      <c r="D50" s="27" t="n">
        <v>418</v>
      </c>
      <c r="E50" s="28" t="n"/>
      <c r="F50" s="15">
        <f>IF(OR(D47&lt;&gt;"",E47&lt;&gt;""),IF(D47="",0,D47)+IF(E47="",0,E47),"")</f>
        <v/>
      </c>
      <c r="G50" s="14" t="inlineStr">
        <is>
          <t>MP · Shell</t>
        </is>
      </c>
    </row>
    <row r="51">
      <c r="A51" s="14" t="inlineStr">
        <is>
          <t>Febrero</t>
        </is>
      </c>
      <c r="B51" s="17" t="n">
        <v>46081</v>
      </c>
      <c r="C51" s="14" t="inlineStr">
        <is>
          <t>Combustible — Shell</t>
        </is>
      </c>
      <c r="D51" s="27" t="n">
        <v>788</v>
      </c>
      <c r="E51" s="28" t="n"/>
      <c r="F51" s="15">
        <f>IF(OR(D48&lt;&gt;"",E48&lt;&gt;""),IF(D48="",0,D48)+IF(E48="",0,E48),"")</f>
        <v/>
      </c>
      <c r="G51" s="14" t="inlineStr">
        <is>
          <t>MP · Shell</t>
        </is>
      </c>
    </row>
    <row r="52">
      <c r="A52" s="14" t="inlineStr">
        <is>
          <t>Febrero</t>
        </is>
      </c>
      <c r="B52" s="17" t="n">
        <v>46081</v>
      </c>
      <c r="C52" s="14" t="inlineStr">
        <is>
          <t>Combustible — Shell</t>
        </is>
      </c>
      <c r="D52" s="27" t="n">
        <v>605</v>
      </c>
      <c r="E52" s="28" t="n"/>
      <c r="F52" s="15">
        <f>IF(OR(D49&lt;&gt;"",E49&lt;&gt;""),IF(D49="",0,D49)+IF(E49="",0,E49),"")</f>
        <v/>
      </c>
      <c r="G52" s="14" t="inlineStr">
        <is>
          <t>MP · Shell</t>
        </is>
      </c>
    </row>
    <row r="53">
      <c r="A53" s="14" t="inlineStr">
        <is>
          <t>Febrero</t>
        </is>
      </c>
      <c r="B53" s="17" t="n">
        <v>46075</v>
      </c>
      <c r="C53" s="14" t="inlineStr">
        <is>
          <t>COMIDA · HAVANNA</t>
        </is>
      </c>
      <c r="D53" s="27" t="n">
        <v>9600</v>
      </c>
      <c r="E53" s="28" t="n"/>
      <c r="F53" s="15">
        <f>IF(OR(D51&lt;&gt;"",E51&lt;&gt;""),IF(D51="",0,D51)+IF(E51="",0,E51),"")</f>
        <v/>
      </c>
      <c r="G53" s="14" t="inlineStr">
        <is>
          <t>COMIDA · HAVANNA</t>
        </is>
      </c>
    </row>
    <row r="54">
      <c r="A54" s="14" t="inlineStr">
        <is>
          <t>Febrero</t>
        </is>
      </c>
      <c r="B54" s="17" t="n">
        <v>46073</v>
      </c>
      <c r="C54" s="14" t="inlineStr">
        <is>
          <t>COMIDA · HAVANNA</t>
        </is>
      </c>
      <c r="D54" s="27" t="n">
        <v>9600</v>
      </c>
      <c r="E54" s="28" t="n"/>
      <c r="F54" s="15">
        <f>IF(OR(D52&lt;&gt;"",E52&lt;&gt;""),IF(D52="",0,D52)+IF(E52="",0,E52),"")</f>
        <v/>
      </c>
      <c r="G54" s="14" t="inlineStr">
        <is>
          <t>COMIDA · HAVANNA</t>
        </is>
      </c>
    </row>
    <row r="55">
      <c r="A55" s="14" t="inlineStr">
        <is>
          <t>Febrero</t>
        </is>
      </c>
      <c r="B55" s="17" t="n">
        <v>46071</v>
      </c>
      <c r="C55" s="14" t="inlineStr">
        <is>
          <t>SUPERMERCADO · Día</t>
        </is>
      </c>
      <c r="D55" s="27" t="n">
        <v>37335</v>
      </c>
      <c r="E55" s="28" t="n"/>
      <c r="F55" s="15">
        <f>IF(OR(D53&lt;&gt;"",E53&lt;&gt;""),IF(D53="",0,D53)+IF(E53="",0,E53),"")</f>
        <v/>
      </c>
      <c r="G55" s="14" t="inlineStr">
        <is>
          <t>SUPERMERCADO · Día</t>
        </is>
      </c>
    </row>
    <row r="56">
      <c r="A56" s="14" t="inlineStr">
        <is>
          <t>Febrero</t>
        </is>
      </c>
      <c r="B56" s="17" t="n">
        <v>46067</v>
      </c>
      <c r="C56" s="14" t="inlineStr">
        <is>
          <t>SUPERMERCADO · Día</t>
        </is>
      </c>
      <c r="D56" s="27" t="n">
        <v>5622</v>
      </c>
      <c r="E56" s="28" t="n"/>
      <c r="F56" s="15">
        <f>IF(OR(D55&lt;&gt;"",E55&lt;&gt;""),IF(D55="",0,D55)+IF(E55="",0,E55),"")</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IF(OR(D66&lt;&gt;"",E66&lt;&gt;""),IF(D66="",0,D66)+IF(E66="",0,E66),"")</f>
        <v/>
      </c>
      <c r="G64" s="14" t="inlineStr">
        <is>
          <t>PEDIDOS YA · COMIDA · propina</t>
        </is>
      </c>
    </row>
    <row r="65">
      <c r="A65" s="14" t="inlineStr">
        <is>
          <t>Febrero</t>
        </is>
      </c>
      <c r="B65" s="17" t="n">
        <v>46054</v>
      </c>
      <c r="C65" s="14" t="inlineStr">
        <is>
          <t>PEDIDOS YA · COMIDA</t>
        </is>
      </c>
      <c r="D65" s="27" t="n">
        <v>1499</v>
      </c>
      <c r="E65" s="28" t="n"/>
      <c r="F65" s="15">
        <f>IF(OR(D67&lt;&gt;"",E67&lt;&gt;""),IF(D67="",0,D67)+IF(E67="",0,E67),"")</f>
        <v/>
      </c>
      <c r="G65" s="14" t="inlineStr">
        <is>
          <t>PEDIDOS YA · COMIDA</t>
        </is>
      </c>
    </row>
    <row r="66">
      <c r="A66" s="14" t="inlineStr">
        <is>
          <t>Febrero</t>
        </is>
      </c>
      <c r="B66" s="17" t="n">
        <v>46054</v>
      </c>
      <c r="C66" s="14" t="inlineStr">
        <is>
          <t>PEDIDOS YA · SUPERMERCADO</t>
        </is>
      </c>
      <c r="D66" s="27" t="n">
        <v>118132</v>
      </c>
      <c r="E66" s="28" t="n"/>
      <c r="F66" s="15">
        <f>IF(OR(D68&lt;&gt;"",E68&lt;&gt;""),IF(D68="",0,D68)+IF(E68="",0,E68),"")</f>
        <v/>
      </c>
      <c r="G66" s="14" t="inlineStr">
        <is>
          <t>PEDIDOS YA · SUPERMERCADO</t>
        </is>
      </c>
    </row>
    <row r="67">
      <c r="A67" s="14" t="inlineStr">
        <is>
          <t>Febrero</t>
        </is>
      </c>
      <c r="B67" s="17" t="n">
        <v>46065</v>
      </c>
      <c r="C67" s="14" t="inlineStr">
        <is>
          <t>RAMON · Comida</t>
        </is>
      </c>
      <c r="D67" s="27" t="n">
        <v>30336</v>
      </c>
      <c r="E67" s="28" t="n"/>
      <c r="F67" s="15">
        <f>IF(OR(D69&lt;&gt;"",E69&lt;&gt;""),IF(D69="",0,D69)+IF(E69="",0,E69),"")</f>
        <v/>
      </c>
      <c r="G67" s="14" t="inlineStr">
        <is>
          <t>RAMON · Comida · Kalbby · ALMACEN SOL</t>
        </is>
      </c>
    </row>
    <row r="68">
      <c r="A68" s="14" t="inlineStr">
        <is>
          <t>Febrero</t>
        </is>
      </c>
      <c r="B68" s="53" t="n">
        <v>46058</v>
      </c>
      <c r="C68" s="14" t="inlineStr">
        <is>
          <t>PEDIDOS YA · SUPERMERCADO · propina</t>
        </is>
      </c>
      <c r="D68" s="27" t="n">
        <v>750</v>
      </c>
      <c r="E68" s="28" t="n"/>
      <c r="F68" s="15">
        <f>IF(OR(D70&lt;&gt;"",E70&lt;&gt;""),IF(D70="",0,D70)+IF(E70="",0,E70),"")</f>
        <v/>
      </c>
      <c r="G68" s="14" t="inlineStr">
        <is>
          <t>PEDIDOS YA · SUPERMERCADO · propina · BBVA TC Visa</t>
        </is>
      </c>
    </row>
    <row r="69">
      <c r="A69" s="14" t="inlineStr">
        <is>
          <t>Febrero</t>
        </is>
      </c>
      <c r="B69" s="53" t="n">
        <v>46058</v>
      </c>
      <c r="C69" s="14" t="inlineStr">
        <is>
          <t>PEDIDOS YA · SUPERMERCADO</t>
        </is>
      </c>
      <c r="D69" s="27" t="n">
        <v>61740</v>
      </c>
      <c r="E69" s="28" t="n"/>
      <c r="F69" s="15">
        <f>IF(OR(D71&lt;&gt;"",E71&lt;&gt;""),IF(D71="",0,D71)+IF(E71="",0,E71),"")</f>
        <v/>
      </c>
      <c r="G69" s="14" t="inlineStr">
        <is>
          <t>PEDIDOS YA · SUPERMERCADO · BBVA TC Visa</t>
        </is>
      </c>
    </row>
    <row r="70">
      <c r="A70" s="14" t="inlineStr">
        <is>
          <t>Febrero</t>
        </is>
      </c>
      <c r="B70" s="53" t="n">
        <v>46058</v>
      </c>
      <c r="C70" s="14" t="inlineStr">
        <is>
          <t>PEDIDOS YA · SUPERMERCADO</t>
        </is>
      </c>
      <c r="D70" s="27" t="n">
        <v>2495</v>
      </c>
      <c r="E70" s="28" t="n"/>
      <c r="F70" s="15">
        <f>IF(OR(D72&lt;&gt;"",E72&lt;&gt;""),IF(D72="",0,D72)+IF(E72="",0,E72),"")</f>
        <v/>
      </c>
      <c r="G70" s="14" t="inlineStr">
        <is>
          <t>PEDIDOS YA · SUPERMERCADO · BBVA TC Visa</t>
        </is>
      </c>
    </row>
    <row r="71">
      <c r="A71" s="14" t="inlineStr">
        <is>
          <t>Febrero</t>
        </is>
      </c>
      <c r="B71" s="53" t="n">
        <v>46062</v>
      </c>
      <c r="C71" s="14" t="inlineStr">
        <is>
          <t>PEDIDOS YA · SUPERMERCADO · propina</t>
        </is>
      </c>
      <c r="D71" s="27" t="n">
        <v>850</v>
      </c>
      <c r="E71" s="28" t="n"/>
      <c r="F71" s="15">
        <f>IF(OR(D73&lt;&gt;"",E73&lt;&gt;""),IF(D73="",0,D73)+IF(E73="",0,E73),"")</f>
        <v/>
      </c>
      <c r="G71" s="14" t="inlineStr">
        <is>
          <t>PEDIDOS YA · SUPERMERCADO · propina · BBVA TC Visa</t>
        </is>
      </c>
    </row>
    <row r="72">
      <c r="A72" s="14" t="inlineStr">
        <is>
          <t>Febrero</t>
        </is>
      </c>
      <c r="B72" s="53" t="n">
        <v>46062</v>
      </c>
      <c r="C72" s="14" t="inlineStr">
        <is>
          <t>PEDIDOS YA · SUPERMERCADO</t>
        </is>
      </c>
      <c r="D72" s="27" t="n">
        <v>61650</v>
      </c>
      <c r="E72" s="28" t="n"/>
      <c r="F72" s="15">
        <f>IF(OR(D74&lt;&gt;"",E74&lt;&gt;""),IF(D74="",0,D74)+IF(E74="",0,E74),"")</f>
        <v/>
      </c>
      <c r="G72" s="14" t="inlineStr">
        <is>
          <t>PEDIDOS YA · SUPERMERCADO · BBVA TC Visa</t>
        </is>
      </c>
    </row>
    <row r="73">
      <c r="A73" s="14" t="inlineStr">
        <is>
          <t>Febrero</t>
        </is>
      </c>
      <c r="B73" s="53" t="n">
        <v>46069</v>
      </c>
      <c r="C73" s="14" t="inlineStr">
        <is>
          <t>PEDIDOS YA · SUPERMERCADO · propina</t>
        </is>
      </c>
      <c r="D73" s="27" t="n">
        <v>750</v>
      </c>
      <c r="E73" s="28" t="n"/>
      <c r="F73" s="15">
        <f>IF(OR(D75&lt;&gt;"",E75&lt;&gt;""),IF(D75="",0,D75)+IF(E75="",0,E75),"")</f>
        <v/>
      </c>
      <c r="G73" s="14" t="inlineStr">
        <is>
          <t>PEDIDOS YA · SUPERMERCADO · propina · BBVA TC Visa</t>
        </is>
      </c>
    </row>
    <row r="74">
      <c r="A74" s="14" t="inlineStr">
        <is>
          <t>Febrero</t>
        </is>
      </c>
      <c r="B74" s="53" t="n">
        <v>46069</v>
      </c>
      <c r="C74" s="14" t="inlineStr">
        <is>
          <t>PEDIDOS YA · SUPERMERCADO</t>
        </is>
      </c>
      <c r="D74" s="27" t="n">
        <v>62660</v>
      </c>
      <c r="E74" s="28" t="n"/>
      <c r="F74" s="15">
        <f>IF(OR(D76&lt;&gt;"",E76&lt;&gt;""),IF(D76="",0,D76)+IF(E76="",0,E76),"")</f>
        <v/>
      </c>
      <c r="G74" s="14" t="inlineStr">
        <is>
          <t>PEDIDOS YA · SUPERMERCADO · BBVA TC Visa</t>
        </is>
      </c>
    </row>
    <row r="75">
      <c r="A75" s="14" t="inlineStr">
        <is>
          <t>Febrero</t>
        </is>
      </c>
      <c r="B75" s="53" t="n">
        <v>46074</v>
      </c>
      <c r="C75" s="14" t="inlineStr">
        <is>
          <t>PEDIDOS YA · SUPERMERCADO</t>
        </is>
      </c>
      <c r="D75" s="27" t="n">
        <v>14404</v>
      </c>
      <c r="E75" s="28" t="n"/>
      <c r="F75" s="15">
        <f>IF(OR(D77&lt;&gt;"",E77&lt;&gt;""),IF(D77="",0,D77)+IF(E77="",0,E77),"")</f>
        <v/>
      </c>
      <c r="G75" s="14" t="inlineStr">
        <is>
          <t>PEDIDOS YA · SUPERMERCADO · BBVA TC Visa</t>
        </is>
      </c>
    </row>
    <row r="76">
      <c r="A76" s="14" t="inlineStr">
        <is>
          <t>Febrero</t>
        </is>
      </c>
      <c r="B76" s="53" t="n">
        <v>46074</v>
      </c>
      <c r="C76" s="14" t="inlineStr">
        <is>
          <t>PEDIDOS YA · SUPERMERCADO</t>
        </is>
      </c>
      <c r="D76" s="27" t="n">
        <v>19780</v>
      </c>
      <c r="E76" s="28" t="n"/>
      <c r="F76" s="15">
        <f>IF(OR(D78&lt;&gt;"",E78&lt;&gt;""),IF(D78="",0,D78)+IF(E78="",0,E78),"")</f>
        <v/>
      </c>
      <c r="G76" s="14" t="inlineStr">
        <is>
          <t>PEDIDOS YA · SUPERMERCADO · BBVA TC Visa</t>
        </is>
      </c>
    </row>
    <row r="77">
      <c r="A77" s="14" t="inlineStr">
        <is>
          <t>Febrero</t>
        </is>
      </c>
      <c r="B77" s="53" t="n">
        <v>46074</v>
      </c>
      <c r="C77" s="14" t="inlineStr">
        <is>
          <t>PEDIDOS YA · SUPERMERCADO</t>
        </is>
      </c>
      <c r="D77" s="27" t="n">
        <v>34460</v>
      </c>
      <c r="E77" s="28" t="n"/>
      <c r="F77" s="15">
        <f>IF(OR(D79&lt;&gt;"",E79&lt;&gt;""),IF(D79="",0,D79)+IF(E79="",0,E79),"")</f>
        <v/>
      </c>
      <c r="G77" s="14" t="inlineStr">
        <is>
          <t>PEDIDOS YA · SUPERMERCADO · BBVA TC Visa</t>
        </is>
      </c>
    </row>
    <row r="78">
      <c r="A78" s="14" t="inlineStr">
        <is>
          <t>Febrero</t>
        </is>
      </c>
      <c r="B78" s="53" t="n">
        <v>46075</v>
      </c>
      <c r="C78" s="14" t="inlineStr">
        <is>
          <t>PEDIDOS YA · SUPERMERCADO · propina</t>
        </is>
      </c>
      <c r="D78" s="27" t="n">
        <v>1000</v>
      </c>
      <c r="E78" s="28" t="n"/>
      <c r="F78" s="15">
        <f>IF(OR(D80&lt;&gt;"",E80&lt;&gt;""),IF(D80="",0,D80)+IF(E80="",0,E80),"")</f>
        <v/>
      </c>
      <c r="G78" s="14" t="inlineStr">
        <is>
          <t>PEDIDOS YA · SUPERMERCADO · propina · BBVA TC Visa</t>
        </is>
      </c>
    </row>
    <row r="79">
      <c r="A79" s="14" t="inlineStr">
        <is>
          <t>Febrero</t>
        </is>
      </c>
      <c r="B79" s="53" t="n">
        <v>46077</v>
      </c>
      <c r="C79" s="14" t="inlineStr">
        <is>
          <t>PEDIDOS YA · SUPERMERCADO</t>
        </is>
      </c>
      <c r="D79" s="27" t="n">
        <v>42375</v>
      </c>
      <c r="E79" s="28" t="n"/>
      <c r="F79" s="15">
        <f>IF(OR(D81&lt;&gt;"",E81&lt;&gt;""),IF(D81="",0,D81)+IF(E81="",0,E81),"")</f>
        <v/>
      </c>
      <c r="G79" s="14" t="inlineStr">
        <is>
          <t>PEDIDOS YA · SUPERMERCADO · BBVA TC Visa</t>
        </is>
      </c>
    </row>
    <row r="80">
      <c r="A80" s="14" t="inlineStr">
        <is>
          <t>Febrero</t>
        </is>
      </c>
      <c r="B80" s="53" t="n">
        <v>46077</v>
      </c>
      <c r="C80" s="14" t="inlineStr">
        <is>
          <t>PEDIDOS YA · SUPERMERCADO</t>
        </is>
      </c>
      <c r="D80" s="27" t="n">
        <v>192</v>
      </c>
      <c r="E80" s="28" t="n"/>
      <c r="F80" s="15">
        <f>IF(OR(D82&lt;&gt;"",E82&lt;&gt;""),IF(D82="",0,D82)+IF(E82="",0,E82),"")</f>
        <v/>
      </c>
      <c r="G80" s="14" t="inlineStr">
        <is>
          <t>PEDIDOS YA · SUPERMERCADO · BBVA TC Visa</t>
        </is>
      </c>
    </row>
    <row r="81">
      <c r="A81" s="14" t="inlineStr">
        <is>
          <t>Febrero</t>
        </is>
      </c>
      <c r="B81" s="53" t="n">
        <v>46078</v>
      </c>
      <c r="C81" s="14" t="inlineStr">
        <is>
          <t>PEDIDOS YA · SUPERMERCADO · propina</t>
        </is>
      </c>
      <c r="D81" s="27" t="n">
        <v>600</v>
      </c>
      <c r="E81" s="28" t="n"/>
      <c r="F81" s="15">
        <f>IF(OR(D83&lt;&gt;"",E83&lt;&gt;""),IF(D83="",0,D83)+IF(E83="",0,E83),"")</f>
        <v/>
      </c>
      <c r="G81" s="14" t="inlineStr">
        <is>
          <t>PEDIDOS YA · SUPERMERCADO · propina · BBVA TC Visa</t>
        </is>
      </c>
    </row>
    <row r="82">
      <c r="A82" s="14" t="inlineStr">
        <is>
          <t>Febrero</t>
        </is>
      </c>
      <c r="B82" s="53" t="n">
        <v>46078</v>
      </c>
      <c r="C82" s="14" t="inlineStr">
        <is>
          <t>PEDIDOS YA · SUPERMERCADO</t>
        </is>
      </c>
      <c r="D82" s="27" t="n">
        <v>2599</v>
      </c>
      <c r="E82" s="28" t="n"/>
      <c r="F82" s="15">
        <f>IF(OR(D84&lt;&gt;"",E84&lt;&gt;""),IF(D84="",0,D84)+IF(E84="",0,E84),"")</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t="n"/>
      <c r="G84" s="14" t="inlineStr">
        <is>
          <t>COMIDA · RESTAURANTSORAYASA · MP cuenta</t>
        </is>
      </c>
    </row>
    <row r="85">
      <c r="A85" s="14" t="inlineStr">
        <is>
          <t>Febrero</t>
        </is>
      </c>
      <c r="B85" s="17" t="n">
        <v>46076</v>
      </c>
      <c r="C85" s="14" t="inlineStr">
        <is>
          <t>RAMON · Veterinario</t>
        </is>
      </c>
      <c r="D85" s="27" t="n">
        <v>72000</v>
      </c>
      <c r="E85" s="28" t="n"/>
      <c r="F85" s="15" t="n"/>
      <c r="G85" s="14" t="inlineStr">
        <is>
          <t>RAMON · Veterinario · Valeria Mele / El Perro Verde · ALMACEN SOL</t>
        </is>
      </c>
    </row>
    <row r="86">
      <c r="A86" s="14" t="inlineStr">
        <is>
          <t>Febrero</t>
        </is>
      </c>
      <c r="B86" s="17" t="n">
        <v>46065</v>
      </c>
      <c r="C86" s="14" t="inlineStr">
        <is>
          <t>RAMON · Otros</t>
        </is>
      </c>
      <c r="D86" s="27" t="n">
        <v>27200</v>
      </c>
      <c r="E86" s="28" t="n"/>
      <c r="F86" s="15" t="n"/>
      <c r="G86" s="14" t="inlineStr">
        <is>
          <t>RAMON · Otros · Paws Pet Market · Mercado Pago · ALMACEN SOL</t>
        </is>
      </c>
    </row>
    <row r="87">
      <c r="A87" s="10" t="inlineStr">
        <is>
          <t>TOTAL FEBRERO</t>
        </is>
      </c>
      <c r="B87" s="22" t="n"/>
      <c r="C87" s="29" t="inlineStr">
        <is>
          <t>Totales mes →</t>
        </is>
      </c>
      <c r="D87" s="7">
        <f>SUM(D49:D86)</f>
        <v/>
      </c>
      <c r="E87" s="7">
        <f>SUM(E49:E86)</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IF(OR(D88&lt;&gt;"",E88&lt;&gt;""),IF(D88="",0,D88)+IF(E88="",0,E88),"")</f>
        <v/>
      </c>
      <c r="G89" s="14" t="inlineStr">
        <is>
          <t>MP · combustible</t>
        </is>
      </c>
    </row>
    <row r="90">
      <c r="A90" s="14" t="inlineStr">
        <is>
          <t>Marzo</t>
        </is>
      </c>
      <c r="B90" s="17" t="n">
        <v>46112</v>
      </c>
      <c r="C90" s="14" t="inlineStr">
        <is>
          <t>Combustible — Shell</t>
        </is>
      </c>
      <c r="D90" s="27" t="n">
        <v>1118</v>
      </c>
      <c r="E90" s="28" t="n"/>
      <c r="F90" s="15">
        <f>IF(OR(D89&lt;&gt;"",E89&lt;&gt;""),IF(D89="",0,D89)+IF(E89="",0,E89),"")</f>
        <v/>
      </c>
      <c r="G90" s="14" t="inlineStr">
        <is>
          <t>MP · combustible</t>
        </is>
      </c>
    </row>
    <row r="91">
      <c r="A91" s="14" t="inlineStr">
        <is>
          <t>Marzo</t>
        </is>
      </c>
      <c r="B91" s="17" t="n">
        <v>46112</v>
      </c>
      <c r="C91" s="14" t="inlineStr">
        <is>
          <t>Combustible — Shell</t>
        </is>
      </c>
      <c r="D91" s="27" t="n">
        <v>653</v>
      </c>
      <c r="E91" s="28" t="n"/>
      <c r="F91" s="15">
        <f>IF(OR(D90&lt;&gt;"",E90&lt;&gt;""),IF(D90="",0,D90)+IF(E90="",0,E90),"")</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IF(OR(D92&lt;&gt;"",E92&lt;&gt;""),IF(D92="",0,D92)+IF(E92="",0,E92),"")</f>
        <v/>
      </c>
      <c r="G93" s="14" t="inlineStr">
        <is>
          <t>MP · combustible</t>
        </is>
      </c>
    </row>
    <row r="94">
      <c r="A94" s="14" t="inlineStr">
        <is>
          <t>Marzo</t>
        </is>
      </c>
      <c r="B94" s="17" t="n">
        <v>46104</v>
      </c>
      <c r="C94" s="14" t="inlineStr">
        <is>
          <t>SUPERMERCADO · Día</t>
        </is>
      </c>
      <c r="D94" s="27" t="n">
        <v>47664</v>
      </c>
      <c r="E94" s="28" t="n"/>
      <c r="F94" s="15">
        <f>IF(OR(D93&lt;&gt;"",E93&lt;&gt;""),IF(D93="",0,D93)+IF(E93="",0,E93),"")</f>
        <v/>
      </c>
      <c r="G94" s="14" t="inlineStr">
        <is>
          <t>SUPERMERCADO · Día</t>
        </is>
      </c>
    </row>
    <row r="95">
      <c r="A95" s="14" t="inlineStr">
        <is>
          <t>Marzo</t>
        </is>
      </c>
      <c r="B95" s="17" t="n">
        <v>46103</v>
      </c>
      <c r="C95" s="14" t="inlineStr">
        <is>
          <t>COMIDA · Open 25</t>
        </is>
      </c>
      <c r="D95" s="27" t="n">
        <v>50000</v>
      </c>
      <c r="E95" s="28" t="n"/>
      <c r="F95" s="15">
        <f>IF(OR(D94&lt;&gt;"",E94&lt;&gt;""),IF(D94="",0,D94)+IF(E94="",0,E94),"")</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IF(OR(D95&lt;&gt;"",E95&lt;&gt;""),IF(D95="",0,D95)+IF(E95="",0,E95),"")</f>
        <v/>
      </c>
      <c r="G96" s="14" t="inlineStr">
        <is>
          <t>MP · comida · ex `Burger King`</t>
        </is>
      </c>
    </row>
    <row r="97">
      <c r="A97" s="14" t="inlineStr">
        <is>
          <t>Marzo</t>
        </is>
      </c>
      <c r="B97" s="17" t="n">
        <v>46095</v>
      </c>
      <c r="C97" s="14" t="inlineStr">
        <is>
          <t>COMIDA · Galletotas</t>
        </is>
      </c>
      <c r="D97" s="27" t="n">
        <v>19500</v>
      </c>
      <c r="E97" s="28" t="n"/>
      <c r="F97" s="15">
        <f>IF(OR(D96&lt;&gt;"",E96&lt;&gt;""),IF(D96="",0,D96)+IF(E96="",0,E96),"")</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t="n"/>
      <c r="G128" s="14" t="inlineStr">
        <is>
          <t>Combustible — Shell · MP cuenta</t>
        </is>
      </c>
    </row>
    <row r="129">
      <c r="A129" s="14" t="inlineStr">
        <is>
          <t>Marzo</t>
        </is>
      </c>
      <c r="B129" s="17" t="n">
        <v>46086</v>
      </c>
      <c r="C129" s="14" t="inlineStr">
        <is>
          <t>RAMON · Otros</t>
        </is>
      </c>
      <c r="D129" s="27" t="n">
        <v>9000</v>
      </c>
      <c r="E129" s="28" t="n"/>
      <c r="F129" s="15" t="n"/>
      <c r="G129" s="14" t="inlineStr">
        <is>
          <t>RAMON · Otros · Paws Pet Market · Mercado Pago · ALMACEN SOL</t>
        </is>
      </c>
    </row>
    <row r="130">
      <c r="A130" s="14" t="inlineStr">
        <is>
          <t>Marzo</t>
        </is>
      </c>
      <c r="B130" s="17" t="n">
        <v>46106</v>
      </c>
      <c r="C130" s="14" t="inlineStr">
        <is>
          <t>RAMON · Otros</t>
        </is>
      </c>
      <c r="D130" s="27" t="n">
        <v>35700</v>
      </c>
      <c r="E130" s="28" t="n"/>
      <c r="F130" s="15" t="n"/>
      <c r="G130" s="14" t="inlineStr">
        <is>
          <t>RAMON · Otros · Paws Pet Market · Mercado Pago · ALMACEN SOL</t>
        </is>
      </c>
    </row>
    <row r="131">
      <c r="A131" s="10" t="inlineStr">
        <is>
          <t>TOTAL MARZO</t>
        </is>
      </c>
      <c r="B131" s="22" t="n"/>
      <c r="C131" s="29" t="inlineStr">
        <is>
          <t>Totales mes →</t>
        </is>
      </c>
      <c r="D131" s="7">
        <f>SUM(D89:D130)</f>
        <v/>
      </c>
      <c r="E131" s="7">
        <f>SUM(E89:E130)</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IF(OR(D130&lt;&gt;"",E130&lt;&gt;""),IF(D130="",0,D130)+IF(E130="",0,E130),"")</f>
        <v/>
      </c>
      <c r="G133" s="14" t="inlineStr">
        <is>
          <t>MP · panadería · ex `Todo Tartas`</t>
        </is>
      </c>
    </row>
    <row r="134">
      <c r="A134" s="14" t="inlineStr">
        <is>
          <t>Abril</t>
        </is>
      </c>
      <c r="B134" s="17" t="n">
        <v>46137</v>
      </c>
      <c r="C134" s="14" t="inlineStr">
        <is>
          <t>COMIDA · Todo Tartas</t>
        </is>
      </c>
      <c r="D134" s="27" t="n">
        <v>11400</v>
      </c>
      <c r="E134" s="28" t="n"/>
      <c r="F134" s="15">
        <f>IF(OR(D131&lt;&gt;"",E131&lt;&gt;""),IF(D131="",0,D131)+IF(E131="",0,E131),"")</f>
        <v/>
      </c>
      <c r="G134" s="14" t="inlineStr">
        <is>
          <t>MP · panadería · ex `Todo Tartas`</t>
        </is>
      </c>
    </row>
    <row r="135">
      <c r="A135" s="14" t="inlineStr">
        <is>
          <t>Abril</t>
        </is>
      </c>
      <c r="B135" s="17" t="n">
        <v>46136</v>
      </c>
      <c r="C135" s="14" t="inlineStr">
        <is>
          <t>COMIDA · pollo</t>
        </is>
      </c>
      <c r="D135" s="27" t="n">
        <v>16140</v>
      </c>
      <c r="E135" s="28" t="n"/>
      <c r="F135" s="15">
        <f>IF(OR(D132&lt;&gt;"",E132&lt;&gt;""),IF(D132="",0,D132)+IF(E132="",0,E132),"")</f>
        <v/>
      </c>
      <c r="G135" s="14" t="inlineStr">
        <is>
          <t>COMIDA · pollo · MP · pollo</t>
        </is>
      </c>
    </row>
    <row r="136">
      <c r="A136" s="14" t="inlineStr">
        <is>
          <t>Abril</t>
        </is>
      </c>
      <c r="B136" s="17" t="n">
        <v>46134</v>
      </c>
      <c r="C136" s="14" t="inlineStr">
        <is>
          <t>COMIDA · Green Eat</t>
        </is>
      </c>
      <c r="D136" s="27" t="n">
        <v>25000</v>
      </c>
      <c r="E136" s="28" t="n"/>
      <c r="F136" s="15">
        <f>IF(OR(D133&lt;&gt;"",E133&lt;&gt;""),IF(D133="",0,D133)+IF(E133="",0,E133),"")</f>
        <v/>
      </c>
      <c r="G136" s="14" t="inlineStr">
        <is>
          <t>MP · comida · ex `Green Eat`</t>
        </is>
      </c>
    </row>
    <row r="137">
      <c r="A137" s="14" t="inlineStr">
        <is>
          <t>Abril</t>
        </is>
      </c>
      <c r="B137" s="17" t="n">
        <v>46133</v>
      </c>
      <c r="C137" s="14" t="inlineStr">
        <is>
          <t>COMIDA · Huevos Point</t>
        </is>
      </c>
      <c r="D137" s="27" t="n">
        <v>14500</v>
      </c>
      <c r="E137" s="28" t="n"/>
      <c r="F137" s="15">
        <f>IF(OR(D134&lt;&gt;"",E134&lt;&gt;""),IF(D134="",0,D134)+IF(E134="",0,E134),"")</f>
        <v/>
      </c>
      <c r="G137" s="14" t="inlineStr">
        <is>
          <t>MP · huevos · ex `Huevos Point`</t>
        </is>
      </c>
    </row>
    <row r="138">
      <c r="A138" s="14" t="inlineStr">
        <is>
          <t>Abril</t>
        </is>
      </c>
      <c r="B138" s="17" t="n">
        <v>46124</v>
      </c>
      <c r="C138" s="14" t="inlineStr">
        <is>
          <t>COMIDA · Nicky Cheese</t>
        </is>
      </c>
      <c r="D138" s="27" t="n">
        <v>1920</v>
      </c>
      <c r="E138" s="28" t="n"/>
      <c r="F138" s="15">
        <f>IF(OR(D136&lt;&gt;"",E136&lt;&gt;""),IF(D136="",0,D136)+IF(E136="",0,E136),"")</f>
        <v/>
      </c>
      <c r="G138" s="14" t="inlineStr">
        <is>
          <t>MP · quesos propina · ex `Nicky Cheese propina`</t>
        </is>
      </c>
    </row>
    <row r="139">
      <c r="A139" s="14" t="inlineStr">
        <is>
          <t>Abril</t>
        </is>
      </c>
      <c r="B139" s="17" t="n">
        <v>46124</v>
      </c>
      <c r="C139" s="14" t="inlineStr">
        <is>
          <t>COMIDA · Nicky Cheese</t>
        </is>
      </c>
      <c r="D139" s="27" t="n">
        <v>19200</v>
      </c>
      <c r="E139" s="28" t="n"/>
      <c r="F139" s="15">
        <f>IF(OR(D137&lt;&gt;"",E137&lt;&gt;""),IF(D137="",0,D137)+IF(E137="",0,E137),"")</f>
        <v/>
      </c>
      <c r="G139" s="14" t="inlineStr">
        <is>
          <t>MP · quesos · ex `Nicky Cheese`</t>
        </is>
      </c>
    </row>
    <row r="140">
      <c r="A140" s="14" t="inlineStr">
        <is>
          <t>Abril</t>
        </is>
      </c>
      <c r="B140" s="17" t="n">
        <v>46123</v>
      </c>
      <c r="C140" s="14" t="inlineStr">
        <is>
          <t>COMIDA · Vitalcer</t>
        </is>
      </c>
      <c r="D140" s="27" t="n">
        <v>34830</v>
      </c>
      <c r="E140" s="28" t="n"/>
      <c r="F140" s="15">
        <f>IF(OR(D138&lt;&gt;"",E138&lt;&gt;""),IF(D138="",0,D138)+IF(E138="",0,E138),"")</f>
        <v/>
      </c>
      <c r="G140" s="14" t="inlineStr">
        <is>
          <t>MP · dietética · ex `Vitalcer`</t>
        </is>
      </c>
    </row>
    <row r="141">
      <c r="A141" s="14" t="inlineStr">
        <is>
          <t>Abril</t>
        </is>
      </c>
      <c r="B141" s="17" t="n">
        <v>46122</v>
      </c>
      <c r="C141" s="14" t="inlineStr">
        <is>
          <t>PEDIDOS YA · COMIDA · propina</t>
        </is>
      </c>
      <c r="D141" s="27" t="n">
        <v>800</v>
      </c>
      <c r="E141" s="28" t="n"/>
      <c r="F141" s="15">
        <f>IF(OR(D139&lt;&gt;"",E139&lt;&gt;""),IF(D139="",0,D139)+IF(E139="",0,E139),"")</f>
        <v/>
      </c>
      <c r="G141" s="14" t="inlineStr">
        <is>
          <t>PEDIDOS YA · COMIDA · propina</t>
        </is>
      </c>
    </row>
    <row r="142">
      <c r="A142" s="14" t="inlineStr">
        <is>
          <t>Abril</t>
        </is>
      </c>
      <c r="B142" s="17" t="n">
        <v>46122</v>
      </c>
      <c r="C142" s="14" t="inlineStr">
        <is>
          <t>PEDIDOS YA · COMIDA</t>
        </is>
      </c>
      <c r="D142" s="27" t="n">
        <v>2599</v>
      </c>
      <c r="E142" s="28" t="n"/>
      <c r="F142" s="15">
        <f>IF(OR(D140&lt;&gt;"",E140&lt;&gt;""),IF(D140="",0,D140)+IF(E140="",0,E140),"")</f>
        <v/>
      </c>
      <c r="G142" s="14" t="inlineStr">
        <is>
          <t>PEDIDOS YA · COMIDA</t>
        </is>
      </c>
    </row>
    <row r="143">
      <c r="A143" s="14" t="inlineStr">
        <is>
          <t>Abril</t>
        </is>
      </c>
      <c r="B143" s="17" t="n">
        <v>46118</v>
      </c>
      <c r="C143" s="14" t="inlineStr">
        <is>
          <t>SUPERMERCADO · Día</t>
        </is>
      </c>
      <c r="D143" s="27" t="n">
        <v>71961</v>
      </c>
      <c r="E143" s="28" t="n"/>
      <c r="F143" s="15">
        <f>IF(OR(D142&lt;&gt;"",E142&lt;&gt;""),IF(D142="",0,D142)+IF(E142="",0,E142),"")</f>
        <v/>
      </c>
      <c r="G143" s="14" t="inlineStr">
        <is>
          <t>SUPERMERCADO · Día</t>
        </is>
      </c>
    </row>
    <row r="144">
      <c r="A144" s="14" t="inlineStr">
        <is>
          <t>Abril</t>
        </is>
      </c>
      <c r="B144" s="17" t="n">
        <v>46115</v>
      </c>
      <c r="C144" s="14" t="inlineStr">
        <is>
          <t>SUPERMERCADO · Día</t>
        </is>
      </c>
      <c r="D144" s="27" t="n">
        <v>27350</v>
      </c>
      <c r="E144" s="28" t="n"/>
      <c r="F144" s="15">
        <f>IF(OR(D143&lt;&gt;"",E143&lt;&gt;""),IF(D143="",0,D143)+IF(E143="",0,E143),"")</f>
        <v/>
      </c>
      <c r="G144" s="14" t="inlineStr">
        <is>
          <t>SUPERMERCADO · Día</t>
        </is>
      </c>
    </row>
    <row r="145">
      <c r="A145" s="14" t="inlineStr">
        <is>
          <t>Abril</t>
        </is>
      </c>
      <c r="B145" s="17" t="n">
        <v>46115</v>
      </c>
      <c r="C145" s="14" t="inlineStr">
        <is>
          <t>SUPERMERCADO · Coto</t>
        </is>
      </c>
      <c r="D145" s="27" t="n">
        <v>149320</v>
      </c>
      <c r="E145" s="28" t="n"/>
      <c r="F145" s="15">
        <f>IF(OR(D144&lt;&gt;"",E144&lt;&gt;""),IF(D144="",0,D144)+IF(E144="",0,E144),"")</f>
        <v/>
      </c>
      <c r="G145" s="14" t="inlineStr">
        <is>
          <t>SUPERMERCADO · Coto</t>
        </is>
      </c>
    </row>
    <row r="146">
      <c r="A146" s="14" t="inlineStr">
        <is>
          <t>Abril</t>
        </is>
      </c>
      <c r="B146" s="17" t="n">
        <v>46114</v>
      </c>
      <c r="C146" s="14" t="inlineStr">
        <is>
          <t>PEDIDOS YA · COMIDA · propina</t>
        </is>
      </c>
      <c r="D146" s="27" t="n">
        <v>2000</v>
      </c>
      <c r="E146" s="28" t="n"/>
      <c r="F146" s="15">
        <f>IF(OR(D145&lt;&gt;"",E145&lt;&gt;""),IF(D145="",0,D145)+IF(E145="",0,E145),"")</f>
        <v/>
      </c>
      <c r="G146" s="14" t="inlineStr">
        <is>
          <t>PEDIDOS YA · COMIDA · propina</t>
        </is>
      </c>
    </row>
    <row r="147">
      <c r="A147" s="14" t="inlineStr">
        <is>
          <t>Abril</t>
        </is>
      </c>
      <c r="B147" s="17" t="n">
        <v>46114</v>
      </c>
      <c r="C147" s="14" t="inlineStr">
        <is>
          <t>PEDIDOS YA · COMIDA</t>
        </is>
      </c>
      <c r="D147" s="27" t="n">
        <v>36519</v>
      </c>
      <c r="E147" s="28" t="n"/>
      <c r="F147" s="15">
        <f>IF(OR(D146&lt;&gt;"",E146&lt;&gt;""),IF(D146="",0,D146)+IF(E146="",0,E146),"")</f>
        <v/>
      </c>
      <c r="G147" s="14" t="inlineStr">
        <is>
          <t>PEDIDOS YA · COMIDA</t>
        </is>
      </c>
    </row>
    <row r="148">
      <c r="A148" s="14" t="inlineStr">
        <is>
          <t>Abril</t>
        </is>
      </c>
      <c r="B148" s="17" t="n">
        <v>46142</v>
      </c>
      <c r="C148" s="14" t="inlineStr">
        <is>
          <t>Combustible — Shell</t>
        </is>
      </c>
      <c r="D148" s="27" t="n">
        <v>27579</v>
      </c>
      <c r="E148" s="28" t="n"/>
      <c r="F148" s="15">
        <f>IF(OR(D147&lt;&gt;"",E147&lt;&gt;""),IF(D147="",0,D147)+IF(E147="",0,E147),"")</f>
        <v/>
      </c>
      <c r="G148" s="14" t="inlineStr">
        <is>
          <t>MP · combustible · nafta · combustible</t>
        </is>
      </c>
    </row>
    <row r="149">
      <c r="A149" s="14" t="inlineStr">
        <is>
          <t>Abril</t>
        </is>
      </c>
      <c r="B149" s="17" t="n">
        <v>46142</v>
      </c>
      <c r="C149" s="14" t="inlineStr">
        <is>
          <t>Combustible — Shell</t>
        </is>
      </c>
      <c r="D149" s="27" t="n">
        <v>1307</v>
      </c>
      <c r="E149" s="28" t="n"/>
      <c r="F149" s="15">
        <f>IF(OR(D148&lt;&gt;"",E148&lt;&gt;""),IF(D148="",0,D148)+IF(E148="",0,E148),"")</f>
        <v/>
      </c>
      <c r="G149" s="14" t="inlineStr">
        <is>
          <t>MP · combustible · nafta · combustible</t>
        </is>
      </c>
    </row>
    <row r="150">
      <c r="A150" s="14" t="inlineStr">
        <is>
          <t>Abril</t>
        </is>
      </c>
      <c r="B150" s="17" t="n">
        <v>46114</v>
      </c>
      <c r="C150" s="14" t="inlineStr">
        <is>
          <t>RAMON · Comida</t>
        </is>
      </c>
      <c r="D150" s="27" t="n">
        <v>82746</v>
      </c>
      <c r="E150" s="28" t="n"/>
      <c r="F150" s="15">
        <f>IF(OR(D149&lt;&gt;"",E149&lt;&gt;""),IF(D149="",0,D149)+IF(E149="",0,E149),"")</f>
        <v/>
      </c>
      <c r="G150" s="14" t="inlineStr">
        <is>
          <t>RAMON · Comida · Kalbby · ALMACEN SOL</t>
        </is>
      </c>
    </row>
    <row r="151">
      <c r="A151" s="14" t="inlineStr">
        <is>
          <t>Abril</t>
        </is>
      </c>
      <c r="B151" s="17" t="n">
        <v>46141</v>
      </c>
      <c r="C151" s="14" t="inlineStr">
        <is>
          <t>RAMON · Comida</t>
        </is>
      </c>
      <c r="D151" s="27" t="n">
        <v>86747</v>
      </c>
      <c r="E151" s="28" t="n"/>
      <c r="F151" s="15">
        <f>IF(OR(D150&lt;&gt;"",E150&lt;&gt;""),IF(D150="",0,D150)+IF(E150="",0,E150),"")</f>
        <v/>
      </c>
      <c r="G151" s="14" t="inlineStr">
        <is>
          <t>RAMON · Comida · Kalbby · ALMACEN SOL</t>
        </is>
      </c>
    </row>
    <row r="152">
      <c r="A152" s="14" t="inlineStr">
        <is>
          <t>Abril</t>
        </is>
      </c>
      <c r="B152" s="53" t="n">
        <v>46142</v>
      </c>
      <c r="C152" s="14" t="inlineStr">
        <is>
          <t>PEDIDOS YA · SUPERMERCADO</t>
        </is>
      </c>
      <c r="D152" s="27" t="n">
        <v>57454</v>
      </c>
      <c r="E152" s="28" t="n"/>
      <c r="F152" s="15">
        <f>IF(OR(D151&lt;&gt;"",E151&lt;&gt;""),IF(D151="",0,D151)+IF(E151="",0,E151),"")</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IF(OR(D152&lt;&gt;"",E152&lt;&gt;""),IF(D152="",0,D152)+IF(E152="",0,E152),"")</f>
        <v/>
      </c>
      <c r="G153" s="14" t="inlineStr">
        <is>
          <t>PEDIDOS YA · SUPERMERCADO · propina · BBVA TC Visa</t>
        </is>
      </c>
    </row>
    <row r="154">
      <c r="A154" s="14" t="inlineStr">
        <is>
          <t>Abril</t>
        </is>
      </c>
      <c r="B154" s="53" t="n">
        <v>46126</v>
      </c>
      <c r="C154" s="14" t="inlineStr">
        <is>
          <t>COMIDA · pollo</t>
        </is>
      </c>
      <c r="D154" s="27" t="n">
        <v>25186</v>
      </c>
      <c r="E154" s="28" t="n"/>
      <c r="F154" s="15">
        <f>IF(OR(D153&lt;&gt;"",E153&lt;&gt;""),IF(D153="",0,D153)+IF(E153="",0,E153),"")</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t="n"/>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t="n"/>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t="n"/>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t="n"/>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t="n"/>
      <c r="G175" s="14" t="inlineStr">
        <is>
          <t>RAMON · Otros · Paws Pet Market · Mercado Pago · ALMACEN SOL</t>
        </is>
      </c>
    </row>
    <row r="176">
      <c r="A176" s="10" t="inlineStr">
        <is>
          <t>TOTAL ABRIL</t>
        </is>
      </c>
      <c r="B176" s="22" t="n"/>
      <c r="C176" s="29" t="inlineStr">
        <is>
          <t>Totales mes →</t>
        </is>
      </c>
      <c r="D176" s="7">
        <f>SUM(D133:D175)</f>
        <v/>
      </c>
      <c r="E176" s="7">
        <f>SUM(E133:E175)</f>
        <v/>
      </c>
      <c r="F176" s="7">
        <f>D176+E176</f>
        <v/>
      </c>
      <c r="G176" s="22" t="n"/>
    </row>
    <row r="178">
      <c r="A178" s="14" t="inlineStr">
        <is>
          <t>Mayo</t>
        </is>
      </c>
      <c r="B178" s="17" t="n">
        <v>46172</v>
      </c>
      <c r="C178" s="14" t="inlineStr">
        <is>
          <t>SUPERMERCADO · Carrefour</t>
        </is>
      </c>
      <c r="D178" s="27" t="n">
        <v>24333</v>
      </c>
      <c r="E178" s="28" t="n"/>
      <c r="F178" s="15">
        <f>IF(OR(D172&lt;&gt;"",E172&lt;&gt;""),IF(D172="",0,D172)+IF(E172="",0,E172),"")</f>
        <v/>
      </c>
      <c r="G178" s="14" t="inlineStr">
        <is>
          <t>SUPERMERCADO · Carrefour</t>
        </is>
      </c>
    </row>
    <row r="179">
      <c r="A179" s="14" t="inlineStr">
        <is>
          <t>Mayo</t>
        </is>
      </c>
      <c r="B179" s="17" t="n">
        <v>46170</v>
      </c>
      <c r="C179" s="14" t="inlineStr">
        <is>
          <t>COMIDA · Tienda De Café</t>
        </is>
      </c>
      <c r="D179" s="27" t="n">
        <v>18900</v>
      </c>
      <c r="E179" s="28" t="n"/>
      <c r="F179" s="15">
        <f>IF(OR(D173&lt;&gt;"",E173&lt;&gt;""),IF(D173="",0,D173)+IF(E173="",0,E173),"")</f>
        <v/>
      </c>
      <c r="G179" s="14" t="inlineStr">
        <is>
          <t>MP · café · ex `Tienda De Café`</t>
        </is>
      </c>
    </row>
    <row r="180">
      <c r="A180" s="14" t="inlineStr">
        <is>
          <t>Mayo</t>
        </is>
      </c>
      <c r="B180" s="17" t="n">
        <v>46168</v>
      </c>
      <c r="C180" s="14" t="inlineStr">
        <is>
          <t>COMIDA · Todo Tartas</t>
        </is>
      </c>
      <c r="D180" s="27" t="n">
        <v>8730</v>
      </c>
      <c r="E180" s="28" t="n"/>
      <c r="F180" s="15">
        <f>IF(OR(D174&lt;&gt;"",E174&lt;&gt;""),IF(D174="",0,D174)+IF(E174="",0,E174),"")</f>
        <v/>
      </c>
      <c r="G180" s="14" t="inlineStr">
        <is>
          <t>MP · panadería · ex `Todo Tartas`</t>
        </is>
      </c>
    </row>
    <row r="181">
      <c r="A181" s="14" t="inlineStr">
        <is>
          <t>Mayo</t>
        </is>
      </c>
      <c r="B181" s="17" t="n">
        <v>46166</v>
      </c>
      <c r="C181" s="14" t="inlineStr">
        <is>
          <t>PEDIDOS YA · COMIDA · propina</t>
        </is>
      </c>
      <c r="D181" s="27" t="n">
        <v>1100</v>
      </c>
      <c r="E181" s="28" t="n"/>
      <c r="F181" s="15">
        <f>IF(OR(D175&lt;&gt;"",E175&lt;&gt;""),IF(D175="",0,D175)+IF(E175="",0,E175),"")</f>
        <v/>
      </c>
      <c r="G181" s="14" t="inlineStr">
        <is>
          <t>PEDIDOS YA · COMIDA · propina</t>
        </is>
      </c>
    </row>
    <row r="182">
      <c r="A182" s="14" t="inlineStr">
        <is>
          <t>Mayo</t>
        </is>
      </c>
      <c r="B182" s="17" t="n">
        <v>46166</v>
      </c>
      <c r="C182" s="14" t="inlineStr">
        <is>
          <t>PEDIDOS YA · COMIDA</t>
        </is>
      </c>
      <c r="D182" s="27" t="n">
        <v>21618</v>
      </c>
      <c r="E182" s="28" t="n"/>
      <c r="F182" s="15">
        <f>IF(OR(D176&lt;&gt;"",E176&lt;&gt;""),IF(D176="",0,D176)+IF(E176="",0,E176),"")</f>
        <v/>
      </c>
      <c r="G182" s="14" t="inlineStr">
        <is>
          <t>PEDIDOS YA · COMIDA</t>
        </is>
      </c>
    </row>
    <row r="183">
      <c r="A183" s="14" t="inlineStr">
        <is>
          <t>Mayo</t>
        </is>
      </c>
      <c r="B183" s="17" t="n">
        <v>46165</v>
      </c>
      <c r="C183" s="14" t="inlineStr">
        <is>
          <t>COMIDA · Arredondo</t>
        </is>
      </c>
      <c r="D183" s="27" t="n">
        <v>10290</v>
      </c>
      <c r="E183" s="28" t="n"/>
      <c r="F183" s="15">
        <f>IF(OR(D177&lt;&gt;"",E177&lt;&gt;""),IF(D177="",0,D177)+IF(E177="",0,E177),"")</f>
        <v/>
      </c>
      <c r="G183" s="14" t="inlineStr">
        <is>
          <t>MP · Arredondo · QR tienda (almacén OK)</t>
        </is>
      </c>
    </row>
    <row r="184">
      <c r="A184" s="14" t="inlineStr">
        <is>
          <t>Mayo</t>
        </is>
      </c>
      <c r="B184" s="17" t="n">
        <v>46162</v>
      </c>
      <c r="C184" s="14" t="inlineStr">
        <is>
          <t>COMIDA · Todo Tartas</t>
        </is>
      </c>
      <c r="D184" s="27" t="n">
        <v>3480</v>
      </c>
      <c r="E184" s="28" t="n"/>
      <c r="F184" s="15">
        <f>IF(OR(D178&lt;&gt;"",E178&lt;&gt;""),IF(D178="",0,D178)+IF(E178="",0,E178),"")</f>
        <v/>
      </c>
      <c r="G184" s="14" t="inlineStr">
        <is>
          <t>MP · panadería · ex `Todo Tartas`</t>
        </is>
      </c>
    </row>
    <row r="185">
      <c r="A185" s="14" t="inlineStr">
        <is>
          <t>Mayo</t>
        </is>
      </c>
      <c r="B185" s="17" t="n">
        <v>46158</v>
      </c>
      <c r="C185" s="14" t="inlineStr">
        <is>
          <t>PEDIDOS YA · COMIDA · propina</t>
        </is>
      </c>
      <c r="D185" s="27" t="n">
        <v>1000</v>
      </c>
      <c r="E185" s="28" t="n"/>
      <c r="F185" s="15">
        <f>IF(OR(D179&lt;&gt;"",E179&lt;&gt;""),IF(D179="",0,D179)+IF(E179="",0,E179),"")</f>
        <v/>
      </c>
      <c r="G185" s="14" t="inlineStr">
        <is>
          <t>PEDIDOS YA · COMIDA · propina</t>
        </is>
      </c>
    </row>
    <row r="186">
      <c r="A186" s="14" t="inlineStr">
        <is>
          <t>Mayo</t>
        </is>
      </c>
      <c r="B186" s="17" t="n">
        <v>46158</v>
      </c>
      <c r="C186" s="14" t="inlineStr">
        <is>
          <t>PEDIDOS YA · COMIDA</t>
        </is>
      </c>
      <c r="D186" s="27" t="n">
        <v>17519</v>
      </c>
      <c r="E186" s="28" t="n"/>
      <c r="F186" s="15">
        <f>IF(OR(D180&lt;&gt;"",E180&lt;&gt;""),IF(D180="",0,D180)+IF(E180="",0,E180),"")</f>
        <v/>
      </c>
      <c r="G186" s="14" t="inlineStr">
        <is>
          <t>PEDIDOS YA · COMIDA</t>
        </is>
      </c>
    </row>
    <row r="187">
      <c r="A187" s="14" t="inlineStr">
        <is>
          <t>Mayo</t>
        </is>
      </c>
      <c r="B187" s="17" t="n">
        <v>46151</v>
      </c>
      <c r="C187" s="14" t="inlineStr">
        <is>
          <t>SUPERMERCADO · Coto</t>
        </is>
      </c>
      <c r="D187" s="27" t="n">
        <v>47361</v>
      </c>
      <c r="E187" s="28" t="n"/>
      <c r="F187" s="15">
        <f>IF(OR(D181&lt;&gt;"",E181&lt;&gt;""),IF(D181="",0,D181)+IF(E181="",0,E181),"")</f>
        <v/>
      </c>
      <c r="G187" s="14" t="inlineStr">
        <is>
          <t>SUPERMERCADO · Coto</t>
        </is>
      </c>
    </row>
    <row r="188">
      <c r="A188" s="14" t="inlineStr">
        <is>
          <t>Mayo</t>
        </is>
      </c>
      <c r="B188" s="17" t="n">
        <v>46149</v>
      </c>
      <c r="C188" s="14" t="inlineStr">
        <is>
          <t>COMIDA · Dean &amp; Dennys</t>
        </is>
      </c>
      <c r="D188" s="27" t="n">
        <v>6870</v>
      </c>
      <c r="E188" s="28" t="n"/>
      <c r="F188" s="15">
        <f>IF(OR(D182&lt;&gt;"",E182&lt;&gt;""),IF(D182="",0,D182)+IF(E182="",0,E182),"")</f>
        <v/>
      </c>
      <c r="G188" s="14" t="inlineStr">
        <is>
          <t>MP · comida · ex `Dean &amp; Dennys`</t>
        </is>
      </c>
    </row>
    <row r="189">
      <c r="A189" s="14" t="inlineStr">
        <is>
          <t>Mayo</t>
        </is>
      </c>
      <c r="B189" s="17" t="n">
        <v>46172</v>
      </c>
      <c r="C189" s="14" t="inlineStr">
        <is>
          <t>Combustible — Shell</t>
        </is>
      </c>
      <c r="D189" s="27" t="n">
        <v>18314</v>
      </c>
      <c r="E189" s="28" t="n"/>
      <c r="F189" s="15">
        <f>IF(OR(D183&lt;&gt;"",E183&lt;&gt;""),IF(D183="",0,D183)+IF(E183="",0,E183),"")</f>
        <v/>
      </c>
      <c r="G189" s="14" t="inlineStr">
        <is>
          <t>MP · combustible · nafta · combustible</t>
        </is>
      </c>
    </row>
    <row r="190">
      <c r="A190" s="14" t="inlineStr">
        <is>
          <t>Mayo</t>
        </is>
      </c>
      <c r="B190" s="17" t="n">
        <v>46172</v>
      </c>
      <c r="C190" s="14" t="inlineStr">
        <is>
          <t>Combustible — Shell</t>
        </is>
      </c>
      <c r="D190" s="27" t="n">
        <v>1415</v>
      </c>
      <c r="E190" s="28" t="n"/>
      <c r="F190" s="15">
        <f>IF(OR(D184&lt;&gt;"",E184&lt;&gt;""),IF(D184="",0,D184)+IF(E184="",0,E184),"")</f>
        <v/>
      </c>
      <c r="G190" s="14" t="inlineStr">
        <is>
          <t>MP · combustible · nafta · combustible</t>
        </is>
      </c>
    </row>
    <row r="191">
      <c r="A191" s="14" t="inlineStr">
        <is>
          <t>Mayo</t>
        </is>
      </c>
      <c r="B191" s="53" t="n">
        <v>46147</v>
      </c>
      <c r="C191" s="14" t="inlineStr">
        <is>
          <t>PEDIDOS YA · SUPERMERCADO</t>
        </is>
      </c>
      <c r="D191" s="27" t="n">
        <v>62267</v>
      </c>
      <c r="E191" s="28" t="n"/>
      <c r="F191" s="15">
        <f>IF(OR(D185&lt;&gt;"",E185&lt;&gt;""),IF(D185="",0,D185)+IF(E185="",0,E185),"")</f>
        <v/>
      </c>
      <c r="G191" s="14" t="inlineStr">
        <is>
          <t>PEDIDOS YA · SUPERMERCADO · BBVA TC Visa</t>
        </is>
      </c>
    </row>
    <row r="192">
      <c r="A192" s="14" t="inlineStr">
        <is>
          <t>Mayo</t>
        </is>
      </c>
      <c r="B192" s="53" t="n">
        <v>46147</v>
      </c>
      <c r="C192" s="14" t="inlineStr">
        <is>
          <t>PEDIDOS YA · SUPERMERCADO · propina</t>
        </is>
      </c>
      <c r="D192" s="27" t="n">
        <v>1000</v>
      </c>
      <c r="E192" s="28" t="n"/>
      <c r="F192" s="15">
        <f>IF(OR(D186&lt;&gt;"",E186&lt;&gt;""),IF(D186="",0,D186)+IF(E186="",0,E186),"")</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IF(OR(D187&lt;&gt;"",E187&lt;&gt;""),IF(D187="",0,D187)+IF(E187="",0,E187),"")</f>
        <v/>
      </c>
      <c r="G193" s="14" t="inlineStr">
        <is>
          <t>PEDIDOS YA · SUPERMERCADO · BBVA TC Visa</t>
        </is>
      </c>
    </row>
    <row r="194">
      <c r="A194" s="14" t="inlineStr">
        <is>
          <t>Mayo</t>
        </is>
      </c>
      <c r="B194" s="53" t="n">
        <v>46156</v>
      </c>
      <c r="C194" s="14" t="inlineStr">
        <is>
          <t>PEDIDOS YA · SUPERMERCADO</t>
        </is>
      </c>
      <c r="D194" s="27" t="n">
        <v>821</v>
      </c>
      <c r="E194" s="28" t="n"/>
      <c r="F194" s="15">
        <f>IF(OR(D188&lt;&gt;"",E188&lt;&gt;""),IF(D188="",0,D188)+IF(E188="",0,E188),"")</f>
        <v/>
      </c>
      <c r="G194" s="14" t="inlineStr">
        <is>
          <t>PEDIDOS YA · SUPERMERCADO · BBVA TC Visa</t>
        </is>
      </c>
    </row>
    <row r="195">
      <c r="A195" s="14" t="inlineStr">
        <is>
          <t>Mayo</t>
        </is>
      </c>
      <c r="B195" s="53" t="n">
        <v>46160</v>
      </c>
      <c r="C195" s="14" t="inlineStr">
        <is>
          <t>PEDIDOS YA · SUPERMERCADO</t>
        </is>
      </c>
      <c r="D195" s="27" t="n">
        <v>84857</v>
      </c>
      <c r="E195" s="28" t="n"/>
      <c r="F195" s="15">
        <f>IF(OR(D189&lt;&gt;"",E189&lt;&gt;""),IF(D189="",0,D189)+IF(E189="",0,E189),"")</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IF(OR(D190&lt;&gt;"",E190&lt;&gt;""),IF(D190="",0,D190)+IF(E190="",0,E190),"")</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IF(OR(D191&lt;&gt;"",E191&lt;&gt;""),IF(D191="",0,D191)+IF(E191="",0,E191),"")</f>
        <v/>
      </c>
      <c r="G197" s="14" t="inlineStr">
        <is>
          <t>PEDIDOS YA · SUPERMERCADO · BBVA TC Visa</t>
        </is>
      </c>
    </row>
    <row r="198">
      <c r="A198" s="14" t="inlineStr">
        <is>
          <t>Mayo</t>
        </is>
      </c>
      <c r="B198" s="53" t="n">
        <v>46163</v>
      </c>
      <c r="C198" s="14" t="inlineStr">
        <is>
          <t>PEDIDOS YA · SUPERMERCADO · propina</t>
        </is>
      </c>
      <c r="D198" s="27" t="n">
        <v>900</v>
      </c>
      <c r="E198" s="28" t="n"/>
      <c r="F198" s="15">
        <f>IF(OR(D192&lt;&gt;"",E192&lt;&gt;""),IF(D192="",0,D192)+IF(E192="",0,E192),"")</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IF(OR(D193&lt;&gt;"",E193&lt;&gt;""),IF(D193="",0,D193)+IF(E193="",0,E193),"")</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t="n"/>
      <c r="G217" s="14" t="inlineStr">
        <is>
          <t>ENTRETENIMIENTO · Teatro · Plateanet · BBVA VISA · ALMACEN SOL</t>
        </is>
      </c>
    </row>
    <row r="218">
      <c r="A218" s="14" t="inlineStr">
        <is>
          <t>Mayo</t>
        </is>
      </c>
      <c r="B218" s="17" t="n">
        <v>46145</v>
      </c>
      <c r="C218" s="14" t="inlineStr">
        <is>
          <t>ENTRETENIMIENTO · Teatro</t>
        </is>
      </c>
      <c r="D218" s="27" t="n">
        <v>20400</v>
      </c>
      <c r="E218" s="28" t="n"/>
      <c r="F218" s="15" t="n"/>
      <c r="G218" s="14" t="inlineStr">
        <is>
          <t>ENTRETENIMIENTO · Teatro · Plateanet · BBVA VISA · ALMACEN SOL</t>
        </is>
      </c>
    </row>
    <row r="219">
      <c r="A219" s="14" t="inlineStr">
        <is>
          <t>Mayo</t>
        </is>
      </c>
      <c r="B219" s="17" t="n">
        <v>46153</v>
      </c>
      <c r="C219" s="14" t="inlineStr">
        <is>
          <t>RAMON · Veterinario</t>
        </is>
      </c>
      <c r="D219" s="27" t="n">
        <v>65700</v>
      </c>
      <c r="E219" s="28" t="n"/>
      <c r="F219" s="15" t="n"/>
      <c r="G219" s="14" t="inlineStr">
        <is>
          <t>RAMON · Veterinario · Valeria Mele / El Perro Verde · ALMACEN SOL</t>
        </is>
      </c>
    </row>
    <row r="220">
      <c r="A220" s="14" t="inlineStr">
        <is>
          <t>Mayo</t>
        </is>
      </c>
      <c r="B220" s="17" t="n">
        <v>46155</v>
      </c>
      <c r="C220" s="14" t="inlineStr">
        <is>
          <t>RAMON · Veterinario</t>
        </is>
      </c>
      <c r="D220" s="27" t="n">
        <v>21600</v>
      </c>
      <c r="E220" s="28" t="n"/>
      <c r="F220" s="15" t="n"/>
      <c r="G220" s="14" t="inlineStr">
        <is>
          <t>RAMON · Veterinario · Valeria Mele / El Perro Verde · ALMACEN SOL</t>
        </is>
      </c>
    </row>
    <row r="221">
      <c r="A221" s="14" t="inlineStr">
        <is>
          <t>Mayo</t>
        </is>
      </c>
      <c r="B221" s="17" t="n">
        <v>46158</v>
      </c>
      <c r="C221" s="14" t="inlineStr">
        <is>
          <t>RAMON · Veterinario</t>
        </is>
      </c>
      <c r="D221" s="27" t="n">
        <v>90000</v>
      </c>
      <c r="E221" s="28" t="n"/>
      <c r="F221" s="15" t="n"/>
      <c r="G221" s="14" t="inlineStr">
        <is>
          <t>RAMON · Veterinario · Valeria Mele / El Perro Verde · ALMACEN SOL</t>
        </is>
      </c>
    </row>
    <row r="222">
      <c r="A222" s="14" t="inlineStr">
        <is>
          <t>Mayo</t>
        </is>
      </c>
      <c r="B222" s="17" t="n">
        <v>46165</v>
      </c>
      <c r="C222" s="14" t="inlineStr">
        <is>
          <t>RAMON · Veterinario</t>
        </is>
      </c>
      <c r="D222" s="27" t="n">
        <v>112500</v>
      </c>
      <c r="E222" s="28" t="n"/>
      <c r="F222" s="15" t="n"/>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t="n"/>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t="n"/>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t="n"/>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t="n"/>
      <c r="G226" s="14" t="inlineStr">
        <is>
          <t>RAMON · Veterinario · Leocan · Mercado Pago · ALMACEN SOL</t>
        </is>
      </c>
    </row>
    <row r="227">
      <c r="A227" s="14" t="inlineStr">
        <is>
          <t>Mayo</t>
        </is>
      </c>
      <c r="B227" s="17" t="n">
        <v>46169</v>
      </c>
      <c r="C227" s="14" t="inlineStr">
        <is>
          <t>RAMON · Otros</t>
        </is>
      </c>
      <c r="D227" s="27" t="n">
        <v>11100</v>
      </c>
      <c r="E227" s="28" t="n"/>
      <c r="F227" s="15" t="n"/>
      <c r="G227" s="14" t="inlineStr">
        <is>
          <t>RAMON · Otros · Paws Pet Market · Mercado Pago · ALMACEN SOL</t>
        </is>
      </c>
    </row>
    <row r="228">
      <c r="A228" s="10" t="inlineStr">
        <is>
          <t>TOTAL MAYO</t>
        </is>
      </c>
      <c r="B228" s="22" t="n"/>
      <c r="C228" s="29" t="inlineStr">
        <is>
          <t>Totales mes →</t>
        </is>
      </c>
      <c r="D228" s="7">
        <f>SUM(D178:D227)</f>
        <v/>
      </c>
      <c r="E228" s="7">
        <f>SUM(E178:E227)</f>
        <v/>
      </c>
      <c r="F228" s="7">
        <f>D228+E228</f>
        <v/>
      </c>
      <c r="G228" s="22" t="n"/>
    </row>
    <row r="230">
      <c r="A230" s="14" t="inlineStr">
        <is>
          <t>Junio</t>
        </is>
      </c>
      <c r="B230" s="17" t="n">
        <v>46200</v>
      </c>
      <c r="C230" s="14" t="inlineStr">
        <is>
          <t>COMIDA · Open 25</t>
        </is>
      </c>
      <c r="D230" s="27" t="n">
        <v>17000</v>
      </c>
      <c r="E230" s="28" t="n"/>
      <c r="F230" s="15">
        <f>IF(OR(D214&lt;&gt;"",E214&lt;&gt;""),IF(D214="",0,D214)+IF(E214="",0,E214),"")</f>
        <v/>
      </c>
      <c r="G230" s="14" t="inlineStr">
        <is>
          <t>MP · tienda · ex `Open 25`</t>
        </is>
      </c>
    </row>
    <row r="231">
      <c r="A231" s="14" t="inlineStr">
        <is>
          <t>Junio</t>
        </is>
      </c>
      <c r="B231" s="17" t="n">
        <v>46200</v>
      </c>
      <c r="C231" s="14" t="inlineStr">
        <is>
          <t>COMIDA · Confitería Dos Escudos</t>
        </is>
      </c>
      <c r="D231" s="27" t="n">
        <v>40600</v>
      </c>
      <c r="E231" s="28" t="n"/>
      <c r="F231" s="15">
        <f>IF(OR(D215&lt;&gt;"",E215&lt;&gt;""),IF(D215="",0,D215)+IF(E215="",0,E215),"")</f>
        <v/>
      </c>
      <c r="G231" s="14" t="inlineStr">
        <is>
          <t>MP · confitería · ex `Confitería Dos Escudos`</t>
        </is>
      </c>
    </row>
    <row r="232">
      <c r="A232" s="14" t="inlineStr">
        <is>
          <t>Junio</t>
        </is>
      </c>
      <c r="B232" s="17" t="n">
        <v>46199</v>
      </c>
      <c r="C232" s="14" t="inlineStr">
        <is>
          <t>COMIDA · Todo Tartas</t>
        </is>
      </c>
      <c r="D232" s="27" t="n">
        <v>23700</v>
      </c>
      <c r="E232" s="28" t="n"/>
      <c r="F232" s="15">
        <f>IF(OR(D216&lt;&gt;"",E216&lt;&gt;""),IF(D216="",0,D216)+IF(E216="",0,E216),"")</f>
        <v/>
      </c>
      <c r="G232" s="14" t="inlineStr">
        <is>
          <t>MP · panadería · ex `Todo Tartas`</t>
        </is>
      </c>
    </row>
    <row r="233">
      <c r="A233" s="14" t="inlineStr">
        <is>
          <t>Junio</t>
        </is>
      </c>
      <c r="B233" s="17" t="n">
        <v>46197</v>
      </c>
      <c r="C233" s="14" t="inlineStr">
        <is>
          <t>COMIDA · pollo</t>
        </is>
      </c>
      <c r="D233" s="27" t="n">
        <v>17154</v>
      </c>
      <c r="E233" s="28" t="n"/>
      <c r="F233" s="15">
        <f>IF(OR(D217&lt;&gt;"",E217&lt;&gt;""),IF(D217="",0,D217)+IF(E217="",0,E217),"")</f>
        <v/>
      </c>
      <c r="G233" s="14" t="inlineStr">
        <is>
          <t>COMIDA · pollo · MP · pollo</t>
        </is>
      </c>
    </row>
    <row r="234">
      <c r="A234" s="14" t="inlineStr">
        <is>
          <t>Junio</t>
        </is>
      </c>
      <c r="B234" s="17" t="n">
        <v>46195</v>
      </c>
      <c r="C234" s="14" t="inlineStr">
        <is>
          <t>COMIDA · pollo</t>
        </is>
      </c>
      <c r="D234" s="27" t="n">
        <v>40939</v>
      </c>
      <c r="E234" s="28" t="n"/>
      <c r="F234" s="15">
        <f>IF(OR(D218&lt;&gt;"",E218&lt;&gt;""),IF(D218="",0,D218)+IF(E218="",0,E218),"")</f>
        <v/>
      </c>
      <c r="G234" s="14" t="inlineStr">
        <is>
          <t>COMIDA · pollo · MP · pollo</t>
        </is>
      </c>
    </row>
    <row r="235">
      <c r="A235" s="14" t="inlineStr">
        <is>
          <t>Junio</t>
        </is>
      </c>
      <c r="B235" s="17" t="n">
        <v>46193</v>
      </c>
      <c r="C235" s="14" t="inlineStr">
        <is>
          <t>PEDIDOS YA · COMIDA · propina</t>
        </is>
      </c>
      <c r="D235" s="27" t="n">
        <v>1500</v>
      </c>
      <c r="E235" s="28" t="n"/>
      <c r="F235" s="15">
        <f>IF(OR(D219&lt;&gt;"",E219&lt;&gt;""),IF(D219="",0,D219)+IF(E219="",0,E219),"")</f>
        <v/>
      </c>
      <c r="G235" s="14" t="inlineStr">
        <is>
          <t>PEDIDOS YA · COMIDA · propina</t>
        </is>
      </c>
    </row>
    <row r="236">
      <c r="A236" s="14" t="inlineStr">
        <is>
          <t>Junio</t>
        </is>
      </c>
      <c r="B236" s="17" t="n">
        <v>46193</v>
      </c>
      <c r="C236" s="14" t="inlineStr">
        <is>
          <t>PEDIDOS YA · COMIDA</t>
        </is>
      </c>
      <c r="D236" s="27" t="n">
        <v>52902</v>
      </c>
      <c r="E236" s="28" t="n"/>
      <c r="F236" s="15">
        <f>IF(OR(D220&lt;&gt;"",E220&lt;&gt;""),IF(D220="",0,D220)+IF(E220="",0,E220),"")</f>
        <v/>
      </c>
      <c r="G236" s="14" t="inlineStr">
        <is>
          <t>PEDIDOS YA · COMIDA · neto</t>
        </is>
      </c>
    </row>
    <row r="237">
      <c r="A237" s="14" t="inlineStr">
        <is>
          <t>Junio</t>
        </is>
      </c>
      <c r="B237" s="17" t="n">
        <v>46192</v>
      </c>
      <c r="C237" s="14" t="inlineStr">
        <is>
          <t>COMIDA · Todo Tartas</t>
        </is>
      </c>
      <c r="D237" s="27" t="n">
        <v>28000</v>
      </c>
      <c r="E237" s="28" t="n"/>
      <c r="F237" s="15">
        <f>IF(OR(D221&lt;&gt;"",E221&lt;&gt;""),IF(D221="",0,D221)+IF(E221="",0,E221),"")</f>
        <v/>
      </c>
      <c r="G237" s="14" t="inlineStr">
        <is>
          <t>MP · panadería · ex `Todo Tartas`</t>
        </is>
      </c>
    </row>
    <row r="238">
      <c r="A238" s="14" t="inlineStr">
        <is>
          <t>Junio</t>
        </is>
      </c>
      <c r="B238" s="17" t="n">
        <v>46191</v>
      </c>
      <c r="C238" s="14" t="inlineStr">
        <is>
          <t>COMIDA · Tienda De Café</t>
        </is>
      </c>
      <c r="D238" s="27" t="n">
        <v>18700</v>
      </c>
      <c r="E238" s="28" t="n"/>
      <c r="F238" s="15">
        <f>IF(OR(D222&lt;&gt;"",E222&lt;&gt;""),IF(D222="",0,D222)+IF(E222="",0,E222),"")</f>
        <v/>
      </c>
      <c r="G238" s="14" t="inlineStr">
        <is>
          <t>MP · café · ex `Tienda De Café`</t>
        </is>
      </c>
    </row>
    <row r="239">
      <c r="A239" s="14" t="inlineStr">
        <is>
          <t>Junio</t>
        </is>
      </c>
      <c r="B239" s="17" t="n">
        <v>46189</v>
      </c>
      <c r="C239" s="14" t="inlineStr">
        <is>
          <t>PEDIDOS YA · COMIDA</t>
        </is>
      </c>
      <c r="D239" s="27" t="n">
        <v>68899</v>
      </c>
      <c r="E239" s="28" t="n"/>
      <c r="F239" s="15">
        <f>IF(OR(D223&lt;&gt;"",E223&lt;&gt;""),IF(D223="",0,D223)+IF(E223="",0,E223),"")</f>
        <v/>
      </c>
      <c r="G239" s="14" t="inlineStr">
        <is>
          <t>PEDIDOS YA · COMIDA</t>
        </is>
      </c>
    </row>
    <row r="240">
      <c r="A240" s="14" t="inlineStr">
        <is>
          <t>Junio</t>
        </is>
      </c>
      <c r="B240" s="17" t="n">
        <v>46186</v>
      </c>
      <c r="C240" s="14" t="inlineStr">
        <is>
          <t>COMIDA · Todo Tartas</t>
        </is>
      </c>
      <c r="D240" s="27" t="n">
        <v>11700</v>
      </c>
      <c r="E240" s="28" t="n"/>
      <c r="F240" s="15">
        <f>IF(OR(D224&lt;&gt;"",E224&lt;&gt;""),IF(D224="",0,D224)+IF(E224="",0,E224),"")</f>
        <v/>
      </c>
      <c r="G240" s="14" t="inlineStr">
        <is>
          <t>MP · panadería · ex `Todo Tartas`</t>
        </is>
      </c>
    </row>
    <row r="241">
      <c r="A241" s="14" t="inlineStr">
        <is>
          <t>Junio</t>
        </is>
      </c>
      <c r="B241" s="17" t="n">
        <v>46185</v>
      </c>
      <c r="C241" s="14" t="inlineStr">
        <is>
          <t>PEDIDOS YA · COMIDA · propina</t>
        </is>
      </c>
      <c r="D241" s="27" t="n">
        <v>900</v>
      </c>
      <c r="E241" s="28" t="n"/>
      <c r="F241" s="15">
        <f>IF(OR(D225&lt;&gt;"",E225&lt;&gt;""),IF(D225="",0,D225)+IF(E225="",0,E225),"")</f>
        <v/>
      </c>
      <c r="G241" s="14" t="inlineStr">
        <is>
          <t>PEDIDOS YA · COMIDA · propina</t>
        </is>
      </c>
    </row>
    <row r="242">
      <c r="A242" s="14" t="inlineStr">
        <is>
          <t>Junio</t>
        </is>
      </c>
      <c r="B242" s="17" t="n">
        <v>46185</v>
      </c>
      <c r="C242" s="14" t="inlineStr">
        <is>
          <t>PEDIDOS YA · COMIDA</t>
        </is>
      </c>
      <c r="D242" s="27" t="n">
        <v>17189</v>
      </c>
      <c r="E242" s="28" t="n"/>
      <c r="F242" s="15">
        <f>IF(OR(D226&lt;&gt;"",E226&lt;&gt;""),IF(D226="",0,D226)+IF(E226="",0,E226),"")</f>
        <v/>
      </c>
      <c r="G242" s="14" t="inlineStr">
        <is>
          <t>PEDIDOS YA · COMIDA</t>
        </is>
      </c>
    </row>
    <row r="243">
      <c r="A243" s="14" t="inlineStr">
        <is>
          <t>Junio</t>
        </is>
      </c>
      <c r="B243" s="17" t="n">
        <v>46184</v>
      </c>
      <c r="C243" s="14" t="inlineStr">
        <is>
          <t>PEDIDOS YA · COMIDA · propina</t>
        </is>
      </c>
      <c r="D243" s="27" t="n">
        <v>1200</v>
      </c>
      <c r="E243" s="28" t="n"/>
      <c r="F243" s="15">
        <f>IF(OR(D227&lt;&gt;"",E227&lt;&gt;""),IF(D227="",0,D227)+IF(E227="",0,E227),"")</f>
        <v/>
      </c>
      <c r="G243" s="14" t="inlineStr">
        <is>
          <t>PEDIDOS YA · COMIDA · propina</t>
        </is>
      </c>
    </row>
    <row r="244">
      <c r="A244" s="14" t="inlineStr">
        <is>
          <t>Junio</t>
        </is>
      </c>
      <c r="B244" s="17" t="n">
        <v>46184</v>
      </c>
      <c r="C244" s="14" t="inlineStr">
        <is>
          <t>PEDIDOS YA · COMIDA</t>
        </is>
      </c>
      <c r="D244" s="27" t="n">
        <v>28384</v>
      </c>
      <c r="E244" s="28" t="n"/>
      <c r="F244" s="15">
        <f>IF(OR(D228&lt;&gt;"",E228&lt;&gt;""),IF(D228="",0,D228)+IF(E228="",0,E228),"")</f>
        <v/>
      </c>
      <c r="G244" s="14" t="inlineStr">
        <is>
          <t>PEDIDOS YA · COMIDA</t>
        </is>
      </c>
    </row>
    <row r="245">
      <c r="A245" s="14" t="inlineStr">
        <is>
          <t>Junio</t>
        </is>
      </c>
      <c r="B245" s="17" t="n">
        <v>46174</v>
      </c>
      <c r="C245" s="14" t="inlineStr">
        <is>
          <t>COMIDA · Huevos Point</t>
        </is>
      </c>
      <c r="D245" s="27" t="n">
        <v>7500</v>
      </c>
      <c r="E245" s="28" t="n"/>
      <c r="F245" s="15">
        <f>IF(OR(D229&lt;&gt;"",E229&lt;&gt;""),IF(D229="",0,D229)+IF(E229="",0,E229),"")</f>
        <v/>
      </c>
      <c r="G245" s="14" t="inlineStr">
        <is>
          <t>MP · huevos · ex `Huevos Point`</t>
        </is>
      </c>
    </row>
    <row r="246">
      <c r="A246" s="14" t="inlineStr">
        <is>
          <t>Junio</t>
        </is>
      </c>
      <c r="B246" s="17" t="n">
        <v>46176</v>
      </c>
      <c r="C246" s="14" t="inlineStr">
        <is>
          <t>SUPERMERCADO · Carrefour</t>
        </is>
      </c>
      <c r="D246" s="27" t="n">
        <v>23943</v>
      </c>
      <c r="E246" s="28" t="n"/>
      <c r="F246" s="15">
        <f>IF(OR(D231&lt;&gt;"",E231&lt;&gt;""),IF(D231="",0,D231)+IF(E231="",0,E231),"")</f>
        <v/>
      </c>
      <c r="G246" s="14" t="inlineStr">
        <is>
          <t>SUPERMERCADO · Carrefour</t>
        </is>
      </c>
    </row>
    <row r="247">
      <c r="A247" s="14" t="inlineStr">
        <is>
          <t>Junio</t>
        </is>
      </c>
      <c r="B247" s="17" t="n">
        <v>46180</v>
      </c>
      <c r="C247" s="14" t="inlineStr">
        <is>
          <t>SUPERMERCADO · Coto</t>
        </is>
      </c>
      <c r="D247" s="27" t="n">
        <v>348208</v>
      </c>
      <c r="E247" s="28" t="n"/>
      <c r="F247" s="15">
        <f>IF(OR(D232&lt;&gt;"",E232&lt;&gt;""),IF(D232="",0,D232)+IF(E232="",0,E232),"")</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IF(OR(D233&lt;&gt;"",E233&lt;&gt;""),IF(D233="",0,D233)+IF(E233="",0,E233),"")</f>
        <v/>
      </c>
      <c r="G248" s="14" t="inlineStr">
        <is>
          <t>MP · huevos · ex `Huevos Point`</t>
        </is>
      </c>
    </row>
    <row r="249">
      <c r="A249" s="14" t="inlineStr">
        <is>
          <t>Junio</t>
        </is>
      </c>
      <c r="B249" s="17" t="n">
        <v>46194</v>
      </c>
      <c r="C249" s="14" t="inlineStr">
        <is>
          <t>Combustible — Shell</t>
        </is>
      </c>
      <c r="D249" s="27" t="n">
        <v>1648</v>
      </c>
      <c r="E249" s="28" t="n"/>
      <c r="F249" s="15">
        <f>IF(OR(D234&lt;&gt;"",E234&lt;&gt;""),IF(D234="",0,D234)+IF(E234="",0,E234),"")</f>
        <v/>
      </c>
      <c r="G249" s="14" t="inlineStr">
        <is>
          <t>MP · combustible · nafta · combustible</t>
        </is>
      </c>
    </row>
    <row r="250">
      <c r="A250" s="14" t="inlineStr">
        <is>
          <t>Junio</t>
        </is>
      </c>
      <c r="B250" s="17" t="n">
        <v>46186</v>
      </c>
      <c r="C250" s="14" t="inlineStr">
        <is>
          <t>RAMON · Comida</t>
        </is>
      </c>
      <c r="D250" s="27" t="n">
        <v>65000</v>
      </c>
      <c r="E250" s="28" t="n"/>
      <c r="F250" s="15">
        <f>IF(OR(D235&lt;&gt;"",E235&lt;&gt;""),IF(D235="",0,D235)+IF(E235="",0,E235),"")</f>
        <v/>
      </c>
      <c r="G250" s="14" t="inlineStr">
        <is>
          <t>RAMON · Comida · DR BARF · ALMACEN SOL</t>
        </is>
      </c>
    </row>
    <row r="251">
      <c r="A251" s="14" t="inlineStr">
        <is>
          <t>Junio</t>
        </is>
      </c>
      <c r="B251" s="53" t="n">
        <v>46178</v>
      </c>
      <c r="C251" s="14" t="inlineStr">
        <is>
          <t>COMIDA · Le Pain Quotidien</t>
        </is>
      </c>
      <c r="D251" s="27" t="n">
        <v>3432</v>
      </c>
      <c r="E251" s="28" t="n"/>
      <c r="F251" s="15">
        <f>IF(OR(D236&lt;&gt;"",E236&lt;&gt;""),IF(D236="",0,D236)+IF(E236="",0,E236),"")</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t="n"/>
      <c r="G269" s="14" t="inlineStr">
        <is>
          <t>PEDIDOS YA · COMIDA · propina · MP cuenta</t>
        </is>
      </c>
    </row>
    <row r="270">
      <c r="A270" s="14" t="inlineStr">
        <is>
          <t>Junio</t>
        </is>
      </c>
      <c r="B270" s="17" t="n">
        <v>46196</v>
      </c>
      <c r="C270" s="14" t="inlineStr">
        <is>
          <t>COMIDA · Buenos Muchachos</t>
        </is>
      </c>
      <c r="D270" s="27" t="n">
        <v>64750</v>
      </c>
      <c r="E270" s="28" t="n"/>
      <c r="F270" s="15" t="n"/>
      <c r="G270" s="14" t="inlineStr">
        <is>
          <t>COMIDA · Buenos Muchachos Resto · MP cuenta</t>
        </is>
      </c>
    </row>
    <row r="271">
      <c r="A271" s="14" t="inlineStr">
        <is>
          <t>Junio</t>
        </is>
      </c>
      <c r="B271" s="17" t="n">
        <v>46202</v>
      </c>
      <c r="C271" s="14" t="inlineStr">
        <is>
          <t>STREAMING TV</t>
        </is>
      </c>
      <c r="D271" s="27" t="n">
        <v>12900</v>
      </c>
      <c r="E271" s="28" t="n"/>
      <c r="F271" s="15" t="n"/>
      <c r="G271" s="14" t="inlineStr">
        <is>
          <t>STREAMING TV · Directv streaming · ALMACEN SOL · resumen MP</t>
        </is>
      </c>
    </row>
    <row r="272">
      <c r="A272" s="14" t="inlineStr">
        <is>
          <t>Junio</t>
        </is>
      </c>
      <c r="B272" s="17" t="n">
        <v>46199</v>
      </c>
      <c r="C272" s="14" t="inlineStr">
        <is>
          <t>RAMON · Veterinario</t>
        </is>
      </c>
      <c r="D272" s="27" t="n">
        <v>48600</v>
      </c>
      <c r="E272" s="28" t="n"/>
      <c r="F272" s="15" t="n"/>
      <c r="G272" s="14" t="inlineStr">
        <is>
          <t>RAMON · Veterinario · Valeria Mele / El Perro Verde · ALMACEN SOL</t>
        </is>
      </c>
    </row>
    <row r="273">
      <c r="A273" s="10" t="inlineStr">
        <is>
          <t>TOTAL JUNIO</t>
        </is>
      </c>
      <c r="B273" s="22" t="n"/>
      <c r="C273" s="29" t="inlineStr">
        <is>
          <t>Totales mes →</t>
        </is>
      </c>
      <c r="D273" s="7">
        <f>SUM(D230:D272)</f>
        <v/>
      </c>
      <c r="E273" s="7">
        <f>SUM(E230:E272)</f>
        <v/>
      </c>
      <c r="F273" s="7">
        <f>D273+E273</f>
        <v/>
      </c>
      <c r="G273" s="22" t="n"/>
    </row>
    <row r="275">
      <c r="A275" s="14" t="inlineStr">
        <is>
          <t>Julio</t>
        </is>
      </c>
      <c r="B275" s="17" t="n">
        <v>46221</v>
      </c>
      <c r="C275" s="14" t="inlineStr">
        <is>
          <t>COMIDA · pollo</t>
        </is>
      </c>
      <c r="D275" s="27" t="n">
        <v>34293</v>
      </c>
      <c r="E275" s="28" t="n"/>
      <c r="F275" s="15">
        <f>IF(OR(D256&lt;&gt;"",E256&lt;&gt;""),IF(D256="",0,D256)+IF(E256="",0,E256),"")</f>
        <v/>
      </c>
      <c r="G275" s="14" t="inlineStr">
        <is>
          <t>COMIDA · pollo · MP · pollo · BBVA Visa crédito</t>
        </is>
      </c>
    </row>
    <row r="276">
      <c r="A276" s="14" t="inlineStr">
        <is>
          <t>Julio</t>
        </is>
      </c>
      <c r="B276" s="17" t="n">
        <v>46220</v>
      </c>
      <c r="C276" s="14" t="inlineStr">
        <is>
          <t>PEDIDOS YA · COMIDA</t>
        </is>
      </c>
      <c r="D276" s="27" t="n">
        <v>73345</v>
      </c>
      <c r="E276" s="28" t="n"/>
      <c r="F276" s="15">
        <f>IF(OR(D261&lt;&gt;"",E261&lt;&gt;""),IF(D261="",0,D261)+IF(E261="",0,E261),"")</f>
        <v/>
      </c>
      <c r="G276" s="14" t="inlineStr">
        <is>
          <t>PEDIDOS YA · COMIDA</t>
        </is>
      </c>
    </row>
    <row r="277">
      <c r="A277" s="14" t="inlineStr">
        <is>
          <t>Julio</t>
        </is>
      </c>
      <c r="B277" s="17" t="n">
        <v>46216</v>
      </c>
      <c r="C277" s="14" t="inlineStr">
        <is>
          <t>COMIDA · Carnes Tito</t>
        </is>
      </c>
      <c r="D277" s="27" t="n">
        <v>8160</v>
      </c>
      <c r="E277" s="28" t="n"/>
      <c r="F277" s="15">
        <f>IF(OR(D262&lt;&gt;"",E262&lt;&gt;""),IF(D262="",0,D262)+IF(E262="",0,E262),"")</f>
        <v/>
      </c>
      <c r="G277" s="14" t="inlineStr">
        <is>
          <t>MP · carnicería · ex `Carnes Tito`</t>
        </is>
      </c>
    </row>
    <row r="278">
      <c r="A278" s="14" t="inlineStr">
        <is>
          <t>Julio</t>
        </is>
      </c>
      <c r="B278" s="17" t="n">
        <v>46214</v>
      </c>
      <c r="C278" s="14" t="inlineStr">
        <is>
          <t>COMIDA · VALENTI SA</t>
        </is>
      </c>
      <c r="D278" s="27" t="n">
        <v>11375</v>
      </c>
      <c r="E278" s="28" t="n"/>
      <c r="F278" s="15">
        <f>IF(OR(D263&lt;&gt;"",E263&lt;&gt;""),IF(D263="",0,D263)+IF(E263="",0,E263),"")</f>
        <v/>
      </c>
      <c r="G278" s="14" t="inlineStr">
        <is>
          <t>COMIDA · VALENTI SA</t>
        </is>
      </c>
    </row>
    <row r="279">
      <c r="A279" s="14" t="inlineStr">
        <is>
          <t>Julio</t>
        </is>
      </c>
      <c r="B279" s="17" t="n">
        <v>46212</v>
      </c>
      <c r="C279" s="14" t="inlineStr">
        <is>
          <t>COMIDA · VALENTI SA</t>
        </is>
      </c>
      <c r="D279" s="27" t="n">
        <v>26400</v>
      </c>
      <c r="E279" s="28" t="n"/>
      <c r="F279" s="15">
        <f>IF(OR(D264&lt;&gt;"",E264&lt;&gt;""),IF(D264="",0,D264)+IF(E264="",0,E264),"")</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IF(OR(D266&lt;&gt;"",E266&lt;&gt;""),IF(D266="",0,D266)+IF(E266="",0,E266),"")</f>
        <v/>
      </c>
      <c r="G281" s="14" t="inlineStr">
        <is>
          <t>MP · panadería · ex `Le Pain Quotidien`</t>
        </is>
      </c>
    </row>
    <row r="282">
      <c r="A282" s="14" t="inlineStr">
        <is>
          <t>Julio</t>
        </is>
      </c>
      <c r="B282" s="17" t="n">
        <v>46207</v>
      </c>
      <c r="C282" s="14" t="inlineStr">
        <is>
          <t>PEDIDOS YA · COMIDA · propina</t>
        </is>
      </c>
      <c r="D282" s="27" t="n">
        <v>1200</v>
      </c>
      <c r="E282" s="28" t="n"/>
      <c r="F282" s="15">
        <f>IF(OR(D267&lt;&gt;"",E267&lt;&gt;""),IF(D267="",0,D267)+IF(E267="",0,E267),"")</f>
        <v/>
      </c>
      <c r="G282" s="14" t="inlineStr">
        <is>
          <t>PEDIDOS YA · COMIDA · propina</t>
        </is>
      </c>
    </row>
    <row r="283">
      <c r="A283" s="14" t="inlineStr">
        <is>
          <t>Julio</t>
        </is>
      </c>
      <c r="B283" s="17" t="n">
        <v>46207</v>
      </c>
      <c r="C283" s="14" t="inlineStr">
        <is>
          <t>PEDIDOS YA · COMIDA</t>
        </is>
      </c>
      <c r="D283" s="27" t="n">
        <v>31799</v>
      </c>
      <c r="E283" s="28" t="n"/>
      <c r="F283" s="15">
        <f>IF(OR(D268&lt;&gt;"",E268&lt;&gt;""),IF(D268="",0,D268)+IF(E268="",0,E268),"")</f>
        <v/>
      </c>
      <c r="G283" s="14" t="inlineStr">
        <is>
          <t>PEDIDOS YA · COMIDA</t>
        </is>
      </c>
    </row>
    <row r="284">
      <c r="A284" s="14" t="inlineStr">
        <is>
          <t>Julio</t>
        </is>
      </c>
      <c r="B284" s="17" t="n">
        <v>46206</v>
      </c>
      <c r="C284" s="14" t="inlineStr">
        <is>
          <t>COMIDA · Todo Tartas</t>
        </is>
      </c>
      <c r="D284" s="27" t="n">
        <v>9690</v>
      </c>
      <c r="E284" s="28" t="n"/>
      <c r="F284" s="15">
        <f>IF(OR(D269&lt;&gt;"",E269&lt;&gt;""),IF(D269="",0,D269)+IF(E269="",0,E269),"")</f>
        <v/>
      </c>
      <c r="G284" s="14" t="inlineStr">
        <is>
          <t>MP · panadería · ex `Todo Tartas`</t>
        </is>
      </c>
    </row>
    <row r="285">
      <c r="A285" s="14" t="inlineStr">
        <is>
          <t>Julio</t>
        </is>
      </c>
      <c r="B285" s="17" t="n">
        <v>46220</v>
      </c>
      <c r="C285" s="14" t="inlineStr">
        <is>
          <t>COMIDA · Chocolates CHIAZZA</t>
        </is>
      </c>
      <c r="D285" s="27" t="n">
        <v>8000</v>
      </c>
      <c r="E285" s="28" t="n"/>
      <c r="F285" s="15">
        <f>IF(OR(D270&lt;&gt;"",E270&lt;&gt;""),IF(D270="",0,D270)+IF(E270="",0,E270),"")</f>
        <v/>
      </c>
      <c r="G285" s="14" t="inlineStr">
        <is>
          <t>COMIDA · Chocolates CHIAZZA</t>
        </is>
      </c>
    </row>
    <row r="286">
      <c r="A286" s="14" t="inlineStr">
        <is>
          <t>Julio</t>
        </is>
      </c>
      <c r="B286" s="17" t="n">
        <v>46217</v>
      </c>
      <c r="C286" s="14" t="inlineStr">
        <is>
          <t>COMIDA · VERDULERÍA</t>
        </is>
      </c>
      <c r="D286" s="27" t="n">
        <v>8977</v>
      </c>
      <c r="E286" s="28" t="n"/>
      <c r="F286" s="15">
        <f>IF(OR(D271&lt;&gt;"",E271&lt;&gt;""),IF(D271="",0,D271)+IF(E271="",0,E271),"")</f>
        <v/>
      </c>
      <c r="G286" s="14" t="inlineStr">
        <is>
          <t>COMIDA · VERDULERÍA</t>
        </is>
      </c>
    </row>
    <row r="287">
      <c r="A287" s="14" t="inlineStr">
        <is>
          <t>Julio</t>
        </is>
      </c>
      <c r="B287" s="17" t="n">
        <v>46214</v>
      </c>
      <c r="C287" s="14" t="inlineStr">
        <is>
          <t>COMIDA · SUSHI</t>
        </is>
      </c>
      <c r="D287" s="27" t="n">
        <v>195360</v>
      </c>
      <c r="E287" s="28" t="n"/>
      <c r="F287" s="15">
        <f>IF(OR(D272&lt;&gt;"",E272&lt;&gt;""),IF(D272="",0,D272)+IF(E272="",0,E272),"")</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t="n"/>
      <c r="G311" s="14" t="inlineStr">
        <is>
          <t>RAMON · Veterinario · Valeria Mele / El Perro Verde · ALMACEN SOL</t>
        </is>
      </c>
    </row>
    <row r="312">
      <c r="A312" s="10" t="inlineStr">
        <is>
          <t>TOTAL JULIO</t>
        </is>
      </c>
      <c r="B312" s="22" t="n"/>
      <c r="C312" s="29" t="inlineStr">
        <is>
          <t>Totales mes →</t>
        </is>
      </c>
      <c r="D312" s="7">
        <f>SUM(D275:D311)</f>
        <v/>
      </c>
      <c r="E312" s="7">
        <f>SUM(E275:E311)</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SUM(D314:D353)</f>
        <v/>
      </c>
      <c r="E354" s="7">
        <f>SUM(E314:E353)</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SUM(D356:D395)</f>
        <v/>
      </c>
      <c r="E396" s="7">
        <f>SUM(E356:E395)</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SUM(D398:D437)</f>
        <v/>
      </c>
      <c r="E438" s="7">
        <f>SUM(E398:E437)</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SUM(D440:D479)</f>
        <v/>
      </c>
      <c r="E480" s="7">
        <f>SUM(E440:E479)</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SUM(D482:D521)</f>
        <v/>
      </c>
      <c r="E522" s="7">
        <f>SUM(E482:E521)</f>
        <v/>
      </c>
      <c r="F522" s="7">
        <f>D522+E522</f>
        <v/>
      </c>
      <c r="G522" s="22" t="n"/>
    </row>
    <row r="523">
      <c r="A523" t="inlineStr">
        <is>
          <t>Enero</t>
        </is>
      </c>
      <c r="B523" s="54" t="n">
        <v>46034</v>
      </c>
      <c r="C523" t="inlineStr">
        <is>
          <t>SUPERMERCADO · Coto</t>
        </is>
      </c>
      <c r="D523" t="n">
        <v>337644</v>
      </c>
      <c r="F523">
        <f>IF(OR(D507&lt;&gt;"",E507&lt;&gt;""),IF(D507="",0,D507)+IF(E507="",0,E507),"")</f>
        <v/>
      </c>
      <c r="G523" t="inlineStr">
        <is>
          <t>SUPERMERCADO · Coto · TC Mercado Pago · compra 2025-12-22</t>
        </is>
      </c>
    </row>
    <row r="524">
      <c r="A524" t="inlineStr">
        <is>
          <t>Enero</t>
        </is>
      </c>
      <c r="B524" s="54" t="n">
        <v>46034</v>
      </c>
      <c r="C524" t="inlineStr">
        <is>
          <t>SUPERMERCADO · Coto</t>
        </is>
      </c>
      <c r="D524" t="n">
        <v>-49597</v>
      </c>
      <c r="F524">
        <f>IF(OR(D508&lt;&gt;"",E508&lt;&gt;""),IF(D508="",0,D508)+IF(E508="",0,E508),"")</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5"/>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25" t="n"/>
      <c r="D55" s="26" t="n"/>
      <c r="H55" t="inlineStr">
        <is>
          <t>FARMACIA · Farmacia Selma · cargado en Almacen Detalle</t>
        </is>
      </c>
      <c r="I55" t="inlineStr">
        <is>
          <t>Enero</t>
        </is>
      </c>
    </row>
    <row r="56">
      <c r="A56" s="25" t="n"/>
      <c r="D56" s="26" t="n"/>
      <c r="H56" t="inlineStr">
        <is>
          <t>FARMACIA · Farmacia Maure</t>
        </is>
      </c>
      <c r="I56" t="inlineStr">
        <is>
          <t>Enero</t>
        </is>
      </c>
    </row>
    <row r="57">
      <c r="A57" s="25" t="n"/>
      <c r="D57" s="26" t="n"/>
      <c r="H57" t="inlineStr">
        <is>
          <t>FARMACIA · Farmacia Maure</t>
        </is>
      </c>
      <c r="I57" t="inlineStr">
        <is>
          <t>Febrero</t>
        </is>
      </c>
    </row>
    <row r="58">
      <c r="A58" s="25" t="n"/>
      <c r="D58" s="26" t="n"/>
      <c r="H58" t="inlineStr">
        <is>
          <t>FARMACIA · Farmacia Maure</t>
        </is>
      </c>
      <c r="I58" t="inlineStr">
        <is>
          <t>Abril</t>
        </is>
      </c>
    </row>
    <row r="59">
      <c r="A59" s="25" t="n"/>
      <c r="D59" s="26" t="n"/>
      <c r="H59" t="inlineStr">
        <is>
          <t>FARMACIA · Farmacity</t>
        </is>
      </c>
      <c r="I59" t="inlineStr">
        <is>
          <t>Mayo</t>
        </is>
      </c>
    </row>
    <row r="60">
      <c r="A60" s="25" t="n"/>
      <c r="D60" s="26" t="n"/>
      <c r="H60" t="inlineStr">
        <is>
          <t>FARMACIA · Farmacia Maure</t>
        </is>
      </c>
      <c r="I60" t="inlineStr">
        <is>
          <t>Julio</t>
        </is>
      </c>
    </row>
    <row r="61">
      <c r="A61" s="54" t="n"/>
    </row>
    <row r="62">
      <c r="A62" s="17" t="n">
        <v>46204</v>
      </c>
      <c r="B62" s="14" t="inlineStr">
        <is>
          <t>LIMPIEZA CASA</t>
        </is>
      </c>
      <c r="C62" s="14" t="inlineStr">
        <is>
          <t>LIMPIEZA CASA — Julio 2026 (MP cuenta: 9.500+123.240+120.240+147.660)</t>
        </is>
      </c>
      <c r="D62" s="15" t="n">
        <v>400640</v>
      </c>
    </row>
    <row r="63">
      <c r="A63" s="25" t="n">
        <v>46152</v>
      </c>
      <c r="B63" t="inlineStr">
        <is>
          <t>ABL</t>
        </is>
      </c>
      <c r="C63" t="inlineStr">
        <is>
          <t>Agip ABL GCBA · partida 397789 (5 pagos 10-may)</t>
        </is>
      </c>
      <c r="D63" s="26" t="n">
        <v>132599</v>
      </c>
      <c r="E63" t="inlineStr">
        <is>
          <t>Mercado Pago — Dinero disponible</t>
        </is>
      </c>
    </row>
    <row r="64">
      <c r="A64" s="17" t="n">
        <v>46031</v>
      </c>
      <c r="B64" s="14" t="inlineStr">
        <is>
          <t>SUSCRIPCIONES</t>
        </is>
      </c>
      <c r="C64" s="14" t="inlineStr">
        <is>
          <t>PedidosYa Plus</t>
        </is>
      </c>
      <c r="D64" s="15" t="n">
        <v>5490</v>
      </c>
      <c r="E64" s="14" t="inlineStr">
        <is>
          <t>Mercado Pago</t>
        </is>
      </c>
      <c r="F64" s="18" t="inlineStr">
        <is>
          <t>SUSCRIPCIONES · PedidosYa Plus · resumen MP</t>
        </is>
      </c>
    </row>
    <row r="65">
      <c r="A65" s="17" t="n">
        <v>46062</v>
      </c>
      <c r="B65" s="14" t="inlineStr">
        <is>
          <t>SUSCRIPCIONES</t>
        </is>
      </c>
      <c r="C65" s="14" t="inlineStr">
        <is>
          <t>PedidosYa Plus</t>
        </is>
      </c>
      <c r="D65" s="15" t="n">
        <v>5990</v>
      </c>
      <c r="E65" s="14" t="inlineStr">
        <is>
          <t>Mercado Pago</t>
        </is>
      </c>
      <c r="F65" s="18" t="inlineStr">
        <is>
          <t>SUSCRIPCIONES · PedidosYa Plus · resumen MP</t>
        </is>
      </c>
    </row>
    <row r="66">
      <c r="A66" s="17" t="n">
        <v>46129</v>
      </c>
      <c r="B66" s="14" t="inlineStr">
        <is>
          <t>CASA</t>
        </is>
      </c>
      <c r="C66" s="14" t="inlineStr">
        <is>
          <t>AGUS/PSA — Agustina Vissani</t>
        </is>
      </c>
      <c r="D66" s="15" t="n">
        <v>155000</v>
      </c>
      <c r="E66" s="14" t="inlineStr">
        <is>
          <t>Mercado Pago</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v>46157</v>
      </c>
      <c r="B70" s="14" t="inlineStr">
        <is>
          <t>CASA</t>
        </is>
      </c>
      <c r="C70" s="14" t="inlineStr">
        <is>
          <t>AGUS/PSA — Agustina Vissani (mayo)</t>
        </is>
      </c>
      <c r="D70" s="15" t="n">
        <v>125000</v>
      </c>
      <c r="E70" s="14" t="inlineStr">
        <is>
          <t>Mercado Pago</t>
        </is>
      </c>
      <c r="F70" s="18" t="n"/>
    </row>
    <row r="71">
      <c r="A71" s="53" t="n">
        <v>46185</v>
      </c>
      <c r="B71" s="14" t="inlineStr">
        <is>
          <t>CASA</t>
        </is>
      </c>
      <c r="C71" s="14" t="inlineStr">
        <is>
          <t>AGUS/PSA — Agustina Vissani (junio)</t>
        </is>
      </c>
      <c r="D71" s="15" t="n">
        <v>135000</v>
      </c>
      <c r="E71" s="14" t="inlineStr">
        <is>
          <t>Mercado Pago</t>
        </is>
      </c>
      <c r="F71" s="18" t="n"/>
    </row>
    <row r="72">
      <c r="A72" s="53" t="n"/>
      <c r="B72" s="14" t="n"/>
      <c r="C72" s="14" t="n"/>
      <c r="D72" s="15" t="n"/>
      <c r="E72" s="14" t="n"/>
      <c r="F72" s="18" t="n"/>
    </row>
    <row r="73">
      <c r="A73" s="53" t="n">
        <v>46217</v>
      </c>
      <c r="B73" s="14" t="inlineStr">
        <is>
          <t>ABL</t>
        </is>
      </c>
      <c r="C73" s="14" t="inlineStr">
        <is>
          <t>Agip ABL GCBA · partida 397789</t>
        </is>
      </c>
      <c r="D73" s="15" t="n">
        <v>26175</v>
      </c>
      <c r="E73" s="14" t="inlineStr">
        <is>
          <t>Mercado Pago — Dinero disponible</t>
        </is>
      </c>
      <c r="F73" s="18" t="n"/>
    </row>
    <row r="74">
      <c r="A74" s="53" t="n">
        <v>46190</v>
      </c>
      <c r="B74" s="14" t="inlineStr">
        <is>
          <t>Telecentro</t>
        </is>
      </c>
      <c r="C74" s="14" t="inlineStr">
        <is>
          <t>Telecentro CIUDAD — pago MP 17/06/2026 (junio)</t>
        </is>
      </c>
      <c r="D74" s="15" t="n">
        <v>48420</v>
      </c>
      <c r="E74" s="14" t="inlineStr">
        <is>
          <t>Mercado Pago</t>
        </is>
      </c>
      <c r="F74" s="18" t="inlineStr">
        <is>
          <t>3491192</t>
        </is>
      </c>
    </row>
    <row r="75">
      <c r="A75" s="53" t="n">
        <v>46203</v>
      </c>
      <c r="B75" s="14" t="inlineStr">
        <is>
          <t>Telecentro</t>
        </is>
      </c>
      <c r="C75" s="14" t="inlineStr">
        <is>
          <t>Telecentro CIUDAD — débito BBVA 30/06/2026 (julio)</t>
        </is>
      </c>
      <c r="D75" s="15" t="n">
        <v>31999</v>
      </c>
      <c r="E75" s="14" t="inlineStr">
        <is>
          <t>Débito BBVA</t>
        </is>
      </c>
      <c r="F75"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c r="B35" s="14" t="n"/>
      <c r="C35" s="14" t="n"/>
      <c r="D35" s="15" t="n"/>
      <c r="E35" s="14" t="n"/>
      <c r="F35" s="14" t="n"/>
    </row>
    <row r="36">
      <c r="A36" s="53" t="n">
        <v>46031</v>
      </c>
      <c r="B36" s="14" t="inlineStr">
        <is>
          <t>Enero</t>
        </is>
      </c>
      <c r="C36" s="14" t="inlineStr">
        <is>
          <t>Servicio - Telefonía</t>
        </is>
      </c>
      <c r="D36" s="15" t="n">
        <v>14700</v>
      </c>
      <c r="E36" s="14" t="inlineStr">
        <is>
          <t>Mercado Pago</t>
        </is>
      </c>
      <c r="F36" s="14" t="inlineStr">
        <is>
          <t>Tuenti · gasto personal Sol · hoja Gasto Personal Sol</t>
        </is>
      </c>
    </row>
    <row r="37">
      <c r="A37" s="53" t="n"/>
      <c r="B37" s="14" t="n"/>
      <c r="C37" s="14" t="n"/>
      <c r="D37" s="15" t="n"/>
      <c r="E37" s="14" t="n"/>
      <c r="F37" s="14" t="n"/>
    </row>
    <row r="38">
      <c r="A38" s="53" t="n">
        <v>46037</v>
      </c>
      <c r="B38" s="14" t="inlineStr">
        <is>
          <t>Enero</t>
        </is>
      </c>
      <c r="C38" s="14" t="inlineStr">
        <is>
          <t>TRANSFERENCIAS</t>
        </is>
      </c>
      <c r="D38" s="15" t="n">
        <v>11000</v>
      </c>
      <c r="E38" s="14" t="inlineStr">
        <is>
          <t>Mercado Pago</t>
        </is>
      </c>
      <c r="F38" s="14" t="inlineStr">
        <is>
          <t>transferencia · gasto personal Sol (ex-PENDIENTE) · ex `Marcelo Alejandro Kattan`</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2026-07-21T10:17:20Z</dcterms:modified>
</cp:coreProperties>
</file>
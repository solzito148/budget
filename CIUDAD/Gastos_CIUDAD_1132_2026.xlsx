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146882</v>
      </c>
      <c r="L7" s="5" t="n">
        <v>105839</v>
      </c>
      <c r="M7" s="5" t="n">
        <v>106267</v>
      </c>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v>4399</v>
      </c>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Julio=$300.850 (pago 10-ago) · Agosto=$300.850 (pago 9-sep Gmail/MP).</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SUPERDIA · BBVA Visa · MERPAGO*SUPERDIA</t>
        </is>
      </c>
    </row>
    <row r="357">
      <c r="A357" s="14" t="inlineStr">
        <is>
          <t>Septiembre</t>
        </is>
      </c>
      <c r="B357" s="17" t="n">
        <v>46269</v>
      </c>
      <c r="C357" s="14" t="inlineStr">
        <is>
          <t>COMIDA · Pescadería Belgrano</t>
        </is>
      </c>
      <c r="D357" s="27" t="n">
        <v>6213</v>
      </c>
      <c r="E357" s="28" t="n"/>
      <c r="F357" s="15">
        <f>IF(OR(D357&lt;&gt;"",E357&lt;&gt;""),IF(D357="",0,D357)+IF(E357="",0,E357),"")</f>
        <v/>
      </c>
      <c r="G357" s="14" t="inlineStr">
        <is>
          <t>COMIDA · Pescadería Belgrano · Mercado Pago</t>
        </is>
      </c>
    </row>
    <row r="358">
      <c r="A358" s="14" t="inlineStr">
        <is>
          <t>Septiembre</t>
        </is>
      </c>
      <c r="B358" s="17" t="n">
        <v>46273</v>
      </c>
      <c r="C358" s="14" t="inlineStr">
        <is>
          <t>REPUESTOS · Sodastream</t>
        </is>
      </c>
      <c r="D358" s="27" t="n">
        <v>88659</v>
      </c>
      <c r="E358" s="28" t="n"/>
      <c r="F358" s="15">
        <f>IF(OR(D358&lt;&gt;"",E358&lt;&gt;""),IF(D358="",0,D358)+IF(E358="",0,E358),"")</f>
        <v/>
      </c>
      <c r="G358" s="14" t="inlineStr">
        <is>
          <t>REPUESTOS · Sodastream · Mercado Pago</t>
        </is>
      </c>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2"/>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Junio 2026 (pago 9-jul · período junio)</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cobro BBVA 25/09/2026 (factura mes 09/2026 Gmail $82.363,35 · pago efectivo $69.659)</t>
        </is>
      </c>
      <c r="D36" s="15" t="n">
        <v>69659</v>
      </c>
      <c r="E36" s="14" t="inlineStr">
        <is>
          <t>Débito BBVA Visa 3200</t>
        </is>
      </c>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46244</v>
      </c>
      <c r="B74" t="inlineStr">
        <is>
          <t>Expensas</t>
        </is>
      </c>
      <c r="C74" t="inlineStr">
        <is>
          <t>Expensas — Julio 2026 (pago 10-ago · Gmail Sent)</t>
        </is>
      </c>
      <c r="D74" t="n">
        <v>300850</v>
      </c>
      <c r="E74" t="inlineStr">
        <is>
          <t>Mercado Pago — Transferencia enviada</t>
        </is>
      </c>
    </row>
    <row r="75">
      <c r="A75" s="52" t="n">
        <v>46274</v>
      </c>
      <c r="B75" t="inlineStr">
        <is>
          <t>Expensas</t>
        </is>
      </c>
      <c r="C75" t="inlineStr">
        <is>
          <t>Expensas — Agosto 2026 (pago 9-sep · Gmail Sent / MP)</t>
        </is>
      </c>
      <c r="D75" t="n">
        <v>300850</v>
      </c>
      <c r="E75" t="inlineStr">
        <is>
          <t>Mercado Pago — Transferencia enviada</t>
        </is>
      </c>
    </row>
    <row r="76">
      <c r="A76" s="52" t="n">
        <v>46280</v>
      </c>
      <c r="B76" t="inlineStr">
        <is>
          <t>Metrogas</t>
        </is>
      </c>
      <c r="C76" t="inlineStr">
        <is>
          <t>Metrogas CIUDAD · cobro BBVA 15/09/2026 (fecha de cobro, no período consumo)</t>
        </is>
      </c>
      <c r="D76" t="n">
        <v>105839</v>
      </c>
      <c r="E76" t="inlineStr">
        <is>
          <t>Débito automático BBVA Visa</t>
        </is>
      </c>
      <c r="F76" t="inlineStr">
        <is>
          <t>30010996459</t>
        </is>
      </c>
      <c r="G76" t="inlineStr">
        <is>
          <t>40049923</t>
        </is>
      </c>
    </row>
    <row r="77">
      <c r="A77" s="52" t="n">
        <v>46276</v>
      </c>
      <c r="B77" t="inlineStr">
        <is>
          <t>Luz</t>
        </is>
      </c>
      <c r="C77" t="inlineStr">
        <is>
          <t>Edenor CIUDAD — cobro BBVA 11/09/2026 · titular Maria Soledad Sanes</t>
        </is>
      </c>
      <c r="D77" t="n">
        <v>63980</v>
      </c>
      <c r="E77" t="inlineStr">
        <is>
          <t>Débito BBVA Visa 3200</t>
        </is>
      </c>
      <c r="F77" t="inlineStr">
        <is>
          <t>008917502309</t>
        </is>
      </c>
    </row>
    <row r="78">
      <c r="A78" s="52" t="n">
        <v>46290</v>
      </c>
      <c r="B78" t="inlineStr">
        <is>
          <t>Telecentro</t>
        </is>
      </c>
      <c r="C78" t="inlineStr">
        <is>
          <t>Telecentro CIUDAD — débito BBVA 25/09/2026 (sep · aviso compra aprobada)</t>
        </is>
      </c>
      <c r="D78" t="n">
        <v>69659</v>
      </c>
      <c r="E78" t="inlineStr">
        <is>
          <t>Débito BBVA Visa 3200</t>
        </is>
      </c>
      <c r="F78" t="inlineStr">
        <is>
          <t>3491192</t>
        </is>
      </c>
    </row>
    <row r="79">
      <c r="A79" s="52" t="n">
        <v>46262</v>
      </c>
      <c r="B79" t="inlineStr">
        <is>
          <t>Streaming</t>
        </is>
      </c>
      <c r="C79" t="inlineStr">
        <is>
          <t>Streaming música — Spotify · BBVA Visa 28/08/2026</t>
        </is>
      </c>
      <c r="D79" t="n">
        <v>4399</v>
      </c>
      <c r="E79" t="inlineStr">
        <is>
          <t>BBVA Visa</t>
        </is>
      </c>
    </row>
    <row r="80">
      <c r="A80" s="52" t="n">
        <v>46314</v>
      </c>
      <c r="B80" t="inlineStr">
        <is>
          <t>Metrogas</t>
        </is>
      </c>
      <c r="C80" t="inlineStr">
        <is>
          <t>Metrogas CIUDAD · cobro/venc. 19/10/2026 (fecha de cobro, no período consumo) · emisión 06/10/2026 · período 06/08–04/09/2026 · 395,24 m3 · débito automático</t>
        </is>
      </c>
      <c r="D80" t="n">
        <v>106267</v>
      </c>
      <c r="E80" t="inlineStr">
        <is>
          <t>Débito automático BBVA Visa</t>
        </is>
      </c>
      <c r="F80" t="inlineStr">
        <is>
          <t>30010996459</t>
        </is>
      </c>
      <c r="G80" t="inlineStr">
        <is>
          <t>40049923</t>
        </is>
      </c>
      <c r="H80" t="inlineStr">
        <is>
          <t>Ciudad de la Paz 1132 1 A PTA: 34 · lectura real · Gmail factura 06/10/2026</t>
        </is>
      </c>
      <c r="I80" t="inlineStr">
        <is>
          <t>Octubre</t>
        </is>
      </c>
    </row>
    <row r="81">
      <c r="A81" s="52" t="n">
        <v>46239</v>
      </c>
      <c r="B81" t="inlineStr">
        <is>
          <t>Metrogas</t>
        </is>
      </c>
      <c r="C81" t="inlineStr">
        <is>
          <t>Metrogas CIUDAD · cobro BBVA 05/08/2026 (fecha de cobro, no período consumo) · emisión 16/07 · período 08/05–05/06 · 259,13 m3</t>
        </is>
      </c>
      <c r="D81" t="n">
        <v>73695</v>
      </c>
      <c r="E81" t="inlineStr">
        <is>
          <t>Débito automático BBVA Visa</t>
        </is>
      </c>
      <c r="F81" t="inlineStr">
        <is>
          <t>30010996459</t>
        </is>
      </c>
      <c r="G81" t="inlineStr">
        <is>
          <t>40049923</t>
        </is>
      </c>
      <c r="H81" t="inlineStr">
        <is>
          <t>BBVA Compra aprobada 05/08 · ARS 73.694,19</t>
        </is>
      </c>
      <c r="I81" t="inlineStr">
        <is>
          <t>Agosto</t>
        </is>
      </c>
    </row>
    <row r="82">
      <c r="A82" s="52" t="n">
        <v>46251</v>
      </c>
      <c r="B82" t="inlineStr">
        <is>
          <t>Metrogas</t>
        </is>
      </c>
      <c r="C82" t="inlineStr">
        <is>
          <t>Metrogas CIUDAD · cobro BBVA 17/08/2026 (fecha de cobro, no período consumo) · emisión 05/08 · período 06/06–07/07 · 259,13 m3</t>
        </is>
      </c>
      <c r="D82" t="n">
        <v>73187</v>
      </c>
      <c r="E82" t="inlineStr">
        <is>
          <t>Débito automático BBVA Visa</t>
        </is>
      </c>
      <c r="F82" t="inlineStr">
        <is>
          <t>30010996459</t>
        </is>
      </c>
      <c r="G82" t="inlineStr">
        <is>
          <t>40049923</t>
        </is>
      </c>
      <c r="H82" t="inlineStr">
        <is>
          <t>BBVA Compra aprobada 17/08 · ARS 73.186,92</t>
        </is>
      </c>
      <c r="I82" t="inlineStr">
        <is>
          <t>Agosto</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46280</v>
      </c>
      <c r="B52" t="inlineStr">
        <is>
          <t>Septiembre</t>
        </is>
      </c>
      <c r="C52" t="inlineStr">
        <is>
          <t>Pago de resumen TC</t>
        </is>
      </c>
      <c r="D52" t="inlineStr">
        <is>
          <t>Tarjeta de crédito</t>
        </is>
      </c>
      <c r="E52" t="n">
        <v>1214000</v>
      </c>
      <c r="F52" t="inlineStr">
        <is>
          <t>ARS</t>
        </is>
      </c>
      <c r="G52" t="inlineStr">
        <is>
          <t>Mercado Pago</t>
        </is>
      </c>
      <c r="H52" t="inlineStr">
        <is>
          <t>Pago de resumen · − · $1.214.000 · resumen septiembre · NUNCA almacén / no gasto nuevo</t>
        </is>
      </c>
    </row>
    <row r="53">
      <c r="A53" s="52" t="n">
        <v>46282</v>
      </c>
      <c r="B53" t="inlineStr">
        <is>
          <t>Septiembre</t>
        </is>
      </c>
      <c r="C53" t="inlineStr">
        <is>
          <t>Pago de resumen TC</t>
        </is>
      </c>
      <c r="D53" t="inlineStr">
        <is>
          <t>Tarjeta de crédito</t>
        </is>
      </c>
      <c r="E53" t="n">
        <v>1000000</v>
      </c>
      <c r="F53" t="inlineStr">
        <is>
          <t>ARS</t>
        </is>
      </c>
      <c r="G53" t="inlineStr">
        <is>
          <t>Mercado Pago</t>
        </is>
      </c>
      <c r="H53" t="inlineStr">
        <is>
          <t>Pago de resumen · − · $1.000.000 · NUNCA almacén / no gasto nuevo</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46280</v>
      </c>
      <c r="B28" t="inlineStr">
        <is>
          <t>Septiembre</t>
        </is>
      </c>
      <c r="C28" t="inlineStr">
        <is>
          <t>Tarjeta de crédito</t>
        </is>
      </c>
      <c r="D28" t="n">
        <v>1214000</v>
      </c>
      <c r="E28" t="inlineStr">
        <is>
          <t>Mercado Pago</t>
        </is>
      </c>
      <c r="F28" t="inlineStr">
        <is>
          <t>Pago de resumen · $1.214.000 · hoja Pago de Tarjetas / MP No Gasto</t>
        </is>
      </c>
    </row>
    <row r="29">
      <c r="A29" s="52" t="n">
        <v>46282</v>
      </c>
      <c r="B29" t="inlineStr">
        <is>
          <t>Septiembre</t>
        </is>
      </c>
      <c r="C29" t="inlineStr">
        <is>
          <t>Tarjeta de crédito</t>
        </is>
      </c>
      <c r="D29" t="n">
        <v>1000000</v>
      </c>
      <c r="E29" t="inlineStr">
        <is>
          <t>Mercado Pago</t>
        </is>
      </c>
      <c r="F29" t="inlineStr">
        <is>
          <t>Pago de resumen · $1.000.000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46244</v>
      </c>
      <c r="B44" s="14" t="inlineStr">
        <is>
          <t>Julio</t>
        </is>
      </c>
      <c r="C44" s="14" t="inlineStr">
        <is>
          <t>Consorcio De Propiet</t>
        </is>
      </c>
      <c r="D44" s="14" t="inlineStr">
        <is>
          <t>CIUDAD 1132</t>
        </is>
      </c>
      <c r="E44" s="15" t="n">
        <v>300850</v>
      </c>
      <c r="F44" s="14" t="inlineStr">
        <is>
          <t>Mercado Pago — Transferencia enviada</t>
        </is>
      </c>
      <c r="G44" s="14" t="inlineStr">
        <is>
          <t>Pago de Expensas · CIUDAD 1132 · Patagonia CBU 0340116900116010765007 / CUIL 30714962473 · período julio 2026 (Gmail Sent)</t>
        </is>
      </c>
    </row>
    <row r="45">
      <c r="A45" s="17" t="n">
        <v>46274</v>
      </c>
      <c r="B45" s="14" t="inlineStr">
        <is>
          <t>Agosto</t>
        </is>
      </c>
      <c r="C45" s="14" t="inlineStr">
        <is>
          <t>Consorcio De Propiet</t>
        </is>
      </c>
      <c r="D45" s="14" t="inlineStr">
        <is>
          <t>CIUDAD 1132</t>
        </is>
      </c>
      <c r="E45" s="15" t="n">
        <v>300850</v>
      </c>
      <c r="F45" s="14" t="inlineStr">
        <is>
          <t>Mercado Pago — Transferencia enviada</t>
        </is>
      </c>
      <c r="G45" s="14" t="inlineStr">
        <is>
          <t>Pago de Expensas · CIUDAD 1132 · Patagonia CBU 0340116900116010765007 / CUIL 30714962473 · período agosto 2026 (Gmail Sent / MP op 177242680767)</t>
        </is>
      </c>
    </row>
    <row r="46">
      <c r="A46" s="17" t="n">
        <v>46244</v>
      </c>
      <c r="B46" s="14" t="inlineStr">
        <is>
          <t>Julio</t>
        </is>
      </c>
      <c r="C46" s="14" t="inlineStr">
        <is>
          <t>Consorcio De Copropi</t>
        </is>
      </c>
      <c r="D46" s="14" t="inlineStr">
        <is>
          <t>OHIGGINS</t>
        </is>
      </c>
      <c r="E46" s="15" t="n">
        <v>907569</v>
      </c>
      <c r="F46" s="14" t="inlineStr">
        <is>
          <t>Mercado Pago — Transferencia enviada</t>
        </is>
      </c>
      <c r="G46" s="14" t="inlineStr">
        <is>
          <t>Pago de Expensas · OHIGGINS 2219 piso 8 · Estudio Kalmus · período julio 2026 (Gmail Sent · recibo $907.568,08)</t>
        </is>
      </c>
    </row>
    <row r="47">
      <c r="A47" s="17" t="n">
        <v>46276</v>
      </c>
      <c r="B47" s="14" t="inlineStr">
        <is>
          <t>Agosto</t>
        </is>
      </c>
      <c r="C47" s="14" t="inlineStr">
        <is>
          <t>Consorcio De Copropi</t>
        </is>
      </c>
      <c r="D47" s="14" t="inlineStr">
        <is>
          <t>OHIGGINS</t>
        </is>
      </c>
      <c r="E47" s="15" t="n">
        <v>722979</v>
      </c>
      <c r="F47" s="14" t="inlineStr">
        <is>
          <t>Mercado Pago — Transferencia enviada</t>
        </is>
      </c>
      <c r="G47" s="14" t="inlineStr">
        <is>
          <t>Pago de Expensas · OHIGGINS 2219 piso 8 · Estudio Kalmus · período agosto 2026 (Gmail Sent / MP $722.978,08 · Galicia)</t>
        </is>
      </c>
    </row>
    <row r="48">
      <c r="A48" s="17" t="n">
        <v>46266</v>
      </c>
      <c r="B48" s="14" t="inlineStr">
        <is>
          <t>Agosto</t>
        </is>
      </c>
      <c r="C48" s="14" t="inlineStr">
        <is>
          <t>Cons De Prop E Bonorino 82</t>
        </is>
      </c>
      <c r="D48" s="14" t="inlineStr">
        <is>
          <t>BONORINO</t>
        </is>
      </c>
      <c r="E48" s="15" t="n">
        <v>222825</v>
      </c>
      <c r="F48" s="14" t="inlineStr">
        <is>
          <t>Mercado Pago — Transferencia enviada</t>
        </is>
      </c>
      <c r="G48" s="14" t="inlineStr">
        <is>
          <t>Pago de Expensas · BONORINO · liquidación 09/2026 = período agosto (Gmail Sent / MP $222.824,05)</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7"/>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46267</v>
      </c>
      <c r="B829" t="inlineStr">
        <is>
          <t>Septiembre</t>
        </is>
      </c>
      <c r="C829" t="inlineStr">
        <is>
          <t>COMIDA · Oficina</t>
        </is>
      </c>
      <c r="D829" t="n">
        <v>4080</v>
      </c>
      <c r="E829" t="inlineStr">
        <is>
          <t>Mercado Pago</t>
        </is>
      </c>
      <c r="F829" t="inlineStr">
        <is>
          <t>COMIDA · Oficina · Copetin Catering · gasto personal Sol</t>
        </is>
      </c>
    </row>
    <row r="830">
      <c r="A830" s="52" t="n">
        <v>46272</v>
      </c>
      <c r="B830" t="inlineStr">
        <is>
          <t>Septiembre</t>
        </is>
      </c>
      <c r="C830" t="inlineStr">
        <is>
          <t>VESTIMENTA</t>
        </is>
      </c>
      <c r="D830" t="n">
        <v>809200</v>
      </c>
      <c r="E830" t="inlineStr">
        <is>
          <t>BBVA Visa · MERPAGO*MARKOVA</t>
        </is>
      </c>
      <c r="F830" t="inlineStr">
        <is>
          <t>VESTIMENTA · Markova · BBVA Visa · gasto personal Sol</t>
        </is>
      </c>
    </row>
    <row r="831">
      <c r="A831" s="52" t="n">
        <v>46282</v>
      </c>
      <c r="B831" t="inlineStr">
        <is>
          <t>Septiembre</t>
        </is>
      </c>
      <c r="C831" t="inlineStr">
        <is>
          <t>VESTIMENTA</t>
        </is>
      </c>
      <c r="D831" t="n">
        <v>719990</v>
      </c>
      <c r="E831" t="inlineStr">
        <is>
          <t>BBVA Visa · MERPAGO*ITSCLASSIC</t>
        </is>
      </c>
      <c r="F831" t="inlineStr">
        <is>
          <t>VESTIMENTA · Itsclassic · BBVA Visa · gasto personal Sol</t>
        </is>
      </c>
    </row>
    <row r="832">
      <c r="A832" s="52" t="n">
        <v>46284</v>
      </c>
      <c r="B832" t="inlineStr">
        <is>
          <t>Septiembre</t>
        </is>
      </c>
      <c r="C832" t="inlineStr">
        <is>
          <t>SALUD · Vitaminas</t>
        </is>
      </c>
      <c r="D832" t="n">
        <v>530100</v>
      </c>
      <c r="E832" t="inlineStr">
        <is>
          <t>TC Mercado Pago</t>
        </is>
      </c>
      <c r="F832" t="inlineStr">
        <is>
          <t>SALUD · Vitaminas · Promarine Erisea · TC Mercado Pago · gasto personal Sol</t>
        </is>
      </c>
    </row>
    <row r="833">
      <c r="A833" s="52" t="n">
        <v>46284</v>
      </c>
      <c r="B833" t="inlineStr">
        <is>
          <t>Septiembre</t>
        </is>
      </c>
      <c r="C833" t="inlineStr">
        <is>
          <t>EDUCACIÓN</t>
        </is>
      </c>
      <c r="D833" t="n">
        <v>127196</v>
      </c>
      <c r="E833" t="inlineStr">
        <is>
          <t>TC Mercado Pago</t>
        </is>
      </c>
      <c r="F833" t="inlineStr">
        <is>
          <t>EDUCACIÓN · EducaciónIT · Automatización con Claude · TC Mercado Pago · gasto personal Sol</t>
        </is>
      </c>
    </row>
    <row r="834">
      <c r="A834" s="52" t="n">
        <v>46285</v>
      </c>
      <c r="B834" t="inlineStr">
        <is>
          <t>Septiembre</t>
        </is>
      </c>
      <c r="C834" t="inlineStr">
        <is>
          <t>COMPRAS</t>
        </is>
      </c>
      <c r="D834" t="n">
        <v>89998</v>
      </c>
      <c r="E834" t="inlineStr">
        <is>
          <t>TC Mercado Pago</t>
        </is>
      </c>
      <c r="F834" t="inlineStr">
        <is>
          <t>COMPRAS · Yenny El Ateneo · orden #87426 · TC Mercado Pago · gasto personal Sol</t>
        </is>
      </c>
    </row>
    <row r="835">
      <c r="A835" s="52" t="n">
        <v>46265</v>
      </c>
      <c r="B835" t="inlineStr">
        <is>
          <t>Agosto</t>
        </is>
      </c>
      <c r="C835" t="inlineStr">
        <is>
          <t>SUSCRIPCIONES · IA</t>
        </is>
      </c>
      <c r="D835" t="n">
        <v>30882</v>
      </c>
      <c r="E835" t="inlineStr">
        <is>
          <t>BBVA Visa USD</t>
        </is>
      </c>
      <c r="F835" t="inlineStr">
        <is>
          <t>SUSCRIPCIONES · IA · OpenAI ChatGPT · USD 20 × TC MEP venta 1544.1 (2026-08-29) = 30882 · gasto personal Sol</t>
        </is>
      </c>
    </row>
    <row r="836">
      <c r="A836" s="52" t="n">
        <v>46288</v>
      </c>
      <c r="B836" t="inlineStr">
        <is>
          <t>Septiembre</t>
        </is>
      </c>
      <c r="C836" t="inlineStr">
        <is>
          <t>SUSCRIPCIONES · IA</t>
        </is>
      </c>
      <c r="D836" t="n">
        <v>7668</v>
      </c>
      <c r="E836" t="inlineStr">
        <is>
          <t>BBVA Visa USD</t>
        </is>
      </c>
      <c r="F836" t="inlineStr">
        <is>
          <t>SUSCRIPCIONES · IA · Google One · USD 4,99 × TC MEP venta 1536.6 (2026-09-23) = 7668 · gasto personal Sol</t>
        </is>
      </c>
    </row>
    <row r="837">
      <c r="A837" s="52" t="n">
        <v>46272</v>
      </c>
      <c r="B837" t="inlineStr">
        <is>
          <t>Septiembre</t>
        </is>
      </c>
      <c r="C837" t="inlineStr">
        <is>
          <t>AVA FIDEICOMISO</t>
        </is>
      </c>
      <c r="D837" t="n">
        <v>3134720</v>
      </c>
      <c r="E837" t="inlineStr">
        <is>
          <t>Mercado Pago / TC MEP</t>
        </is>
      </c>
      <c r="F837" t="inlineStr">
        <is>
          <t>AVA Fideicomiso · cuota 10 · agosto 2026 · 50% Sol de $6.269.440 · TC MEP venta 1525.3 (2026-09-04)</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agosto 2026</t>
        </is>
      </c>
      <c r="D252" t="inlineStr">
        <is>
          <t>AVA FIDEICOMISO</t>
        </is>
      </c>
      <c r="E252" t="n">
        <v>10</v>
      </c>
      <c r="F252" t="n">
        <v>32</v>
      </c>
      <c r="G252" t="n">
        <v>3134720</v>
      </c>
      <c r="H252" t="inlineStr">
        <is>
          <t>Septiembre</t>
        </is>
      </c>
      <c r="I252" t="inlineStr">
        <is>
          <t>2026-09</t>
        </is>
      </c>
      <c r="J252" t="inlineStr">
        <is>
          <t>PAGADO</t>
        </is>
      </c>
      <c r="K252" t="inlineStr">
        <is>
          <t>50% Sol PAGADO · ya en Gasto Personal Sol · total cuota $6.269.440 · TC MEP 1525.3</t>
        </is>
      </c>
      <c r="L252" t="inlineStr">
        <is>
          <t>Sol 50%</t>
        </is>
      </c>
    </row>
    <row r="253">
      <c r="A253" t="inlineStr">
        <is>
          <t>AVA Fideicomiso</t>
        </is>
      </c>
      <c r="B253" s="52" t="n">
        <v>46300</v>
      </c>
      <c r="C253" t="inlineStr">
        <is>
          <t>AVA Palpa · cuota 11 · septiembre 2026</t>
        </is>
      </c>
      <c r="D253" t="inlineStr">
        <is>
          <t>AVA FIDEICOMISO</t>
        </is>
      </c>
      <c r="E253" t="n">
        <v>11</v>
      </c>
      <c r="F253" t="n">
        <v>32</v>
      </c>
      <c r="G253" t="n">
        <v>3275207</v>
      </c>
      <c r="H253" t="inlineStr">
        <is>
          <t>Octubre</t>
        </is>
      </c>
      <c r="I253" t="inlineStr">
        <is>
          <t>2026-10</t>
        </is>
      </c>
      <c r="J253" t="inlineStr">
        <is>
          <t>PENDIENTE</t>
        </is>
      </c>
      <c r="K253" t="inlineStr">
        <is>
          <t>Aviso Gmail 24-sep · total $6.550.413 · 50% Sol estimado · aún no pagada</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 monto TBD)</t>
        </is>
      </c>
      <c r="B280" t="n">
        <v>22</v>
      </c>
    </row>
    <row r="281">
      <c r="A281" t="inlineStr">
        <is>
          <t>COMPROMISO NUMÉRICO ACTUAL (BBVA pendiente con monto)</t>
        </is>
      </c>
      <c r="B281" t="n">
        <v>92</v>
      </c>
      <c r="C281" t="n">
        <v>9156618</v>
      </c>
    </row>
    <row r="282">
      <c r="A282" t="inlineStr">
        <is>
          <t>Notas: AVA 50% Sol PAGADO ya está en Gasto Personal Sol (no duplicar). Cuota 11 avisada con monto; resto futuras TBD.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2026-10-07T23:00:34Z</dcterms:modified>
</cp:coreProperties>
</file>
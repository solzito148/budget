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246150</v>
      </c>
      <c r="J5" s="5" t="n">
        <v>273500</v>
      </c>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v>183272</v>
      </c>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629380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inlineStr">
        <is>
          <t>CASA</t>
        </is>
      </c>
      <c r="B15" s="14" t="inlineStr">
        <is>
          <t>FARMACIA</t>
        </is>
      </c>
      <c r="C15" s="19" t="inlineStr">
        <is>
          <t>Farmacia</t>
        </is>
      </c>
      <c r="D15" s="5" t="n"/>
      <c r="E15" s="5" t="n"/>
      <c r="F15" s="5" t="n"/>
      <c r="G15" s="5" t="n"/>
      <c r="H15" s="5" t="n"/>
      <c r="I15" s="5" t="n">
        <v>85034</v>
      </c>
      <c r="J15" s="5" t="n">
        <v>218500</v>
      </c>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A18" t="inlineStr">
        <is>
          <t>CASA</t>
        </is>
      </c>
      <c r="B18" t="inlineStr">
        <is>
          <t>AROMATIZANTES</t>
        </is>
      </c>
      <c r="C18" t="inlineStr">
        <is>
          <t>Saphirus — Aromatizantes</t>
        </is>
      </c>
      <c r="D18" s="26" t="n"/>
      <c r="E18" s="26" t="n"/>
      <c r="F18" s="26" t="n"/>
      <c r="G18" s="26" t="n"/>
      <c r="H18" s="26" t="n"/>
      <c r="I18" s="26" t="n">
        <v>79900</v>
      </c>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c r="P20">
        <f>SUM(D20:O20)</f>
        <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SUM(P5:P20)</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c r="C252" s="14" t="n"/>
      <c r="D252" s="27" t="n"/>
      <c r="E252" s="28" t="n"/>
      <c r="F252" s="15">
        <f>IF(OR(D252&lt;&gt;"",E252&lt;&gt;""),IF(D252="",0,D252)+IF(E252="",0,E252),"")</f>
        <v/>
      </c>
      <c r="G252" s="14" t="n"/>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8"/>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43" t="n">
        <v>46246</v>
      </c>
      <c r="B74" s="14" t="inlineStr">
        <is>
          <t>Luz</t>
        </is>
      </c>
      <c r="C74" s="14" t="inlineStr">
        <is>
          <t>Edenor — CIUDAD DE LA PAZ 1132 · cuenta 008917502309</t>
        </is>
      </c>
      <c r="D74" s="15" t="n">
        <v>183272</v>
      </c>
      <c r="E74" s="14" t="inlineStr">
        <is>
          <t>Factura Edenor · pago pendiente</t>
        </is>
      </c>
      <c r="F74" s="18" t="inlineStr">
        <is>
          <t>008917502309</t>
        </is>
      </c>
      <c r="H74" t="inlineStr">
        <is>
          <t>Vence 12/08/2026 · original $183.271,35 · fecha de emisión no informada</t>
        </is>
      </c>
      <c r="I74" t="inlineStr">
        <is>
          <t>Agosto</t>
        </is>
      </c>
    </row>
    <row r="75">
      <c r="A75" s="43" t="n">
        <v>46204</v>
      </c>
      <c r="B75" s="14" t="inlineStr">
        <is>
          <t>LIMPIEZA CASA</t>
        </is>
      </c>
      <c r="C75" s="14" t="inlineStr">
        <is>
          <t>Limpieza Susana — Julio 2026</t>
        </is>
      </c>
      <c r="D75" s="15" t="n">
        <v>629380</v>
      </c>
      <c r="E75" s="14" t="inlineStr">
        <is>
          <t>Pagado · medio no informado</t>
        </is>
      </c>
      <c r="F75" s="18" t="n"/>
      <c r="H75" t="inlineStr">
        <is>
          <t>Total Recibo Julio 2026 · importe corregido</t>
        </is>
      </c>
      <c r="I75" t="inlineStr">
        <is>
          <t>Julio</t>
        </is>
      </c>
    </row>
    <row r="76">
      <c r="A76" s="43" t="n">
        <v>46185</v>
      </c>
      <c r="B76" s="14" t="inlineStr">
        <is>
          <t>FARMACIA</t>
        </is>
      </c>
      <c r="C76" s="14" t="inlineStr">
        <is>
          <t>Farmacity</t>
        </is>
      </c>
      <c r="D76" s="15" t="n">
        <v>85034</v>
      </c>
      <c r="E76" s="14" t="inlineStr">
        <is>
          <t>TC Mercado Pago</t>
        </is>
      </c>
      <c r="F76" s="18" t="n"/>
      <c r="H76" t="inlineStr">
        <is>
          <t>FARMACIA · Farmacity · compra 29/05 · cobro junio</t>
        </is>
      </c>
      <c r="I76" t="inlineStr">
        <is>
          <t>Junio</t>
        </is>
      </c>
    </row>
    <row r="77">
      <c r="A77" s="43" t="n">
        <v>46186</v>
      </c>
      <c r="B77" s="14" t="inlineStr">
        <is>
          <t>AROMATIZANTES</t>
        </is>
      </c>
      <c r="C77" s="14" t="inlineStr">
        <is>
          <t>CASA — Aromatizantes Saphirus</t>
        </is>
      </c>
      <c r="D77" s="15" t="n">
        <v>79900</v>
      </c>
      <c r="E77" s="14" t="inlineStr">
        <is>
          <t>Mercado Pago</t>
        </is>
      </c>
      <c r="F77" s="18" t="n"/>
      <c r="H77" t="inlineStr">
        <is>
          <t>CASA · AROMATIZANTES · Saphirus · CIUDAD</t>
        </is>
      </c>
      <c r="I77" t="inlineStr">
        <is>
          <t>Junio</t>
        </is>
      </c>
    </row>
    <row r="78">
      <c r="A78" s="43" t="n">
        <v>46217</v>
      </c>
      <c r="B78" s="14" t="inlineStr">
        <is>
          <t>FARMACIA</t>
        </is>
      </c>
      <c r="C78" s="14" t="inlineStr">
        <is>
          <t>Farmacia Maure</t>
        </is>
      </c>
      <c r="D78" s="15" t="n">
        <v>218500</v>
      </c>
      <c r="E78" s="14" t="inlineStr">
        <is>
          <t>Mercado Pago</t>
        </is>
      </c>
      <c r="F78" s="18" t="n"/>
      <c r="H78" t="inlineStr">
        <is>
          <t>FARMACIA · Farmacia Maure · CIUDAD</t>
        </is>
      </c>
      <c r="I78" t="inlineStr">
        <is>
          <t>Julio</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c r="D184" s="26" t="n"/>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2026-08-01T00:11:53Z</dcterms:modified>
</cp:coreProperties>
</file>
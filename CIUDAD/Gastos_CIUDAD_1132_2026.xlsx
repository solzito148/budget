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46224</v>
      </c>
      <c r="C288" s="14" t="inlineStr">
        <is>
          <t>COMIDA · Todo Tartas</t>
        </is>
      </c>
      <c r="D288" s="27" t="n">
        <v>57600</v>
      </c>
      <c r="E288" s="28" t="n"/>
      <c r="F288" s="15">
        <f>IF(OR(D288&lt;&gt;"",E288&lt;&gt;""),IF(D288="",0,D288)+IF(E288="",0,E288),"")</f>
        <v/>
      </c>
      <c r="G288" s="14" t="inlineStr">
        <is>
          <t>MP · panadería · ex `Todo Tartas`</t>
        </is>
      </c>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46224</v>
      </c>
      <c r="B52" t="inlineStr">
        <is>
          <t>Julio</t>
        </is>
      </c>
      <c r="C52" t="inlineStr">
        <is>
          <t>Reserva automática</t>
        </is>
      </c>
      <c r="D52" t="inlineStr">
        <is>
          <t>AVA</t>
        </is>
      </c>
      <c r="E52" s="26" t="n">
        <v>500</v>
      </c>
      <c r="F52" t="inlineStr">
        <is>
          <t>ARS</t>
        </is>
      </c>
      <c r="G52" t="inlineStr">
        <is>
          <t>Mercado Pago</t>
        </is>
      </c>
    </row>
    <row r="53">
      <c r="A53" s="52" t="n">
        <v>46224</v>
      </c>
      <c r="B53" t="inlineStr">
        <is>
          <t>Julio</t>
        </is>
      </c>
      <c r="C53" t="inlineStr">
        <is>
          <t>Reserva automática</t>
        </is>
      </c>
      <c r="D53" t="inlineStr">
        <is>
          <t>Susi</t>
        </is>
      </c>
      <c r="E53" s="26" t="n">
        <v>3000</v>
      </c>
      <c r="F53" t="inlineStr">
        <is>
          <t>ARS</t>
        </is>
      </c>
      <c r="G53" t="inlineStr">
        <is>
          <t>Mercado Pago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43" t="n">
        <v>46226</v>
      </c>
      <c r="B44" s="14" t="inlineStr">
        <is>
          <t>Julio</t>
        </is>
      </c>
      <c r="C44" s="14" t="inlineStr">
        <is>
          <t>Pelesson Aldo Oscar</t>
        </is>
      </c>
      <c r="D44" s="15" t="n">
        <v>4900000</v>
      </c>
      <c r="E44" s="14" t="inlineStr">
        <is>
          <t>Mercado Pago — Transferencia recibida</t>
        </is>
      </c>
      <c r="F44" s="14" t="inlineStr">
        <is>
          <t>recibida · hoja Transferencias recibidas (no gasto)</t>
        </is>
      </c>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1"/>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62" t="n">
        <v>46226</v>
      </c>
      <c r="B829" s="34" t="inlineStr">
        <is>
          <t>Julio</t>
        </is>
      </c>
      <c r="C829" s="34" t="inlineStr">
        <is>
          <t>TRANSPORTE · Uber</t>
        </is>
      </c>
      <c r="D829" s="34" t="n">
        <v>54</v>
      </c>
      <c r="E829" s="34" t="inlineStr">
        <is>
          <t>Mercado Pago</t>
        </is>
      </c>
      <c r="F829" s="34" t="inlineStr">
        <is>
          <t>TRANSPORTE · Uber · Ebanx (=Uber) · gasto personal Sol</t>
        </is>
      </c>
    </row>
    <row r="830">
      <c r="A830" s="62" t="n">
        <v>46226</v>
      </c>
      <c r="B830" s="34" t="inlineStr">
        <is>
          <t>Julio</t>
        </is>
      </c>
      <c r="C830" s="34" t="inlineStr">
        <is>
          <t>TRANSPORTE · Uber</t>
        </is>
      </c>
      <c r="D830" s="34" t="n">
        <v>6062</v>
      </c>
      <c r="E830" s="34" t="inlineStr">
        <is>
          <t>Mercado Pago</t>
        </is>
      </c>
      <c r="F830" s="34" t="inlineStr">
        <is>
          <t>TRANSPORTE · Uber · Ebanx (=Uber) · gasto personal Sol</t>
        </is>
      </c>
    </row>
    <row r="831">
      <c r="A831" s="54" t="n">
        <v>46224</v>
      </c>
      <c r="B831" t="inlineStr">
        <is>
          <t>Julio</t>
        </is>
      </c>
      <c r="C831" t="inlineStr">
        <is>
          <t>COMPRAS</t>
        </is>
      </c>
      <c r="D831" s="26" t="n">
        <v>78167</v>
      </c>
      <c r="E831" t="inlineStr">
        <is>
          <t>Mercado Pago</t>
        </is>
      </c>
      <c r="F831" t="inlineStr">
        <is>
          <t>COMPRAS · Zilver SA · ceil desde $78.166,50 · personal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2026-07-23T19:24:56Z</dcterms:modified>
</cp:coreProperties>
</file>
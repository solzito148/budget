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Ingresos" sheetId="6" state="visible" r:id="rId6"/>
  </sheets>
  <definedNames>
    <definedName name="_xlnm._FilterDatabase" localSheetId="2" hidden="1">'Detalle'!$A$3:$I$51</definedName>
    <definedName name="_xlnm._FilterDatabase" localSheetId="4" hidden="1">'Inversión'!$A$23:$J$223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146046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 abril/mayo 2026: PENDIENTE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  <row r="34">
      <c r="A34" s="30" t="inlineStr">
        <is>
          <t>• Ingresos de dinero: hoja "Ingresos" (transferencias recibidas; no suma al total de gastos)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inlineStr">
        <is>
          <t>Enero</t>
        </is>
      </c>
      <c r="B7" s="17" t="n">
        <v>46051</v>
      </c>
      <c r="C7" s="14" t="inlineStr">
        <is>
          <t>Copetin Catering</t>
        </is>
      </c>
      <c r="D7" s="27" t="n">
        <v>9800</v>
      </c>
      <c r="E7" s="28" t="n"/>
      <c r="F7" s="15">
        <f>IF(OR(D7&lt;&gt;"",E7&lt;&gt;""),IF(D7="",0,D7)+IF(E7="",0,E7),"")</f>
        <v/>
      </c>
      <c r="G7" s="14" t="inlineStr">
        <is>
          <t>MP · catering</t>
        </is>
      </c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inlineStr">
        <is>
          <t>Enero</t>
        </is>
      </c>
      <c r="B10" s="17" t="n">
        <v>46049</v>
      </c>
      <c r="C10" s="14" t="inlineStr">
        <is>
          <t>Copetin Catering (27/1)</t>
        </is>
      </c>
      <c r="D10" s="27" t="n">
        <v>19550</v>
      </c>
      <c r="E10" s="28" t="n"/>
      <c r="F10" s="15">
        <f>IF(OR(D10&lt;&gt;"",E10&lt;&gt;""),IF(D10="",0,D10)+IF(E10="",0,E10),"")</f>
        <v/>
      </c>
      <c r="G10" s="14" t="inlineStr">
        <is>
          <t>MP · catering</t>
        </is>
      </c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inlineStr">
        <is>
          <t>Enero</t>
        </is>
      </c>
      <c r="B14" s="17" t="n">
        <v>46044</v>
      </c>
      <c r="C14" s="14" t="inlineStr">
        <is>
          <t>Copetin Catering (22/1)</t>
        </is>
      </c>
      <c r="D14" s="27" t="n">
        <v>11950</v>
      </c>
      <c r="E14" s="28" t="n"/>
      <c r="F14" s="15">
        <f>IF(OR(D14&lt;&gt;"",E14&lt;&gt;""),IF(D14="",0,D14)+IF(E14="",0,E14),"")</f>
        <v/>
      </c>
      <c r="G14" s="14" t="inlineStr">
        <is>
          <t>MP · catering</t>
        </is>
      </c>
    </row>
    <row r="15">
      <c r="A15" s="14" t="inlineStr">
        <is>
          <t>Enero</t>
        </is>
      </c>
      <c r="B15" s="17" t="n">
        <v>46042</v>
      </c>
      <c r="C15" s="14" t="inlineStr">
        <is>
          <t>Copetin Catering (20/1)</t>
        </is>
      </c>
      <c r="D15" s="27" t="n">
        <v>3585</v>
      </c>
      <c r="E15" s="28" t="n"/>
      <c r="F15" s="15">
        <f>IF(OR(D15&lt;&gt;"",E15&lt;&gt;""),IF(D15="",0,D15)+IF(E15="",0,E15),"")</f>
        <v/>
      </c>
      <c r="G15" s="14" t="inlineStr">
        <is>
          <t>MP · catering</t>
        </is>
      </c>
    </row>
    <row r="16">
      <c r="A16" s="14" t="inlineStr">
        <is>
          <t>Enero</t>
        </is>
      </c>
      <c r="B16" s="17" t="n">
        <v>46041</v>
      </c>
      <c r="C16" s="14" t="inlineStr">
        <is>
          <t>Copetin Catering (19/1)</t>
        </is>
      </c>
      <c r="D16" s="27" t="n">
        <v>3585</v>
      </c>
      <c r="E16" s="28" t="n"/>
      <c r="F16" s="15">
        <f>IF(OR(D16&lt;&gt;"",E16&lt;&gt;""),IF(D16="",0,D16)+IF(E16="",0,E16),"")</f>
        <v/>
      </c>
      <c r="G16" s="14" t="inlineStr">
        <is>
          <t>MP · catering</t>
        </is>
      </c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inlineStr">
        <is>
          <t>Enero</t>
        </is>
      </c>
      <c r="B18" s="17" t="n">
        <v>46035</v>
      </c>
      <c r="C18" s="14" t="inlineStr">
        <is>
          <t>Copetin Catering (13/1)</t>
        </is>
      </c>
      <c r="D18" s="27" t="n">
        <v>2940</v>
      </c>
      <c r="E18" s="28" t="n"/>
      <c r="F18" s="15">
        <f>IF(OR(D18&lt;&gt;"",E18&lt;&gt;""),IF(D18="",0,D18)+IF(E18="",0,E18),"")</f>
        <v/>
      </c>
      <c r="G18" s="14" t="inlineStr">
        <is>
          <t>MP · catering</t>
        </is>
      </c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MP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inlineStr">
        <is>
          <t>Enero</t>
        </is>
      </c>
      <c r="B23" s="17" t="n">
        <v>46030</v>
      </c>
      <c r="C23" s="14" t="inlineStr">
        <is>
          <t>Copetin Catering (8/1)</t>
        </is>
      </c>
      <c r="D23" s="27" t="n">
        <v>3585</v>
      </c>
      <c r="E23" s="28" t="n"/>
      <c r="F23" s="15">
        <f>IF(OR(D23&lt;&gt;"",E23&lt;&gt;""),IF(D23="",0,D23)+IF(E23="",0,E23),"")</f>
        <v/>
      </c>
      <c r="G23" s="14" t="inlineStr">
        <is>
          <t>MP · catering</t>
        </is>
      </c>
    </row>
    <row r="24">
      <c r="A24" s="14" t="inlineStr">
        <is>
          <t>Enero</t>
        </is>
      </c>
      <c r="B24" s="17" t="n">
        <v>46028</v>
      </c>
      <c r="C24" s="14" t="inlineStr">
        <is>
          <t>Copetin Catering (6/1)</t>
        </is>
      </c>
      <c r="D24" s="27" t="n">
        <v>645</v>
      </c>
      <c r="E24" s="28" t="n"/>
      <c r="F24" s="15">
        <f>IF(OR(D24&lt;&gt;"",E24&lt;&gt;""),IF(D24="",0,D24)+IF(E24="",0,E24),"")</f>
        <v/>
      </c>
      <c r="G24" s="14" t="inlineStr">
        <is>
          <t>MP · catering</t>
        </is>
      </c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5"/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MP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MP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7"/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29"/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1"/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3"/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5"/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7"/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39"/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1"/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3"/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5"/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Ingresos de dinero</t>
        </is>
      </c>
    </row>
    <row r="2">
      <c r="A2" s="30" t="inlineStr">
        <is>
          <t>Ingresos / transferencias recibidas (Mercado Pago «Ingreso de dinero»).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ingresos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Concepto / origen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17" t="n">
        <v>46030</v>
      </c>
      <c r="B23" s="14" t="inlineStr">
        <is>
          <t>Enero</t>
        </is>
      </c>
      <c r="C23" s="14" t="inlineStr">
        <is>
          <t>Maria Soledad Martinez</t>
        </is>
      </c>
      <c r="D23" s="15" t="n">
        <v>46300</v>
      </c>
      <c r="E23" s="14" t="inlineStr">
        <is>
          <t>Mercado Pago — Ingreso de dinero</t>
        </is>
      </c>
      <c r="F23" s="14" t="inlineStr">
        <is>
          <t>ingreso recibido · hoja Ingresos (no gasto)</t>
        </is>
      </c>
    </row>
    <row r="24">
      <c r="A24" s="17" t="n">
        <v>46030</v>
      </c>
      <c r="B24" s="14" t="inlineStr">
        <is>
          <t>Enero</t>
        </is>
      </c>
      <c r="C24" s="14" t="inlineStr">
        <is>
          <t>Florencia Ivana Risi</t>
        </is>
      </c>
      <c r="D24" s="15" t="n">
        <v>46300</v>
      </c>
      <c r="E24" s="14" t="inlineStr">
        <is>
          <t>Mercado Pago — Ingreso de dinero</t>
        </is>
      </c>
      <c r="F24" s="14" t="inlineStr">
        <is>
          <t>ingreso recibido · hoja Ingresos (no gasto)</t>
        </is>
      </c>
    </row>
    <row r="25">
      <c r="A25" s="17" t="n">
        <v>46030</v>
      </c>
      <c r="B25" s="14" t="inlineStr">
        <is>
          <t>Enero</t>
        </is>
      </c>
      <c r="C25" s="14" t="inlineStr">
        <is>
          <t>Gabriela Reggio</t>
        </is>
      </c>
      <c r="D25" s="15" t="n">
        <v>46300</v>
      </c>
      <c r="E25" s="14" t="inlineStr">
        <is>
          <t>Mercado Pago — Ingreso de dinero</t>
        </is>
      </c>
      <c r="F25" s="14" t="inlineStr">
        <is>
          <t>ingreso recibido · hoja Ingresos (no gasto)</t>
        </is>
      </c>
    </row>
    <row r="26">
      <c r="A26" s="17" t="n">
        <v>46031</v>
      </c>
      <c r="B26" s="14" t="inlineStr">
        <is>
          <t>Enero</t>
        </is>
      </c>
      <c r="C26" s="14" t="inlineStr">
        <is>
          <t>Antonela Beatriz Guidobono</t>
        </is>
      </c>
      <c r="D26" s="15" t="n">
        <v>46300</v>
      </c>
      <c r="E26" s="14" t="inlineStr">
        <is>
          <t>Mercado Pago — Ingreso de dinero</t>
        </is>
      </c>
      <c r="F26" s="14" t="inlineStr">
        <is>
          <t>ingreso recibido · hoja Ingresos (no gasto)</t>
        </is>
      </c>
    </row>
    <row r="27">
      <c r="A27" s="17" t="n">
        <v>46031</v>
      </c>
      <c r="B27" s="14" t="inlineStr">
        <is>
          <t>Enero</t>
        </is>
      </c>
      <c r="C27" s="14" t="inlineStr">
        <is>
          <t>Maria Lujan Paz</t>
        </is>
      </c>
      <c r="D27" s="15" t="n">
        <v>46300</v>
      </c>
      <c r="E27" s="14" t="inlineStr">
        <is>
          <t>Mercado Pago — Ingreso de dinero</t>
        </is>
      </c>
      <c r="F27" s="14" t="inlineStr">
        <is>
          <t>ingreso recibido · hoja Ingresos (no gasto)</t>
        </is>
      </c>
    </row>
    <row r="28">
      <c r="A28" s="17" t="n">
        <v>46130</v>
      </c>
      <c r="B28" s="14" t="inlineStr">
        <is>
          <t>Abril</t>
        </is>
      </c>
      <c r="C28" s="14" t="inlineStr">
        <is>
          <t>ingresos varios</t>
        </is>
      </c>
      <c r="D28" s="15" t="n">
        <v>117000</v>
      </c>
      <c r="E28" s="14" t="inlineStr">
        <is>
          <t>Mercado Pago — Ingreso de dinero</t>
        </is>
      </c>
      <c r="F28" s="14" t="inlineStr">
        <is>
          <t>recibidas 39k x3 · hoja Ingresos (no gasto)</t>
        </is>
      </c>
    </row>
    <row r="29">
      <c r="A29" s="17" t="n">
        <v>46140</v>
      </c>
      <c r="B29" s="14" t="inlineStr">
        <is>
          <t>Abril</t>
        </is>
      </c>
      <c r="C29" s="14" t="inlineStr">
        <is>
          <t>ingresos varios</t>
        </is>
      </c>
      <c r="D29" s="15" t="n">
        <v>35070</v>
      </c>
      <c r="E29" s="14" t="inlineStr">
        <is>
          <t>Mercado Pago — Ingreso de dinero</t>
        </is>
      </c>
      <c r="F29" s="14" t="inlineStr">
        <is>
          <t>recibidas ~34k x6 · hoja Ingresos (no gasto)</t>
        </is>
      </c>
    </row>
    <row r="30">
      <c r="A30" s="17" t="n">
        <v>46144</v>
      </c>
      <c r="B30" s="14" t="inlineStr">
        <is>
          <t>Mayo</t>
        </is>
      </c>
      <c r="C30" s="14" t="inlineStr">
        <is>
          <t>Tamara Ginesin</t>
        </is>
      </c>
      <c r="D30" s="15" t="n">
        <v>3000</v>
      </c>
      <c r="E30" s="14" t="inlineStr">
        <is>
          <t>Mercado Pago — Ingreso de dinero</t>
        </is>
      </c>
      <c r="F30" s="14" t="inlineStr">
        <is>
          <t>recibida · hoja Ingresos (no gasto)</t>
        </is>
      </c>
    </row>
    <row r="31">
      <c r="A31" s="17" t="n">
        <v>46150</v>
      </c>
      <c r="B31" s="14" t="inlineStr">
        <is>
          <t>Mayo</t>
        </is>
      </c>
      <c r="C31" s="14" t="inlineStr">
        <is>
          <t>Ana Magariños</t>
        </is>
      </c>
      <c r="D31" s="15" t="n">
        <v>5000</v>
      </c>
      <c r="E31" s="14" t="inlineStr">
        <is>
          <t>Mercado Pago — Ingreso de dinero</t>
        </is>
      </c>
      <c r="F31" s="14" t="inlineStr">
        <is>
          <t>recibida · hoja Ingresos (no gasto)</t>
        </is>
      </c>
    </row>
    <row r="32">
      <c r="A32" s="17" t="n">
        <v>46153</v>
      </c>
      <c r="B32" s="14" t="inlineStr">
        <is>
          <t>Mayo</t>
        </is>
      </c>
      <c r="C32" s="14" t="inlineStr">
        <is>
          <t>Mercado Libre</t>
        </is>
      </c>
      <c r="D32" s="15" t="n">
        <v>4699990</v>
      </c>
      <c r="E32" s="14" t="inlineStr">
        <is>
          <t>Mercado Pago — Ingreso de dinero</t>
        </is>
      </c>
      <c r="F32" s="14" t="inlineStr">
        <is>
          <t>reintegro ML · hoja Ingresos (no gasto)</t>
        </is>
      </c>
    </row>
    <row r="33">
      <c r="A33" s="17" t="n">
        <v>46200</v>
      </c>
      <c r="B33" s="14" t="inlineStr">
        <is>
          <t>Junio</t>
        </is>
      </c>
      <c r="C33" s="14" t="inlineStr">
        <is>
          <t>Carlos Farinella</t>
        </is>
      </c>
      <c r="D33" s="15" t="n">
        <v>110000</v>
      </c>
      <c r="E33" s="14" t="inlineStr">
        <is>
          <t>Mercado Pago — Ingreso de dinero</t>
        </is>
      </c>
      <c r="F33" s="14" t="inlineStr">
        <is>
          <t>recibida · hoja Ingresos (no gasto)</t>
        </is>
      </c>
    </row>
    <row r="34">
      <c r="A34" s="17" t="n">
        <v>46212</v>
      </c>
      <c r="B34" s="14" t="inlineStr">
        <is>
          <t>Julio</t>
        </is>
      </c>
      <c r="C34" s="14" t="inlineStr">
        <is>
          <t>Carlos Farinella</t>
        </is>
      </c>
      <c r="D34" s="15" t="n">
        <v>80000</v>
      </c>
      <c r="E34" s="14" t="inlineStr">
        <is>
          <t>Mercado Pago — Ingreso de dinero</t>
        </is>
      </c>
      <c r="F34" s="14" t="inlineStr">
        <is>
          <t>recibida · hoja Ingresos (no gasto)</t>
        </is>
      </c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2026-07-18T17:08:38Z</dcterms:modified>
</cp:coreProperties>
</file>
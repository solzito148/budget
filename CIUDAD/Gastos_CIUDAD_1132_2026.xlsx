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c r="L5" s="5" t="n"/>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50000</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7"/>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29"/>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inlineStr">
        <is>
          <t>Almacén</t>
        </is>
      </c>
      <c r="D268" s="27" t="n"/>
      <c r="E268" s="28" t="n">
        <v>101000</v>
      </c>
      <c r="F268" s="15">
        <f>IF(OR(D268&lt;&gt;"",E268&lt;&gt;""),IF(D268="",0,D268)+IF(E268="",0,E268),"")</f>
        <v/>
      </c>
      <c r="G268" s="14" t="inlineStr">
        <is>
          <t>ALMACEN CHRIS</t>
        </is>
      </c>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4"/>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3"/>
    <row r="314">
      <c r="A314" s="14" t="inlineStr">
        <is>
          <t>Agosto</t>
        </is>
      </c>
      <c r="B314" s="17" t="n"/>
      <c r="C314" s="14" t="n"/>
      <c r="D314" s="27" t="n"/>
      <c r="E314" s="28" t="n"/>
      <c r="F314" s="15">
        <f>IF(OR(D298&lt;&gt;"",E298&lt;&gt;""),IF(D298="",0,D298)+IF(E298="",0,E298),"")</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5"/>
    <row r="356">
      <c r="A356" s="14" t="inlineStr">
        <is>
          <t>Septiembre</t>
        </is>
      </c>
      <c r="B356" s="17" t="n"/>
      <c r="C356" s="14" t="n"/>
      <c r="D356" s="27" t="n"/>
      <c r="E356" s="28" t="n"/>
      <c r="F356" s="15">
        <f>IF(OR(D340&lt;&gt;"",E340&lt;&gt;""),IF(D340="",0,D340)+IF(E340="",0,E340),"")</f>
        <v/>
      </c>
      <c r="G356" s="14" t="n"/>
    </row>
    <row r="357">
      <c r="A357" s="14" t="inlineStr">
        <is>
          <t>Septiembre</t>
        </is>
      </c>
      <c r="B357" s="17" t="n"/>
      <c r="C357" s="14" t="n"/>
      <c r="D357" s="27" t="n"/>
      <c r="E357" s="28" t="n"/>
      <c r="F357" s="15">
        <f>IF(OR(D341&lt;&gt;"",E341&lt;&gt;""),IF(D341="",0,D341)+IF(E341="",0,E341),"")</f>
        <v/>
      </c>
      <c r="G357" s="14" t="n"/>
    </row>
    <row r="358">
      <c r="A358" s="14" t="inlineStr">
        <is>
          <t>Septiembre</t>
        </is>
      </c>
      <c r="B358" s="17" t="n"/>
      <c r="C358" s="14" t="n"/>
      <c r="D358" s="27" t="n"/>
      <c r="E358" s="28" t="n"/>
      <c r="F358" s="15">
        <f>IF(OR(D342&lt;&gt;"",E342&lt;&gt;""),IF(D342="",0,D342)+IF(E342="",0,E342),"")</f>
        <v/>
      </c>
      <c r="G358" s="14" t="n"/>
    </row>
    <row r="359">
      <c r="A359" s="14" t="inlineStr">
        <is>
          <t>Septiembre</t>
        </is>
      </c>
      <c r="B359" s="17" t="n"/>
      <c r="C359" s="14" t="n"/>
      <c r="D359" s="27" t="n"/>
      <c r="E359" s="28" t="n"/>
      <c r="F359" s="15">
        <f>IF(OR(D343&lt;&gt;"",E343&lt;&gt;""),IF(D343="",0,D343)+IF(E343="",0,E343),"")</f>
        <v/>
      </c>
      <c r="G359" s="14" t="n"/>
    </row>
    <row r="360">
      <c r="A360" s="14" t="inlineStr">
        <is>
          <t>Septiembre</t>
        </is>
      </c>
      <c r="B360" s="17" t="n"/>
      <c r="C360" s="14" t="n"/>
      <c r="D360" s="27" t="n"/>
      <c r="E360" s="28" t="n"/>
      <c r="F360" s="15">
        <f>IF(OR(D344&lt;&gt;"",E344&lt;&gt;""),IF(D344="",0,D344)+IF(E344="",0,E344),"")</f>
        <v/>
      </c>
      <c r="G360" s="14" t="n"/>
    </row>
    <row r="361">
      <c r="A361" s="14" t="inlineStr">
        <is>
          <t>Septiembre</t>
        </is>
      </c>
      <c r="B361" s="17" t="n"/>
      <c r="C361" s="14" t="n"/>
      <c r="D361" s="27" t="n"/>
      <c r="E361" s="28" t="n"/>
      <c r="F361" s="15">
        <f>IF(OR(D345&lt;&gt;"",E345&lt;&gt;""),IF(D345="",0,D345)+IF(E345="",0,E345),"")</f>
        <v/>
      </c>
      <c r="G361" s="14" t="n"/>
    </row>
    <row r="362">
      <c r="A362" s="14" t="inlineStr">
        <is>
          <t>Septiembre</t>
        </is>
      </c>
      <c r="B362" s="17" t="n"/>
      <c r="C362" s="14" t="n"/>
      <c r="D362" s="27" t="n"/>
      <c r="E362" s="28" t="n"/>
      <c r="F362" s="15">
        <f>IF(OR(D346&lt;&gt;"",E346&lt;&gt;""),IF(D346="",0,D346)+IF(E346="",0,E346),"")</f>
        <v/>
      </c>
      <c r="G362" s="14" t="n"/>
    </row>
    <row r="363">
      <c r="A363" s="14" t="inlineStr">
        <is>
          <t>Septiembre</t>
        </is>
      </c>
      <c r="B363" s="17" t="n"/>
      <c r="C363" s="14" t="n"/>
      <c r="D363" s="27" t="n"/>
      <c r="E363" s="28" t="n"/>
      <c r="F363" s="15">
        <f>IF(OR(D347&lt;&gt;"",E347&lt;&gt;""),IF(D347="",0,D347)+IF(E347="",0,E347),"")</f>
        <v/>
      </c>
      <c r="G363" s="14" t="n"/>
    </row>
    <row r="364">
      <c r="A364" s="14" t="inlineStr">
        <is>
          <t>Septiembre</t>
        </is>
      </c>
      <c r="B364" s="17" t="n"/>
      <c r="C364" s="14" t="n"/>
      <c r="D364" s="27" t="n"/>
      <c r="E364" s="28" t="n"/>
      <c r="F364" s="15">
        <f>IF(OR(D348&lt;&gt;"",E348&lt;&gt;""),IF(D348="",0,D348)+IF(E348="",0,E348),"")</f>
        <v/>
      </c>
      <c r="G364" s="14" t="n"/>
    </row>
    <row r="365">
      <c r="A365" s="14" t="inlineStr">
        <is>
          <t>Septiembre</t>
        </is>
      </c>
      <c r="B365" s="17" t="n"/>
      <c r="C365" s="14" t="n"/>
      <c r="D365" s="27" t="n"/>
      <c r="E365" s="28" t="n"/>
      <c r="F365" s="15">
        <f>IF(OR(D349&lt;&gt;"",E349&lt;&gt;""),IF(D349="",0,D349)+IF(E349="",0,E349),"")</f>
        <v/>
      </c>
      <c r="G365" s="14" t="n"/>
    </row>
    <row r="366">
      <c r="A366" s="14" t="inlineStr">
        <is>
          <t>Septiembre</t>
        </is>
      </c>
      <c r="B366" s="17" t="n"/>
      <c r="C366" s="14" t="n"/>
      <c r="D366" s="27" t="n"/>
      <c r="E366" s="28" t="n"/>
      <c r="F366" s="15">
        <f>IF(OR(D350&lt;&gt;"",E350&lt;&gt;""),IF(D350="",0,D350)+IF(E350="",0,E350),"")</f>
        <v/>
      </c>
      <c r="G366" s="14" t="n"/>
    </row>
    <row r="367">
      <c r="A367" s="14" t="inlineStr">
        <is>
          <t>Septiembre</t>
        </is>
      </c>
      <c r="B367" s="17" t="n"/>
      <c r="C367" s="14" t="n"/>
      <c r="D367" s="27" t="n"/>
      <c r="E367" s="28" t="n"/>
      <c r="F367" s="15">
        <f>IF(OR(D351&lt;&gt;"",E351&lt;&gt;""),IF(D351="",0,D351)+IF(E351="",0,E351),"")</f>
        <v/>
      </c>
      <c r="G367" s="14" t="n"/>
    </row>
    <row r="368">
      <c r="A368" s="14" t="inlineStr">
        <is>
          <t>Septiembre</t>
        </is>
      </c>
      <c r="B368" s="17" t="n"/>
      <c r="C368" s="14" t="n"/>
      <c r="D368" s="27" t="n"/>
      <c r="E368" s="28" t="n"/>
      <c r="F368" s="15">
        <f>IF(OR(D352&lt;&gt;"",E352&lt;&gt;""),IF(D352="",0,D352)+IF(E352="",0,E352),"")</f>
        <v/>
      </c>
      <c r="G368" s="14" t="n"/>
    </row>
    <row r="369">
      <c r="A369" s="14" t="inlineStr">
        <is>
          <t>Septiembre</t>
        </is>
      </c>
      <c r="B369" s="17" t="n"/>
      <c r="C369" s="14" t="n"/>
      <c r="D369" s="27" t="n"/>
      <c r="E369" s="28" t="n"/>
      <c r="F369" s="15">
        <f>IF(OR(D353&lt;&gt;"",E353&lt;&gt;""),IF(D353="",0,D353)+IF(E353="",0,E353),"")</f>
        <v/>
      </c>
      <c r="G369" s="14" t="n"/>
    </row>
    <row r="370">
      <c r="A370" s="14" t="inlineStr">
        <is>
          <t>Septiembre</t>
        </is>
      </c>
      <c r="B370" s="17" t="n"/>
      <c r="C370" s="14" t="n"/>
      <c r="D370" s="27" t="n"/>
      <c r="E370" s="28" t="n"/>
      <c r="F370" s="15">
        <f>IF(OR(D354&lt;&gt;"",E354&lt;&gt;""),IF(D354="",0,D354)+IF(E354="",0,E354),"")</f>
        <v/>
      </c>
      <c r="G370" s="14" t="n"/>
    </row>
    <row r="371">
      <c r="A371" s="14" t="inlineStr">
        <is>
          <t>Septiembre</t>
        </is>
      </c>
      <c r="B371" s="17" t="n"/>
      <c r="C371" s="14" t="n"/>
      <c r="D371" s="27" t="n"/>
      <c r="E371" s="28" t="n"/>
      <c r="F371" s="15">
        <f>IF(OR(D355&lt;&gt;"",E355&lt;&gt;""),IF(D355="",0,D355)+IF(E355="",0,E355),"")</f>
        <v/>
      </c>
      <c r="G371" s="14" t="n"/>
    </row>
    <row r="372">
      <c r="A372" s="14" t="inlineStr">
        <is>
          <t>Septiembre</t>
        </is>
      </c>
      <c r="B372" s="17" t="n"/>
      <c r="C372" s="14" t="n"/>
      <c r="D372" s="27" t="n"/>
      <c r="E372" s="28" t="n"/>
      <c r="F372" s="15">
        <f>IF(OR(D356&lt;&gt;"",E356&lt;&gt;""),IF(D356="",0,D356)+IF(E356="",0,E356),"")</f>
        <v/>
      </c>
      <c r="G372" s="14" t="n"/>
    </row>
    <row r="373">
      <c r="A373" s="14" t="inlineStr">
        <is>
          <t>Septiembre</t>
        </is>
      </c>
      <c r="B373" s="17" t="n"/>
      <c r="C373" s="14" t="n"/>
      <c r="D373" s="27" t="n"/>
      <c r="E373" s="28" t="n"/>
      <c r="F373" s="15">
        <f>IF(OR(D357&lt;&gt;"",E357&lt;&gt;""),IF(D357="",0,D357)+IF(E357="",0,E357),"")</f>
        <v/>
      </c>
      <c r="G373" s="14" t="n"/>
    </row>
    <row r="374">
      <c r="A374" s="14" t="inlineStr">
        <is>
          <t>Septiembre</t>
        </is>
      </c>
      <c r="B374" s="17" t="n"/>
      <c r="C374" s="14" t="n"/>
      <c r="D374" s="27" t="n"/>
      <c r="E374" s="28" t="n"/>
      <c r="F374" s="15">
        <f>IF(OR(D358&lt;&gt;"",E358&lt;&gt;""),IF(D358="",0,D358)+IF(E358="",0,E358),"")</f>
        <v/>
      </c>
      <c r="G374" s="14" t="n"/>
    </row>
    <row r="375">
      <c r="A375" s="14" t="inlineStr">
        <is>
          <t>Septiembre</t>
        </is>
      </c>
      <c r="B375" s="17" t="n"/>
      <c r="C375" s="14" t="n"/>
      <c r="D375" s="27" t="n"/>
      <c r="E375" s="28" t="n"/>
      <c r="F375" s="15">
        <f>IF(OR(D359&lt;&gt;"",E359&lt;&gt;""),IF(D359="",0,D359)+IF(E359="",0,E359),"")</f>
        <v/>
      </c>
      <c r="G375" s="14" t="n"/>
    </row>
    <row r="376">
      <c r="A376" s="14" t="inlineStr">
        <is>
          <t>Septiembre</t>
        </is>
      </c>
      <c r="B376" s="17" t="n"/>
      <c r="C376" s="14" t="n"/>
      <c r="D376" s="27" t="n"/>
      <c r="E376" s="28" t="n"/>
      <c r="F376" s="15">
        <f>IF(OR(D360&lt;&gt;"",E360&lt;&gt;""),IF(D360="",0,D360)+IF(E360="",0,E360),"")</f>
        <v/>
      </c>
      <c r="G376" s="14" t="n"/>
    </row>
    <row r="377">
      <c r="A377" s="14" t="inlineStr">
        <is>
          <t>Septiembre</t>
        </is>
      </c>
      <c r="B377" s="17" t="n"/>
      <c r="C377" s="14" t="n"/>
      <c r="D377" s="27" t="n"/>
      <c r="E377" s="28" t="n"/>
      <c r="F377" s="15">
        <f>IF(OR(D361&lt;&gt;"",E361&lt;&gt;""),IF(D361="",0,D361)+IF(E361="",0,E361),"")</f>
        <v/>
      </c>
      <c r="G377" s="14" t="n"/>
    </row>
    <row r="378">
      <c r="A378" s="14" t="inlineStr">
        <is>
          <t>Septiembre</t>
        </is>
      </c>
      <c r="B378" s="17" t="n"/>
      <c r="C378" s="14" t="n"/>
      <c r="D378" s="27" t="n"/>
      <c r="E378" s="28" t="n"/>
      <c r="F378" s="15">
        <f>IF(OR(D362&lt;&gt;"",E362&lt;&gt;""),IF(D362="",0,D362)+IF(E362="",0,E362),"")</f>
        <v/>
      </c>
      <c r="G378" s="14" t="n"/>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7"/>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39"/>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1"/>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3"/>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c r="B44" s="14" t="n"/>
      <c r="C44" s="14" t="n"/>
      <c r="D44" s="14" t="n"/>
      <c r="E44" s="15" t="n"/>
      <c r="F44" s="14" t="n"/>
      <c r="G44" s="14" t="n"/>
    </row>
    <row r="45">
      <c r="A45" s="17" t="n"/>
      <c r="B45" s="14" t="n"/>
      <c r="C45" s="14" t="n"/>
      <c r="D45" s="14" t="n"/>
      <c r="E45" s="15" t="n"/>
      <c r="F45" s="14" t="n"/>
      <c r="G45" s="14" t="n"/>
    </row>
    <row r="46">
      <c r="A46" s="17" t="n"/>
      <c r="B46" s="14" t="n"/>
      <c r="C46" s="14" t="n"/>
      <c r="D46" s="14" t="n"/>
      <c r="E46" s="15" t="n"/>
      <c r="F46" s="14" t="n"/>
      <c r="G46" s="14" t="n"/>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28"/>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46239</v>
      </c>
      <c r="C252" t="inlineStr">
        <is>
          <t>AVA Palpa · cuota 10 · pendiente factura</t>
        </is>
      </c>
      <c r="D252" t="inlineStr">
        <is>
          <t>AVA FIDEICOMISO</t>
        </is>
      </c>
      <c r="E252" t="n">
        <v>10</v>
      </c>
      <c r="F252" t="n">
        <v>32</v>
      </c>
      <c r="H252" t="inlineStr">
        <is>
          <t>Agosto 2026</t>
        </is>
      </c>
      <c r="I252" t="inlineStr">
        <is>
          <t>2026-08</t>
        </is>
      </c>
      <c r="J252" t="inlineStr">
        <is>
          <t>PENDIENTE</t>
        </is>
      </c>
      <c r="K252" t="inlineStr">
        <is>
          <t>Compromiso AVA · monto a confirmar · 50% Sol / 50% Chris</t>
        </is>
      </c>
      <c r="L252" t="inlineStr">
        <is>
          <t>Sol 50% (TBD)</t>
        </is>
      </c>
    </row>
    <row r="253">
      <c r="A253" t="inlineStr">
        <is>
          <t>AVA Fideicomiso</t>
        </is>
      </c>
      <c r="B253" s="52" t="n">
        <v>46270</v>
      </c>
      <c r="C253" t="inlineStr">
        <is>
          <t>AVA Palpa · cuota 11 · pendiente factura</t>
        </is>
      </c>
      <c r="D253" t="inlineStr">
        <is>
          <t>AVA FIDEICOMISO</t>
        </is>
      </c>
      <c r="E253" t="n">
        <v>11</v>
      </c>
      <c r="F253" t="n">
        <v>32</v>
      </c>
      <c r="H253" t="inlineStr">
        <is>
          <t>Septiembre 2026</t>
        </is>
      </c>
      <c r="I253" t="inlineStr">
        <is>
          <t>2026-09</t>
        </is>
      </c>
      <c r="J253" t="inlineStr">
        <is>
          <t>PENDIENTE</t>
        </is>
      </c>
      <c r="K253" t="inlineStr">
        <is>
          <t>Compromiso AVA · monto a confirmar · 50% Sol / 50% Chris</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9</v>
      </c>
      <c r="C279" t="n">
        <v>24724731</v>
      </c>
    </row>
    <row r="280">
      <c r="A280" t="inlineStr">
        <is>
          <t>AVA Fideicomiso PENDIENTE (cuotas futuras, monto TBD)</t>
        </is>
      </c>
      <c r="B280" t="n">
        <v>23</v>
      </c>
    </row>
    <row r="281">
      <c r="A281" t="inlineStr">
        <is>
          <t>COMPROMISO NUMÉRICO ACTUAL (BBVA pendiente con monto)</t>
        </is>
      </c>
      <c r="B281" t="n">
        <v>92</v>
      </c>
      <c r="C281" t="n">
        <v>9156618</v>
      </c>
    </row>
    <row r="282">
      <c r="A282" t="inlineStr">
        <is>
          <t>Notas: AVA 50% Sol PAGADO ya está en Gasto Personal Sol (no duplicar). Cuotas AVA 10+ sin monto hasta factura.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2026-08-06T22:59:03Z</dcterms:modified>
</cp:coreProperties>
</file>
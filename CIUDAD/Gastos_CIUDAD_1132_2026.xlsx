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31999</v>
      </c>
      <c r="L6" s="9" t="n">
        <v>69659</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4">
      <c r="A314" s="14" t="inlineStr">
        <is>
          <t>Agosto</t>
        </is>
      </c>
      <c r="B314" s="17" t="n">
        <v>46245</v>
      </c>
      <c r="C314" s="14" t="inlineStr">
        <is>
          <t>COMIDA · VERDULERÍA</t>
        </is>
      </c>
      <c r="D314" s="27" t="n">
        <v>8900</v>
      </c>
      <c r="E314" s="28" t="n"/>
      <c r="F314" s="15">
        <f>IF(OR(D314&lt;&gt;"",E314&lt;&gt;""),IF(D314="",0,D314)+IF(E314="",0,E314),"")</f>
        <v/>
      </c>
      <c r="G314" s="14" t="inlineStr">
        <is>
          <t>COMIDA · VERDULERÍA · Agosto</t>
        </is>
      </c>
    </row>
    <row r="315">
      <c r="A315" s="14" t="inlineStr">
        <is>
          <t>Agosto</t>
        </is>
      </c>
      <c r="B315" s="17" t="n">
        <v>46265</v>
      </c>
      <c r="C315" s="14" t="inlineStr">
        <is>
          <t>Almacén</t>
        </is>
      </c>
      <c r="D315" s="27" t="n"/>
      <c r="E315" s="28" t="n">
        <v>80000</v>
      </c>
      <c r="F315" s="15">
        <f>IF(OR(D315&lt;&gt;"",E315&lt;&gt;""),IF(D315="",0,D315)+IF(E315="",0,E315),"")</f>
        <v/>
      </c>
      <c r="G315" s="14" t="inlineStr">
        <is>
          <t>ALMACEN CHRIS · total agosto (sin desglose) · REVISAR</t>
        </is>
      </c>
    </row>
    <row r="316">
      <c r="A316" s="14" t="inlineStr">
        <is>
          <t>Agosto</t>
        </is>
      </c>
      <c r="B316" s="17" t="n"/>
      <c r="C316" s="14" t="n"/>
      <c r="D316" s="27" t="n"/>
      <c r="E316" s="28" t="n"/>
      <c r="F316" s="15">
        <f>IF(OR(D316&lt;&gt;"",E316&lt;&gt;""),IF(D316="",0,D316)+IF(E316="",0,E316),"")</f>
        <v/>
      </c>
      <c r="G316" s="14" t="n"/>
    </row>
    <row r="317">
      <c r="A317" s="14" t="inlineStr">
        <is>
          <t>Agosto</t>
        </is>
      </c>
      <c r="B317" s="17" t="n"/>
      <c r="C317" s="14" t="n"/>
      <c r="D317" s="27" t="n"/>
      <c r="E317" s="28" t="n"/>
      <c r="F317" s="15">
        <f>IF(OR(D317&lt;&gt;"",E317&lt;&gt;""),IF(D317="",0,D317)+IF(E317="",0,E317),"")</f>
        <v/>
      </c>
      <c r="G317" s="14" t="n"/>
    </row>
    <row r="318">
      <c r="A318" s="14" t="inlineStr">
        <is>
          <t>Agosto</t>
        </is>
      </c>
      <c r="B318" s="17" t="n"/>
      <c r="C318" s="14" t="n"/>
      <c r="D318" s="27" t="n"/>
      <c r="E318" s="28" t="n"/>
      <c r="F318" s="15">
        <f>IF(OR(D318&lt;&gt;"",E318&lt;&gt;""),IF(D318="",0,D318)+IF(E318="",0,E318),"")</f>
        <v/>
      </c>
      <c r="G318" s="14" t="n"/>
    </row>
    <row r="319">
      <c r="A319" s="14" t="inlineStr">
        <is>
          <t>Agosto</t>
        </is>
      </c>
      <c r="B319" s="17" t="n"/>
      <c r="C319" s="14" t="n"/>
      <c r="D319" s="27" t="n"/>
      <c r="E319" s="28" t="n"/>
      <c r="F319" s="15">
        <f>IF(OR(D319&lt;&gt;"",E319&lt;&gt;""),IF(D319="",0,D319)+IF(E319="",0,E319),"")</f>
        <v/>
      </c>
      <c r="G319" s="14" t="n"/>
    </row>
    <row r="320">
      <c r="A320" s="14" t="inlineStr">
        <is>
          <t>Agosto</t>
        </is>
      </c>
      <c r="B320" s="17" t="n"/>
      <c r="C320" s="14" t="n"/>
      <c r="D320" s="27" t="n"/>
      <c r="E320" s="28" t="n"/>
      <c r="F320" s="15">
        <f>IF(OR(D320&lt;&gt;"",E320&lt;&gt;""),IF(D320="",0,D320)+IF(E320="",0,E320),"")</f>
        <v/>
      </c>
      <c r="G320" s="14" t="n"/>
    </row>
    <row r="321">
      <c r="A321" s="14" t="inlineStr">
        <is>
          <t>Agosto</t>
        </is>
      </c>
      <c r="B321" s="17" t="n"/>
      <c r="C321" s="14" t="n"/>
      <c r="D321" s="27" t="n"/>
      <c r="E321" s="28" t="n"/>
      <c r="F321" s="15">
        <f>IF(OR(D321&lt;&gt;"",E321&lt;&gt;""),IF(D321="",0,D321)+IF(E321="",0,E321),"")</f>
        <v/>
      </c>
      <c r="G321" s="14" t="n"/>
    </row>
    <row r="322">
      <c r="A322" s="14" t="inlineStr">
        <is>
          <t>Agosto</t>
        </is>
      </c>
      <c r="B322" s="17" t="n"/>
      <c r="C322" s="14" t="n"/>
      <c r="D322" s="27" t="n"/>
      <c r="E322" s="28" t="n"/>
      <c r="F322" s="15">
        <f>IF(OR(D322&lt;&gt;"",E322&lt;&gt;""),IF(D322="",0,D322)+IF(E322="",0,E322),"")</f>
        <v/>
      </c>
      <c r="G322" s="14" t="n"/>
    </row>
    <row r="323">
      <c r="A323" s="14" t="inlineStr">
        <is>
          <t>Agosto</t>
        </is>
      </c>
      <c r="B323" s="17" t="n"/>
      <c r="C323" s="14" t="n"/>
      <c r="D323" s="27" t="n"/>
      <c r="E323" s="28" t="n"/>
      <c r="F323" s="15">
        <f>IF(OR(D323&lt;&gt;"",E323&lt;&gt;""),IF(D323="",0,D323)+IF(E323="",0,E323),"")</f>
        <v/>
      </c>
      <c r="G323" s="14" t="n"/>
    </row>
    <row r="324">
      <c r="A324" s="14" t="inlineStr">
        <is>
          <t>Agosto</t>
        </is>
      </c>
      <c r="B324" s="17" t="n"/>
      <c r="C324" s="14" t="n"/>
      <c r="D324" s="27" t="n"/>
      <c r="E324" s="28" t="n"/>
      <c r="F324" s="15">
        <f>IF(OR(D324&lt;&gt;"",E324&lt;&gt;""),IF(D324="",0,D324)+IF(E324="",0,E324),"")</f>
        <v/>
      </c>
      <c r="G324" s="14" t="n"/>
    </row>
    <row r="325">
      <c r="A325" s="14" t="inlineStr">
        <is>
          <t>Agosto</t>
        </is>
      </c>
      <c r="B325" s="17" t="n"/>
      <c r="C325" s="14" t="n"/>
      <c r="D325" s="27" t="n"/>
      <c r="E325" s="28" t="n"/>
      <c r="F325" s="15">
        <f>IF(OR(D325&lt;&gt;"",E325&lt;&gt;""),IF(D325="",0,D325)+IF(E325="",0,E325),"")</f>
        <v/>
      </c>
      <c r="G325" s="14" t="n"/>
    </row>
    <row r="326">
      <c r="A326" s="14" t="inlineStr">
        <is>
          <t>Agosto</t>
        </is>
      </c>
      <c r="B326" s="17" t="n"/>
      <c r="C326" s="14" t="n"/>
      <c r="D326" s="27" t="n"/>
      <c r="E326" s="28" t="n"/>
      <c r="F326" s="15">
        <f>IF(OR(D326&lt;&gt;"",E326&lt;&gt;""),IF(D326="",0,D326)+IF(E326="",0,E326),"")</f>
        <v/>
      </c>
      <c r="G326" s="14" t="n"/>
    </row>
    <row r="327">
      <c r="A327" s="14" t="inlineStr">
        <is>
          <t>Agosto</t>
        </is>
      </c>
      <c r="B327" s="17" t="n"/>
      <c r="C327" s="14" t="n"/>
      <c r="D327" s="27" t="n"/>
      <c r="E327" s="28" t="n"/>
      <c r="F327" s="15">
        <f>IF(OR(D327&lt;&gt;"",E327&lt;&gt;""),IF(D327="",0,D327)+IF(E327="",0,E327),"")</f>
        <v/>
      </c>
      <c r="G327" s="14" t="n"/>
    </row>
    <row r="328">
      <c r="A328" s="14" t="inlineStr">
        <is>
          <t>Agosto</t>
        </is>
      </c>
      <c r="B328" s="17" t="n"/>
      <c r="C328" s="14" t="n"/>
      <c r="D328" s="27" t="n"/>
      <c r="E328" s="28" t="n"/>
      <c r="F328" s="15">
        <f>IF(OR(D328&lt;&gt;"",E328&lt;&gt;""),IF(D328="",0,D328)+IF(E328="",0,E328),"")</f>
        <v/>
      </c>
      <c r="G328" s="14" t="n"/>
    </row>
    <row r="329">
      <c r="A329" s="14" t="inlineStr">
        <is>
          <t>Agosto</t>
        </is>
      </c>
      <c r="B329" s="17" t="n"/>
      <c r="C329" s="14" t="n"/>
      <c r="D329" s="27" t="n"/>
      <c r="E329" s="28" t="n"/>
      <c r="F329" s="15">
        <f>IF(OR(D329&lt;&gt;"",E329&lt;&gt;""),IF(D329="",0,D329)+IF(E329="",0,E329),"")</f>
        <v/>
      </c>
      <c r="G329" s="14" t="n"/>
    </row>
    <row r="330">
      <c r="A330" s="14" t="inlineStr">
        <is>
          <t>Agosto</t>
        </is>
      </c>
      <c r="B330" s="17" t="n"/>
      <c r="C330" s="14" t="n"/>
      <c r="D330" s="27" t="n"/>
      <c r="E330" s="28" t="n"/>
      <c r="F330" s="15">
        <f>IF(OR(D330&lt;&gt;"",E330&lt;&gt;""),IF(D330="",0,D330)+IF(E330="",0,E330),"")</f>
        <v/>
      </c>
      <c r="G330" s="14" t="n"/>
    </row>
    <row r="331">
      <c r="A331" s="14" t="inlineStr">
        <is>
          <t>Agosto</t>
        </is>
      </c>
      <c r="B331" s="17" t="n"/>
      <c r="C331" s="14" t="n"/>
      <c r="D331" s="27" t="n"/>
      <c r="E331" s="28" t="n"/>
      <c r="F331" s="15">
        <f>IF(OR(D331&lt;&gt;"",E331&lt;&gt;""),IF(D331="",0,D331)+IF(E331="",0,E331),"")</f>
        <v/>
      </c>
      <c r="G331" s="14" t="n"/>
    </row>
    <row r="332">
      <c r="A332" s="14" t="inlineStr">
        <is>
          <t>Agosto</t>
        </is>
      </c>
      <c r="B332" s="17" t="n"/>
      <c r="C332" s="14" t="n"/>
      <c r="D332" s="27" t="n"/>
      <c r="E332" s="28" t="n"/>
      <c r="F332" s="15">
        <f>IF(OR(D332&lt;&gt;"",E332&lt;&gt;""),IF(D332="",0,D332)+IF(E332="",0,E332),"")</f>
        <v/>
      </c>
      <c r="G332" s="14" t="n"/>
    </row>
    <row r="333">
      <c r="A333" s="14" t="inlineStr">
        <is>
          <t>Agosto</t>
        </is>
      </c>
      <c r="B333" s="17" t="n"/>
      <c r="C333" s="14" t="n"/>
      <c r="D333" s="27" t="n"/>
      <c r="E333" s="28" t="n"/>
      <c r="F333" s="15">
        <f>IF(OR(D333&lt;&gt;"",E333&lt;&gt;""),IF(D333="",0,D333)+IF(E333="",0,E333),"")</f>
        <v/>
      </c>
      <c r="G333" s="14" t="n"/>
    </row>
    <row r="334">
      <c r="A334" s="14" t="inlineStr">
        <is>
          <t>Agosto</t>
        </is>
      </c>
      <c r="B334" s="17" t="n"/>
      <c r="C334" s="14" t="n"/>
      <c r="D334" s="27" t="n"/>
      <c r="E334" s="28" t="n"/>
      <c r="F334" s="15">
        <f>IF(OR(D334&lt;&gt;"",E334&lt;&gt;""),IF(D334="",0,D334)+IF(E334="",0,E334),"")</f>
        <v/>
      </c>
      <c r="G334" s="14" t="n"/>
    </row>
    <row r="335">
      <c r="A335" s="14" t="inlineStr">
        <is>
          <t>Agosto</t>
        </is>
      </c>
      <c r="B335" s="17" t="n"/>
      <c r="C335" s="14" t="n"/>
      <c r="D335" s="27" t="n"/>
      <c r="E335" s="28" t="n"/>
      <c r="F335" s="15">
        <f>IF(OR(D335&lt;&gt;"",E335&lt;&gt;""),IF(D335="",0,D335)+IF(E335="",0,E335),"")</f>
        <v/>
      </c>
      <c r="G335" s="14" t="n"/>
    </row>
    <row r="336">
      <c r="A336" s="14" t="inlineStr">
        <is>
          <t>Agosto</t>
        </is>
      </c>
      <c r="B336" s="17" t="n"/>
      <c r="C336" s="14" t="n"/>
      <c r="D336" s="27" t="n"/>
      <c r="E336" s="28" t="n"/>
      <c r="F336" s="15">
        <f>IF(OR(D336&lt;&gt;"",E336&lt;&gt;""),IF(D336="",0,D336)+IF(E336="",0,E336),"")</f>
        <v/>
      </c>
      <c r="G336" s="14" t="n"/>
    </row>
    <row r="337">
      <c r="A337" s="14" t="inlineStr">
        <is>
          <t>Agosto</t>
        </is>
      </c>
      <c r="B337" s="17" t="n"/>
      <c r="C337" s="14" t="n"/>
      <c r="D337" s="27" t="n"/>
      <c r="E337" s="28" t="n"/>
      <c r="F337" s="15">
        <f>IF(OR(D337&lt;&gt;"",E337&lt;&gt;""),IF(D337="",0,D337)+IF(E337="",0,E337),"")</f>
        <v/>
      </c>
      <c r="G337" s="14" t="n"/>
    </row>
    <row r="338">
      <c r="A338" s="14" t="inlineStr">
        <is>
          <t>Agosto</t>
        </is>
      </c>
      <c r="B338" s="17" t="n"/>
      <c r="C338" s="14" t="n"/>
      <c r="D338" s="27" t="n"/>
      <c r="E338" s="28" t="n"/>
      <c r="F338" s="15">
        <f>IF(OR(D338&lt;&gt;"",E338&lt;&gt;""),IF(D338="",0,D338)+IF(E338="",0,E338),"")</f>
        <v/>
      </c>
      <c r="G338" s="14" t="n"/>
    </row>
    <row r="339">
      <c r="A339" s="14" t="inlineStr">
        <is>
          <t>Agosto</t>
        </is>
      </c>
      <c r="B339" s="17" t="n"/>
      <c r="C339" s="14" t="n"/>
      <c r="D339" s="27" t="n"/>
      <c r="E339" s="28" t="n"/>
      <c r="F339" s="15">
        <f>IF(OR(D339&lt;&gt;"",E339&lt;&gt;""),IF(D339="",0,D339)+IF(E339="",0,E339),"")</f>
        <v/>
      </c>
      <c r="G339" s="14" t="n"/>
    </row>
    <row r="340">
      <c r="A340" s="14" t="inlineStr">
        <is>
          <t>Agosto</t>
        </is>
      </c>
      <c r="B340" s="17" t="n"/>
      <c r="C340" s="14" t="n"/>
      <c r="D340" s="27" t="n"/>
      <c r="E340" s="28" t="n"/>
      <c r="F340" s="15">
        <f>IF(OR(D340&lt;&gt;"",E340&lt;&gt;""),IF(D340="",0,D340)+IF(E340="",0,E340),"")</f>
        <v/>
      </c>
      <c r="G340" s="14" t="n"/>
    </row>
    <row r="341">
      <c r="A341" s="14" t="inlineStr">
        <is>
          <t>Agosto</t>
        </is>
      </c>
      <c r="B341" s="17" t="n"/>
      <c r="C341" s="14" t="n"/>
      <c r="D341" s="27" t="n"/>
      <c r="E341" s="28" t="n"/>
      <c r="F341" s="15">
        <f>IF(OR(D341&lt;&gt;"",E341&lt;&gt;""),IF(D341="",0,D341)+IF(E341="",0,E341),"")</f>
        <v/>
      </c>
      <c r="G341" s="14" t="n"/>
    </row>
    <row r="342">
      <c r="A342" s="14" t="inlineStr">
        <is>
          <t>Agosto</t>
        </is>
      </c>
      <c r="B342" s="17" t="n"/>
      <c r="C342" s="14" t="n"/>
      <c r="D342" s="27" t="n"/>
      <c r="E342" s="28" t="n"/>
      <c r="F342" s="15">
        <f>IF(OR(D342&lt;&gt;"",E342&lt;&gt;""),IF(D342="",0,D342)+IF(E342="",0,E342),"")</f>
        <v/>
      </c>
      <c r="G342" s="14" t="n"/>
    </row>
    <row r="343">
      <c r="A343" s="14" t="inlineStr">
        <is>
          <t>Agosto</t>
        </is>
      </c>
      <c r="B343" s="17" t="n"/>
      <c r="C343" s="14" t="n"/>
      <c r="D343" s="27" t="n"/>
      <c r="E343" s="28" t="n"/>
      <c r="F343" s="15">
        <f>IF(OR(D343&lt;&gt;"",E343&lt;&gt;""),IF(D343="",0,D343)+IF(E343="",0,E343),"")</f>
        <v/>
      </c>
      <c r="G343" s="14" t="n"/>
    </row>
    <row r="344">
      <c r="A344" s="14" t="inlineStr">
        <is>
          <t>Agosto</t>
        </is>
      </c>
      <c r="B344" s="17" t="n"/>
      <c r="C344" s="14" t="n"/>
      <c r="D344" s="27" t="n"/>
      <c r="E344" s="28" t="n"/>
      <c r="F344" s="15">
        <f>IF(OR(D344&lt;&gt;"",E344&lt;&gt;""),IF(D344="",0,D344)+IF(E344="",0,E344),"")</f>
        <v/>
      </c>
      <c r="G344" s="14" t="n"/>
    </row>
    <row r="345">
      <c r="A345" s="14" t="inlineStr">
        <is>
          <t>Agosto</t>
        </is>
      </c>
      <c r="B345" s="17" t="n"/>
      <c r="C345" s="14" t="n"/>
      <c r="D345" s="27" t="n"/>
      <c r="E345" s="28" t="n"/>
      <c r="F345" s="15">
        <f>IF(OR(D345&lt;&gt;"",E345&lt;&gt;""),IF(D345="",0,D345)+IF(E345="",0,E345),"")</f>
        <v/>
      </c>
      <c r="G345" s="14" t="n"/>
    </row>
    <row r="346">
      <c r="A346" s="14" t="inlineStr">
        <is>
          <t>Agosto</t>
        </is>
      </c>
      <c r="B346" s="17" t="n"/>
      <c r="C346" s="14" t="n"/>
      <c r="D346" s="27" t="n"/>
      <c r="E346" s="28" t="n"/>
      <c r="F346" s="15">
        <f>IF(OR(D346&lt;&gt;"",E346&lt;&gt;""),IF(D346="",0,D346)+IF(E346="",0,E346),"")</f>
        <v/>
      </c>
      <c r="G346" s="14" t="n"/>
    </row>
    <row r="347">
      <c r="A347" s="14" t="inlineStr">
        <is>
          <t>Agosto</t>
        </is>
      </c>
      <c r="B347" s="17" t="n"/>
      <c r="C347" s="14" t="n"/>
      <c r="D347" s="27" t="n"/>
      <c r="E347" s="28" t="n"/>
      <c r="F347" s="15">
        <f>IF(OR(D347&lt;&gt;"",E347&lt;&gt;""),IF(D347="",0,D347)+IF(E347="",0,E347),"")</f>
        <v/>
      </c>
      <c r="G347" s="14" t="n"/>
    </row>
    <row r="348">
      <c r="A348" s="14" t="inlineStr">
        <is>
          <t>Agosto</t>
        </is>
      </c>
      <c r="B348" s="17" t="n"/>
      <c r="C348" s="14" t="n"/>
      <c r="D348" s="27" t="n"/>
      <c r="E348" s="28" t="n"/>
      <c r="F348" s="15">
        <f>IF(OR(D348&lt;&gt;"",E348&lt;&gt;""),IF(D348="",0,D348)+IF(E348="",0,E348),"")</f>
        <v/>
      </c>
      <c r="G348" s="14" t="n"/>
    </row>
    <row r="349">
      <c r="A349" s="14" t="inlineStr">
        <is>
          <t>Agosto</t>
        </is>
      </c>
      <c r="B349" s="17" t="n"/>
      <c r="C349" s="14" t="n"/>
      <c r="D349" s="27" t="n"/>
      <c r="E349" s="28" t="n"/>
      <c r="F349" s="15">
        <f>IF(OR(D349&lt;&gt;"",E349&lt;&gt;""),IF(D349="",0,D349)+IF(E349="",0,E349),"")</f>
        <v/>
      </c>
      <c r="G349" s="14" t="n"/>
    </row>
    <row r="350">
      <c r="A350" s="14" t="inlineStr">
        <is>
          <t>Agosto</t>
        </is>
      </c>
      <c r="B350" s="17" t="n"/>
      <c r="C350" s="14" t="n"/>
      <c r="D350" s="27" t="n"/>
      <c r="E350" s="28" t="n"/>
      <c r="F350" s="15">
        <f>IF(OR(D350&lt;&gt;"",E350&lt;&gt;""),IF(D350="",0,D350)+IF(E350="",0,E350),"")</f>
        <v/>
      </c>
      <c r="G350" s="14" t="n"/>
    </row>
    <row r="351">
      <c r="A351" s="14" t="inlineStr">
        <is>
          <t>Agosto</t>
        </is>
      </c>
      <c r="B351" s="17" t="n"/>
      <c r="C351" s="14" t="n"/>
      <c r="D351" s="27" t="n"/>
      <c r="E351" s="28" t="n"/>
      <c r="F351" s="15">
        <f>IF(OR(D351&lt;&gt;"",E351&lt;&gt;""),IF(D351="",0,D351)+IF(E351="",0,E351),"")</f>
        <v/>
      </c>
      <c r="G351" s="14" t="n"/>
    </row>
    <row r="352">
      <c r="A352" s="14" t="inlineStr">
        <is>
          <t>Agosto</t>
        </is>
      </c>
      <c r="B352" s="17" t="n"/>
      <c r="C352" s="14" t="n"/>
      <c r="D352" s="27" t="n"/>
      <c r="E352" s="28" t="n"/>
      <c r="F352" s="15">
        <f>IF(OR(D352&lt;&gt;"",E352&lt;&gt;""),IF(D352="",0,D352)+IF(E352="",0,E352),"")</f>
        <v/>
      </c>
      <c r="G352" s="14" t="n"/>
    </row>
    <row r="353">
      <c r="A353" s="14" t="inlineStr">
        <is>
          <t>Agosto</t>
        </is>
      </c>
      <c r="B353" s="17" t="n"/>
      <c r="C353" s="14" t="n"/>
      <c r="D353" s="27" t="n"/>
      <c r="E353" s="28" t="n"/>
      <c r="F353" s="15">
        <f>IF(OR(D353&lt;&gt;"",E353&lt;&gt;""),IF(D353="",0,D353)+IF(E353="",0,E353),"")</f>
        <v/>
      </c>
      <c r="G353" s="14" t="n"/>
    </row>
    <row r="354">
      <c r="A354" s="10" t="inlineStr">
        <is>
          <t>TOTAL AGOSTO</t>
        </is>
      </c>
      <c r="B354" s="22" t="n"/>
      <c r="C354" s="29" t="inlineStr">
        <is>
          <t>Totales mes →</t>
        </is>
      </c>
      <c r="D354" s="7">
        <f>SUMIFS($D$4:$D$800,$A$4:$A$800,"Agosto")</f>
        <v/>
      </c>
      <c r="E354" s="7">
        <f>SUMIFS($E$4:$E$800,$A$4:$A$800,"Agosto")</f>
        <v/>
      </c>
      <c r="F354" s="7">
        <f>D354+E354</f>
        <v/>
      </c>
      <c r="G354" s="22" t="n"/>
    </row>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sin fecha día · REVISAR</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sin fecha día · REVISAR</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sin fecha día · REVISAR</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sin fecha día · REVISAR</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sin fecha día · REVISAR</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sin fecha día · REVISAR</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sin fecha día · REVISAR</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sin fecha día · REVISAR</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sin fecha día · REVISAR</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sin fecha día · REVISAR</t>
        </is>
      </c>
    </row>
    <row r="396">
      <c r="A396" t="inlineStr">
        <is>
          <t>Septiembre</t>
        </is>
      </c>
      <c r="B396" s="52" t="n">
        <v>46295</v>
      </c>
      <c r="C396" t="inlineStr">
        <is>
          <t>SUPERMERCADO · Coto</t>
        </is>
      </c>
      <c r="E396" t="n">
        <v>7610</v>
      </c>
      <c r="F396">
        <f>IF(OR(D396&lt;&gt;"",E396&lt;&gt;""),IF(D396="",0,D396)+IF(E396="",0,E396),"")</f>
        <v/>
      </c>
      <c r="G396" t="inlineStr">
        <is>
          <t>Chris · SUPERMERCADO · Coto · sin fecha día · REVISAR</t>
        </is>
      </c>
    </row>
    <row r="397">
      <c r="A397" t="inlineStr">
        <is>
          <t>Septiembre</t>
        </is>
      </c>
      <c r="B397" s="52" t="n">
        <v>46295</v>
      </c>
      <c r="C397" t="inlineStr">
        <is>
          <t>SUPERMERCADO · Día</t>
        </is>
      </c>
      <c r="E397" t="n">
        <v>4796</v>
      </c>
      <c r="F397">
        <f>IF(OR(D397&lt;&gt;"",E397&lt;&gt;""),IF(D397="",0,D397)+IF(E397="",0,E397),"")</f>
        <v/>
      </c>
      <c r="G397" t="inlineStr">
        <is>
          <t>Chris · SUPERMERCADO · Día · sin fecha día · REVISAR</t>
        </is>
      </c>
    </row>
    <row r="398">
      <c r="A398" t="inlineStr">
        <is>
          <t>Septiembre</t>
        </is>
      </c>
      <c r="B398" s="52" t="n">
        <v>46295</v>
      </c>
      <c r="C398" t="inlineStr">
        <is>
          <t>SUPERMERCADO · Día</t>
        </is>
      </c>
      <c r="E398" t="n">
        <v>3952</v>
      </c>
      <c r="F398">
        <f>IF(OR(D398&lt;&gt;"",E398&lt;&gt;""),IF(D398="",0,D398)+IF(E398="",0,E398),"")</f>
        <v/>
      </c>
      <c r="G398" t="inlineStr">
        <is>
          <t>Chris · SUPERMERCADO · Día · sin fecha día · REVISAR</t>
        </is>
      </c>
    </row>
    <row r="399">
      <c r="A399" t="inlineStr">
        <is>
          <t>Septiembre</t>
        </is>
      </c>
      <c r="B399" s="52" t="n">
        <v>46295</v>
      </c>
      <c r="C399" t="inlineStr">
        <is>
          <t>COMIDA · pollo</t>
        </is>
      </c>
      <c r="E399" t="n">
        <v>10295</v>
      </c>
      <c r="F399">
        <f>IF(OR(D399&lt;&gt;"",E399&lt;&gt;""),IF(D399="",0,D399)+IF(E399="",0,E399),"")</f>
        <v/>
      </c>
      <c r="G399" t="inlineStr">
        <is>
          <t>Chris · COMIDA · pollo · sin fecha día · REVISAR</t>
        </is>
      </c>
    </row>
    <row r="400">
      <c r="A400" t="inlineStr">
        <is>
          <t>Septiembre</t>
        </is>
      </c>
      <c r="B400" s="52" t="n">
        <v>46295</v>
      </c>
      <c r="C400" t="inlineStr">
        <is>
          <t>SUPERMERCADO · Día</t>
        </is>
      </c>
      <c r="E400" t="n">
        <v>6480</v>
      </c>
      <c r="F400">
        <f>IF(OR(D400&lt;&gt;"",E400&lt;&gt;""),IF(D400="",0,D400)+IF(E400="",0,E400),"")</f>
        <v/>
      </c>
      <c r="G400" t="inlineStr">
        <is>
          <t>Chris · SUPERMERCADO · Día · sin fecha día · REVISAR</t>
        </is>
      </c>
    </row>
    <row r="401">
      <c r="A401" t="inlineStr">
        <is>
          <t>Septiembre</t>
        </is>
      </c>
      <c r="B401" s="52" t="n">
        <v>46295</v>
      </c>
      <c r="C401" t="inlineStr">
        <is>
          <t>SUPERMERCADO · Día</t>
        </is>
      </c>
      <c r="E401" t="n">
        <v>4739</v>
      </c>
      <c r="F401">
        <f>IF(OR(D401&lt;&gt;"",E401&lt;&gt;""),IF(D401="",0,D401)+IF(E401="",0,E401),"")</f>
        <v/>
      </c>
      <c r="G401" t="inlineStr">
        <is>
          <t>Chris · SUPERMERCADO · Día · sin fecha día · REVISAR</t>
        </is>
      </c>
    </row>
    <row r="402">
      <c r="A402" t="inlineStr">
        <is>
          <t>Septiembre</t>
        </is>
      </c>
      <c r="B402" s="52" t="n">
        <v>46295</v>
      </c>
      <c r="C402" t="inlineStr">
        <is>
          <t>PEDIDOS YA · COMIDA</t>
        </is>
      </c>
      <c r="E402" t="n">
        <v>23424</v>
      </c>
      <c r="F402">
        <f>IF(OR(D402&lt;&gt;"",E402&lt;&gt;""),IF(D402="",0,D402)+IF(E402="",0,E402),"")</f>
        <v/>
      </c>
      <c r="G402" t="inlineStr">
        <is>
          <t>Chris · PEDIDOS YA · COMIDA · sin fecha día · REVISAR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sin fecha día · REVISAR</t>
        </is>
      </c>
    </row>
    <row r="404">
      <c r="A404" t="inlineStr">
        <is>
          <t>Septiembre</t>
        </is>
      </c>
      <c r="B404" s="52" t="n">
        <v>46295</v>
      </c>
      <c r="C404" t="inlineStr">
        <is>
          <t>SUPERMERCADO · Día</t>
        </is>
      </c>
      <c r="E404" t="n">
        <v>5716</v>
      </c>
      <c r="F404">
        <f>IF(OR(D404&lt;&gt;"",E404&lt;&gt;""),IF(D404="",0,D404)+IF(E404="",0,E404),"")</f>
        <v/>
      </c>
      <c r="G404" t="inlineStr">
        <is>
          <t>Chris · SUPERMERCADO · Día · sin fecha día · REVISAR</t>
        </is>
      </c>
    </row>
    <row r="405">
      <c r="A405" t="inlineStr">
        <is>
          <t>Septiembre</t>
        </is>
      </c>
      <c r="B405" s="52" t="n">
        <v>46295</v>
      </c>
      <c r="C405" t="inlineStr">
        <is>
          <t>SUPERMERCADO · Día</t>
        </is>
      </c>
      <c r="E405" t="n">
        <v>3768</v>
      </c>
      <c r="F405">
        <f>IF(OR(D405&lt;&gt;"",E405&lt;&gt;""),IF(D405="",0,D405)+IF(E405="",0,E405),"")</f>
        <v/>
      </c>
      <c r="G405" t="inlineStr">
        <is>
          <t>Chris · SUPERMERCADO · Día · sin fecha día · REVISAR</t>
        </is>
      </c>
    </row>
    <row r="406">
      <c r="A406" t="inlineStr">
        <is>
          <t>Septiembre</t>
        </is>
      </c>
      <c r="B406" s="52" t="n">
        <v>46295</v>
      </c>
      <c r="C406" t="inlineStr">
        <is>
          <t>COMIDA · Vinos</t>
        </is>
      </c>
      <c r="E406" t="n">
        <v>17780</v>
      </c>
      <c r="F406">
        <f>IF(OR(D406&lt;&gt;"",E406&lt;&gt;""),IF(D406="",0,D406)+IF(E406="",0,E406),"")</f>
        <v/>
      </c>
      <c r="G406" t="inlineStr">
        <is>
          <t>Chris · COMIDA · Vinos · sin fecha día · REVISAR</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sin fecha día</t>
        </is>
      </c>
    </row>
    <row r="408">
      <c r="A408" t="inlineStr">
        <is>
          <t>Septiembre</t>
        </is>
      </c>
      <c r="B408" s="52" t="n">
        <v>46295</v>
      </c>
      <c r="C408" t="inlineStr">
        <is>
          <t>COMIDA · VERDULERÍA</t>
        </is>
      </c>
      <c r="E408" t="n">
        <v>7912</v>
      </c>
      <c r="F408">
        <f>IF(OR(D408&lt;&gt;"",E408&lt;&gt;""),IF(D408="",0,D408)+IF(E408="",0,E408),"")</f>
        <v/>
      </c>
      <c r="G408" t="inlineStr">
        <is>
          <t>Chris · COMIDA · VERDULERÍA · sin fecha día · REVISAR</t>
        </is>
      </c>
    </row>
    <row r="409">
      <c r="A409" t="inlineStr">
        <is>
          <t>Septiembre</t>
        </is>
      </c>
      <c r="B409" s="52" t="n">
        <v>46295</v>
      </c>
      <c r="C409" t="inlineStr">
        <is>
          <t>COMIDA · pollo</t>
        </is>
      </c>
      <c r="E409" t="n">
        <v>10140</v>
      </c>
      <c r="F409">
        <f>IF(OR(D409&lt;&gt;"",E409&lt;&gt;""),IF(D409="",0,D409)+IF(E409="",0,E409),"")</f>
        <v/>
      </c>
      <c r="G409" t="inlineStr">
        <is>
          <t>Chris · COMIDA · pollo · sin fecha día · REVISAR</t>
        </is>
      </c>
    </row>
    <row r="410">
      <c r="A410" t="inlineStr">
        <is>
          <t>Septiembre</t>
        </is>
      </c>
      <c r="F410">
        <f>IF(OR(D410&lt;&gt;"",E410&lt;&gt;""),IF(D410="",0,D410)+IF(E410="",0,E410),"")</f>
        <v/>
      </c>
    </row>
    <row r="411">
      <c r="A411" t="inlineStr">
        <is>
          <t>Septiembre</t>
        </is>
      </c>
      <c r="F411">
        <f>IF(OR(D411&lt;&gt;"",E411&lt;&gt;""),IF(D411="",0,D411)+IF(E411="",0,E411),"")</f>
        <v/>
      </c>
    </row>
    <row r="412">
      <c r="A412" t="inlineStr">
        <is>
          <t>Septiembre</t>
        </is>
      </c>
      <c r="F412">
        <f>IF(OR(D412&lt;&gt;"",E412&lt;&gt;""),IF(D412="",0,D412)+IF(E412="",0,E412),"")</f>
        <v/>
      </c>
    </row>
    <row r="413">
      <c r="A413" t="inlineStr">
        <is>
          <t>Septiembre</t>
        </is>
      </c>
      <c r="F413">
        <f>IF(OR(D413&lt;&gt;"",E413&lt;&gt;""),IF(D413="",0,D413)+IF(E413="",0,E413),"")</f>
        <v/>
      </c>
    </row>
    <row r="414">
      <c r="A414" t="inlineStr">
        <is>
          <t>Septiembre</t>
        </is>
      </c>
      <c r="F414">
        <f>IF(OR(D414&lt;&gt;"",E414&lt;&gt;""),IF(D414="",0,D414)+IF(E414="",0,E414),"")</f>
        <v/>
      </c>
    </row>
    <row r="415">
      <c r="A415" t="inlineStr">
        <is>
          <t>Septiembre</t>
        </is>
      </c>
      <c r="F415">
        <f>IF(OR(D415&lt;&gt;"",E415&lt;&gt;""),IF(D415="",0,D415)+IF(E415="",0,E415),"")</f>
        <v/>
      </c>
    </row>
    <row r="416">
      <c r="A416" t="inlineStr">
        <is>
          <t>Septiembre</t>
        </is>
      </c>
      <c r="F416">
        <f>IF(OR(D416&lt;&gt;"",E416&lt;&gt;""),IF(D416="",0,D416)+IF(E416="",0,E416),"")</f>
        <v/>
      </c>
    </row>
    <row r="417">
      <c r="A417" t="inlineStr">
        <is>
          <t>Septiembre</t>
        </is>
      </c>
      <c r="F417">
        <f>IF(OR(D417&lt;&gt;"",E417&lt;&gt;""),IF(D417="",0,D417)+IF(E417="",0,E417),"")</f>
        <v/>
      </c>
    </row>
    <row r="418">
      <c r="A418" t="inlineStr">
        <is>
          <t>Septiembre</t>
        </is>
      </c>
      <c r="F418">
        <f>IF(OR(D418&lt;&gt;"",E418&lt;&gt;""),IF(D418="",0,D418)+IF(E418="",0,E418),"")</f>
        <v/>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8">
      <c r="A428" s="14" t="inlineStr">
        <is>
          <t>Octubre</t>
        </is>
      </c>
      <c r="B428" s="17" t="n"/>
      <c r="C428" s="14" t="n"/>
      <c r="D428" s="27" t="n"/>
      <c r="E428" s="28" t="n"/>
      <c r="F428" s="15">
        <f>IF(OR(D382&lt;&gt;"",E382&lt;&gt;""),IF(D382="",0,D382)+IF(E382="",0,E382),"")</f>
        <v/>
      </c>
      <c r="G428" s="14" t="n"/>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Consorcio de Propietarios · Pagado · Gmail Sent 7-abr</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c r="B22" s="14" t="n"/>
      <c r="C22" s="14" t="n"/>
      <c r="D22" s="15" t="n"/>
      <c r="E22" s="14" t="n"/>
      <c r="F22" s="18" t="n"/>
      <c r="G22" s="18" t="n"/>
      <c r="H22" s="14" t="n"/>
      <c r="I22" s="14" t="n"/>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Mayo 2026 (pago Gmail Sent 10/06)</t>
        </is>
      </c>
      <c r="D31" s="15" t="n">
        <v>246150</v>
      </c>
      <c r="E31" s="14" t="inlineStr">
        <is>
          <t>Transferencia</t>
        </is>
      </c>
      <c r="F31" s="18" t="inlineStr"/>
      <c r="G31" s="18" t="inlineStr"/>
      <c r="H31" s="14" t="inlineStr">
        <is>
          <t>Período mayo · Consorcio De Propietarios · Pagado · Gmail Sent</t>
        </is>
      </c>
      <c r="I31" s="14" t="inlineStr">
        <is>
          <t>Mayo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Junio 2026 (pago Gmail Sent 09/07)</t>
        </is>
      </c>
      <c r="D34" s="15" t="n">
        <v>273500</v>
      </c>
      <c r="E34" s="14" t="inlineStr">
        <is>
          <t>Transferencia</t>
        </is>
      </c>
      <c r="F34" s="18" t="inlineStr"/>
      <c r="G34" s="18" t="inlineStr"/>
      <c r="H34" s="14" t="inlineStr">
        <is>
          <t>Período junio · Consorcio De Propietarios · Pagado · Gmail Sent</t>
        </is>
      </c>
      <c r="I34" s="14" t="inlineStr">
        <is>
          <t>Junio</t>
        </is>
      </c>
    </row>
    <row r="35">
      <c r="A35" s="17" t="n">
        <v>46235</v>
      </c>
      <c r="B35" s="14" t="inlineStr">
        <is>
          <t>Telecentro</t>
        </is>
      </c>
      <c r="C35" s="14" t="inlineStr">
        <is>
          <t>Telecentro CIUDAD — cobro Visa *3200 24/07/2026 (agosto)</t>
        </is>
      </c>
      <c r="D35" s="15" t="n">
        <v>31999</v>
      </c>
      <c r="E35" s="14" t="inlineStr">
        <is>
          <t>BBVA Visa *3200</t>
        </is>
      </c>
      <c r="F35" s="18" t="inlineStr">
        <is>
          <t>3491192</t>
        </is>
      </c>
      <c r="G35" s="18" t="inlineStr"/>
      <c r="H35" s="14" t="inlineStr">
        <is>
          <t>Aviso tarjeta Visa *3200 · ARS 31.999 · período agosto · reemplaza recurrente $50.000</t>
        </is>
      </c>
      <c r="I35" s="14" t="inlineStr">
        <is>
          <t>Agosto</t>
        </is>
      </c>
    </row>
    <row r="36">
      <c r="A36" s="17" t="n">
        <v>46266</v>
      </c>
      <c r="B36" s="14" t="inlineStr">
        <is>
          <t>Telecentro</t>
        </is>
      </c>
      <c r="C36" s="14" t="inlineStr">
        <is>
          <t>(duplicado) ver fila débito BBVA 25/09 — no sumar</t>
        </is>
      </c>
      <c r="D36" s="15" t="n"/>
      <c r="E36" s="14" t="inlineStr">
        <is>
          <t>Débito BBVA</t>
        </is>
      </c>
      <c r="F36" s="18" t="inlineStr"/>
      <c r="G36" s="18" t="inlineStr"/>
      <c r="H36" s="14" t="inlineStr">
        <is>
          <t>SUPERSEDE · Telecentro Sept está en Detalle débito 25/09 $69.659</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H76" t="inlineStr">
        <is>
          <t>Gmail Telecentro 10/2026 $69.659 + Compra aprobada; mes=cobro</t>
        </is>
      </c>
      <c r="I76" t="inlineStr">
        <is>
          <t>Septiembre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2" t="n">
        <v>46244</v>
      </c>
      <c r="B82" t="inlineStr">
        <is>
          <t>Expensas</t>
        </is>
      </c>
      <c r="C82" t="inlineStr">
        <is>
          <t>Expensas — Julio 2026 (pago Gmail Sent 10/08)</t>
        </is>
      </c>
      <c r="D82" t="n">
        <v>300850</v>
      </c>
      <c r="E82" t="inlineStr">
        <is>
          <t>Transferencia</t>
        </is>
      </c>
      <c r="H82" t="inlineStr">
        <is>
          <t>Período julio · De Filippo · UF 2 1-A · pagado 10/08 · Gmail Sent · op MP 173005218278</t>
        </is>
      </c>
      <c r="I82" t="inlineStr">
        <is>
          <t>Julio</t>
        </is>
      </c>
    </row>
    <row r="83">
      <c r="A83" s="52" t="n">
        <v>46252</v>
      </c>
      <c r="B83" t="inlineStr">
        <is>
          <t>Metrogas</t>
        </is>
      </c>
      <c r="C83" t="inlineStr">
        <is>
          <t>Metrogas CIUDAD · vence 18/08/2026 · emisión 05/08/2026 (débito automático; mes = vencimiento)</t>
        </is>
      </c>
      <c r="D83" t="n">
        <v>73187</v>
      </c>
      <c r="E83" t="inlineStr">
        <is>
          <t>Débito automático BBVA Visa</t>
        </is>
      </c>
      <c r="F83" t="inlineStr">
        <is>
          <t>30010996459</t>
        </is>
      </c>
      <c r="G83" t="inlineStr">
        <is>
          <t>40049923</t>
        </is>
      </c>
      <c r="H83" t="inlineStr">
        <is>
          <t>ceil desde $73.186,92 · período consumo 06/06–07/07/2026 · mes gasto = cobro/vencimiento</t>
        </is>
      </c>
    </row>
    <row r="84">
      <c r="A84" s="52" t="n">
        <v>46248</v>
      </c>
      <c r="B84" t="inlineStr">
        <is>
          <t>ABL</t>
        </is>
      </c>
      <c r="C84" t="inlineStr">
        <is>
          <t>Agip ABL GCBA · partida 397789 · CUOTA 08/2026</t>
        </is>
      </c>
      <c r="D84" t="n">
        <v>41344</v>
      </c>
      <c r="E84" t="inlineStr">
        <is>
          <t>Mercado Pago — Dinero disponible</t>
        </is>
      </c>
      <c r="H84" t="inlineStr">
        <is>
          <t>ceil desde $41.343,91 · 1° vto 14/08/2026 · CIUDAD 1132 · Sol paga MP</t>
        </is>
      </c>
    </row>
    <row r="85">
      <c r="A85" s="52" t="n">
        <v>46235</v>
      </c>
      <c r="B85" t="inlineStr">
        <is>
          <t>LIMPIEZA CASA</t>
        </is>
      </c>
      <c r="C85" t="inlineStr">
        <is>
          <t>LIMPIEZA CASA — Agosto 2026</t>
        </is>
      </c>
      <c r="D85" t="n">
        <v>567080</v>
      </c>
      <c r="E85" t="inlineStr">
        <is>
          <t>Mercado Pago — Dinero disponible</t>
        </is>
      </c>
      <c r="H85" t="inlineStr">
        <is>
          <t>Transferencia MP · Susana Carmen Ortiz consolidado (8/8 123240; 16/8 126240; 22/8 154800+3800; 29/8 150000+9000)</t>
        </is>
      </c>
    </row>
    <row r="86">
      <c r="A86" s="52" t="n">
        <v>46204</v>
      </c>
      <c r="B86" t="inlineStr">
        <is>
          <t>LIMPIEZA CASA</t>
        </is>
      </c>
      <c r="C86" t="inlineStr">
        <is>
          <t>LIMPIEZA CASA — Julio 2026</t>
        </is>
      </c>
      <c r="D86" t="n">
        <v>653120</v>
      </c>
      <c r="E86" t="inlineStr">
        <is>
          <t>Mercado Pago — Dinero disponible</t>
        </is>
      </c>
      <c r="H86" t="inlineStr">
        <is>
          <t>Transferencia MP · Susana Carmen Ortiz consolidado (5/7 9500+123240; 12/7 120240; 18/7 147660; 25/7 126240; 31/7 126240)</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3"/>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Patagonia CBU 0340116900116010765007 / CUIL 30714962473 · período julio 2026 (Gmail Sent 10/08 · op 173005218278)</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43"/>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ENVÍOS</t>
        </is>
      </c>
      <c r="D842" t="n">
        <v>24000</v>
      </c>
      <c r="E842" t="inlineStr">
        <is>
          <t>Mercado Pago</t>
        </is>
      </c>
      <c r="F842" t="inlineStr">
        <is>
          <t>ENVÍOS · Correo Oficial · gasto personal Sol · dinero en cuenta MP screenshot</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2026-10-12T18:35:43Z</dcterms:modified>
</cp:coreProperties>
</file>
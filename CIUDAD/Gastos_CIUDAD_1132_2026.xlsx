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Almacen Detalle" sheetId="2" state="visible" r:id="rId2"/>
    <sheet name="Detalle" sheetId="3" state="visible" r:id="rId3"/>
    <sheet name="Dinero Retirado" sheetId="4" state="visible" r:id="rId4"/>
    <sheet name="Inversión" sheetId="5" state="visible" r:id="rId5"/>
    <sheet name="Transferencias recibidas" sheetId="6" state="visible" r:id="rId6"/>
    <sheet name="Ingresos Sol" sheetId="7" state="visible" r:id="rId7"/>
    <sheet name="MELI" sheetId="8" state="visible" r:id="rId8"/>
    <sheet name="Pago de Tarjetas" sheetId="9" state="visible" r:id="rId9"/>
    <sheet name="Expensas Consorcios" sheetId="10" state="visible" r:id="rId10"/>
    <sheet name="Gasto Personal Sol" sheetId="11" state="visible" r:id="rId11"/>
  </sheets>
  <definedNames>
    <definedName name="_xlnm._FilterDatabase" localSheetId="2" hidden="1">'Detalle'!$A$3:$I$51</definedName>
    <definedName name="_xlnm._FilterDatabase" localSheetId="4" hidden="1">'Inversión'!$A$23:$J$223</definedName>
    <definedName name="_xlnm._FilterDatabase" localSheetId="7" hidden="1">'MELI'!$A$78:$P$86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DD/MM/YYYY"/>
    <numFmt numFmtId="166" formatCode="[$ARS] #,##0"/>
    <numFmt numFmtId="167" formatCode="[$ARS] #,##0.00"/>
  </numFmts>
  <fonts count="19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</font>
    <font>
      <name val="Calibri"/>
      <b val="1"/>
      <color rgb="00FFFFFF"/>
      <sz val="11"/>
    </font>
    <font>
      <name val="Calibri"/>
      <b val="1"/>
      <sz val="11"/>
    </font>
    <font>
      <i val="1"/>
      <color rgb="00C65911"/>
    </font>
    <font>
      <b val="1"/>
    </font>
    <font>
      <b val="1"/>
      <color rgb="00FFFFFF"/>
    </font>
    <font>
      <b val="1"/>
      <i val="1"/>
    </font>
    <font>
      <name val="Calibri"/>
      <color rgb="00666666"/>
      <sz val="10"/>
    </font>
    <font>
      <name val="Calibri"/>
      <b val="1"/>
      <color rgb="001F4E79"/>
      <sz val="12"/>
    </font>
    <font>
      <name val="Calibri"/>
      <b val="1"/>
      <color rgb="00FFFFFF"/>
    </font>
    <font>
      <name val="Calibri"/>
      <b val="1"/>
    </font>
    <font>
      <name val="Calibri"/>
      <b val="1"/>
      <sz val="14"/>
    </font>
    <font>
      <name val="Calibri"/>
      <i val="1"/>
      <color rgb="00666666"/>
      <sz val="10"/>
    </font>
    <font>
      <name val="Calibri"/>
      <sz val="11"/>
    </font>
    <font>
      <name val="Calibri"/>
      <b val="1"/>
      <color rgb="001F4E78"/>
      <sz val="15"/>
    </font>
    <font>
      <i val="1"/>
      <color rgb="00666666"/>
      <sz val="10"/>
    </font>
    <font>
      <b val="1"/>
      <color rgb="00FFFFFF"/>
      <sz val="11"/>
    </font>
  </fonts>
  <fills count="1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D6"/>
      </patternFill>
    </fill>
    <fill>
      <patternFill patternType="solid">
        <fgColor rgb="00D6EAF8"/>
      </patternFill>
    </fill>
    <fill>
      <patternFill patternType="solid">
        <fgColor rgb="00F5F8FB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D6E3F0"/>
      </patternFill>
    </fill>
    <fill>
      <patternFill patternType="solid">
        <fgColor rgb="00D9E2F3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E2F0D9"/>
      </patternFill>
    </fill>
    <fill>
      <patternFill patternType="solid">
        <fgColor rgb="00EAF2F8"/>
      </patternFill>
    </fill>
  </fills>
  <borders count="9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/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9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0" borderId="1" pivotButton="0" quotePrefix="0" xfId="0"/>
    <xf numFmtId="3" fontId="0" fillId="0" borderId="1" applyAlignment="1" pivotButton="0" quotePrefix="0" xfId="0">
      <alignment horizontal="right"/>
    </xf>
    <xf numFmtId="3" fontId="5" fillId="3" borderId="1" applyAlignment="1" pivotButton="0" quotePrefix="0" xfId="0">
      <alignment horizontal="center"/>
    </xf>
    <xf numFmtId="3" fontId="6" fillId="4" borderId="1" pivotButton="0" quotePrefix="0" xfId="0"/>
    <xf numFmtId="0" fontId="4" fillId="5" borderId="1" pivotButton="0" quotePrefix="0" xfId="0"/>
    <xf numFmtId="3" fontId="0" fillId="5" borderId="1" applyAlignment="1" pivotButton="0" quotePrefix="0" xfId="0">
      <alignment horizontal="right"/>
    </xf>
    <xf numFmtId="0" fontId="6" fillId="4" borderId="1" pivotButton="0" quotePrefix="0" xfId="0"/>
    <xf numFmtId="0" fontId="6" fillId="0" borderId="0" pivotButton="0" quotePrefix="0" xfId="0"/>
    <xf numFmtId="0" fontId="3" fillId="2" borderId="1" pivotButton="0" quotePrefix="0" xfId="0"/>
    <xf numFmtId="164" fontId="0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0" fontId="7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6" fillId="0" borderId="1" pivotButton="0" quotePrefix="0" xfId="0"/>
    <xf numFmtId="0" fontId="0" fillId="5" borderId="1" pivotButton="0" quotePrefix="0" xfId="0"/>
    <xf numFmtId="0" fontId="6" fillId="5" borderId="1" pivotButton="0" quotePrefix="0" xfId="0"/>
    <xf numFmtId="0" fontId="0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0" borderId="0" pivotButton="0" quotePrefix="0" xfId="0"/>
    <xf numFmtId="3" fontId="0" fillId="0" borderId="0" pivotButton="0" quotePrefix="0" xfId="0"/>
    <xf numFmtId="3" fontId="0" fillId="6" borderId="1" pivotButton="0" quotePrefix="0" xfId="0"/>
    <xf numFmtId="3" fontId="0" fillId="7" borderId="1" pivotButton="0" quotePrefix="0" xfId="0"/>
    <xf numFmtId="0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4" fillId="8" borderId="1" pivotButton="0" quotePrefix="0" xfId="0"/>
    <xf numFmtId="3" fontId="4" fillId="8" borderId="1" pivotButton="0" quotePrefix="0" xfId="0"/>
    <xf numFmtId="0" fontId="11" fillId="2" borderId="1" pivotButton="0" quotePrefix="0" xfId="0"/>
    <xf numFmtId="0" fontId="6" fillId="8" borderId="1" pivotButton="0" quotePrefix="0" xfId="0"/>
    <xf numFmtId="3" fontId="6" fillId="8" borderId="1" pivotButton="0" quotePrefix="0" xfId="0"/>
    <xf numFmtId="10" fontId="0" fillId="0" borderId="1" pivotButton="0" quotePrefix="0" xfId="0"/>
    <xf numFmtId="0" fontId="12" fillId="8" borderId="1" pivotButton="0" quotePrefix="0" xfId="0"/>
    <xf numFmtId="3" fontId="12" fillId="8" borderId="1" pivotButton="0" quotePrefix="0" xfId="0"/>
    <xf numFmtId="0" fontId="3" fillId="2" borderId="0" pivotButton="0" quotePrefix="0" xfId="0"/>
    <xf numFmtId="165" fontId="0" fillId="0" borderId="0" pivotButton="0" quotePrefix="0" xfId="0"/>
    <xf numFmtId="165" fontId="0" fillId="0" borderId="1" pivotButton="0" quotePrefix="0" xfId="0"/>
    <xf numFmtId="165" fontId="0" fillId="0" borderId="1" pivotButton="0" quotePrefix="0" xfId="0"/>
    <xf numFmtId="165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4" fillId="0" borderId="0" pivotButton="0" quotePrefix="0" xfId="0"/>
    <xf numFmtId="0" fontId="4" fillId="9" borderId="6" pivotButton="0" quotePrefix="0" xfId="0"/>
    <xf numFmtId="0" fontId="15" fillId="10" borderId="6" pivotButton="0" quotePrefix="0" xfId="0"/>
    <xf numFmtId="3" fontId="15" fillId="10" borderId="6" pivotButton="0" quotePrefix="0" xfId="0"/>
    <xf numFmtId="0" fontId="15" fillId="0" borderId="6" pivotButton="0" quotePrefix="0" xfId="0"/>
    <xf numFmtId="9" fontId="15" fillId="10" borderId="6" pivotButton="0" quotePrefix="0" xfId="0"/>
    <xf numFmtId="165" fontId="15" fillId="10" borderId="6" pivotButton="0" quotePrefix="0" xfId="0"/>
    <xf numFmtId="3" fontId="0" fillId="0" borderId="6" pivotButton="0" quotePrefix="0" xfId="0"/>
    <xf numFmtId="0" fontId="0" fillId="0" borderId="6" pivotButton="0" quotePrefix="0" xfId="0"/>
    <xf numFmtId="165" fontId="0" fillId="0" borderId="6" pivotButton="0" quotePrefix="0" xfId="0"/>
    <xf numFmtId="0" fontId="4" fillId="11" borderId="6" pivotButton="0" quotePrefix="0" xfId="0"/>
    <xf numFmtId="3" fontId="4" fillId="11" borderId="6" pivotButton="0" quotePrefix="0" xfId="0"/>
    <xf numFmtId="0" fontId="0" fillId="11" borderId="6" pivotButton="0" quotePrefix="0" xfId="0"/>
    <xf numFmtId="165" fontId="15" fillId="0" borderId="6" pivotButton="0" quotePrefix="0" xfId="0"/>
    <xf numFmtId="3" fontId="15" fillId="0" borderId="6" pivotButton="0" quotePrefix="0" xfId="0"/>
    <xf numFmtId="0" fontId="15" fillId="0" borderId="7" pivotButton="0" quotePrefix="0" xfId="0"/>
    <xf numFmtId="3" fontId="15" fillId="0" borderId="7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12" borderId="0" applyAlignment="1" pivotButton="0" quotePrefix="0" xfId="0">
      <alignment vertical="center"/>
    </xf>
    <xf numFmtId="0" fontId="0" fillId="12" borderId="0" pivotButton="0" quotePrefix="0" xfId="0"/>
    <xf numFmtId="0" fontId="0" fillId="11" borderId="8" pivotButton="0" quotePrefix="0" xfId="0"/>
    <xf numFmtId="166" fontId="0" fillId="11" borderId="8" pivotButton="0" quotePrefix="0" xfId="0"/>
    <xf numFmtId="1" fontId="0" fillId="11" borderId="8" pivotButton="0" quotePrefix="0" xfId="0"/>
    <xf numFmtId="10" fontId="0" fillId="11" borderId="8" pivotButton="0" quotePrefix="0" xfId="0"/>
    <xf numFmtId="165" fontId="0" fillId="11" borderId="8" pivotButton="0" quotePrefix="0" xfId="0"/>
    <xf numFmtId="0" fontId="0" fillId="13" borderId="8" pivotButton="0" quotePrefix="0" xfId="0"/>
    <xf numFmtId="166" fontId="0" fillId="13" borderId="8" pivotButton="0" quotePrefix="0" xfId="0"/>
    <xf numFmtId="0" fontId="0" fillId="14" borderId="8" pivotButton="0" quotePrefix="0" xfId="0"/>
    <xf numFmtId="166" fontId="0" fillId="14" borderId="8" pivotButton="0" quotePrefix="0" xfId="0"/>
    <xf numFmtId="0" fontId="0" fillId="3" borderId="8" pivotButton="0" quotePrefix="0" xfId="0"/>
    <xf numFmtId="166" fontId="0" fillId="3" borderId="8" pivotButton="0" quotePrefix="0" xfId="0"/>
    <xf numFmtId="10" fontId="0" fillId="13" borderId="8" pivotButton="0" quotePrefix="0" xfId="0"/>
    <xf numFmtId="0" fontId="7" fillId="12" borderId="8" pivotButton="0" quotePrefix="0" xfId="0"/>
    <xf numFmtId="166" fontId="0" fillId="0" borderId="8" pivotButton="0" quotePrefix="0" xfId="0"/>
    <xf numFmtId="10" fontId="0" fillId="0" borderId="8" pivotButton="0" quotePrefix="0" xfId="0"/>
    <xf numFmtId="0" fontId="0" fillId="0" borderId="0" applyAlignment="1" pivotButton="0" quotePrefix="0" xfId="0">
      <alignment vertical="top" wrapText="1"/>
    </xf>
    <xf numFmtId="0" fontId="18" fillId="12" borderId="0" pivotButton="0" quotePrefix="0" xfId="0"/>
    <xf numFmtId="0" fontId="7" fillId="12" borderId="8" applyAlignment="1" pivotButton="0" quotePrefix="0" xfId="0">
      <alignment wrapText="1"/>
    </xf>
    <xf numFmtId="0" fontId="0" fillId="0" borderId="8" pivotButton="0" quotePrefix="0" xfId="0"/>
    <xf numFmtId="165" fontId="0" fillId="0" borderId="8" pivotButton="0" quotePrefix="0" xfId="0"/>
    <xf numFmtId="167" fontId="0" fillId="0" borderId="8" pivotButton="0" quotePrefix="0" xfId="0"/>
    <xf numFmtId="167" fontId="0" fillId="13" borderId="8" pivotButton="0" quotePrefix="0" xfId="0"/>
    <xf numFmtId="0" fontId="6" fillId="11" borderId="8" pivotButton="0" quotePrefix="0" xfId="0"/>
    <xf numFmtId="167" fontId="6" fillId="11" borderId="8" pivotButton="0" quotePrefix="0" xfId="0"/>
    <xf numFmtId="167" fontId="0" fillId="11" borderId="8" pivotButton="0" quotePrefix="0" xfId="0"/>
    <xf numFmtId="167" fontId="0" fillId="0" borderId="8" pivotButton="0" quotePrefix="0" xfId="0"/>
    <xf numFmtId="167" fontId="0" fillId="13" borderId="8" pivotButton="0" quotePrefix="0" xfId="0"/>
    <xf numFmtId="167" fontId="6" fillId="11" borderId="8" pivotButton="0" quotePrefix="0" xfId="0"/>
    <xf numFmtId="167" fontId="0" fillId="11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Cursor</author>
  </authors>
  <commentList>
    <comment ref="B5" authorId="0" shapeId="0">
      <text>
        <t>El bruto vigente se toma de la hoja Ingresos Sol. Cambiar allí para mantener una única fuente.</t>
      </text>
    </comment>
    <comment ref="B43" authorId="0" shapeId="0">
      <text>
        <t>Estimación mensual = impuesto anual proyectado / 12. No replica la retención acumulativa real del empleador.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CIUDAD 1132</t>
        </is>
      </c>
    </row>
    <row r="2">
      <c r="A2" s="2" t="inlineStr">
        <is>
          <t>Gastos 2026 — catálogo de conceptos por mes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14" t="inlineStr">
        <is>
          <t>SERVICIOS</t>
        </is>
      </c>
      <c r="B5" s="14" t="inlineStr">
        <is>
          <t>EXPENSAS</t>
        </is>
      </c>
      <c r="C5" s="19" t="inlineStr">
        <is>
          <t>Expensas</t>
        </is>
      </c>
      <c r="D5" s="5" t="n">
        <v>273500</v>
      </c>
      <c r="E5" s="5" t="n">
        <v>218800</v>
      </c>
      <c r="F5" s="5" t="n">
        <v>218800</v>
      </c>
      <c r="G5" s="6" t="n">
        <v>235210</v>
      </c>
      <c r="H5" s="6" t="n">
        <v>246150</v>
      </c>
      <c r="I5" s="5" t="n">
        <v>273500</v>
      </c>
      <c r="J5" s="5" t="n"/>
      <c r="K5" s="5" t="n"/>
      <c r="L5" s="5" t="n"/>
      <c r="M5" s="5" t="n"/>
      <c r="N5" s="5" t="n"/>
      <c r="O5" s="5" t="n"/>
      <c r="P5" s="7">
        <f>SUM(D5:O5)</f>
        <v/>
      </c>
    </row>
    <row r="6">
      <c r="A6" s="20" t="inlineStr">
        <is>
          <t>SERVICIOS</t>
        </is>
      </c>
      <c r="B6" s="20" t="inlineStr">
        <is>
          <t>TV CABLE</t>
        </is>
      </c>
      <c r="C6" s="21" t="inlineStr">
        <is>
          <t>Telecentro — CIUDAD</t>
        </is>
      </c>
      <c r="D6" s="9" t="n">
        <v>37984</v>
      </c>
      <c r="E6" s="9" t="n">
        <v>38489</v>
      </c>
      <c r="F6" s="9" t="n">
        <v>39163</v>
      </c>
      <c r="G6" s="9" t="n">
        <v>50000</v>
      </c>
      <c r="H6" s="9" t="n">
        <v>50000</v>
      </c>
      <c r="I6" s="9" t="n">
        <v>50000</v>
      </c>
      <c r="J6" s="9" t="n">
        <v>50000</v>
      </c>
      <c r="K6" s="9" t="n">
        <v>50000</v>
      </c>
      <c r="L6" s="9" t="n">
        <v>50000</v>
      </c>
      <c r="M6" s="9" t="n">
        <v>50000</v>
      </c>
      <c r="N6" s="9" t="n">
        <v>50000</v>
      </c>
      <c r="O6" s="9" t="n">
        <v>50000</v>
      </c>
      <c r="P6" s="7">
        <f>SUM(D6:O6)</f>
        <v/>
      </c>
    </row>
    <row r="7">
      <c r="A7" s="14" t="inlineStr">
        <is>
          <t>SERVICIOS</t>
        </is>
      </c>
      <c r="B7" s="14" t="inlineStr">
        <is>
          <t>GAS</t>
        </is>
      </c>
      <c r="C7" s="19" t="inlineStr">
        <is>
          <t>Metrogas — cliente 30010996459</t>
        </is>
      </c>
      <c r="D7" s="5" t="n"/>
      <c r="E7" s="5" t="n">
        <v>37316</v>
      </c>
      <c r="F7" s="5" t="n">
        <v>37569</v>
      </c>
      <c r="G7" s="5" t="n">
        <v>36014</v>
      </c>
      <c r="H7" s="5" t="n">
        <v>30643</v>
      </c>
      <c r="I7" s="5" t="n">
        <v>73695</v>
      </c>
      <c r="J7" s="5" t="n"/>
      <c r="K7" s="5" t="n"/>
      <c r="L7" s="5" t="n"/>
      <c r="M7" s="5" t="n"/>
      <c r="N7" s="5" t="n"/>
      <c r="O7" s="5" t="n"/>
      <c r="P7" s="7">
        <f>SUM(D7:O7)</f>
        <v/>
      </c>
    </row>
    <row r="8">
      <c r="A8" s="20" t="inlineStr">
        <is>
          <t>SERVICIOS</t>
        </is>
      </c>
      <c r="B8" s="20" t="inlineStr">
        <is>
          <t>LUZ</t>
        </is>
      </c>
      <c r="C8" s="21" t="inlineStr">
        <is>
          <t>Luz Edenor — Sanes (cuenta 008917502309)</t>
        </is>
      </c>
      <c r="D8" s="9" t="n"/>
      <c r="E8" s="9" t="n"/>
      <c r="F8" s="9" t="n">
        <v>82994</v>
      </c>
      <c r="G8" s="9" t="n">
        <v>56700</v>
      </c>
      <c r="H8" s="9" t="n">
        <v>52012</v>
      </c>
      <c r="I8" s="9" t="n">
        <v>106212</v>
      </c>
      <c r="J8" s="9" t="n">
        <v>128877</v>
      </c>
      <c r="K8" s="9" t="n"/>
      <c r="L8" s="9" t="n"/>
      <c r="M8" s="9" t="n"/>
      <c r="N8" s="9" t="n"/>
      <c r="O8" s="9" t="n"/>
      <c r="P8" s="7">
        <f>SUM(D8:O8)</f>
        <v/>
      </c>
    </row>
    <row r="9">
      <c r="A9" s="14" t="inlineStr">
        <is>
          <t>SERVICIOS</t>
        </is>
      </c>
      <c r="B9" s="14" t="inlineStr">
        <is>
          <t>IMPUESTOS</t>
        </is>
      </c>
      <c r="C9" s="19" t="inlineStr">
        <is>
          <t>ABL — partida 397789</t>
        </is>
      </c>
      <c r="D9" s="5" t="n">
        <v>12435</v>
      </c>
      <c r="E9" s="5" t="n"/>
      <c r="F9" s="5" t="n"/>
      <c r="G9" s="5" t="n"/>
      <c r="H9" s="5" t="n">
        <v>132599</v>
      </c>
      <c r="I9" s="5" t="n"/>
      <c r="J9" s="5" t="n">
        <v>26175</v>
      </c>
      <c r="K9" s="5" t="n"/>
      <c r="L9" s="5" t="n"/>
      <c r="M9" s="5" t="n"/>
      <c r="N9" s="5" t="n"/>
      <c r="O9" s="5" t="n"/>
      <c r="P9" s="7">
        <f>SUM(D9:O9)</f>
        <v/>
      </c>
    </row>
    <row r="10">
      <c r="A10" s="20" t="inlineStr">
        <is>
          <t>SERVICIOS</t>
        </is>
      </c>
      <c r="B10" s="20" t="inlineStr">
        <is>
          <t>LIMPIEZA CASA</t>
        </is>
      </c>
      <c r="C10" s="21" t="inlineStr">
        <is>
          <t>Limpieza Susana</t>
        </is>
      </c>
      <c r="D10" s="9" t="n">
        <v>650122</v>
      </c>
      <c r="E10" s="9" t="n">
        <v>515550</v>
      </c>
      <c r="F10" s="9" t="n">
        <v>524479</v>
      </c>
      <c r="G10" s="9" t="n">
        <v>501015</v>
      </c>
      <c r="H10" s="9" t="n">
        <v>545533</v>
      </c>
      <c r="I10" s="9" t="n">
        <v>876981</v>
      </c>
      <c r="J10" s="9" t="n"/>
      <c r="K10" s="9" t="n"/>
      <c r="L10" s="9" t="n"/>
      <c r="M10" s="9" t="n"/>
      <c r="N10" s="9" t="n"/>
      <c r="O10" s="9" t="n"/>
      <c r="P10" s="7">
        <f>SUM(D10:O10)</f>
        <v/>
      </c>
    </row>
    <row r="11">
      <c r="A11" s="14" t="inlineStr">
        <is>
          <t>SERVICIOS</t>
        </is>
      </c>
      <c r="B11" s="14" t="inlineStr">
        <is>
          <t>CASA</t>
        </is>
      </c>
      <c r="C11" s="19" t="inlineStr">
        <is>
          <t>AGUS/PSA</t>
        </is>
      </c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7">
        <f>SUM(D11:O11)</f>
        <v/>
      </c>
    </row>
    <row r="12">
      <c r="A12" s="20" t="inlineStr">
        <is>
          <t>SERVICIOS</t>
        </is>
      </c>
      <c r="B12" s="20" t="inlineStr">
        <is>
          <t>TV CABLE</t>
        </is>
      </c>
      <c r="C12" s="21" t="inlineStr">
        <is>
          <t>Streaming</t>
        </is>
      </c>
      <c r="D12" s="9">
        <f>200000/12</f>
        <v/>
      </c>
      <c r="E12" s="9">
        <f>200000/12</f>
        <v/>
      </c>
      <c r="F12" s="9">
        <f>200000/12</f>
        <v/>
      </c>
      <c r="G12" s="9">
        <f>200000/12</f>
        <v/>
      </c>
      <c r="H12" s="9">
        <f>200000/12</f>
        <v/>
      </c>
      <c r="I12" s="9">
        <f>200000/12</f>
        <v/>
      </c>
      <c r="J12" s="9">
        <f>200000/12</f>
        <v/>
      </c>
      <c r="K12" s="9">
        <f>200000/12</f>
        <v/>
      </c>
      <c r="L12" s="9">
        <f>200000/12</f>
        <v/>
      </c>
      <c r="M12" s="9">
        <f>200000/12</f>
        <v/>
      </c>
      <c r="N12" s="9">
        <f>200000/12</f>
        <v/>
      </c>
      <c r="O12" s="9">
        <f>200000/12</f>
        <v/>
      </c>
      <c r="P12" s="7">
        <f>SUM(D12:O12)</f>
        <v/>
      </c>
    </row>
    <row r="13">
      <c r="A13" s="14" t="inlineStr">
        <is>
          <t>SERVICIOS</t>
        </is>
      </c>
      <c r="B13" s="14" t="inlineStr">
        <is>
          <t>ALMACEN</t>
        </is>
      </c>
      <c r="C13" s="19" t="inlineStr">
        <is>
          <t>ALMACEN SOL</t>
        </is>
      </c>
      <c r="D13" s="5">
        <f>'Almacen Detalle'!D44</f>
        <v/>
      </c>
      <c r="E13" s="5">
        <f>'Almacen Detalle'!D86</f>
        <v/>
      </c>
      <c r="F13" s="5">
        <f>'Almacen Detalle'!D128</f>
        <v/>
      </c>
      <c r="G13" s="5">
        <f>'Almacen Detalle'!D170</f>
        <v/>
      </c>
      <c r="H13" s="5">
        <f>'Almacen Detalle'!D212</f>
        <v/>
      </c>
      <c r="I13" s="5">
        <f>'Almacen Detalle'!D254</f>
        <v/>
      </c>
      <c r="J13" s="5">
        <f>'Almacen Detalle'!D296</f>
        <v/>
      </c>
      <c r="K13" s="5">
        <f>'Almacen Detalle'!D338</f>
        <v/>
      </c>
      <c r="L13" s="5">
        <f>'Almacen Detalle'!D380</f>
        <v/>
      </c>
      <c r="M13" s="5">
        <f>'Almacen Detalle'!D422</f>
        <v/>
      </c>
      <c r="N13" s="5">
        <f>'Almacen Detalle'!D464</f>
        <v/>
      </c>
      <c r="O13" s="5">
        <f>'Almacen Detalle'!D506</f>
        <v/>
      </c>
      <c r="P13" s="7">
        <f>SUM(D13:O13)</f>
        <v/>
      </c>
    </row>
    <row r="14">
      <c r="A14" s="20" t="inlineStr">
        <is>
          <t>SERVICIOS</t>
        </is>
      </c>
      <c r="B14" s="20" t="inlineStr">
        <is>
          <t>ALMACEN</t>
        </is>
      </c>
      <c r="C14" s="21" t="inlineStr">
        <is>
          <t>ALMACEN CHRIS</t>
        </is>
      </c>
      <c r="D14" s="9">
        <f>'Almacen Detalle'!E44</f>
        <v/>
      </c>
      <c r="E14" s="9">
        <f>'Almacen Detalle'!E86</f>
        <v/>
      </c>
      <c r="F14" s="9">
        <f>'Almacen Detalle'!E128</f>
        <v/>
      </c>
      <c r="G14" s="9">
        <f>'Almacen Detalle'!E170</f>
        <v/>
      </c>
      <c r="H14" s="9">
        <f>'Almacen Detalle'!E212</f>
        <v/>
      </c>
      <c r="I14" s="9">
        <f>'Almacen Detalle'!E254</f>
        <v/>
      </c>
      <c r="J14" s="9">
        <f>'Almacen Detalle'!E296</f>
        <v/>
      </c>
      <c r="K14" s="9">
        <f>'Almacen Detalle'!E338</f>
        <v/>
      </c>
      <c r="L14" s="9">
        <f>'Almacen Detalle'!E380</f>
        <v/>
      </c>
      <c r="M14" s="9">
        <f>'Almacen Detalle'!E422</f>
        <v/>
      </c>
      <c r="N14" s="9">
        <f>'Almacen Detalle'!E464</f>
        <v/>
      </c>
      <c r="O14" s="9">
        <f>'Almacen Detalle'!E506</f>
        <v/>
      </c>
      <c r="P14" s="7">
        <f>SUM(D14:O14)</f>
        <v/>
      </c>
    </row>
    <row r="15">
      <c r="A15" s="14" t="inlineStr">
        <is>
          <t>CASA</t>
        </is>
      </c>
      <c r="B15" s="14" t="inlineStr">
        <is>
          <t>REPUESTOS</t>
        </is>
      </c>
      <c r="C15" s="19" t="inlineStr">
        <is>
          <t>SODASTREAM</t>
        </is>
      </c>
      <c r="D15" s="5" t="n"/>
      <c r="E15" s="5" t="n">
        <v>53037</v>
      </c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7">
        <f>SUM(D15:O15)</f>
        <v/>
      </c>
    </row>
    <row r="16">
      <c r="A16" s="20" t="inlineStr">
        <is>
          <t>EXTRAS</t>
        </is>
      </c>
      <c r="B16" s="20" t="inlineStr">
        <is>
          <t>EXTRAS</t>
        </is>
      </c>
      <c r="C16" s="21" t="inlineStr">
        <is>
          <t>Extras Sol</t>
        </is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7">
        <f>SUM(D16:O16)</f>
        <v/>
      </c>
    </row>
    <row r="17">
      <c r="A17" s="14" t="inlineStr">
        <is>
          <t>EXTRAS</t>
        </is>
      </c>
      <c r="B17" s="14" t="inlineStr">
        <is>
          <t>EXTRAS</t>
        </is>
      </c>
      <c r="C17" s="19" t="inlineStr">
        <is>
          <t>Extras Chris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7">
        <f>SUM(D17:O17)</f>
        <v/>
      </c>
    </row>
    <row r="18">
      <c r="A18" t="inlineStr">
        <is>
          <t>SERVICIOS</t>
        </is>
      </c>
      <c r="B18" t="inlineStr">
        <is>
          <t>TRANSPORTE</t>
        </is>
      </c>
      <c r="C18" t="inlineStr">
        <is>
          <t>Cabify / Uber / Didi</t>
        </is>
      </c>
      <c r="D18" s="26" t="n">
        <v>45800</v>
      </c>
      <c r="E18" s="26" t="n">
        <v>115793</v>
      </c>
      <c r="F18" s="26" t="n">
        <v>107090</v>
      </c>
      <c r="G18" s="26" t="n">
        <v>172424</v>
      </c>
      <c r="H18" s="26" t="n">
        <v>122167</v>
      </c>
      <c r="I18" s="26" t="n">
        <v>38795</v>
      </c>
      <c r="J18" s="26" t="n">
        <v>55446</v>
      </c>
      <c r="P18" s="26">
        <f>SUM(D18:O18)</f>
        <v/>
      </c>
    </row>
    <row r="19">
      <c r="A19" t="inlineStr">
        <is>
          <t>CASA</t>
        </is>
      </c>
      <c r="B19" t="inlineStr">
        <is>
          <t>FARMACIA</t>
        </is>
      </c>
      <c r="C19" t="inlineStr">
        <is>
          <t>Farmacia</t>
        </is>
      </c>
      <c r="D19" s="26" t="n">
        <v>116500</v>
      </c>
      <c r="E19" s="26" t="n">
        <v>124100</v>
      </c>
      <c r="G19" s="26" t="n">
        <v>191500</v>
      </c>
      <c r="H19" s="26" t="n">
        <v>85034</v>
      </c>
      <c r="J19" s="26" t="n">
        <v>218500</v>
      </c>
      <c r="P19" s="26">
        <f>SUM(D19:O19)</f>
        <v/>
      </c>
    </row>
    <row r="20">
      <c r="A20" t="inlineStr">
        <is>
          <t>CASA</t>
        </is>
      </c>
      <c r="B20" t="inlineStr">
        <is>
          <t>AROMATIZANTES</t>
        </is>
      </c>
      <c r="C20" t="inlineStr">
        <is>
          <t>Saphirus — Aromatizantes</t>
        </is>
      </c>
      <c r="D20" s="26" t="n"/>
      <c r="E20" s="26" t="n"/>
      <c r="G20" s="26" t="n"/>
      <c r="H20" s="26" t="n"/>
      <c r="I20" t="n">
        <v>79900</v>
      </c>
      <c r="J20" s="26" t="n"/>
      <c r="P20" s="26">
        <f>SUM(D20:O20)</f>
        <v/>
      </c>
    </row>
    <row r="21">
      <c r="A21" t="inlineStr">
        <is>
          <t>CASA</t>
        </is>
      </c>
      <c r="B21" t="inlineStr">
        <is>
          <t>REPARACIONES Y REPUESTOS</t>
        </is>
      </c>
      <c r="C21" t="inlineStr">
        <is>
          <t>Reparaciones y repuestos — CIUDAD</t>
        </is>
      </c>
      <c r="D21" s="26" t="n"/>
      <c r="E21" s="26" t="n"/>
      <c r="G21" s="26" t="n">
        <v>150030</v>
      </c>
      <c r="H21" s="26" t="n"/>
      <c r="J21" s="26" t="n"/>
      <c r="P21" s="26">
        <f>SUM(D21:O21)</f>
        <v/>
      </c>
    </row>
    <row r="22">
      <c r="A22" s="10" t="inlineStr">
        <is>
          <t>TOTAL</t>
        </is>
      </c>
      <c r="B22" s="23" t="n"/>
      <c r="C22" s="24" t="n"/>
      <c r="D22" s="7">
        <f>SUM(D5:D21)</f>
        <v/>
      </c>
      <c r="E22" s="7">
        <f>SUM(E5:E21)</f>
        <v/>
      </c>
      <c r="F22" s="7">
        <f>SUM(F5:F21)</f>
        <v/>
      </c>
      <c r="G22" s="7">
        <f>SUM(G5:G21)</f>
        <v/>
      </c>
      <c r="H22" s="7">
        <f>SUM(H5:H21)</f>
        <v/>
      </c>
      <c r="I22" s="7">
        <f>SUM(I5:I21)</f>
        <v/>
      </c>
      <c r="J22" s="7">
        <f>SUM(J5:J21)</f>
        <v/>
      </c>
      <c r="K22" s="7">
        <f>SUM(K5:K21)</f>
        <v/>
      </c>
      <c r="L22" s="7">
        <f>SUM(L5:L21)</f>
        <v/>
      </c>
      <c r="M22" s="7">
        <f>SUM(M5:M21)</f>
        <v/>
      </c>
      <c r="N22" s="7">
        <f>SUM(N5:N21)</f>
        <v/>
      </c>
      <c r="O22" s="7">
        <f>SUM(O5:O21)</f>
        <v/>
      </c>
      <c r="P22" s="7">
        <f>SUM(P5:P21)</f>
        <v/>
      </c>
    </row>
    <row r="24">
      <c r="A24" s="11" t="inlineStr">
        <is>
          <t>Notas</t>
        </is>
      </c>
    </row>
    <row r="25">
      <c r="A25" t="inlineStr">
        <is>
          <t>• Catálogo fijo de conceptos CIUDAD 1132</t>
        </is>
      </c>
    </row>
    <row r="26">
      <c r="A26" t="inlineStr">
        <is>
          <t>• Telecentro: $50.000 mensuales hasta nuevo aviso</t>
        </is>
      </c>
    </row>
    <row r="27">
      <c r="A27" t="inlineStr">
        <is>
          <t>• Montos enteros, siempre redondeados hacia arriba</t>
        </is>
      </c>
    </row>
    <row r="28">
      <c r="A28" t="inlineStr">
        <is>
          <t>• Expensas: abr $235.210 (banco 7-abr → Consorcio De Propiet Patagonia); may/jun desde MP con período Gmail (pago jun=mayo, pago jul=junio). Julio período pendiente.</t>
        </is>
      </c>
    </row>
    <row r="29">
      <c r="A29" t="inlineStr">
        <is>
          <t>• En Detalle: Forma de pago, N° Cliente y N° Medidor cuando existan</t>
        </is>
      </c>
    </row>
    <row r="30">
      <c r="A30" t="inlineStr">
        <is>
          <t>• ALMACEN SOL / ALMACEN CHRIS: totales automáticos desde hoja "Almacen Detalle"</t>
        </is>
      </c>
    </row>
    <row r="31">
      <c r="A31" t="inlineStr">
        <is>
          <t>• TRANSPORTE: Cabify / Uber (Ebanx) / Didi — montos enteros ceil desde Mercado Pago</t>
        </is>
      </c>
    </row>
    <row r="32">
      <c r="A32" s="30" t="inlineStr">
        <is>
          <t>• Dinero retirado: hoja "Dinero Retirado" (no suma al TOTAL de gastos)</t>
        </is>
      </c>
    </row>
    <row r="33">
      <c r="A33" s="30" t="inlineStr">
        <is>
          <t>• FARMACIA: Farmacity / Farmacia Selma / Farmacia Maure — nombre de farmacia en comentario</t>
        </is>
      </c>
    </row>
    <row r="34">
      <c r="A34" s="30" t="inlineStr">
        <is>
          <t>• Personal (Pago directo): va a OHIGGINS → TV CABLE-INTERNET — no CIUDAD</t>
        </is>
      </c>
    </row>
    <row r="35">
      <c r="A35" s="30" t="inlineStr">
        <is>
          <t>• Inversión: hoja "Inversión" (bonos, plazos fijos y otros; no suma al TOTAL de gastos)</t>
        </is>
      </c>
    </row>
    <row r="36">
      <c r="A36" s="30" t="inlineStr">
        <is>
          <t>• Transferencias recibidas: hoja "Transferencias recibidas" (no suma al total de gastos)</t>
        </is>
      </c>
    </row>
    <row r="37">
      <c r="A37" s="30" t="inlineStr">
        <is>
          <t>• Expensas consorcios: hoja "Expensas Consorcios" (Consorcio De Propiet = CIUDAD; no ALMACEN SOL)</t>
        </is>
      </c>
    </row>
    <row r="38">
      <c r="A38" s="30" t="inlineStr">
        <is>
          <t>• Gasto personal Sol (Tuenti, Apple, ropa, ML, extras, transferencias a terceros): hoja "Gasto Personal Sol" (no suma al total CIUDAD)</t>
        </is>
      </c>
    </row>
    <row r="39">
      <c r="A39" t="inlineStr">
        <is>
          <t>• Pago de tarjetas: hoja "Pago de Tarjetas" (pago de resumen TC; no es gasto nuevo de la matriz)</t>
        </is>
      </c>
    </row>
    <row r="40">
      <c r="A40" t="inlineStr">
        <is>
          <t>• ALMACEN SOL: solo comida/súper/combustible en "Almacen Detalle". Resto personal → "Gasto Personal Sol"</t>
        </is>
      </c>
    </row>
    <row r="41">
      <c r="A41" t="inlineStr">
        <is>
          <t>• ABL CIUDAD: partida AGIP 397789 (OHIGGINS = 3016365 → otra carpeta)</t>
        </is>
      </c>
    </row>
    <row r="42">
      <c r="A42" t="inlineStr">
        <is>
          <t>• Edesur → BONORINO. Edenor: Sanes=CIUDAD; Ivilmar/Marta Chagas=OHIGGINS. Telecentro=CIUDAD.</t>
        </is>
      </c>
    </row>
    <row r="43">
      <c r="A43" t="inlineStr">
        <is>
          <t>• Ingresos Sol: básico anterior ARS 11.305.702; +12% desde 01/07 → ARS 12.662.387 (cobro 01/08). No suma al total de gastos.</t>
        </is>
      </c>
    </row>
    <row r="44">
      <c r="A44" t="inlineStr">
        <is>
          <t>• MELI: simulador + detalle real de recibos 2026 (sueldos, bono y SAC). No suma al total de gastos.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0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4" customWidth="1" min="4" max="4"/>
    <col width="14" customWidth="1" min="5" max="5"/>
    <col width="12" customWidth="1" min="6" max="6"/>
    <col width="40" customWidth="1" min="7" max="7"/>
  </cols>
  <sheetData>
    <row r="1">
      <c r="A1" s="1" t="inlineStr">
        <is>
          <t>CIUDAD 1132 — Almacén (detalle día a día)</t>
        </is>
      </c>
    </row>
    <row r="2">
      <c r="A2" s="2" t="inlineStr">
        <is>
          <t>Totales Sol/Chris alimentan ALMACEN SOL / ALMACEN CHRIS en hoja 2026. Comentario opcional.</t>
        </is>
      </c>
    </row>
    <row r="3">
      <c r="A3" s="3" t="inlineStr">
        <is>
          <t>Mes</t>
        </is>
      </c>
      <c r="B3" s="3" t="inlineStr">
        <is>
          <t>Fecha</t>
        </is>
      </c>
      <c r="C3" s="3" t="inlineStr">
        <is>
          <t>Detalle</t>
        </is>
      </c>
      <c r="D3" s="3" t="inlineStr">
        <is>
          <t>Importe Sol</t>
        </is>
      </c>
      <c r="E3" s="3" t="inlineStr">
        <is>
          <t>Importe Chris</t>
        </is>
      </c>
      <c r="F3" s="3" t="inlineStr">
        <is>
          <t>Total</t>
        </is>
      </c>
      <c r="G3" s="3" t="inlineStr">
        <is>
          <t>Comentario</t>
        </is>
      </c>
    </row>
    <row r="4">
      <c r="A4" s="14" t="inlineStr">
        <is>
          <t>Enero</t>
        </is>
      </c>
      <c r="B4" s="17" t="n">
        <v>46053</v>
      </c>
      <c r="C4" s="14" t="inlineStr">
        <is>
          <t>Combustible — Shell</t>
        </is>
      </c>
      <c r="D4" s="27" t="n">
        <v>985</v>
      </c>
      <c r="E4" s="28" t="n"/>
      <c r="F4" s="15">
        <f>IF(OR(D4&lt;&gt;"",E4&lt;&gt;""),IF(D4="",0,D4)+IF(E4="",0,E4),"")</f>
        <v/>
      </c>
      <c r="G4" s="14" t="inlineStr">
        <is>
          <t>MP · Shell</t>
        </is>
      </c>
    </row>
    <row r="5">
      <c r="A5" s="14" t="inlineStr">
        <is>
          <t>Enero</t>
        </is>
      </c>
      <c r="B5" s="17" t="n">
        <v>46053</v>
      </c>
      <c r="C5" s="14" t="inlineStr">
        <is>
          <t>Combustible — Shell (2)</t>
        </is>
      </c>
      <c r="D5" s="27" t="n">
        <v>831</v>
      </c>
      <c r="E5" s="28" t="n"/>
      <c r="F5" s="15">
        <f>IF(OR(D5&lt;&gt;"",E5&lt;&gt;""),IF(D5="",0,D5)+IF(E5="",0,E5),"")</f>
        <v/>
      </c>
      <c r="G5" s="14" t="inlineStr">
        <is>
          <t>MP · Shell</t>
        </is>
      </c>
    </row>
    <row r="6">
      <c r="A6" s="14" t="inlineStr">
        <is>
          <t>Enero</t>
        </is>
      </c>
      <c r="B6" s="17" t="n">
        <v>46051</v>
      </c>
      <c r="C6" s="14" t="inlineStr">
        <is>
          <t>Feed</t>
        </is>
      </c>
      <c r="D6" s="27" t="n">
        <v>2150</v>
      </c>
      <c r="E6" s="28" t="n"/>
      <c r="F6" s="15">
        <f>IF(OR(D6&lt;&gt;"",E6&lt;&gt;""),IF(D6="",0,D6)+IF(E6="",0,E6),"")</f>
        <v/>
      </c>
      <c r="G6" s="14" t="inlineStr">
        <is>
          <t>MP · comida</t>
        </is>
      </c>
    </row>
    <row r="7">
      <c r="A7" s="14" t="n"/>
      <c r="B7" s="17" t="n"/>
      <c r="C7" s="14" t="n"/>
      <c r="D7" s="27" t="n"/>
      <c r="E7" s="28" t="n"/>
      <c r="F7" s="15" t="n"/>
      <c r="G7" s="14" t="n"/>
    </row>
    <row r="8">
      <c r="A8" s="14" t="inlineStr">
        <is>
          <t>Enero</t>
        </is>
      </c>
      <c r="B8" s="17" t="n">
        <v>46049</v>
      </c>
      <c r="C8" s="14" t="inlineStr">
        <is>
          <t>PedidosYa Propina</t>
        </is>
      </c>
      <c r="D8" s="27" t="n">
        <v>750</v>
      </c>
      <c r="E8" s="28" t="n"/>
      <c r="F8" s="15">
        <f>IF(OR(D8&lt;&gt;"",E8&lt;&gt;""),IF(D8="",0,D8)+IF(E8="",0,E8),"")</f>
        <v/>
      </c>
      <c r="G8" s="14" t="inlineStr">
        <is>
          <t>PEDIDOS YA · SUPERMERCADO · propina</t>
        </is>
      </c>
    </row>
    <row r="9">
      <c r="A9" s="14" t="inlineStr">
        <is>
          <t>Enero</t>
        </is>
      </c>
      <c r="B9" s="17" t="n">
        <v>46049</v>
      </c>
      <c r="C9" s="14" t="inlineStr">
        <is>
          <t>PedidosYa Market</t>
        </is>
      </c>
      <c r="D9" s="27" t="n">
        <v>35404</v>
      </c>
      <c r="E9" s="28" t="n"/>
      <c r="F9" s="15">
        <f>IF(OR(D9&lt;&gt;"",E9&lt;&gt;""),IF(D9="",0,D9)+IF(E9="",0,E9),"")</f>
        <v/>
      </c>
      <c r="G9" s="14" t="inlineStr">
        <is>
          <t>PEDIDOS YA · SUPERMERCADO</t>
        </is>
      </c>
    </row>
    <row r="10">
      <c r="A10" s="14" t="n"/>
      <c r="B10" s="17" t="n"/>
      <c r="C10" s="14" t="n"/>
      <c r="D10" s="27" t="n"/>
      <c r="E10" s="28" t="n"/>
      <c r="F10" s="15" t="n"/>
      <c r="G10" s="14" t="n"/>
    </row>
    <row r="11">
      <c r="A11" s="14" t="inlineStr">
        <is>
          <t>Enero</t>
        </is>
      </c>
      <c r="B11" s="17" t="n">
        <v>46046</v>
      </c>
      <c r="C11" s="14" t="inlineStr">
        <is>
          <t>Oporto Almacen</t>
        </is>
      </c>
      <c r="D11" s="27" t="n">
        <v>37767</v>
      </c>
      <c r="E11" s="28" t="n"/>
      <c r="F11" s="15">
        <f>IF(OR(D11&lt;&gt;"",E11&lt;&gt;""),IF(D11="",0,D11)+IF(E11="",0,E11),"")</f>
        <v/>
      </c>
      <c r="G11" s="14" t="inlineStr">
        <is>
          <t>MP · almacén</t>
        </is>
      </c>
    </row>
    <row r="12">
      <c r="A12" s="14" t="inlineStr">
        <is>
          <t>Enero</t>
        </is>
      </c>
      <c r="B12" s="17" t="n">
        <v>46046</v>
      </c>
      <c r="C12" s="14" t="inlineStr">
        <is>
          <t>Bee Coffee</t>
        </is>
      </c>
      <c r="D12" s="27" t="n">
        <v>10500</v>
      </c>
      <c r="E12" s="28" t="n"/>
      <c r="F12" s="15">
        <f>IF(OR(D12&lt;&gt;"",E12&lt;&gt;""),IF(D12="",0,D12)+IF(E12="",0,E12),"")</f>
        <v/>
      </c>
      <c r="G12" s="14" t="inlineStr">
        <is>
          <t>MP · café</t>
        </is>
      </c>
    </row>
    <row r="13">
      <c r="A13" s="14" t="inlineStr">
        <is>
          <t>Enero</t>
        </is>
      </c>
      <c r="B13" s="17" t="n">
        <v>46044</v>
      </c>
      <c r="C13" s="14" t="inlineStr">
        <is>
          <t>Open 25</t>
        </is>
      </c>
      <c r="D13" s="27" t="n">
        <v>2100</v>
      </c>
      <c r="E13" s="28" t="n"/>
      <c r="F13" s="15">
        <f>IF(OR(D13&lt;&gt;"",E13&lt;&gt;""),IF(D13="",0,D13)+IF(E13="",0,E13),"")</f>
        <v/>
      </c>
      <c r="G13" s="14" t="inlineStr">
        <is>
          <t>MP · Open 25</t>
        </is>
      </c>
    </row>
    <row r="14">
      <c r="A14" s="14" t="n"/>
      <c r="B14" s="17" t="n"/>
      <c r="C14" s="14" t="n"/>
      <c r="D14" s="27" t="n"/>
      <c r="E14" s="28" t="n"/>
      <c r="F14" s="15" t="n"/>
      <c r="G14" s="14" t="n"/>
    </row>
    <row r="15">
      <c r="A15" s="14" t="n"/>
      <c r="B15" s="17" t="n"/>
      <c r="C15" s="14" t="n"/>
      <c r="D15" s="27" t="n"/>
      <c r="E15" s="28" t="n"/>
      <c r="F15" s="15" t="n"/>
      <c r="G15" s="14" t="n"/>
    </row>
    <row r="16">
      <c r="A16" s="14" t="n"/>
      <c r="B16" s="17" t="n"/>
      <c r="C16" s="14" t="n"/>
      <c r="D16" s="27" t="n"/>
      <c r="E16" s="28" t="n"/>
      <c r="F16" s="15" t="n"/>
      <c r="G16" s="14" t="n"/>
    </row>
    <row r="17">
      <c r="A17" s="14" t="inlineStr">
        <is>
          <t>Enero</t>
        </is>
      </c>
      <c r="B17" s="17" t="n">
        <v>46040</v>
      </c>
      <c r="C17" s="14" t="inlineStr">
        <is>
          <t>Carrefour</t>
        </is>
      </c>
      <c r="D17" s="27" t="n">
        <v>4089</v>
      </c>
      <c r="E17" s="28" t="n"/>
      <c r="F17" s="15">
        <f>IF(OR(D17&lt;&gt;"",E17&lt;&gt;""),IF(D17="",0,D17)+IF(E17="",0,E17),"")</f>
        <v/>
      </c>
      <c r="G17" s="14" t="inlineStr">
        <is>
          <t>SUPERMERCADO · Carrefour</t>
        </is>
      </c>
    </row>
    <row r="18">
      <c r="A18" s="14" t="n"/>
      <c r="B18" s="17" t="n"/>
      <c r="C18" s="14" t="n"/>
      <c r="D18" s="27" t="n"/>
      <c r="E18" s="28" t="n"/>
      <c r="F18" s="15" t="n"/>
      <c r="G18" s="14" t="n"/>
    </row>
    <row r="19">
      <c r="A19" s="14" t="inlineStr">
        <is>
          <t>Enero</t>
        </is>
      </c>
      <c r="B19" s="17" t="n">
        <v>46033</v>
      </c>
      <c r="C19" s="14" t="inlineStr">
        <is>
          <t>Havanna</t>
        </is>
      </c>
      <c r="D19" s="27" t="n">
        <v>22100</v>
      </c>
      <c r="E19" s="28" t="n"/>
      <c r="F19" s="15">
        <f>IF(OR(D19&lt;&gt;"",E19&lt;&gt;""),IF(D19="",0,D19)+IF(E19="",0,E19),"")</f>
        <v/>
      </c>
      <c r="G19" s="14" t="inlineStr">
        <is>
          <t>COMIDA · HAVANNA</t>
        </is>
      </c>
    </row>
    <row r="20">
      <c r="A20" s="14" t="inlineStr">
        <is>
          <t>Enero</t>
        </is>
      </c>
      <c r="B20" s="17" t="n">
        <v>46032</v>
      </c>
      <c r="C20" s="14" t="inlineStr">
        <is>
          <t>PedidosYa Propina</t>
        </is>
      </c>
      <c r="D20" s="27" t="n">
        <v>1000</v>
      </c>
      <c r="E20" s="28" t="n"/>
      <c r="F20" s="15">
        <f>IF(OR(D20&lt;&gt;"",E20&lt;&gt;""),IF(D20="",0,D20)+IF(E20="",0,E20),"")</f>
        <v/>
      </c>
      <c r="G20" s="14" t="inlineStr">
        <is>
          <t>PEDIDOS YA · COMIDA · propina</t>
        </is>
      </c>
    </row>
    <row r="21">
      <c r="A21" s="14" t="inlineStr">
        <is>
          <t>Enero</t>
        </is>
      </c>
      <c r="B21" s="17" t="n">
        <v>46032</v>
      </c>
      <c r="C21" s="14" t="inlineStr">
        <is>
          <t>PedidosYa (neto)</t>
        </is>
      </c>
      <c r="D21" s="27" t="n">
        <v>51455</v>
      </c>
      <c r="E21" s="28" t="n"/>
      <c r="F21" s="15">
        <f>IF(OR(D21&lt;&gt;"",E21&lt;&gt;""),IF(D21="",0,D21)+IF(E21="",0,E21),"")</f>
        <v/>
      </c>
      <c r="G21" s="14" t="inlineStr">
        <is>
          <t>PEDIDOS YA · COMIDA · neto</t>
        </is>
      </c>
    </row>
    <row r="22">
      <c r="A22" s="14" t="inlineStr">
        <is>
          <t>Enero</t>
        </is>
      </c>
      <c r="B22" s="17" t="n">
        <v>46030</v>
      </c>
      <c r="C22" s="14" t="inlineStr">
        <is>
          <t>PedidosYa Propina (8/1)</t>
        </is>
      </c>
      <c r="D22" s="27" t="n">
        <v>750</v>
      </c>
      <c r="E22" s="28" t="n"/>
      <c r="F22" s="15">
        <f>IF(OR(D22&lt;&gt;"",E22&lt;&gt;""),IF(D22="",0,D22)+IF(E22="",0,E22),"")</f>
        <v/>
      </c>
      <c r="G22" s="14" t="inlineStr">
        <is>
          <t>PEDIDOS YA · COMIDA · propina</t>
        </is>
      </c>
    </row>
    <row r="23">
      <c r="A23" s="14" t="n"/>
      <c r="B23" s="17" t="n"/>
      <c r="C23" s="14" t="n"/>
      <c r="D23" s="27" t="n"/>
      <c r="E23" s="28" t="n"/>
      <c r="F23" s="15" t="n"/>
      <c r="G23" s="14" t="n"/>
    </row>
    <row r="24">
      <c r="A24" s="14" t="n"/>
      <c r="B24" s="17" t="n"/>
      <c r="C24" s="14" t="n"/>
      <c r="D24" s="27" t="n"/>
      <c r="E24" s="28" t="n"/>
      <c r="F24" s="15" t="n"/>
      <c r="G24" s="14" t="n"/>
    </row>
    <row r="25">
      <c r="A25" s="14" t="inlineStr">
        <is>
          <t>Enero</t>
        </is>
      </c>
      <c r="B25" s="17" t="n">
        <v>46027</v>
      </c>
      <c r="C25" s="14" t="inlineStr">
        <is>
          <t>Combustible — Shell (5/1)</t>
        </is>
      </c>
      <c r="D25" s="27" t="n">
        <v>197</v>
      </c>
      <c r="E25" s="28" t="n"/>
      <c r="F25" s="15">
        <f>IF(OR(D25&lt;&gt;"",E25&lt;&gt;""),IF(D25="",0,D25)+IF(E25="",0,E25),"")</f>
        <v/>
      </c>
      <c r="G25" s="14" t="inlineStr">
        <is>
          <t>MP · Shell</t>
        </is>
      </c>
    </row>
    <row r="26">
      <c r="A26" s="14" t="inlineStr">
        <is>
          <t>Enero</t>
        </is>
      </c>
      <c r="B26" s="17" t="n">
        <v>46027</v>
      </c>
      <c r="C26" s="14" t="inlineStr">
        <is>
          <t>Combustible — Shell (5/1b)</t>
        </is>
      </c>
      <c r="D26" s="27" t="n">
        <v>46</v>
      </c>
      <c r="E26" s="28" t="n"/>
      <c r="F26" s="15">
        <f>IF(OR(D26&lt;&gt;"",E26&lt;&gt;""),IF(D26="",0,D26)+IF(E26="",0,E26),"")</f>
        <v/>
      </c>
      <c r="G26" s="14" t="inlineStr">
        <is>
          <t>MP · Shell</t>
        </is>
      </c>
    </row>
    <row r="27">
      <c r="A27" s="14" t="inlineStr">
        <is>
          <t>Enero</t>
        </is>
      </c>
      <c r="B27" s="17" t="n">
        <v>46027</v>
      </c>
      <c r="C27" s="14" t="inlineStr">
        <is>
          <t>Día Online</t>
        </is>
      </c>
      <c r="D27" s="27" t="n">
        <v>15092</v>
      </c>
      <c r="E27" s="28" t="n"/>
      <c r="F27" s="15">
        <f>IF(OR(D27&lt;&gt;"",E27&lt;&gt;""),IF(D27="",0,D27)+IF(E27="",0,E27),"")</f>
        <v/>
      </c>
      <c r="G27" s="14" t="inlineStr">
        <is>
          <t>SUPERMERCADO · Día</t>
        </is>
      </c>
    </row>
    <row r="28">
      <c r="A28" s="14" t="inlineStr">
        <is>
          <t>Enero</t>
        </is>
      </c>
      <c r="B28" s="17" t="n">
        <v>46025</v>
      </c>
      <c r="C28" s="14" t="inlineStr">
        <is>
          <t>Supermercados Día</t>
        </is>
      </c>
      <c r="D28" s="27" t="n">
        <v>3624</v>
      </c>
      <c r="E28" s="28" t="n"/>
      <c r="F28" s="15">
        <f>IF(OR(D28&lt;&gt;"",E28&lt;&gt;""),IF(D28="",0,D28)+IF(E28="",0,E28),"")</f>
        <v/>
      </c>
      <c r="G28" s="14" t="inlineStr">
        <is>
          <t>SUPERMERCADO · Día</t>
        </is>
      </c>
    </row>
    <row r="29">
      <c r="A29" s="14" t="inlineStr">
        <is>
          <t>Enero</t>
        </is>
      </c>
      <c r="B29" s="17" t="n">
        <v>46024</v>
      </c>
      <c r="C29" s="14" t="inlineStr">
        <is>
          <t>Supermercados Día (2/1)</t>
        </is>
      </c>
      <c r="D29" s="27" t="n">
        <v>17603</v>
      </c>
      <c r="E29" s="28" t="n"/>
      <c r="F29" s="15">
        <f>IF(OR(D29&lt;&gt;"",E29&lt;&gt;""),IF(D29="",0,D29)+IF(E29="",0,E29),"")</f>
        <v/>
      </c>
      <c r="G29" s="14" t="inlineStr">
        <is>
          <t>SUPERMERCADO · Día</t>
        </is>
      </c>
    </row>
    <row r="30">
      <c r="A30" s="14" t="inlineStr">
        <is>
          <t>Enero</t>
        </is>
      </c>
      <c r="B30" s="17" t="n">
        <v>46024</v>
      </c>
      <c r="C30" s="14" t="inlineStr">
        <is>
          <t>Carrefour (2/1)</t>
        </is>
      </c>
      <c r="D30" s="27" t="n">
        <v>8037</v>
      </c>
      <c r="E30" s="28" t="n"/>
      <c r="F30" s="15">
        <f>IF(OR(D30&lt;&gt;"",E30&lt;&gt;""),IF(D30="",0,D30)+IF(E30="",0,E30),"")</f>
        <v/>
      </c>
      <c r="G30" s="14" t="inlineStr">
        <is>
          <t>SUPERMERCADO · Carrefour</t>
        </is>
      </c>
    </row>
    <row r="31">
      <c r="A31" s="14" t="inlineStr">
        <is>
          <t>Enero</t>
        </is>
      </c>
      <c r="B31" s="17" t="n">
        <v>46024</v>
      </c>
      <c r="C31" s="14" t="inlineStr">
        <is>
          <t>Supermercados Día (2/1b)</t>
        </is>
      </c>
      <c r="D31" s="27" t="n">
        <v>4005</v>
      </c>
      <c r="E31" s="28" t="n"/>
      <c r="F31" s="15">
        <f>IF(OR(D31&lt;&gt;"",E31&lt;&gt;""),IF(D31="",0,D31)+IF(E31="",0,E31),"")</f>
        <v/>
      </c>
      <c r="G31" s="14" t="inlineStr">
        <is>
          <t>SUPERMERCADO · Día</t>
        </is>
      </c>
    </row>
    <row r="32">
      <c r="A32" s="14" t="inlineStr">
        <is>
          <t>Enero</t>
        </is>
      </c>
      <c r="B32" s="17" t="n">
        <v>46026</v>
      </c>
      <c r="C32" s="14" t="inlineStr">
        <is>
          <t>Verdulería (Noelia Caballero)</t>
        </is>
      </c>
      <c r="D32" s="27" t="n">
        <v>8180</v>
      </c>
      <c r="E32" s="28" t="n"/>
      <c r="F32" s="15">
        <f>IF(OR(D32&lt;&gt;"",E32&lt;&gt;""),IF(D32="",0,D32)+IF(E32="",0,E32),"")</f>
        <v/>
      </c>
      <c r="G32" s="14" t="inlineStr">
        <is>
          <t>COMIDA · VERDULERÍA</t>
        </is>
      </c>
    </row>
    <row r="33">
      <c r="A33" s="14" t="inlineStr">
        <is>
          <t>Enero</t>
        </is>
      </c>
      <c r="B33" s="17" t="n">
        <v>46032</v>
      </c>
      <c r="C33" s="14" t="inlineStr">
        <is>
          <t>Kalbby / Ramón</t>
        </is>
      </c>
      <c r="D33" s="27" t="n">
        <v>77748</v>
      </c>
      <c r="E33" s="28" t="n"/>
      <c r="F33" s="15">
        <f>IF(OR(D33&lt;&gt;"",E33&lt;&gt;""),IF(D33="",0,D33)+IF(E33="",0,E33),"")</f>
        <v/>
      </c>
      <c r="G33" s="14" t="inlineStr">
        <is>
          <t>COMIDA · RAMON</t>
        </is>
      </c>
    </row>
    <row r="34">
      <c r="A34" s="14" t="inlineStr">
        <is>
          <t>Enero</t>
        </is>
      </c>
      <c r="B34" s="17" t="n">
        <v>46030</v>
      </c>
      <c r="C34" s="14" t="inlineStr">
        <is>
          <t>Farmacia Selma (Selma Salvatori)</t>
        </is>
      </c>
      <c r="D34" s="27" t="n">
        <v>29546</v>
      </c>
      <c r="E34" s="28" t="n"/>
      <c r="F34" s="15">
        <f>IF(OR(D34&lt;&gt;"",E34&lt;&gt;""),IF(D34="",0,D34)+IF(E34="",0,E34),"")</f>
        <v/>
      </c>
      <c r="G34" s="14" t="inlineStr">
        <is>
          <t>FARMACIA · Farmacia Selma</t>
        </is>
      </c>
    </row>
    <row r="35">
      <c r="A35" s="14" t="inlineStr">
        <is>
          <t>Enero</t>
        </is>
      </c>
      <c r="B35" s="17" t="n"/>
      <c r="C35" s="14" t="n"/>
      <c r="D35" s="27" t="n"/>
      <c r="E35" s="28" t="n"/>
      <c r="F35" s="15">
        <f>IF(OR(D35&lt;&gt;"",E35&lt;&gt;""),IF(D35="",0,D35)+IF(E35="",0,E35),"")</f>
        <v/>
      </c>
      <c r="G35" s="14" t="n"/>
    </row>
    <row r="36">
      <c r="A36" s="14" t="inlineStr">
        <is>
          <t>Enero</t>
        </is>
      </c>
      <c r="B36" s="17" t="n"/>
      <c r="C36" s="14" t="n"/>
      <c r="D36" s="27" t="n"/>
      <c r="E36" s="28" t="n"/>
      <c r="F36" s="15">
        <f>IF(OR(D36&lt;&gt;"",E36&lt;&gt;""),IF(D36="",0,D36)+IF(E36="",0,E36),"")</f>
        <v/>
      </c>
      <c r="G36" s="14" t="n"/>
    </row>
    <row r="37">
      <c r="A37" s="14" t="inlineStr">
        <is>
          <t>Enero</t>
        </is>
      </c>
      <c r="B37" s="17" t="n"/>
      <c r="C37" s="14" t="n"/>
      <c r="D37" s="27" t="n"/>
      <c r="E37" s="28" t="n"/>
      <c r="F37" s="15">
        <f>IF(OR(D37&lt;&gt;"",E37&lt;&gt;""),IF(D37="",0,D37)+IF(E37="",0,E37),"")</f>
        <v/>
      </c>
      <c r="G37" s="14" t="n"/>
    </row>
    <row r="38">
      <c r="A38" s="14" t="inlineStr">
        <is>
          <t>Enero</t>
        </is>
      </c>
      <c r="B38" s="17" t="n"/>
      <c r="C38" s="14" t="n"/>
      <c r="D38" s="27" t="n"/>
      <c r="E38" s="28" t="n"/>
      <c r="F38" s="15">
        <f>IF(OR(D38&lt;&gt;"",E38&lt;&gt;""),IF(D38="",0,D38)+IF(E38="",0,E38),"")</f>
        <v/>
      </c>
      <c r="G38" s="14" t="n"/>
    </row>
    <row r="39">
      <c r="A39" s="14" t="inlineStr">
        <is>
          <t>Enero</t>
        </is>
      </c>
      <c r="B39" s="17" t="n"/>
      <c r="C39" s="14" t="n"/>
      <c r="D39" s="27" t="n"/>
      <c r="E39" s="28" t="n"/>
      <c r="F39" s="15">
        <f>IF(OR(D39&lt;&gt;"",E39&lt;&gt;""),IF(D39="",0,D39)+IF(E39="",0,E39),"")</f>
        <v/>
      </c>
      <c r="G39" s="14" t="n"/>
    </row>
    <row r="40">
      <c r="A40" s="14" t="inlineStr">
        <is>
          <t>Enero</t>
        </is>
      </c>
      <c r="B40" s="17" t="n"/>
      <c r="C40" s="14" t="n"/>
      <c r="D40" s="27" t="n"/>
      <c r="E40" s="28" t="n"/>
      <c r="F40" s="15">
        <f>IF(OR(D40&lt;&gt;"",E40&lt;&gt;""),IF(D40="",0,D40)+IF(E40="",0,E40),"")</f>
        <v/>
      </c>
      <c r="G40" s="14" t="n"/>
    </row>
    <row r="41">
      <c r="A41" s="14" t="inlineStr">
        <is>
          <t>Enero</t>
        </is>
      </c>
      <c r="B41" s="17" t="n"/>
      <c r="C41" s="14" t="n"/>
      <c r="D41" s="27" t="n"/>
      <c r="E41" s="28" t="n"/>
      <c r="F41" s="15">
        <f>IF(OR(D41&lt;&gt;"",E41&lt;&gt;""),IF(D41="",0,D41)+IF(E41="",0,E41),"")</f>
        <v/>
      </c>
      <c r="G41" s="14" t="n"/>
    </row>
    <row r="42">
      <c r="A42" s="14" t="inlineStr">
        <is>
          <t>Enero</t>
        </is>
      </c>
      <c r="B42" s="17" t="n"/>
      <c r="C42" s="14" t="n"/>
      <c r="D42" s="27" t="n"/>
      <c r="E42" s="28" t="n"/>
      <c r="F42" s="15">
        <f>IF(OR(D42&lt;&gt;"",E42&lt;&gt;""),IF(D42="",0,D42)+IF(E42="",0,E42),"")</f>
        <v/>
      </c>
      <c r="G42" s="14" t="n"/>
    </row>
    <row r="43">
      <c r="A43" s="14" t="inlineStr">
        <is>
          <t>Enero</t>
        </is>
      </c>
      <c r="B43" s="17" t="n"/>
      <c r="C43" s="14" t="n"/>
      <c r="D43" s="27" t="n"/>
      <c r="E43" s="28" t="n"/>
      <c r="F43" s="15">
        <f>IF(OR(D43&lt;&gt;"",E43&lt;&gt;""),IF(D43="",0,D43)+IF(E43="",0,E43),"")</f>
        <v/>
      </c>
      <c r="G43" s="14" t="n"/>
    </row>
    <row r="44">
      <c r="A44" s="10" t="inlineStr">
        <is>
          <t>TOTAL ENERO</t>
        </is>
      </c>
      <c r="B44" s="22" t="n"/>
      <c r="C44" s="29" t="inlineStr">
        <is>
          <t>Totales mes →</t>
        </is>
      </c>
      <c r="D44" s="7">
        <f>SUM(D4:D43)</f>
        <v/>
      </c>
      <c r="E44" s="7">
        <f>SUM(E4:E43)</f>
        <v/>
      </c>
      <c r="F44" s="7">
        <f>D44+E44</f>
        <v/>
      </c>
      <c r="G44" s="22" t="n"/>
    </row>
    <row r="46">
      <c r="A46" s="14" t="inlineStr">
        <is>
          <t>Febrero</t>
        </is>
      </c>
      <c r="B46" s="17" t="n">
        <v>46081</v>
      </c>
      <c r="C46" s="14" t="inlineStr">
        <is>
          <t>Combustible — Shell</t>
        </is>
      </c>
      <c r="D46" s="27" t="n">
        <v>61</v>
      </c>
      <c r="E46" s="28" t="n"/>
      <c r="F46" s="15">
        <f>IF(OR(D46&lt;&gt;"",E46&lt;&gt;""),IF(D46="",0,D46)+IF(E46="",0,E46),"")</f>
        <v/>
      </c>
      <c r="G46" s="14" t="inlineStr">
        <is>
          <t>MP · Shell</t>
        </is>
      </c>
    </row>
    <row r="47">
      <c r="A47" s="14" t="inlineStr">
        <is>
          <t>Febrero</t>
        </is>
      </c>
      <c r="B47" s="17" t="n">
        <v>46081</v>
      </c>
      <c r="C47" s="14" t="inlineStr">
        <is>
          <t>Combustible — Shell</t>
        </is>
      </c>
      <c r="D47" s="27" t="n">
        <v>418</v>
      </c>
      <c r="E47" s="28" t="n"/>
      <c r="F47" s="15">
        <f>IF(OR(D47&lt;&gt;"",E47&lt;&gt;""),IF(D47="",0,D47)+IF(E47="",0,E47),"")</f>
        <v/>
      </c>
      <c r="G47" s="14" t="inlineStr">
        <is>
          <t>MP · Shell</t>
        </is>
      </c>
    </row>
    <row r="48">
      <c r="A48" s="14" t="inlineStr">
        <is>
          <t>Febrero</t>
        </is>
      </c>
      <c r="B48" s="17" t="n">
        <v>46081</v>
      </c>
      <c r="C48" s="14" t="inlineStr">
        <is>
          <t>Combustible — Shell</t>
        </is>
      </c>
      <c r="D48" s="27" t="n">
        <v>788</v>
      </c>
      <c r="E48" s="28" t="n"/>
      <c r="F48" s="15">
        <f>IF(OR(D48&lt;&gt;"",E48&lt;&gt;""),IF(D48="",0,D48)+IF(E48="",0,E48),"")</f>
        <v/>
      </c>
      <c r="G48" s="14" t="inlineStr">
        <is>
          <t>MP · Shell</t>
        </is>
      </c>
    </row>
    <row r="49">
      <c r="A49" s="14" t="inlineStr">
        <is>
          <t>Febrero</t>
        </is>
      </c>
      <c r="B49" s="17" t="n">
        <v>46081</v>
      </c>
      <c r="C49" s="14" t="inlineStr">
        <is>
          <t>Combustible — Shell</t>
        </is>
      </c>
      <c r="D49" s="27" t="n">
        <v>605</v>
      </c>
      <c r="E49" s="28" t="n"/>
      <c r="F49" s="15">
        <f>IF(OR(D49&lt;&gt;"",E49&lt;&gt;""),IF(D49="",0,D49)+IF(E49="",0,E49),"")</f>
        <v/>
      </c>
      <c r="G49" s="14" t="inlineStr">
        <is>
          <t>MP · Shell</t>
        </is>
      </c>
    </row>
    <row r="50">
      <c r="A50" s="14" t="n"/>
      <c r="B50" s="17" t="n"/>
      <c r="C50" s="14" t="n"/>
      <c r="D50" s="27" t="n"/>
      <c r="E50" s="28" t="n"/>
      <c r="F50" s="15" t="n"/>
      <c r="G50" s="14" t="n"/>
    </row>
    <row r="51">
      <c r="A51" s="14" t="inlineStr">
        <is>
          <t>Febrero</t>
        </is>
      </c>
      <c r="B51" s="17" t="n">
        <v>46075</v>
      </c>
      <c r="C51" s="14" t="inlineStr">
        <is>
          <t>Havanna</t>
        </is>
      </c>
      <c r="D51" s="27" t="n">
        <v>9600</v>
      </c>
      <c r="E51" s="28" t="n"/>
      <c r="F51" s="15">
        <f>IF(OR(D51&lt;&gt;"",E51&lt;&gt;""),IF(D51="",0,D51)+IF(E51="",0,E51),"")</f>
        <v/>
      </c>
      <c r="G51" s="14" t="inlineStr">
        <is>
          <t>COMIDA · HAVANNA</t>
        </is>
      </c>
    </row>
    <row r="52">
      <c r="A52" s="14" t="inlineStr">
        <is>
          <t>Febrero</t>
        </is>
      </c>
      <c r="B52" s="17" t="n">
        <v>46073</v>
      </c>
      <c r="C52" s="14" t="inlineStr">
        <is>
          <t>Havanna (2)</t>
        </is>
      </c>
      <c r="D52" s="27" t="n">
        <v>9600</v>
      </c>
      <c r="E52" s="28" t="n"/>
      <c r="F52" s="15">
        <f>IF(OR(D52&lt;&gt;"",E52&lt;&gt;""),IF(D52="",0,D52)+IF(E52="",0,E52),"")</f>
        <v/>
      </c>
      <c r="G52" s="14" t="inlineStr">
        <is>
          <t>COMIDA · HAVANNA</t>
        </is>
      </c>
    </row>
    <row r="53">
      <c r="A53" s="14" t="inlineStr">
        <is>
          <t>Febrero</t>
        </is>
      </c>
      <c r="B53" s="17" t="n">
        <v>46071</v>
      </c>
      <c r="C53" s="14" t="inlineStr">
        <is>
          <t>Supermercados Día</t>
        </is>
      </c>
      <c r="D53" s="27" t="n">
        <v>37335</v>
      </c>
      <c r="E53" s="28" t="n"/>
      <c r="F53" s="15">
        <f>IF(OR(D53&lt;&gt;"",E53&lt;&gt;""),IF(D53="",0,D53)+IF(E53="",0,E53),"")</f>
        <v/>
      </c>
      <c r="G53" s="14" t="inlineStr">
        <is>
          <t>SUPERMERCADO · Día</t>
        </is>
      </c>
    </row>
    <row r="54">
      <c r="A54" s="14" t="n"/>
      <c r="B54" s="17" t="n"/>
      <c r="C54" s="14" t="n"/>
      <c r="D54" s="27" t="n"/>
      <c r="E54" s="28" t="n"/>
      <c r="F54" s="15" t="n"/>
      <c r="G54" s="14" t="n"/>
    </row>
    <row r="55">
      <c r="A55" s="14" t="inlineStr">
        <is>
          <t>Febrero</t>
        </is>
      </c>
      <c r="B55" s="17" t="n">
        <v>46067</v>
      </c>
      <c r="C55" s="14" t="inlineStr">
        <is>
          <t>Supermercados Día</t>
        </is>
      </c>
      <c r="D55" s="27" t="n">
        <v>5622</v>
      </c>
      <c r="E55" s="28" t="n"/>
      <c r="F55" s="15">
        <f>IF(OR(D55&lt;&gt;"",E55&lt;&gt;""),IF(D55="",0,D55)+IF(E55="",0,E55),"")</f>
        <v/>
      </c>
      <c r="G55" s="14" t="inlineStr">
        <is>
          <t>SUPERMERCADO · Día</t>
        </is>
      </c>
    </row>
    <row r="56">
      <c r="A56" s="14" t="inlineStr">
        <is>
          <t>Febrero</t>
        </is>
      </c>
      <c r="B56" s="17" t="n">
        <v>46063</v>
      </c>
      <c r="C56" s="14" t="inlineStr">
        <is>
          <t>Feed</t>
        </is>
      </c>
      <c r="D56" s="27" t="n">
        <v>645</v>
      </c>
      <c r="E56" s="28" t="n"/>
      <c r="F56" s="15">
        <f>IF(OR(D56&lt;&gt;"",E56&lt;&gt;""),IF(D56="",0,D56)+IF(E56="",0,E56),"")</f>
        <v/>
      </c>
      <c r="G56" s="14" t="inlineStr">
        <is>
          <t>MP · comida</t>
        </is>
      </c>
    </row>
    <row r="57">
      <c r="A57" s="14" t="n"/>
      <c r="B57" s="17" t="n"/>
      <c r="C57" s="14" t="n"/>
      <c r="D57" s="27" t="n"/>
      <c r="E57" s="28" t="n"/>
      <c r="F57" s="15" t="n"/>
      <c r="G57" s="14" t="n"/>
    </row>
    <row r="58">
      <c r="A58" s="14" t="n"/>
      <c r="B58" s="17" t="n"/>
      <c r="C58" s="14" t="n"/>
      <c r="D58" s="27" t="n"/>
      <c r="E58" s="28" t="n"/>
      <c r="F58" s="15" t="n"/>
      <c r="G58" s="14" t="n"/>
    </row>
    <row r="59">
      <c r="A59" s="14" t="inlineStr">
        <is>
          <t>Febrero</t>
        </is>
      </c>
      <c r="B59" s="17" t="n">
        <v>46061</v>
      </c>
      <c r="C59" s="14" t="inlineStr">
        <is>
          <t>Carrefour Ecommerce</t>
        </is>
      </c>
      <c r="D59" s="27" t="n">
        <v>21990</v>
      </c>
      <c r="E59" s="28" t="n"/>
      <c r="F59" s="15">
        <f>IF(OR(D59&lt;&gt;"",E59&lt;&gt;""),IF(D59="",0,D59)+IF(E59="",0,E59),"")</f>
        <v/>
      </c>
      <c r="G59" s="14" t="inlineStr">
        <is>
          <t>SUPERMERCADO · Carrefour</t>
        </is>
      </c>
    </row>
    <row r="60">
      <c r="A60" s="14" t="inlineStr">
        <is>
          <t>Febrero</t>
        </is>
      </c>
      <c r="B60" s="17" t="n">
        <v>46060</v>
      </c>
      <c r="C60" s="14" t="inlineStr">
        <is>
          <t>Open 25</t>
        </is>
      </c>
      <c r="D60" s="27" t="n">
        <v>1170</v>
      </c>
      <c r="E60" s="28" t="n"/>
      <c r="F60" s="15">
        <f>IF(OR(D60&lt;&gt;"",E60&lt;&gt;""),IF(D60="",0,D60)+IF(E60="",0,E60),"")</f>
        <v/>
      </c>
      <c r="G60" s="14" t="inlineStr">
        <is>
          <t>MP · Open 25</t>
        </is>
      </c>
    </row>
    <row r="61">
      <c r="A61" s="14" t="inlineStr">
        <is>
          <t>Febrero</t>
        </is>
      </c>
      <c r="B61" s="17" t="n">
        <v>46059</v>
      </c>
      <c r="C61" s="14" t="inlineStr">
        <is>
          <t>Carrefour Ecommerce (2)</t>
        </is>
      </c>
      <c r="D61" s="27" t="n">
        <v>22768</v>
      </c>
      <c r="E61" s="28" t="n"/>
      <c r="F61" s="15">
        <f>IF(OR(D61&lt;&gt;"",E61&lt;&gt;""),IF(D61="",0,D61)+IF(E61="",0,E61),"")</f>
        <v/>
      </c>
      <c r="G61" s="14" t="inlineStr">
        <is>
          <t>SUPERMERCADO · Carrefour</t>
        </is>
      </c>
    </row>
    <row r="62">
      <c r="A62" s="14" t="inlineStr">
        <is>
          <t>Febrero</t>
        </is>
      </c>
      <c r="B62" s="17" t="n">
        <v>46058</v>
      </c>
      <c r="C62" s="14" t="inlineStr">
        <is>
          <t>Feed (5/2)</t>
        </is>
      </c>
      <c r="D62" s="27" t="n">
        <v>645</v>
      </c>
      <c r="E62" s="28" t="n"/>
      <c r="F62" s="15">
        <f>IF(OR(D62&lt;&gt;"",E62&lt;&gt;""),IF(D62="",0,D62)+IF(E62="",0,E62),"")</f>
        <v/>
      </c>
      <c r="G62" s="14" t="inlineStr">
        <is>
          <t>MP · comida</t>
        </is>
      </c>
    </row>
    <row r="63">
      <c r="A63" s="14" t="n"/>
      <c r="B63" s="17" t="n"/>
      <c r="C63" s="14" t="n"/>
      <c r="D63" s="27" t="n"/>
      <c r="E63" s="28" t="n"/>
      <c r="F63" s="15" t="n"/>
      <c r="G63" s="14" t="n"/>
    </row>
    <row r="64">
      <c r="A64" s="14" t="inlineStr">
        <is>
          <t>Febrero</t>
        </is>
      </c>
      <c r="B64" s="17" t="n">
        <v>46056</v>
      </c>
      <c r="C64" s="14" t="inlineStr">
        <is>
          <t>Feed (3/2)</t>
        </is>
      </c>
      <c r="D64" s="27" t="n">
        <v>645</v>
      </c>
      <c r="E64" s="28" t="n"/>
      <c r="F64" s="15">
        <f>IF(OR(D64&lt;&gt;"",E64&lt;&gt;""),IF(D64="",0,D64)+IF(E64="",0,E64),"")</f>
        <v/>
      </c>
      <c r="G64" s="14" t="inlineStr">
        <is>
          <t>MP · comida</t>
        </is>
      </c>
    </row>
    <row r="65">
      <c r="A65" s="14" t="n"/>
      <c r="B65" s="17" t="n"/>
      <c r="C65" s="14" t="n"/>
      <c r="D65" s="27" t="n"/>
      <c r="E65" s="28" t="n"/>
      <c r="F65" s="15" t="n"/>
      <c r="G65" s="14" t="n"/>
    </row>
    <row r="66">
      <c r="A66" s="14" t="inlineStr">
        <is>
          <t>Febrero</t>
        </is>
      </c>
      <c r="B66" s="17" t="n">
        <v>46054</v>
      </c>
      <c r="C66" s="14" t="inlineStr">
        <is>
          <t>PedidosYa Propina</t>
        </is>
      </c>
      <c r="D66" s="27" t="n">
        <v>750</v>
      </c>
      <c r="E66" s="28" t="n"/>
      <c r="F66" s="15">
        <f>IF(OR(D66&lt;&gt;"",E66&lt;&gt;""),IF(D66="",0,D66)+IF(E66="",0,E66),"")</f>
        <v/>
      </c>
      <c r="G66" s="14" t="inlineStr">
        <is>
          <t>PEDIDOS YA · COMIDA · propina</t>
        </is>
      </c>
    </row>
    <row r="67">
      <c r="A67" s="14" t="inlineStr">
        <is>
          <t>Febrero</t>
        </is>
      </c>
      <c r="B67" s="17" t="n">
        <v>46054</v>
      </c>
      <c r="C67" s="14" t="inlineStr">
        <is>
          <t>PedidosYa</t>
        </is>
      </c>
      <c r="D67" s="27" t="n">
        <v>1499</v>
      </c>
      <c r="E67" s="28" t="n"/>
      <c r="F67" s="15">
        <f>IF(OR(D67&lt;&gt;"",E67&lt;&gt;""),IF(D67="",0,D67)+IF(E67="",0,E67),"")</f>
        <v/>
      </c>
      <c r="G67" s="14" t="inlineStr">
        <is>
          <t>PEDIDOS YA · COMIDA</t>
        </is>
      </c>
    </row>
    <row r="68">
      <c r="A68" s="14" t="inlineStr">
        <is>
          <t>Febrero</t>
        </is>
      </c>
      <c r="B68" s="17" t="n">
        <v>46054</v>
      </c>
      <c r="C68" s="14" t="inlineStr">
        <is>
          <t>PedidosYa Market</t>
        </is>
      </c>
      <c r="D68" s="27" t="n">
        <v>118132</v>
      </c>
      <c r="E68" s="28" t="n"/>
      <c r="F68" s="15">
        <f>IF(OR(D68&lt;&gt;"",E68&lt;&gt;""),IF(D68="",0,D68)+IF(E68="",0,E68),"")</f>
        <v/>
      </c>
      <c r="G68" s="14" t="inlineStr">
        <is>
          <t>PEDIDOS YA · SUPERMERCADO</t>
        </is>
      </c>
    </row>
    <row r="69">
      <c r="A69" s="14" t="inlineStr">
        <is>
          <t>Febrero</t>
        </is>
      </c>
      <c r="B69" s="17" t="n">
        <v>46065</v>
      </c>
      <c r="C69" s="14" t="inlineStr">
        <is>
          <t>Kalbby / Ramón</t>
        </is>
      </c>
      <c r="D69" s="27" t="n">
        <v>30336</v>
      </c>
      <c r="E69" s="28" t="n"/>
      <c r="F69" s="15">
        <f>IF(OR(D69&lt;&gt;"",E69&lt;&gt;""),IF(D69="",0,D69)+IF(E69="",0,E69),"")</f>
        <v/>
      </c>
      <c r="G69" s="14" t="inlineStr">
        <is>
          <t>COMIDA · RAMON</t>
        </is>
      </c>
    </row>
    <row r="70">
      <c r="A70" s="14" t="inlineStr">
        <is>
          <t>Febrero</t>
        </is>
      </c>
      <c r="B70" s="17" t="n"/>
      <c r="C70" s="14" t="n"/>
      <c r="D70" s="27" t="n"/>
      <c r="E70" s="28" t="n"/>
      <c r="F70" s="15">
        <f>IF(OR(D70&lt;&gt;"",E70&lt;&gt;""),IF(D70="",0,D70)+IF(E70="",0,E70),"")</f>
        <v/>
      </c>
      <c r="G70" s="14" t="n"/>
    </row>
    <row r="71">
      <c r="A71" s="14" t="inlineStr">
        <is>
          <t>Febrero</t>
        </is>
      </c>
      <c r="B71" s="17" t="n"/>
      <c r="C71" s="14" t="n"/>
      <c r="D71" s="27" t="n"/>
      <c r="E71" s="28" t="n"/>
      <c r="F71" s="15">
        <f>IF(OR(D71&lt;&gt;"",E71&lt;&gt;""),IF(D71="",0,D71)+IF(E71="",0,E71),"")</f>
        <v/>
      </c>
      <c r="G71" s="14" t="n"/>
    </row>
    <row r="72">
      <c r="A72" s="14" t="inlineStr">
        <is>
          <t>Febrero</t>
        </is>
      </c>
      <c r="B72" s="17" t="n"/>
      <c r="C72" s="14" t="n"/>
      <c r="D72" s="27" t="n"/>
      <c r="E72" s="28" t="n"/>
      <c r="F72" s="15">
        <f>IF(OR(D72&lt;&gt;"",E72&lt;&gt;""),IF(D72="",0,D72)+IF(E72="",0,E72),"")</f>
        <v/>
      </c>
      <c r="G72" s="14" t="n"/>
    </row>
    <row r="73">
      <c r="A73" s="14" t="inlineStr">
        <is>
          <t>Febrero</t>
        </is>
      </c>
      <c r="B73" s="17" t="n"/>
      <c r="C73" s="14" t="n"/>
      <c r="D73" s="27" t="n"/>
      <c r="E73" s="28" t="n"/>
      <c r="F73" s="15">
        <f>IF(OR(D73&lt;&gt;"",E73&lt;&gt;""),IF(D73="",0,D73)+IF(E73="",0,E73),"")</f>
        <v/>
      </c>
      <c r="G73" s="14" t="n"/>
    </row>
    <row r="74">
      <c r="A74" s="14" t="inlineStr">
        <is>
          <t>Febrero</t>
        </is>
      </c>
      <c r="B74" s="17" t="n"/>
      <c r="C74" s="14" t="n"/>
      <c r="D74" s="27" t="n"/>
      <c r="E74" s="28" t="n"/>
      <c r="F74" s="15">
        <f>IF(OR(D74&lt;&gt;"",E74&lt;&gt;""),IF(D74="",0,D74)+IF(E74="",0,E74),"")</f>
        <v/>
      </c>
      <c r="G74" s="14" t="n"/>
    </row>
    <row r="75">
      <c r="A75" s="14" t="inlineStr">
        <is>
          <t>Febrero</t>
        </is>
      </c>
      <c r="B75" s="17" t="n"/>
      <c r="C75" s="14" t="n"/>
      <c r="D75" s="27" t="n"/>
      <c r="E75" s="28" t="n"/>
      <c r="F75" s="15">
        <f>IF(OR(D75&lt;&gt;"",E75&lt;&gt;""),IF(D75="",0,D75)+IF(E75="",0,E75),"")</f>
        <v/>
      </c>
      <c r="G75" s="14" t="n"/>
    </row>
    <row r="76">
      <c r="A76" s="14" t="inlineStr">
        <is>
          <t>Febrero</t>
        </is>
      </c>
      <c r="B76" s="17" t="n"/>
      <c r="C76" s="14" t="n"/>
      <c r="D76" s="27" t="n"/>
      <c r="E76" s="28" t="n"/>
      <c r="F76" s="15">
        <f>IF(OR(D76&lt;&gt;"",E76&lt;&gt;""),IF(D76="",0,D76)+IF(E76="",0,E76),"")</f>
        <v/>
      </c>
      <c r="G76" s="14" t="n"/>
    </row>
    <row r="77">
      <c r="A77" s="14" t="inlineStr">
        <is>
          <t>Febrero</t>
        </is>
      </c>
      <c r="B77" s="17" t="n"/>
      <c r="C77" s="14" t="n"/>
      <c r="D77" s="27" t="n"/>
      <c r="E77" s="28" t="n"/>
      <c r="F77" s="15">
        <f>IF(OR(D77&lt;&gt;"",E77&lt;&gt;""),IF(D77="",0,D77)+IF(E77="",0,E77),"")</f>
        <v/>
      </c>
      <c r="G77" s="14" t="n"/>
    </row>
    <row r="78">
      <c r="A78" s="14" t="inlineStr">
        <is>
          <t>Febrero</t>
        </is>
      </c>
      <c r="B78" s="17" t="n"/>
      <c r="C78" s="14" t="n"/>
      <c r="D78" s="27" t="n"/>
      <c r="E78" s="28" t="n"/>
      <c r="F78" s="15">
        <f>IF(OR(D78&lt;&gt;"",E78&lt;&gt;""),IF(D78="",0,D78)+IF(E78="",0,E78),"")</f>
        <v/>
      </c>
      <c r="G78" s="14" t="n"/>
    </row>
    <row r="79">
      <c r="A79" s="14" t="inlineStr">
        <is>
          <t>Febrero</t>
        </is>
      </c>
      <c r="B79" s="17" t="n"/>
      <c r="C79" s="14" t="n"/>
      <c r="D79" s="27" t="n"/>
      <c r="E79" s="28" t="n"/>
      <c r="F79" s="15">
        <f>IF(OR(D79&lt;&gt;"",E79&lt;&gt;""),IF(D79="",0,D79)+IF(E79="",0,E79),"")</f>
        <v/>
      </c>
      <c r="G79" s="14" t="n"/>
    </row>
    <row r="80">
      <c r="A80" s="14" t="inlineStr">
        <is>
          <t>Febrero</t>
        </is>
      </c>
      <c r="B80" s="17" t="n"/>
      <c r="C80" s="14" t="n"/>
      <c r="D80" s="27" t="n"/>
      <c r="E80" s="28" t="n"/>
      <c r="F80" s="15">
        <f>IF(OR(D80&lt;&gt;"",E80&lt;&gt;""),IF(D80="",0,D80)+IF(E80="",0,E80),"")</f>
        <v/>
      </c>
      <c r="G80" s="14" t="n"/>
    </row>
    <row r="81">
      <c r="A81" s="14" t="inlineStr">
        <is>
          <t>Febrero</t>
        </is>
      </c>
      <c r="B81" s="17" t="n"/>
      <c r="C81" s="14" t="n"/>
      <c r="D81" s="27" t="n"/>
      <c r="E81" s="28" t="n"/>
      <c r="F81" s="15">
        <f>IF(OR(D81&lt;&gt;"",E81&lt;&gt;""),IF(D81="",0,D81)+IF(E81="",0,E81),"")</f>
        <v/>
      </c>
      <c r="G81" s="14" t="n"/>
    </row>
    <row r="82">
      <c r="A82" s="14" t="inlineStr">
        <is>
          <t>Febrero</t>
        </is>
      </c>
      <c r="B82" s="17" t="n"/>
      <c r="C82" s="14" t="n"/>
      <c r="D82" s="27" t="n"/>
      <c r="E82" s="28" t="n"/>
      <c r="F82" s="15">
        <f>IF(OR(D82&lt;&gt;"",E82&lt;&gt;""),IF(D82="",0,D82)+IF(E82="",0,E82),"")</f>
        <v/>
      </c>
      <c r="G82" s="14" t="n"/>
    </row>
    <row r="83">
      <c r="A83" s="14" t="inlineStr">
        <is>
          <t>Febrero</t>
        </is>
      </c>
      <c r="B83" s="17" t="n"/>
      <c r="C83" s="14" t="n"/>
      <c r="D83" s="27" t="n"/>
      <c r="E83" s="28" t="n"/>
      <c r="F83" s="15">
        <f>IF(OR(D83&lt;&gt;"",E83&lt;&gt;""),IF(D83="",0,D83)+IF(E83="",0,E83),"")</f>
        <v/>
      </c>
      <c r="G83" s="14" t="n"/>
    </row>
    <row r="84">
      <c r="A84" s="14" t="inlineStr">
        <is>
          <t>Febrero</t>
        </is>
      </c>
      <c r="B84" s="17" t="n"/>
      <c r="C84" s="14" t="n"/>
      <c r="D84" s="27" t="n"/>
      <c r="E84" s="28" t="n"/>
      <c r="F84" s="15">
        <f>IF(OR(D84&lt;&gt;"",E84&lt;&gt;""),IF(D84="",0,D84)+IF(E84="",0,E84),"")</f>
        <v/>
      </c>
      <c r="G84" s="14" t="n"/>
    </row>
    <row r="85">
      <c r="A85" s="14" t="inlineStr">
        <is>
          <t>Febrero</t>
        </is>
      </c>
      <c r="B85" s="17" t="n"/>
      <c r="C85" s="14" t="n"/>
      <c r="D85" s="27" t="n"/>
      <c r="E85" s="28" t="n"/>
      <c r="F85" s="15">
        <f>IF(OR(D85&lt;&gt;"",E85&lt;&gt;""),IF(D85="",0,D85)+IF(E85="",0,E85),"")</f>
        <v/>
      </c>
      <c r="G85" s="14" t="n"/>
    </row>
    <row r="86">
      <c r="A86" s="10" t="inlineStr">
        <is>
          <t>TOTAL FEBRERO</t>
        </is>
      </c>
      <c r="B86" s="22" t="n"/>
      <c r="C86" s="29" t="inlineStr">
        <is>
          <t>Totales mes →</t>
        </is>
      </c>
      <c r="D86" s="7">
        <f>SUM(D46:D85)</f>
        <v/>
      </c>
      <c r="E86" s="7">
        <f>SUM(E46:E85)</f>
        <v/>
      </c>
      <c r="F86" s="7">
        <f>D86+E86</f>
        <v/>
      </c>
      <c r="G86" s="22" t="n"/>
    </row>
    <row r="88">
      <c r="A88" s="14" t="inlineStr">
        <is>
          <t>Marzo</t>
        </is>
      </c>
      <c r="B88" s="17" t="n">
        <v>46112</v>
      </c>
      <c r="C88" s="14" t="inlineStr">
        <is>
          <t>Combustible — Shell</t>
        </is>
      </c>
      <c r="D88" s="27" t="n">
        <v>264</v>
      </c>
      <c r="E88" s="28" t="n"/>
      <c r="F88" s="15">
        <f>IF(OR(D88&lt;&gt;"",E88&lt;&gt;""),IF(D88="",0,D88)+IF(E88="",0,E88),"")</f>
        <v/>
      </c>
      <c r="G88" s="14" t="inlineStr">
        <is>
          <t>MP · combustible</t>
        </is>
      </c>
    </row>
    <row r="89">
      <c r="A89" s="14" t="inlineStr">
        <is>
          <t>Marzo</t>
        </is>
      </c>
      <c r="B89" s="17" t="n">
        <v>46112</v>
      </c>
      <c r="C89" s="14" t="inlineStr">
        <is>
          <t>Combustible — Shell</t>
        </is>
      </c>
      <c r="D89" s="27" t="n">
        <v>1118</v>
      </c>
      <c r="E89" s="28" t="n"/>
      <c r="F89" s="15">
        <f>IF(OR(D89&lt;&gt;"",E89&lt;&gt;""),IF(D89="",0,D89)+IF(E89="",0,E89),"")</f>
        <v/>
      </c>
      <c r="G89" s="14" t="inlineStr">
        <is>
          <t>MP · combustible</t>
        </is>
      </c>
    </row>
    <row r="90">
      <c r="A90" s="14" t="inlineStr">
        <is>
          <t>Marzo</t>
        </is>
      </c>
      <c r="B90" s="17" t="n">
        <v>46112</v>
      </c>
      <c r="C90" s="14" t="inlineStr">
        <is>
          <t>Combustible — Shell</t>
        </is>
      </c>
      <c r="D90" s="27" t="n">
        <v>653</v>
      </c>
      <c r="E90" s="28" t="n"/>
      <c r="F90" s="15">
        <f>IF(OR(D90&lt;&gt;"",E90&lt;&gt;""),IF(D90="",0,D90)+IF(E90="",0,E90),"")</f>
        <v/>
      </c>
      <c r="G90" s="14" t="inlineStr">
        <is>
          <t>MP · combustible</t>
        </is>
      </c>
    </row>
    <row r="91">
      <c r="A91" s="14" t="n"/>
      <c r="B91" s="17" t="n"/>
      <c r="C91" s="14" t="n"/>
      <c r="D91" s="27" t="n"/>
      <c r="E91" s="28" t="n"/>
      <c r="F91" s="15" t="n"/>
      <c r="G91" s="14" t="n"/>
    </row>
    <row r="92">
      <c r="A92" s="14" t="inlineStr">
        <is>
          <t>Marzo</t>
        </is>
      </c>
      <c r="B92" s="17" t="n">
        <v>46111</v>
      </c>
      <c r="C92" s="14" t="inlineStr">
        <is>
          <t>Combustible — Generacion 20</t>
        </is>
      </c>
      <c r="D92" s="27" t="n">
        <v>88999</v>
      </c>
      <c r="E92" s="28" t="n"/>
      <c r="F92" s="15">
        <f>IF(OR(D92&lt;&gt;"",E92&lt;&gt;""),IF(D92="",0,D92)+IF(E92="",0,E92),"")</f>
        <v/>
      </c>
      <c r="G92" s="14" t="inlineStr">
        <is>
          <t>MP · combustible</t>
        </is>
      </c>
    </row>
    <row r="93">
      <c r="A93" s="14" t="inlineStr">
        <is>
          <t>Marzo</t>
        </is>
      </c>
      <c r="B93" s="17" t="n">
        <v>46104</v>
      </c>
      <c r="C93" s="14" t="inlineStr">
        <is>
          <t>Supermercados Dia</t>
        </is>
      </c>
      <c r="D93" s="27" t="n">
        <v>47664</v>
      </c>
      <c r="E93" s="28" t="n"/>
      <c r="F93" s="15">
        <f>IF(OR(D93&lt;&gt;"",E93&lt;&gt;""),IF(D93="",0,D93)+IF(E93="",0,E93),"")</f>
        <v/>
      </c>
      <c r="G93" s="14" t="inlineStr">
        <is>
          <t>SUPERMERCADO · Día</t>
        </is>
      </c>
    </row>
    <row r="94">
      <c r="A94" s="14" t="inlineStr">
        <is>
          <t>Marzo</t>
        </is>
      </c>
      <c r="B94" s="17" t="n">
        <v>46103</v>
      </c>
      <c r="C94" s="14" t="inlineStr">
        <is>
          <t>Open 25</t>
        </is>
      </c>
      <c r="D94" s="27" t="n">
        <v>50000</v>
      </c>
      <c r="E94" s="28" t="n"/>
      <c r="F94" s="15">
        <f>IF(OR(D94&lt;&gt;"",E94&lt;&gt;""),IF(D94="",0,D94)+IF(E94="",0,E94),"")</f>
        <v/>
      </c>
      <c r="G94" s="14" t="inlineStr">
        <is>
          <t>MP · tienda</t>
        </is>
      </c>
    </row>
    <row r="95">
      <c r="A95" s="14" t="inlineStr">
        <is>
          <t>Marzo</t>
        </is>
      </c>
      <c r="B95" s="17" t="n">
        <v>46101</v>
      </c>
      <c r="C95" s="14" t="inlineStr">
        <is>
          <t>Burger King</t>
        </is>
      </c>
      <c r="D95" s="27" t="n">
        <v>22100</v>
      </c>
      <c r="E95" s="28" t="n"/>
      <c r="F95" s="15">
        <f>IF(OR(D95&lt;&gt;"",E95&lt;&gt;""),IF(D95="",0,D95)+IF(E95="",0,E95),"")</f>
        <v/>
      </c>
      <c r="G95" s="14" t="inlineStr">
        <is>
          <t>MP · comida</t>
        </is>
      </c>
    </row>
    <row r="96">
      <c r="A96" s="14" t="inlineStr">
        <is>
          <t>Marzo</t>
        </is>
      </c>
      <c r="B96" s="17" t="n">
        <v>46095</v>
      </c>
      <c r="C96" s="14" t="inlineStr">
        <is>
          <t>Galletotas</t>
        </is>
      </c>
      <c r="D96" s="27" t="n">
        <v>19500</v>
      </c>
      <c r="E96" s="28" t="n"/>
      <c r="F96" s="15">
        <f>IF(OR(D96&lt;&gt;"",E96&lt;&gt;""),IF(D96="",0,D96)+IF(E96="",0,E96),"")</f>
        <v/>
      </c>
      <c r="G96" s="14" t="inlineStr">
        <is>
          <t>MP · galletitas</t>
        </is>
      </c>
    </row>
    <row r="97">
      <c r="A97" s="14" t="inlineStr">
        <is>
          <t>Marzo</t>
        </is>
      </c>
      <c r="B97" s="17" t="n">
        <v>46095</v>
      </c>
      <c r="C97" s="14" t="inlineStr">
        <is>
          <t>Oporto Almacen</t>
        </is>
      </c>
      <c r="D97" s="27" t="n">
        <v>51920</v>
      </c>
      <c r="E97" s="28" t="n"/>
      <c r="F97" s="15">
        <f>IF(OR(D97&lt;&gt;"",E97&lt;&gt;""),IF(D97="",0,D97)+IF(E97="",0,E97),"")</f>
        <v/>
      </c>
      <c r="G97" s="14" t="inlineStr">
        <is>
          <t>MP · almacén</t>
        </is>
      </c>
    </row>
    <row r="98">
      <c r="A98" s="14" t="inlineStr">
        <is>
          <t>Marzo</t>
        </is>
      </c>
      <c r="B98" s="17" t="n">
        <v>46093</v>
      </c>
      <c r="C98" s="14" t="inlineStr">
        <is>
          <t>Súper Pollo</t>
        </is>
      </c>
      <c r="D98" s="27" t="n">
        <v>33619</v>
      </c>
      <c r="E98" s="28" t="n"/>
      <c r="F98" s="15">
        <f>IF(OR(D98&lt;&gt;"",E98&lt;&gt;""),IF(D98="",0,D98)+IF(E98="",0,E98),"")</f>
        <v/>
      </c>
      <c r="G98" s="14" t="inlineStr">
        <is>
          <t>MP · pollo</t>
        </is>
      </c>
    </row>
    <row r="99">
      <c r="A99" s="14" t="inlineStr">
        <is>
          <t>Marzo</t>
        </is>
      </c>
      <c r="B99" s="17" t="n">
        <v>46092</v>
      </c>
      <c r="C99" s="14" t="inlineStr">
        <is>
          <t>Bee Coffee</t>
        </is>
      </c>
      <c r="D99" s="27" t="n">
        <v>6100</v>
      </c>
      <c r="E99" s="28" t="n"/>
      <c r="F99" s="15">
        <f>IF(OR(D99&lt;&gt;"",E99&lt;&gt;""),IF(D99="",0,D99)+IF(E99="",0,E99),"")</f>
        <v/>
      </c>
      <c r="G99" s="14" t="inlineStr">
        <is>
          <t>MP · café</t>
        </is>
      </c>
    </row>
    <row r="100">
      <c r="A100" s="14" t="inlineStr">
        <is>
          <t>Marzo</t>
        </is>
      </c>
      <c r="B100" s="17" t="n">
        <v>46090</v>
      </c>
      <c r="C100" s="14" t="inlineStr">
        <is>
          <t>Todo Tartas</t>
        </is>
      </c>
      <c r="D100" s="27" t="n">
        <v>11000</v>
      </c>
      <c r="E100" s="28" t="n"/>
      <c r="F100" s="15">
        <f>IF(OR(D100&lt;&gt;"",E100&lt;&gt;""),IF(D100="",0,D100)+IF(E100="",0,E100),"")</f>
        <v/>
      </c>
      <c r="G100" s="14" t="inlineStr">
        <is>
          <t>MP · tartas</t>
        </is>
      </c>
    </row>
    <row r="101">
      <c r="A101" s="14" t="inlineStr">
        <is>
          <t>Marzo</t>
        </is>
      </c>
      <c r="B101" s="17" t="n">
        <v>46090</v>
      </c>
      <c r="C101" s="14" t="inlineStr">
        <is>
          <t>Kiosko Duendes (propina)</t>
        </is>
      </c>
      <c r="D101" s="27" t="n">
        <v>1930</v>
      </c>
      <c r="E101" s="28" t="n"/>
      <c r="F101" s="15">
        <f>IF(OR(D101&lt;&gt;"",E101&lt;&gt;""),IF(D101="",0,D101)+IF(E101="",0,E101),"")</f>
        <v/>
      </c>
      <c r="G101" s="14" t="inlineStr">
        <is>
          <t>MP · propina</t>
        </is>
      </c>
    </row>
    <row r="102">
      <c r="A102" s="14" t="inlineStr">
        <is>
          <t>Marzo</t>
        </is>
      </c>
      <c r="B102" s="17" t="n">
        <v>46090</v>
      </c>
      <c r="C102" s="14" t="inlineStr">
        <is>
          <t>El Patio De Los Duendes</t>
        </is>
      </c>
      <c r="D102" s="27" t="n">
        <v>17049</v>
      </c>
      <c r="E102" s="28" t="n"/>
      <c r="F102" s="15">
        <f>IF(OR(D102&lt;&gt;"",E102&lt;&gt;""),IF(D102="",0,D102)+IF(E102="",0,E102),"")</f>
        <v/>
      </c>
      <c r="G102" s="14" t="inlineStr">
        <is>
          <t>MP · comida</t>
        </is>
      </c>
    </row>
    <row r="103">
      <c r="A103" s="14" t="inlineStr">
        <is>
          <t>Marzo</t>
        </is>
      </c>
      <c r="B103" s="17" t="n">
        <v>46087</v>
      </c>
      <c r="C103" s="14" t="inlineStr">
        <is>
          <t>Coto</t>
        </is>
      </c>
      <c r="D103" s="27" t="n">
        <v>114263</v>
      </c>
      <c r="E103" s="28" t="n"/>
      <c r="F103" s="15">
        <f>IF(OR(D103&lt;&gt;"",E103&lt;&gt;""),IF(D103="",0,D103)+IF(E103="",0,E103),"")</f>
        <v/>
      </c>
      <c r="G103" s="14" t="inlineStr">
        <is>
          <t>SUPERMERCADO · Coto</t>
        </is>
      </c>
    </row>
    <row r="104">
      <c r="A104" s="14" t="inlineStr">
        <is>
          <t>Marzo</t>
        </is>
      </c>
      <c r="B104" s="17" t="n">
        <v>46086</v>
      </c>
      <c r="C104" s="14" t="inlineStr">
        <is>
          <t>Huevos Point</t>
        </is>
      </c>
      <c r="D104" s="27" t="n">
        <v>14500</v>
      </c>
      <c r="E104" s="28" t="n"/>
      <c r="F104" s="15">
        <f>IF(OR(D104&lt;&gt;"",E104&lt;&gt;""),IF(D104="",0,D104)+IF(E104="",0,E104),"")</f>
        <v/>
      </c>
      <c r="G104" s="14" t="inlineStr">
        <is>
          <t>MP · huevos</t>
        </is>
      </c>
    </row>
    <row r="105">
      <c r="A105" s="14" t="inlineStr">
        <is>
          <t>Marzo</t>
        </is>
      </c>
      <c r="B105" s="17" t="n">
        <v>46084</v>
      </c>
      <c r="C105" s="14" t="inlineStr">
        <is>
          <t>Le Pain Quotidien</t>
        </is>
      </c>
      <c r="D105" s="27" t="n">
        <v>1344</v>
      </c>
      <c r="E105" s="28" t="n"/>
      <c r="F105" s="15">
        <f>IF(OR(D105&lt;&gt;"",E105&lt;&gt;""),IF(D105="",0,D105)+IF(E105="",0,E105),"")</f>
        <v/>
      </c>
      <c r="G105" s="14" t="inlineStr">
        <is>
          <t>MP · panadería</t>
        </is>
      </c>
    </row>
    <row r="106">
      <c r="A106" s="14" t="inlineStr">
        <is>
          <t>Marzo</t>
        </is>
      </c>
      <c r="B106" s="17" t="n">
        <v>46090</v>
      </c>
      <c r="C106" s="14" t="inlineStr">
        <is>
          <t>Kalbby / Ramón</t>
        </is>
      </c>
      <c r="D106" s="27" t="n">
        <v>56250</v>
      </c>
      <c r="E106" s="28" t="n"/>
      <c r="F106" s="15">
        <f>IF(OR(D106&lt;&gt;"",E106&lt;&gt;""),IF(D106="",0,D106)+IF(E106="",0,E106),"")</f>
        <v/>
      </c>
      <c r="G106" s="14" t="inlineStr">
        <is>
          <t>COMIDA · RAMON</t>
        </is>
      </c>
    </row>
    <row r="107">
      <c r="A107" s="14" t="inlineStr">
        <is>
          <t>Marzo</t>
        </is>
      </c>
      <c r="B107" s="17" t="n"/>
      <c r="C107" s="14" t="n"/>
      <c r="D107" s="27" t="n"/>
      <c r="E107" s="28" t="n"/>
      <c r="F107" s="15">
        <f>IF(OR(D107&lt;&gt;"",E107&lt;&gt;""),IF(D107="",0,D107)+IF(E107="",0,E107),"")</f>
        <v/>
      </c>
      <c r="G107" s="14" t="n"/>
    </row>
    <row r="108">
      <c r="A108" s="14" t="inlineStr">
        <is>
          <t>Marzo</t>
        </is>
      </c>
      <c r="B108" s="17" t="n"/>
      <c r="C108" s="14" t="n"/>
      <c r="D108" s="27" t="n"/>
      <c r="E108" s="28" t="n"/>
      <c r="F108" s="15">
        <f>IF(OR(D108&lt;&gt;"",E108&lt;&gt;""),IF(D108="",0,D108)+IF(E108="",0,E108),"")</f>
        <v/>
      </c>
      <c r="G108" s="14" t="n"/>
    </row>
    <row r="109">
      <c r="A109" s="14" t="inlineStr">
        <is>
          <t>Marzo</t>
        </is>
      </c>
      <c r="B109" s="17" t="n"/>
      <c r="C109" s="14" t="n"/>
      <c r="D109" s="27" t="n"/>
      <c r="E109" s="28" t="n"/>
      <c r="F109" s="15">
        <f>IF(OR(D109&lt;&gt;"",E109&lt;&gt;""),IF(D109="",0,D109)+IF(E109="",0,E109),"")</f>
        <v/>
      </c>
      <c r="G109" s="14" t="n"/>
    </row>
    <row r="110">
      <c r="A110" s="14" t="inlineStr">
        <is>
          <t>Marzo</t>
        </is>
      </c>
      <c r="B110" s="17" t="n"/>
      <c r="C110" s="14" t="n"/>
      <c r="D110" s="27" t="n"/>
      <c r="E110" s="28" t="n"/>
      <c r="F110" s="15">
        <f>IF(OR(D110&lt;&gt;"",E110&lt;&gt;""),IF(D110="",0,D110)+IF(E110="",0,E110),"")</f>
        <v/>
      </c>
      <c r="G110" s="14" t="n"/>
    </row>
    <row r="111">
      <c r="A111" s="14" t="inlineStr">
        <is>
          <t>Marzo</t>
        </is>
      </c>
      <c r="B111" s="17" t="n"/>
      <c r="C111" s="14" t="n"/>
      <c r="D111" s="27" t="n"/>
      <c r="E111" s="28" t="n"/>
      <c r="F111" s="15">
        <f>IF(OR(D111&lt;&gt;"",E111&lt;&gt;""),IF(D111="",0,D111)+IF(E111="",0,E111),"")</f>
        <v/>
      </c>
      <c r="G111" s="14" t="n"/>
    </row>
    <row r="112">
      <c r="A112" s="14" t="inlineStr">
        <is>
          <t>Marzo</t>
        </is>
      </c>
      <c r="B112" s="17" t="n"/>
      <c r="C112" s="14" t="n"/>
      <c r="D112" s="27" t="n"/>
      <c r="E112" s="28" t="n"/>
      <c r="F112" s="15">
        <f>IF(OR(D112&lt;&gt;"",E112&lt;&gt;""),IF(D112="",0,D112)+IF(E112="",0,E112),"")</f>
        <v/>
      </c>
      <c r="G112" s="14" t="n"/>
    </row>
    <row r="113">
      <c r="A113" s="14" t="inlineStr">
        <is>
          <t>Marzo</t>
        </is>
      </c>
      <c r="B113" s="17" t="n"/>
      <c r="C113" s="14" t="n"/>
      <c r="D113" s="27" t="n"/>
      <c r="E113" s="28" t="n"/>
      <c r="F113" s="15">
        <f>IF(OR(D113&lt;&gt;"",E113&lt;&gt;""),IF(D113="",0,D113)+IF(E113="",0,E113),"")</f>
        <v/>
      </c>
      <c r="G113" s="14" t="n"/>
    </row>
    <row r="114">
      <c r="A114" s="14" t="inlineStr">
        <is>
          <t>Marzo</t>
        </is>
      </c>
      <c r="B114" s="17" t="n"/>
      <c r="C114" s="14" t="n"/>
      <c r="D114" s="27" t="n"/>
      <c r="E114" s="28" t="n"/>
      <c r="F114" s="15">
        <f>IF(OR(D114&lt;&gt;"",E114&lt;&gt;""),IF(D114="",0,D114)+IF(E114="",0,E114),"")</f>
        <v/>
      </c>
      <c r="G114" s="14" t="n"/>
    </row>
    <row r="115">
      <c r="A115" s="14" t="inlineStr">
        <is>
          <t>Marzo</t>
        </is>
      </c>
      <c r="B115" s="17" t="n"/>
      <c r="C115" s="14" t="n"/>
      <c r="D115" s="27" t="n"/>
      <c r="E115" s="28" t="n"/>
      <c r="F115" s="15">
        <f>IF(OR(D115&lt;&gt;"",E115&lt;&gt;""),IF(D115="",0,D115)+IF(E115="",0,E115),"")</f>
        <v/>
      </c>
      <c r="G115" s="14" t="n"/>
    </row>
    <row r="116">
      <c r="A116" s="14" t="inlineStr">
        <is>
          <t>Marzo</t>
        </is>
      </c>
      <c r="B116" s="17" t="n"/>
      <c r="C116" s="14" t="n"/>
      <c r="D116" s="27" t="n"/>
      <c r="E116" s="28" t="n"/>
      <c r="F116" s="15">
        <f>IF(OR(D116&lt;&gt;"",E116&lt;&gt;""),IF(D116="",0,D116)+IF(E116="",0,E116),"")</f>
        <v/>
      </c>
      <c r="G116" s="14" t="n"/>
    </row>
    <row r="117">
      <c r="A117" s="14" t="inlineStr">
        <is>
          <t>Marzo</t>
        </is>
      </c>
      <c r="B117" s="17" t="n"/>
      <c r="C117" s="14" t="n"/>
      <c r="D117" s="27" t="n"/>
      <c r="E117" s="28" t="n"/>
      <c r="F117" s="15">
        <f>IF(OR(D117&lt;&gt;"",E117&lt;&gt;""),IF(D117="",0,D117)+IF(E117="",0,E117),"")</f>
        <v/>
      </c>
      <c r="G117" s="14" t="n"/>
    </row>
    <row r="118">
      <c r="A118" s="14" t="inlineStr">
        <is>
          <t>Marzo</t>
        </is>
      </c>
      <c r="B118" s="17" t="n"/>
      <c r="C118" s="14" t="n"/>
      <c r="D118" s="27" t="n"/>
      <c r="E118" s="28" t="n"/>
      <c r="F118" s="15">
        <f>IF(OR(D118&lt;&gt;"",E118&lt;&gt;""),IF(D118="",0,D118)+IF(E118="",0,E118),"")</f>
        <v/>
      </c>
      <c r="G118" s="14" t="n"/>
    </row>
    <row r="119">
      <c r="A119" s="14" t="inlineStr">
        <is>
          <t>Marzo</t>
        </is>
      </c>
      <c r="B119" s="17" t="n"/>
      <c r="C119" s="14" t="n"/>
      <c r="D119" s="27" t="n"/>
      <c r="E119" s="28" t="n"/>
      <c r="F119" s="15">
        <f>IF(OR(D119&lt;&gt;"",E119&lt;&gt;""),IF(D119="",0,D119)+IF(E119="",0,E119),"")</f>
        <v/>
      </c>
      <c r="G119" s="14" t="n"/>
    </row>
    <row r="120">
      <c r="A120" s="14" t="inlineStr">
        <is>
          <t>Marzo</t>
        </is>
      </c>
      <c r="B120" s="17" t="n"/>
      <c r="C120" s="14" t="n"/>
      <c r="D120" s="27" t="n"/>
      <c r="E120" s="28" t="n"/>
      <c r="F120" s="15">
        <f>IF(OR(D120&lt;&gt;"",E120&lt;&gt;""),IF(D120="",0,D120)+IF(E120="",0,E120),"")</f>
        <v/>
      </c>
      <c r="G120" s="14" t="n"/>
    </row>
    <row r="121">
      <c r="A121" s="14" t="inlineStr">
        <is>
          <t>Marzo</t>
        </is>
      </c>
      <c r="B121" s="17" t="n"/>
      <c r="C121" s="14" t="n"/>
      <c r="D121" s="27" t="n"/>
      <c r="E121" s="28" t="n"/>
      <c r="F121" s="15">
        <f>IF(OR(D121&lt;&gt;"",E121&lt;&gt;""),IF(D121="",0,D121)+IF(E121="",0,E121),"")</f>
        <v/>
      </c>
      <c r="G121" s="14" t="n"/>
    </row>
    <row r="122">
      <c r="A122" s="14" t="inlineStr">
        <is>
          <t>Marzo</t>
        </is>
      </c>
      <c r="B122" s="17" t="n"/>
      <c r="C122" s="14" t="n"/>
      <c r="D122" s="27" t="n"/>
      <c r="E122" s="28" t="n"/>
      <c r="F122" s="15">
        <f>IF(OR(D122&lt;&gt;"",E122&lt;&gt;""),IF(D122="",0,D122)+IF(E122="",0,E122),"")</f>
        <v/>
      </c>
      <c r="G122" s="14" t="n"/>
    </row>
    <row r="123">
      <c r="A123" s="14" t="inlineStr">
        <is>
          <t>Marzo</t>
        </is>
      </c>
      <c r="B123" s="17" t="n"/>
      <c r="C123" s="14" t="n"/>
      <c r="D123" s="27" t="n"/>
      <c r="E123" s="28" t="n"/>
      <c r="F123" s="15">
        <f>IF(OR(D123&lt;&gt;"",E123&lt;&gt;""),IF(D123="",0,D123)+IF(E123="",0,E123),"")</f>
        <v/>
      </c>
      <c r="G123" s="14" t="n"/>
    </row>
    <row r="124">
      <c r="A124" s="14" t="inlineStr">
        <is>
          <t>Marzo</t>
        </is>
      </c>
      <c r="B124" s="17" t="n"/>
      <c r="C124" s="14" t="n"/>
      <c r="D124" s="27" t="n"/>
      <c r="E124" s="28" t="n"/>
      <c r="F124" s="15">
        <f>IF(OR(D124&lt;&gt;"",E124&lt;&gt;""),IF(D124="",0,D124)+IF(E124="",0,E124),"")</f>
        <v/>
      </c>
      <c r="G124" s="14" t="n"/>
    </row>
    <row r="125">
      <c r="A125" s="14" t="inlineStr">
        <is>
          <t>Marzo</t>
        </is>
      </c>
      <c r="B125" s="17" t="n"/>
      <c r="C125" s="14" t="n"/>
      <c r="D125" s="27" t="n"/>
      <c r="E125" s="28" t="n"/>
      <c r="F125" s="15">
        <f>IF(OR(D125&lt;&gt;"",E125&lt;&gt;""),IF(D125="",0,D125)+IF(E125="",0,E125),"")</f>
        <v/>
      </c>
      <c r="G125" s="14" t="n"/>
    </row>
    <row r="126">
      <c r="A126" s="14" t="inlineStr">
        <is>
          <t>Marzo</t>
        </is>
      </c>
      <c r="B126" s="17" t="n"/>
      <c r="C126" s="14" t="n"/>
      <c r="D126" s="27" t="n"/>
      <c r="E126" s="28" t="n"/>
      <c r="F126" s="15">
        <f>IF(OR(D126&lt;&gt;"",E126&lt;&gt;""),IF(D126="",0,D126)+IF(E126="",0,E126),"")</f>
        <v/>
      </c>
      <c r="G126" s="14" t="n"/>
    </row>
    <row r="127">
      <c r="A127" s="14" t="inlineStr">
        <is>
          <t>Marzo</t>
        </is>
      </c>
      <c r="B127" s="17" t="n"/>
      <c r="C127" s="14" t="n"/>
      <c r="D127" s="27" t="n"/>
      <c r="E127" s="28" t="n"/>
      <c r="F127" s="15">
        <f>IF(OR(D127&lt;&gt;"",E127&lt;&gt;""),IF(D127="",0,D127)+IF(E127="",0,E127),"")</f>
        <v/>
      </c>
      <c r="G127" s="14" t="n"/>
    </row>
    <row r="128">
      <c r="A128" s="10" t="inlineStr">
        <is>
          <t>TOTAL MARZO</t>
        </is>
      </c>
      <c r="B128" s="22" t="n"/>
      <c r="C128" s="29" t="inlineStr">
        <is>
          <t>Totales mes →</t>
        </is>
      </c>
      <c r="D128" s="7">
        <f>SUM(D88:D127)</f>
        <v/>
      </c>
      <c r="E128" s="7">
        <f>SUM(E88:E127)</f>
        <v/>
      </c>
      <c r="F128" s="7">
        <f>D128+E128</f>
        <v/>
      </c>
      <c r="G128" s="22" t="n"/>
    </row>
    <row r="130">
      <c r="A130" s="14" t="inlineStr">
        <is>
          <t>Abril</t>
        </is>
      </c>
      <c r="B130" s="17" t="n">
        <v>46142</v>
      </c>
      <c r="C130" s="14" t="inlineStr">
        <is>
          <t>Todo Tartas</t>
        </is>
      </c>
      <c r="D130" s="27" t="n">
        <v>30500</v>
      </c>
      <c r="E130" s="28" t="n"/>
      <c r="F130" s="15">
        <f>IF(OR(D130&lt;&gt;"",E130&lt;&gt;""),IF(D130="",0,D130)+IF(E130="",0,E130),"")</f>
        <v/>
      </c>
      <c r="G130" s="14" t="inlineStr">
        <is>
          <t>MP · panadería</t>
        </is>
      </c>
    </row>
    <row r="131">
      <c r="A131" s="14" t="inlineStr">
        <is>
          <t>Abril</t>
        </is>
      </c>
      <c r="B131" s="17" t="n">
        <v>46137</v>
      </c>
      <c r="C131" s="14" t="inlineStr">
        <is>
          <t>Todo Tartas</t>
        </is>
      </c>
      <c r="D131" s="27" t="n">
        <v>11400</v>
      </c>
      <c r="E131" s="28" t="n"/>
      <c r="F131" s="15">
        <f>IF(OR(D131&lt;&gt;"",E131&lt;&gt;""),IF(D131="",0,D131)+IF(E131="",0,E131),"")</f>
        <v/>
      </c>
      <c r="G131" s="14" t="inlineStr">
        <is>
          <t>MP · panadería</t>
        </is>
      </c>
    </row>
    <row r="132">
      <c r="A132" s="14" t="inlineStr">
        <is>
          <t>Abril</t>
        </is>
      </c>
      <c r="B132" s="17" t="n">
        <v>46136</v>
      </c>
      <c r="C132" s="14" t="inlineStr">
        <is>
          <t>Súper Pollo</t>
        </is>
      </c>
      <c r="D132" s="27" t="n">
        <v>16140</v>
      </c>
      <c r="E132" s="28" t="n"/>
      <c r="F132" s="15">
        <f>IF(OR(D132&lt;&gt;"",E132&lt;&gt;""),IF(D132="",0,D132)+IF(E132="",0,E132),"")</f>
        <v/>
      </c>
      <c r="G132" s="14" t="inlineStr">
        <is>
          <t>MP · pollo</t>
        </is>
      </c>
    </row>
    <row r="133">
      <c r="A133" s="14" t="inlineStr">
        <is>
          <t>Abril</t>
        </is>
      </c>
      <c r="B133" s="17" t="n">
        <v>46134</v>
      </c>
      <c r="C133" s="14" t="inlineStr">
        <is>
          <t>Green Eat</t>
        </is>
      </c>
      <c r="D133" s="27" t="n">
        <v>25000</v>
      </c>
      <c r="E133" s="28" t="n"/>
      <c r="F133" s="15">
        <f>IF(OR(D133&lt;&gt;"",E133&lt;&gt;""),IF(D133="",0,D133)+IF(E133="",0,E133),"")</f>
        <v/>
      </c>
      <c r="G133" s="14" t="inlineStr">
        <is>
          <t>MP · comida</t>
        </is>
      </c>
    </row>
    <row r="134">
      <c r="A134" s="14" t="inlineStr">
        <is>
          <t>Abril</t>
        </is>
      </c>
      <c r="B134" s="17" t="n">
        <v>46133</v>
      </c>
      <c r="C134" s="14" t="inlineStr">
        <is>
          <t>Huevos Point</t>
        </is>
      </c>
      <c r="D134" s="27" t="n">
        <v>14500</v>
      </c>
      <c r="E134" s="28" t="n"/>
      <c r="F134" s="15">
        <f>IF(OR(D134&lt;&gt;"",E134&lt;&gt;""),IF(D134="",0,D134)+IF(E134="",0,E134),"")</f>
        <v/>
      </c>
      <c r="G134" s="14" t="inlineStr">
        <is>
          <t>MP · huevos</t>
        </is>
      </c>
    </row>
    <row r="135">
      <c r="A135" s="14" t="n"/>
      <c r="B135" s="17" t="n"/>
      <c r="C135" s="14" t="n"/>
      <c r="D135" s="27" t="n"/>
      <c r="E135" s="28" t="n"/>
      <c r="F135" s="15" t="n"/>
      <c r="G135" s="14" t="n"/>
    </row>
    <row r="136">
      <c r="A136" s="14" t="inlineStr">
        <is>
          <t>Abril</t>
        </is>
      </c>
      <c r="B136" s="17" t="n">
        <v>46124</v>
      </c>
      <c r="C136" s="14" t="inlineStr">
        <is>
          <t>Nicky Cheese propina</t>
        </is>
      </c>
      <c r="D136" s="27" t="n">
        <v>1920</v>
      </c>
      <c r="E136" s="28" t="n"/>
      <c r="F136" s="15">
        <f>IF(OR(D136&lt;&gt;"",E136&lt;&gt;""),IF(D136="",0,D136)+IF(E136="",0,E136),"")</f>
        <v/>
      </c>
      <c r="G136" s="14" t="inlineStr">
        <is>
          <t>MP · quesos propina</t>
        </is>
      </c>
    </row>
    <row r="137">
      <c r="A137" s="14" t="inlineStr">
        <is>
          <t>Abril</t>
        </is>
      </c>
      <c r="B137" s="17" t="n">
        <v>46124</v>
      </c>
      <c r="C137" s="14" t="inlineStr">
        <is>
          <t>Nicky Cheese</t>
        </is>
      </c>
      <c r="D137" s="27" t="n">
        <v>19200</v>
      </c>
      <c r="E137" s="28" t="n"/>
      <c r="F137" s="15">
        <f>IF(OR(D137&lt;&gt;"",E137&lt;&gt;""),IF(D137="",0,D137)+IF(E137="",0,E137),"")</f>
        <v/>
      </c>
      <c r="G137" s="14" t="inlineStr">
        <is>
          <t>MP · quesos</t>
        </is>
      </c>
    </row>
    <row r="138">
      <c r="A138" s="14" t="inlineStr">
        <is>
          <t>Abril</t>
        </is>
      </c>
      <c r="B138" s="17" t="n">
        <v>46123</v>
      </c>
      <c r="C138" s="14" t="inlineStr">
        <is>
          <t>Vitalcer</t>
        </is>
      </c>
      <c r="D138" s="27" t="n">
        <v>34830</v>
      </c>
      <c r="E138" s="28" t="n"/>
      <c r="F138" s="15">
        <f>IF(OR(D138&lt;&gt;"",E138&lt;&gt;""),IF(D138="",0,D138)+IF(E138="",0,E138),"")</f>
        <v/>
      </c>
      <c r="G138" s="14" t="inlineStr">
        <is>
          <t>MP · dietética</t>
        </is>
      </c>
    </row>
    <row r="139">
      <c r="A139" s="14" t="inlineStr">
        <is>
          <t>Abril</t>
        </is>
      </c>
      <c r="B139" s="17" t="n">
        <v>46122</v>
      </c>
      <c r="C139" s="14" t="inlineStr">
        <is>
          <t>PedidosYa Propina</t>
        </is>
      </c>
      <c r="D139" s="27" t="n">
        <v>800</v>
      </c>
      <c r="E139" s="28" t="n"/>
      <c r="F139" s="15">
        <f>IF(OR(D139&lt;&gt;"",E139&lt;&gt;""),IF(D139="",0,D139)+IF(E139="",0,E139),"")</f>
        <v/>
      </c>
      <c r="G139" s="14" t="inlineStr">
        <is>
          <t>PEDIDOS YA · COMIDA · propina</t>
        </is>
      </c>
    </row>
    <row r="140">
      <c r="A140" s="14" t="inlineStr">
        <is>
          <t>Abril</t>
        </is>
      </c>
      <c r="B140" s="17" t="n">
        <v>46122</v>
      </c>
      <c r="C140" s="14" t="inlineStr">
        <is>
          <t>PedidosYa</t>
        </is>
      </c>
      <c r="D140" s="27" t="n">
        <v>2599</v>
      </c>
      <c r="E140" s="28" t="n"/>
      <c r="F140" s="15">
        <f>IF(OR(D140&lt;&gt;"",E140&lt;&gt;""),IF(D140="",0,D140)+IF(E140="",0,E140),"")</f>
        <v/>
      </c>
      <c r="G140" s="14" t="inlineStr">
        <is>
          <t>PEDIDOS YA · COMIDA</t>
        </is>
      </c>
    </row>
    <row r="141">
      <c r="A141" s="14" t="n"/>
      <c r="B141" s="17" t="n"/>
      <c r="C141" s="14" t="n"/>
      <c r="D141" s="27" t="n"/>
      <c r="E141" s="28" t="n"/>
      <c r="F141" s="15" t="n"/>
      <c r="G141" s="14" t="n"/>
    </row>
    <row r="142">
      <c r="A142" s="14" t="inlineStr">
        <is>
          <t>Abril</t>
        </is>
      </c>
      <c r="B142" s="17" t="n">
        <v>46118</v>
      </c>
      <c r="C142" s="14" t="inlineStr">
        <is>
          <t>Supermercados Dia</t>
        </is>
      </c>
      <c r="D142" s="27" t="n">
        <v>71961</v>
      </c>
      <c r="E142" s="28" t="n"/>
      <c r="F142" s="15">
        <f>IF(OR(D142&lt;&gt;"",E142&lt;&gt;""),IF(D142="",0,D142)+IF(E142="",0,E142),"")</f>
        <v/>
      </c>
      <c r="G142" s="14" t="inlineStr">
        <is>
          <t>SUPERMERCADO · Día</t>
        </is>
      </c>
    </row>
    <row r="143">
      <c r="A143" s="14" t="inlineStr">
        <is>
          <t>Abril</t>
        </is>
      </c>
      <c r="B143" s="17" t="n">
        <v>46115</v>
      </c>
      <c r="C143" s="14" t="inlineStr">
        <is>
          <t>Supermercados Dia</t>
        </is>
      </c>
      <c r="D143" s="27" t="n">
        <v>27350</v>
      </c>
      <c r="E143" s="28" t="n"/>
      <c r="F143" s="15">
        <f>IF(OR(D143&lt;&gt;"",E143&lt;&gt;""),IF(D143="",0,D143)+IF(E143="",0,E143),"")</f>
        <v/>
      </c>
      <c r="G143" s="14" t="inlineStr">
        <is>
          <t>SUPERMERCADO · Día</t>
        </is>
      </c>
    </row>
    <row r="144">
      <c r="A144" s="14" t="inlineStr">
        <is>
          <t>Abril</t>
        </is>
      </c>
      <c r="B144" s="17" t="n">
        <v>46115</v>
      </c>
      <c r="C144" s="14" t="inlineStr">
        <is>
          <t>Coto</t>
        </is>
      </c>
      <c r="D144" s="27" t="n">
        <v>149320</v>
      </c>
      <c r="E144" s="28" t="n"/>
      <c r="F144" s="15">
        <f>IF(OR(D144&lt;&gt;"",E144&lt;&gt;""),IF(D144="",0,D144)+IF(E144="",0,E144),"")</f>
        <v/>
      </c>
      <c r="G144" s="14" t="inlineStr">
        <is>
          <t>SUPERMERCADO · Coto</t>
        </is>
      </c>
    </row>
    <row r="145">
      <c r="A145" s="14" t="inlineStr">
        <is>
          <t>Abril</t>
        </is>
      </c>
      <c r="B145" s="17" t="n">
        <v>46114</v>
      </c>
      <c r="C145" s="14" t="inlineStr">
        <is>
          <t>PedidosYa Propina</t>
        </is>
      </c>
      <c r="D145" s="27" t="n">
        <v>2000</v>
      </c>
      <c r="E145" s="28" t="n"/>
      <c r="F145" s="15">
        <f>IF(OR(D145&lt;&gt;"",E145&lt;&gt;""),IF(D145="",0,D145)+IF(E145="",0,E145),"")</f>
        <v/>
      </c>
      <c r="G145" s="14" t="inlineStr">
        <is>
          <t>PEDIDOS YA · COMIDA · propina</t>
        </is>
      </c>
    </row>
    <row r="146">
      <c r="A146" s="14" t="inlineStr">
        <is>
          <t>Abril</t>
        </is>
      </c>
      <c r="B146" s="17" t="n">
        <v>46114</v>
      </c>
      <c r="C146" s="14" t="inlineStr">
        <is>
          <t>Pedidosya Empanada</t>
        </is>
      </c>
      <c r="D146" s="27" t="n">
        <v>36519</v>
      </c>
      <c r="E146" s="28" t="n"/>
      <c r="F146" s="15">
        <f>IF(OR(D146&lt;&gt;"",E146&lt;&gt;""),IF(D146="",0,D146)+IF(E146="",0,E146),"")</f>
        <v/>
      </c>
      <c r="G146" s="14" t="inlineStr">
        <is>
          <t>PEDIDOS YA · COMIDA</t>
        </is>
      </c>
    </row>
    <row r="147">
      <c r="A147" s="14" t="inlineStr">
        <is>
          <t>Abril</t>
        </is>
      </c>
      <c r="B147" s="17" t="n">
        <v>46142</v>
      </c>
      <c r="C147" s="14" t="inlineStr">
        <is>
          <t>Combustible — Shell</t>
        </is>
      </c>
      <c r="D147" s="27" t="n">
        <v>27579</v>
      </c>
      <c r="E147" s="28" t="n"/>
      <c r="F147" s="15">
        <f>IF(OR(D147&lt;&gt;"",E147&lt;&gt;""),IF(D147="",0,D147)+IF(E147="",0,E147),"")</f>
        <v/>
      </c>
      <c r="G147" s="14" t="inlineStr">
        <is>
          <t>MP · combustible · nafta · combustible</t>
        </is>
      </c>
    </row>
    <row r="148">
      <c r="A148" s="14" t="inlineStr">
        <is>
          <t>Abril</t>
        </is>
      </c>
      <c r="B148" s="17" t="n">
        <v>46142</v>
      </c>
      <c r="C148" s="14" t="inlineStr">
        <is>
          <t>Combustible — Shell</t>
        </is>
      </c>
      <c r="D148" s="27" t="n">
        <v>1307</v>
      </c>
      <c r="E148" s="28" t="n"/>
      <c r="F148" s="15">
        <f>IF(OR(D148&lt;&gt;"",E148&lt;&gt;""),IF(D148="",0,D148)+IF(E148="",0,E148),"")</f>
        <v/>
      </c>
      <c r="G148" s="14" t="inlineStr">
        <is>
          <t>MP · combustible · nafta · combustible</t>
        </is>
      </c>
    </row>
    <row r="149">
      <c r="A149" s="14" t="inlineStr">
        <is>
          <t>Abril</t>
        </is>
      </c>
      <c r="B149" s="17" t="n">
        <v>46114</v>
      </c>
      <c r="C149" s="14" t="inlineStr">
        <is>
          <t>Kalbby / Ramón</t>
        </is>
      </c>
      <c r="D149" s="27" t="n">
        <v>82746</v>
      </c>
      <c r="E149" s="28" t="n"/>
      <c r="F149" s="15">
        <f>IF(OR(D149&lt;&gt;"",E149&lt;&gt;""),IF(D149="",0,D149)+IF(E149="",0,E149),"")</f>
        <v/>
      </c>
      <c r="G149" s="14" t="inlineStr">
        <is>
          <t>COMIDA · RAMON</t>
        </is>
      </c>
    </row>
    <row r="150">
      <c r="A150" s="14" t="inlineStr">
        <is>
          <t>Abril</t>
        </is>
      </c>
      <c r="B150" s="17" t="n">
        <v>46141</v>
      </c>
      <c r="C150" s="14" t="inlineStr">
        <is>
          <t>Kalbby / Ramón</t>
        </is>
      </c>
      <c r="D150" s="27" t="n">
        <v>86747</v>
      </c>
      <c r="E150" s="28" t="n"/>
      <c r="F150" s="15">
        <f>IF(OR(D150&lt;&gt;"",E150&lt;&gt;""),IF(D150="",0,D150)+IF(E150="",0,E150),"")</f>
        <v/>
      </c>
      <c r="G150" s="14" t="inlineStr">
        <is>
          <t>COMIDA · RAMON</t>
        </is>
      </c>
    </row>
    <row r="151">
      <c r="A151" s="14" t="inlineStr">
        <is>
          <t>Abril</t>
        </is>
      </c>
      <c r="B151" s="17" t="n"/>
      <c r="C151" s="14" t="n"/>
      <c r="D151" s="27" t="n"/>
      <c r="E151" s="28" t="n"/>
      <c r="F151" s="15">
        <f>IF(OR(D151&lt;&gt;"",E151&lt;&gt;""),IF(D151="",0,D151)+IF(E151="",0,E151),"")</f>
        <v/>
      </c>
      <c r="G151" s="14" t="n"/>
    </row>
    <row r="152">
      <c r="A152" s="14" t="inlineStr">
        <is>
          <t>Abril</t>
        </is>
      </c>
      <c r="B152" s="17" t="n"/>
      <c r="C152" s="14" t="n"/>
      <c r="D152" s="27" t="n"/>
      <c r="E152" s="28" t="n"/>
      <c r="F152" s="15">
        <f>IF(OR(D152&lt;&gt;"",E152&lt;&gt;""),IF(D152="",0,D152)+IF(E152="",0,E152),"")</f>
        <v/>
      </c>
      <c r="G152" s="14" t="n"/>
    </row>
    <row r="153">
      <c r="A153" s="14" t="inlineStr">
        <is>
          <t>Abril</t>
        </is>
      </c>
      <c r="B153" s="17" t="n"/>
      <c r="C153" s="14" t="n"/>
      <c r="D153" s="27" t="n"/>
      <c r="E153" s="28" t="n"/>
      <c r="F153" s="15">
        <f>IF(OR(D153&lt;&gt;"",E153&lt;&gt;""),IF(D153="",0,D153)+IF(E153="",0,E153),"")</f>
        <v/>
      </c>
      <c r="G153" s="14" t="n"/>
    </row>
    <row r="154">
      <c r="A154" s="14" t="inlineStr">
        <is>
          <t>Abril</t>
        </is>
      </c>
      <c r="B154" s="17" t="n"/>
      <c r="C154" s="14" t="n"/>
      <c r="D154" s="27" t="n"/>
      <c r="E154" s="28" t="n"/>
      <c r="F154" s="15">
        <f>IF(OR(D154&lt;&gt;"",E154&lt;&gt;""),IF(D154="",0,D154)+IF(E154="",0,E154),"")</f>
        <v/>
      </c>
      <c r="G154" s="14" t="n"/>
    </row>
    <row r="155">
      <c r="A155" s="14" t="inlineStr">
        <is>
          <t>Abril</t>
        </is>
      </c>
      <c r="B155" s="17" t="n"/>
      <c r="C155" s="14" t="n"/>
      <c r="D155" s="27" t="n"/>
      <c r="E155" s="28" t="n"/>
      <c r="F155" s="15">
        <f>IF(OR(D155&lt;&gt;"",E155&lt;&gt;""),IF(D155="",0,D155)+IF(E155="",0,E155),"")</f>
        <v/>
      </c>
      <c r="G155" s="14" t="n"/>
    </row>
    <row r="156">
      <c r="A156" s="14" t="inlineStr">
        <is>
          <t>Abril</t>
        </is>
      </c>
      <c r="B156" s="17" t="n"/>
      <c r="C156" s="14" t="n"/>
      <c r="D156" s="27" t="n"/>
      <c r="E156" s="28" t="n"/>
      <c r="F156" s="15">
        <f>IF(OR(D156&lt;&gt;"",E156&lt;&gt;""),IF(D156="",0,D156)+IF(E156="",0,E156),"")</f>
        <v/>
      </c>
      <c r="G156" s="14" t="n"/>
    </row>
    <row r="157">
      <c r="A157" s="14" t="inlineStr">
        <is>
          <t>Abril</t>
        </is>
      </c>
      <c r="B157" s="17" t="n"/>
      <c r="C157" s="14" t="n"/>
      <c r="D157" s="27" t="n"/>
      <c r="E157" s="28" t="n"/>
      <c r="F157" s="15">
        <f>IF(OR(D157&lt;&gt;"",E157&lt;&gt;""),IF(D157="",0,D157)+IF(E157="",0,E157),"")</f>
        <v/>
      </c>
      <c r="G157" s="14" t="n"/>
    </row>
    <row r="158">
      <c r="A158" s="14" t="inlineStr">
        <is>
          <t>Abril</t>
        </is>
      </c>
      <c r="B158" s="17" t="n"/>
      <c r="C158" s="14" t="n"/>
      <c r="D158" s="27" t="n"/>
      <c r="E158" s="28" t="n"/>
      <c r="F158" s="15">
        <f>IF(OR(D158&lt;&gt;"",E158&lt;&gt;""),IF(D158="",0,D158)+IF(E158="",0,E158),"")</f>
        <v/>
      </c>
      <c r="G158" s="14" t="n"/>
    </row>
    <row r="159">
      <c r="A159" s="14" t="inlineStr">
        <is>
          <t>Abril</t>
        </is>
      </c>
      <c r="B159" s="17" t="n"/>
      <c r="C159" s="14" t="n"/>
      <c r="D159" s="27" t="n"/>
      <c r="E159" s="28" t="n"/>
      <c r="F159" s="15">
        <f>IF(OR(D159&lt;&gt;"",E159&lt;&gt;""),IF(D159="",0,D159)+IF(E159="",0,E159),"")</f>
        <v/>
      </c>
      <c r="G159" s="14" t="n"/>
    </row>
    <row r="160">
      <c r="A160" s="14" t="inlineStr">
        <is>
          <t>Abril</t>
        </is>
      </c>
      <c r="B160" s="17" t="n"/>
      <c r="C160" s="14" t="n"/>
      <c r="D160" s="27" t="n"/>
      <c r="E160" s="28" t="n"/>
      <c r="F160" s="15">
        <f>IF(OR(D160&lt;&gt;"",E160&lt;&gt;""),IF(D160="",0,D160)+IF(E160="",0,E160),"")</f>
        <v/>
      </c>
      <c r="G160" s="14" t="n"/>
    </row>
    <row r="161">
      <c r="A161" s="14" t="inlineStr">
        <is>
          <t>Abril</t>
        </is>
      </c>
      <c r="B161" s="17" t="n"/>
      <c r="C161" s="14" t="n"/>
      <c r="D161" s="27" t="n"/>
      <c r="E161" s="28" t="n"/>
      <c r="F161" s="15">
        <f>IF(OR(D161&lt;&gt;"",E161&lt;&gt;""),IF(D161="",0,D161)+IF(E161="",0,E161),"")</f>
        <v/>
      </c>
      <c r="G161" s="14" t="n"/>
    </row>
    <row r="162">
      <c r="A162" s="14" t="inlineStr">
        <is>
          <t>Abril</t>
        </is>
      </c>
      <c r="B162" s="17" t="n"/>
      <c r="C162" s="14" t="n"/>
      <c r="D162" s="27" t="n"/>
      <c r="E162" s="28" t="n"/>
      <c r="F162" s="15">
        <f>IF(OR(D162&lt;&gt;"",E162&lt;&gt;""),IF(D162="",0,D162)+IF(E162="",0,E162),"")</f>
        <v/>
      </c>
      <c r="G162" s="14" t="n"/>
    </row>
    <row r="163">
      <c r="A163" s="14" t="inlineStr">
        <is>
          <t>Abril</t>
        </is>
      </c>
      <c r="B163" s="17" t="n"/>
      <c r="C163" s="14" t="n"/>
      <c r="D163" s="27" t="n"/>
      <c r="E163" s="28" t="n"/>
      <c r="F163" s="15">
        <f>IF(OR(D163&lt;&gt;"",E163&lt;&gt;""),IF(D163="",0,D163)+IF(E163="",0,E163),"")</f>
        <v/>
      </c>
      <c r="G163" s="14" t="n"/>
    </row>
    <row r="164">
      <c r="A164" s="14" t="inlineStr">
        <is>
          <t>Abril</t>
        </is>
      </c>
      <c r="B164" s="17" t="n"/>
      <c r="C164" s="14" t="n"/>
      <c r="D164" s="27" t="n"/>
      <c r="E164" s="28" t="n"/>
      <c r="F164" s="15">
        <f>IF(OR(D164&lt;&gt;"",E164&lt;&gt;""),IF(D164="",0,D164)+IF(E164="",0,E164),"")</f>
        <v/>
      </c>
      <c r="G164" s="14" t="n"/>
    </row>
    <row r="165">
      <c r="A165" s="14" t="inlineStr">
        <is>
          <t>Abril</t>
        </is>
      </c>
      <c r="B165" s="17" t="n"/>
      <c r="C165" s="14" t="n"/>
      <c r="D165" s="27" t="n"/>
      <c r="E165" s="28" t="n"/>
      <c r="F165" s="15">
        <f>IF(OR(D165&lt;&gt;"",E165&lt;&gt;""),IF(D165="",0,D165)+IF(E165="",0,E165),"")</f>
        <v/>
      </c>
      <c r="G165" s="14" t="n"/>
    </row>
    <row r="166">
      <c r="A166" s="14" t="inlineStr">
        <is>
          <t>Abril</t>
        </is>
      </c>
      <c r="B166" s="17" t="n"/>
      <c r="C166" s="14" t="n"/>
      <c r="D166" s="27" t="n"/>
      <c r="E166" s="28" t="n"/>
      <c r="F166" s="15">
        <f>IF(OR(D166&lt;&gt;"",E166&lt;&gt;""),IF(D166="",0,D166)+IF(E166="",0,E166),"")</f>
        <v/>
      </c>
      <c r="G166" s="14" t="n"/>
    </row>
    <row r="167">
      <c r="A167" s="14" t="inlineStr">
        <is>
          <t>Abril</t>
        </is>
      </c>
      <c r="B167" s="17" t="n"/>
      <c r="C167" s="14" t="n"/>
      <c r="D167" s="27" t="n"/>
      <c r="E167" s="28" t="n"/>
      <c r="F167" s="15">
        <f>IF(OR(D167&lt;&gt;"",E167&lt;&gt;""),IF(D167="",0,D167)+IF(E167="",0,E167),"")</f>
        <v/>
      </c>
      <c r="G167" s="14" t="n"/>
    </row>
    <row r="168">
      <c r="A168" s="14" t="inlineStr">
        <is>
          <t>Abril</t>
        </is>
      </c>
      <c r="B168" s="17" t="n"/>
      <c r="C168" s="14" t="n"/>
      <c r="D168" s="27" t="n"/>
      <c r="E168" s="28" t="n"/>
      <c r="F168" s="15">
        <f>IF(OR(D168&lt;&gt;"",E168&lt;&gt;""),IF(D168="",0,D168)+IF(E168="",0,E168),"")</f>
        <v/>
      </c>
      <c r="G168" s="14" t="n"/>
    </row>
    <row r="169">
      <c r="A169" s="14" t="inlineStr">
        <is>
          <t>Abril</t>
        </is>
      </c>
      <c r="B169" s="17" t="n"/>
      <c r="C169" s="14" t="n"/>
      <c r="D169" s="27" t="n"/>
      <c r="E169" s="28" t="n"/>
      <c r="F169" s="15">
        <f>IF(OR(D169&lt;&gt;"",E169&lt;&gt;""),IF(D169="",0,D169)+IF(E169="",0,E169),"")</f>
        <v/>
      </c>
      <c r="G169" s="14" t="n"/>
    </row>
    <row r="170">
      <c r="A170" s="10" t="inlineStr">
        <is>
          <t>TOTAL ABRIL</t>
        </is>
      </c>
      <c r="B170" s="22" t="n"/>
      <c r="C170" s="29" t="inlineStr">
        <is>
          <t>Totales mes →</t>
        </is>
      </c>
      <c r="D170" s="7">
        <f>SUM(D130:D169)</f>
        <v/>
      </c>
      <c r="E170" s="7">
        <f>SUM(E130:E169)</f>
        <v/>
      </c>
      <c r="F170" s="7">
        <f>D170+E170</f>
        <v/>
      </c>
      <c r="G170" s="22" t="n"/>
    </row>
    <row r="172">
      <c r="A172" s="14" t="inlineStr">
        <is>
          <t>Mayo</t>
        </is>
      </c>
      <c r="B172" s="17" t="n">
        <v>46172</v>
      </c>
      <c r="C172" s="14" t="inlineStr">
        <is>
          <t>Carrefour</t>
        </is>
      </c>
      <c r="D172" s="27" t="n">
        <v>24333</v>
      </c>
      <c r="E172" s="28" t="n"/>
      <c r="F172" s="15">
        <f>IF(OR(D172&lt;&gt;"",E172&lt;&gt;""),IF(D172="",0,D172)+IF(E172="",0,E172),"")</f>
        <v/>
      </c>
      <c r="G172" s="14" t="inlineStr">
        <is>
          <t>SUPERMERCADO · Carrefour</t>
        </is>
      </c>
    </row>
    <row r="173">
      <c r="A173" s="14" t="inlineStr">
        <is>
          <t>Mayo</t>
        </is>
      </c>
      <c r="B173" s="17" t="n">
        <v>46170</v>
      </c>
      <c r="C173" s="14" t="inlineStr">
        <is>
          <t>Tienda De Café</t>
        </is>
      </c>
      <c r="D173" s="27" t="n">
        <v>18900</v>
      </c>
      <c r="E173" s="28" t="n"/>
      <c r="F173" s="15">
        <f>IF(OR(D173&lt;&gt;"",E173&lt;&gt;""),IF(D173="",0,D173)+IF(E173="",0,E173),"")</f>
        <v/>
      </c>
      <c r="G173" s="14" t="inlineStr">
        <is>
          <t>MP · café</t>
        </is>
      </c>
    </row>
    <row r="174">
      <c r="A174" s="14" t="inlineStr">
        <is>
          <t>Mayo</t>
        </is>
      </c>
      <c r="B174" s="17" t="n">
        <v>46168</v>
      </c>
      <c r="C174" s="14" t="inlineStr">
        <is>
          <t>Todo Tartas</t>
        </is>
      </c>
      <c r="D174" s="27" t="n">
        <v>8730</v>
      </c>
      <c r="E174" s="28" t="n"/>
      <c r="F174" s="15">
        <f>IF(OR(D174&lt;&gt;"",E174&lt;&gt;""),IF(D174="",0,D174)+IF(E174="",0,E174),"")</f>
        <v/>
      </c>
      <c r="G174" s="14" t="inlineStr">
        <is>
          <t>MP · panadería</t>
        </is>
      </c>
    </row>
    <row r="175">
      <c r="A175" s="14" t="inlineStr">
        <is>
          <t>Mayo</t>
        </is>
      </c>
      <c r="B175" s="17" t="n">
        <v>46166</v>
      </c>
      <c r="C175" s="14" t="inlineStr">
        <is>
          <t>PedidosYa Propina</t>
        </is>
      </c>
      <c r="D175" s="27" t="n">
        <v>1100</v>
      </c>
      <c r="E175" s="28" t="n"/>
      <c r="F175" s="15">
        <f>IF(OR(D175&lt;&gt;"",E175&lt;&gt;""),IF(D175="",0,D175)+IF(E175="",0,E175),"")</f>
        <v/>
      </c>
      <c r="G175" s="14" t="inlineStr">
        <is>
          <t>PEDIDOS YA · COMIDA · propina</t>
        </is>
      </c>
    </row>
    <row r="176">
      <c r="A176" s="14" t="inlineStr">
        <is>
          <t>Mayo</t>
        </is>
      </c>
      <c r="B176" s="17" t="n">
        <v>46166</v>
      </c>
      <c r="C176" s="14" t="inlineStr">
        <is>
          <t>PedidosYa</t>
        </is>
      </c>
      <c r="D176" s="27" t="n">
        <v>21618</v>
      </c>
      <c r="E176" s="28" t="n"/>
      <c r="F176" s="15">
        <f>IF(OR(D176&lt;&gt;"",E176&lt;&gt;""),IF(D176="",0,D176)+IF(E176="",0,E176),"")</f>
        <v/>
      </c>
      <c r="G176" s="14" t="inlineStr">
        <is>
          <t>PEDIDOS YA · COMIDA</t>
        </is>
      </c>
    </row>
    <row r="177">
      <c r="A177" s="14" t="inlineStr">
        <is>
          <t>Mayo</t>
        </is>
      </c>
      <c r="B177" s="17" t="n">
        <v>46165</v>
      </c>
      <c r="C177" s="14" t="inlineStr">
        <is>
          <t>Arredondo</t>
        </is>
      </c>
      <c r="D177" s="27" t="n">
        <v>10290</v>
      </c>
      <c r="E177" s="28" t="n"/>
      <c r="F177" s="15">
        <f>IF(OR(D177&lt;&gt;"",E177&lt;&gt;""),IF(D177="",0,D177)+IF(E177="",0,E177),"")</f>
        <v/>
      </c>
      <c r="G177" s="14" t="inlineStr">
        <is>
          <t>MP · tienda física</t>
        </is>
      </c>
    </row>
    <row r="178">
      <c r="A178" s="14" t="inlineStr">
        <is>
          <t>Mayo</t>
        </is>
      </c>
      <c r="B178" s="17" t="n">
        <v>46162</v>
      </c>
      <c r="C178" s="14" t="inlineStr">
        <is>
          <t>Todo Tartas</t>
        </is>
      </c>
      <c r="D178" s="27" t="n">
        <v>3480</v>
      </c>
      <c r="E178" s="28" t="n"/>
      <c r="F178" s="15">
        <f>IF(OR(D178&lt;&gt;"",E178&lt;&gt;""),IF(D178="",0,D178)+IF(E178="",0,E178),"")</f>
        <v/>
      </c>
      <c r="G178" s="14" t="inlineStr">
        <is>
          <t>MP · panadería</t>
        </is>
      </c>
    </row>
    <row r="179">
      <c r="A179" s="14" t="inlineStr">
        <is>
          <t>Mayo</t>
        </is>
      </c>
      <c r="B179" s="17" t="n">
        <v>46158</v>
      </c>
      <c r="C179" s="14" t="inlineStr">
        <is>
          <t>PedidosYa Propina</t>
        </is>
      </c>
      <c r="D179" s="27" t="n">
        <v>1000</v>
      </c>
      <c r="E179" s="28" t="n"/>
      <c r="F179" s="15">
        <f>IF(OR(D179&lt;&gt;"",E179&lt;&gt;""),IF(D179="",0,D179)+IF(E179="",0,E179),"")</f>
        <v/>
      </c>
      <c r="G179" s="14" t="inlineStr">
        <is>
          <t>PEDIDOS YA · COMIDA · propina</t>
        </is>
      </c>
    </row>
    <row r="180">
      <c r="A180" s="14" t="inlineStr">
        <is>
          <t>Mayo</t>
        </is>
      </c>
      <c r="B180" s="17" t="n">
        <v>46158</v>
      </c>
      <c r="C180" s="14" t="inlineStr">
        <is>
          <t>PedidosYa</t>
        </is>
      </c>
      <c r="D180" s="27" t="n">
        <v>17519</v>
      </c>
      <c r="E180" s="28" t="n"/>
      <c r="F180" s="15">
        <f>IF(OR(D180&lt;&gt;"",E180&lt;&gt;""),IF(D180="",0,D180)+IF(E180="",0,E180),"")</f>
        <v/>
      </c>
      <c r="G180" s="14" t="inlineStr">
        <is>
          <t>PEDIDOS YA · COMIDA</t>
        </is>
      </c>
    </row>
    <row r="181">
      <c r="A181" s="14" t="inlineStr">
        <is>
          <t>Mayo</t>
        </is>
      </c>
      <c r="B181" s="17" t="n">
        <v>46151</v>
      </c>
      <c r="C181" s="14" t="inlineStr">
        <is>
          <t>Coto</t>
        </is>
      </c>
      <c r="D181" s="27" t="n">
        <v>47361</v>
      </c>
      <c r="E181" s="28" t="n"/>
      <c r="F181" s="15">
        <f>IF(OR(D181&lt;&gt;"",E181&lt;&gt;""),IF(D181="",0,D181)+IF(E181="",0,E181),"")</f>
        <v/>
      </c>
      <c r="G181" s="14" t="inlineStr">
        <is>
          <t>SUPERMERCADO · Coto</t>
        </is>
      </c>
    </row>
    <row r="182">
      <c r="A182" s="14" t="inlineStr">
        <is>
          <t>Mayo</t>
        </is>
      </c>
      <c r="B182" s="17" t="n">
        <v>46149</v>
      </c>
      <c r="C182" s="14" t="inlineStr">
        <is>
          <t>Dean &amp; Dennys</t>
        </is>
      </c>
      <c r="D182" s="27" t="n">
        <v>6870</v>
      </c>
      <c r="E182" s="28" t="n"/>
      <c r="F182" s="15">
        <f>IF(OR(D182&lt;&gt;"",E182&lt;&gt;""),IF(D182="",0,D182)+IF(E182="",0,E182),"")</f>
        <v/>
      </c>
      <c r="G182" s="14" t="inlineStr">
        <is>
          <t>MP · comida</t>
        </is>
      </c>
    </row>
    <row r="183">
      <c r="A183" s="14" t="inlineStr">
        <is>
          <t>Mayo</t>
        </is>
      </c>
      <c r="B183" s="17" t="n">
        <v>46172</v>
      </c>
      <c r="C183" s="14" t="inlineStr">
        <is>
          <t>Combustible — Shell</t>
        </is>
      </c>
      <c r="D183" s="27" t="n">
        <v>18314</v>
      </c>
      <c r="E183" s="28" t="n"/>
      <c r="F183" s="15">
        <f>IF(OR(D183&lt;&gt;"",E183&lt;&gt;""),IF(D183="",0,D183)+IF(E183="",0,E183),"")</f>
        <v/>
      </c>
      <c r="G183" s="14" t="inlineStr">
        <is>
          <t>MP · combustible · nafta · combustible</t>
        </is>
      </c>
    </row>
    <row r="184">
      <c r="A184" s="14" t="inlineStr">
        <is>
          <t>Mayo</t>
        </is>
      </c>
      <c r="B184" s="17" t="n">
        <v>46172</v>
      </c>
      <c r="C184" s="14" t="inlineStr">
        <is>
          <t>Combustible — Shell</t>
        </is>
      </c>
      <c r="D184" s="27" t="n">
        <v>1415</v>
      </c>
      <c r="E184" s="28" t="n"/>
      <c r="F184" s="15">
        <f>IF(OR(D184&lt;&gt;"",E184&lt;&gt;""),IF(D184="",0,D184)+IF(E184="",0,E184),"")</f>
        <v/>
      </c>
      <c r="G184" s="14" t="inlineStr">
        <is>
          <t>MP · combustible · nafta · combustible</t>
        </is>
      </c>
    </row>
    <row r="185">
      <c r="A185" s="14" t="inlineStr">
        <is>
          <t>Mayo</t>
        </is>
      </c>
      <c r="B185" s="17" t="n"/>
      <c r="C185" s="14" t="n"/>
      <c r="D185" s="27" t="n"/>
      <c r="E185" s="28" t="n"/>
      <c r="F185" s="15">
        <f>IF(OR(D185&lt;&gt;"",E185&lt;&gt;""),IF(D185="",0,D185)+IF(E185="",0,E185),"")</f>
        <v/>
      </c>
      <c r="G185" s="14" t="n"/>
    </row>
    <row r="186">
      <c r="A186" s="14" t="inlineStr">
        <is>
          <t>Mayo</t>
        </is>
      </c>
      <c r="B186" s="17" t="n"/>
      <c r="C186" s="14" t="n"/>
      <c r="D186" s="27" t="n"/>
      <c r="E186" s="28" t="n"/>
      <c r="F186" s="15">
        <f>IF(OR(D186&lt;&gt;"",E186&lt;&gt;""),IF(D186="",0,D186)+IF(E186="",0,E186),"")</f>
        <v/>
      </c>
      <c r="G186" s="14" t="n"/>
    </row>
    <row r="187">
      <c r="A187" s="14" t="inlineStr">
        <is>
          <t>Mayo</t>
        </is>
      </c>
      <c r="B187" s="17" t="n"/>
      <c r="C187" s="14" t="n"/>
      <c r="D187" s="27" t="n"/>
      <c r="E187" s="28" t="n"/>
      <c r="F187" s="15">
        <f>IF(OR(D187&lt;&gt;"",E187&lt;&gt;""),IF(D187="",0,D187)+IF(E187="",0,E187),"")</f>
        <v/>
      </c>
      <c r="G187" s="14" t="n"/>
    </row>
    <row r="188">
      <c r="A188" s="14" t="inlineStr">
        <is>
          <t>Mayo</t>
        </is>
      </c>
      <c r="B188" s="17" t="n"/>
      <c r="C188" s="14" t="n"/>
      <c r="D188" s="27" t="n"/>
      <c r="E188" s="28" t="n"/>
      <c r="F188" s="15">
        <f>IF(OR(D188&lt;&gt;"",E188&lt;&gt;""),IF(D188="",0,D188)+IF(E188="",0,E188),"")</f>
        <v/>
      </c>
      <c r="G188" s="14" t="n"/>
    </row>
    <row r="189">
      <c r="A189" s="14" t="inlineStr">
        <is>
          <t>Mayo</t>
        </is>
      </c>
      <c r="B189" s="17" t="n"/>
      <c r="C189" s="14" t="n"/>
      <c r="D189" s="27" t="n"/>
      <c r="E189" s="28" t="n"/>
      <c r="F189" s="15">
        <f>IF(OR(D189&lt;&gt;"",E189&lt;&gt;""),IF(D189="",0,D189)+IF(E189="",0,E189),"")</f>
        <v/>
      </c>
      <c r="G189" s="14" t="n"/>
    </row>
    <row r="190">
      <c r="A190" s="14" t="inlineStr">
        <is>
          <t>Mayo</t>
        </is>
      </c>
      <c r="B190" s="17" t="n"/>
      <c r="C190" s="14" t="n"/>
      <c r="D190" s="27" t="n"/>
      <c r="E190" s="28" t="n"/>
      <c r="F190" s="15">
        <f>IF(OR(D190&lt;&gt;"",E190&lt;&gt;""),IF(D190="",0,D190)+IF(E190="",0,E190),"")</f>
        <v/>
      </c>
      <c r="G190" s="14" t="n"/>
    </row>
    <row r="191">
      <c r="A191" s="14" t="inlineStr">
        <is>
          <t>Mayo</t>
        </is>
      </c>
      <c r="B191" s="17" t="n"/>
      <c r="C191" s="14" t="n"/>
      <c r="D191" s="27" t="n"/>
      <c r="E191" s="28" t="n"/>
      <c r="F191" s="15">
        <f>IF(OR(D191&lt;&gt;"",E191&lt;&gt;""),IF(D191="",0,D191)+IF(E191="",0,E191),"")</f>
        <v/>
      </c>
      <c r="G191" s="14" t="n"/>
    </row>
    <row r="192">
      <c r="A192" s="14" t="inlineStr">
        <is>
          <t>Mayo</t>
        </is>
      </c>
      <c r="B192" s="17" t="n"/>
      <c r="C192" s="14" t="n"/>
      <c r="D192" s="27" t="n"/>
      <c r="E192" s="28" t="n"/>
      <c r="F192" s="15">
        <f>IF(OR(D192&lt;&gt;"",E192&lt;&gt;""),IF(D192="",0,D192)+IF(E192="",0,E192),"")</f>
        <v/>
      </c>
      <c r="G192" s="14" t="n"/>
    </row>
    <row r="193">
      <c r="A193" s="14" t="inlineStr">
        <is>
          <t>Mayo</t>
        </is>
      </c>
      <c r="B193" s="17" t="n"/>
      <c r="C193" s="14" t="n"/>
      <c r="D193" s="27" t="n"/>
      <c r="E193" s="28" t="n"/>
      <c r="F193" s="15">
        <f>IF(OR(D193&lt;&gt;"",E193&lt;&gt;""),IF(D193="",0,D193)+IF(E193="",0,E193),"")</f>
        <v/>
      </c>
      <c r="G193" s="14" t="n"/>
    </row>
    <row r="194">
      <c r="A194" s="14" t="inlineStr">
        <is>
          <t>Mayo</t>
        </is>
      </c>
      <c r="B194" s="17" t="n"/>
      <c r="C194" s="14" t="n"/>
      <c r="D194" s="27" t="n"/>
      <c r="E194" s="28" t="n"/>
      <c r="F194" s="15">
        <f>IF(OR(D194&lt;&gt;"",E194&lt;&gt;""),IF(D194="",0,D194)+IF(E194="",0,E194),"")</f>
        <v/>
      </c>
      <c r="G194" s="14" t="n"/>
    </row>
    <row r="195">
      <c r="A195" s="14" t="inlineStr">
        <is>
          <t>Mayo</t>
        </is>
      </c>
      <c r="B195" s="17" t="n"/>
      <c r="C195" s="14" t="n"/>
      <c r="D195" s="27" t="n"/>
      <c r="E195" s="28" t="n"/>
      <c r="F195" s="15">
        <f>IF(OR(D195&lt;&gt;"",E195&lt;&gt;""),IF(D195="",0,D195)+IF(E195="",0,E195),"")</f>
        <v/>
      </c>
      <c r="G195" s="14" t="n"/>
    </row>
    <row r="196">
      <c r="A196" s="14" t="inlineStr">
        <is>
          <t>Mayo</t>
        </is>
      </c>
      <c r="B196" s="17" t="n"/>
      <c r="C196" s="14" t="n"/>
      <c r="D196" s="27" t="n"/>
      <c r="E196" s="28" t="n"/>
      <c r="F196" s="15">
        <f>IF(OR(D196&lt;&gt;"",E196&lt;&gt;""),IF(D196="",0,D196)+IF(E196="",0,E196),"")</f>
        <v/>
      </c>
      <c r="G196" s="14" t="n"/>
    </row>
    <row r="197">
      <c r="A197" s="14" t="inlineStr">
        <is>
          <t>Mayo</t>
        </is>
      </c>
      <c r="B197" s="17" t="n"/>
      <c r="C197" s="14" t="n"/>
      <c r="D197" s="27" t="n"/>
      <c r="E197" s="28" t="n"/>
      <c r="F197" s="15">
        <f>IF(OR(D197&lt;&gt;"",E197&lt;&gt;""),IF(D197="",0,D197)+IF(E197="",0,E197),"")</f>
        <v/>
      </c>
      <c r="G197" s="14" t="n"/>
    </row>
    <row r="198">
      <c r="A198" s="14" t="inlineStr">
        <is>
          <t>Mayo</t>
        </is>
      </c>
      <c r="B198" s="17" t="n"/>
      <c r="C198" s="14" t="n"/>
      <c r="D198" s="27" t="n"/>
      <c r="E198" s="28" t="n"/>
      <c r="F198" s="15">
        <f>IF(OR(D198&lt;&gt;"",E198&lt;&gt;""),IF(D198="",0,D198)+IF(E198="",0,E198),"")</f>
        <v/>
      </c>
      <c r="G198" s="14" t="n"/>
    </row>
    <row r="199">
      <c r="A199" s="14" t="inlineStr">
        <is>
          <t>Mayo</t>
        </is>
      </c>
      <c r="B199" s="17" t="n"/>
      <c r="C199" s="14" t="n"/>
      <c r="D199" s="27" t="n"/>
      <c r="E199" s="28" t="n"/>
      <c r="F199" s="15">
        <f>IF(OR(D199&lt;&gt;"",E199&lt;&gt;""),IF(D199="",0,D199)+IF(E199="",0,E199),"")</f>
        <v/>
      </c>
      <c r="G199" s="14" t="n"/>
    </row>
    <row r="200">
      <c r="A200" s="14" t="inlineStr">
        <is>
          <t>Mayo</t>
        </is>
      </c>
      <c r="B200" s="17" t="n"/>
      <c r="C200" s="14" t="n"/>
      <c r="D200" s="27" t="n"/>
      <c r="E200" s="28" t="n"/>
      <c r="F200" s="15">
        <f>IF(OR(D200&lt;&gt;"",E200&lt;&gt;""),IF(D200="",0,D200)+IF(E200="",0,E200),"")</f>
        <v/>
      </c>
      <c r="G200" s="14" t="n"/>
    </row>
    <row r="201">
      <c r="A201" s="14" t="inlineStr">
        <is>
          <t>Mayo</t>
        </is>
      </c>
      <c r="B201" s="17" t="n"/>
      <c r="C201" s="14" t="n"/>
      <c r="D201" s="27" t="n"/>
      <c r="E201" s="28" t="n"/>
      <c r="F201" s="15">
        <f>IF(OR(D201&lt;&gt;"",E201&lt;&gt;""),IF(D201="",0,D201)+IF(E201="",0,E201),"")</f>
        <v/>
      </c>
      <c r="G201" s="14" t="n"/>
    </row>
    <row r="202">
      <c r="A202" s="14" t="inlineStr">
        <is>
          <t>Mayo</t>
        </is>
      </c>
      <c r="B202" s="17" t="n"/>
      <c r="C202" s="14" t="n"/>
      <c r="D202" s="27" t="n"/>
      <c r="E202" s="28" t="n"/>
      <c r="F202" s="15">
        <f>IF(OR(D202&lt;&gt;"",E202&lt;&gt;""),IF(D202="",0,D202)+IF(E202="",0,E202),"")</f>
        <v/>
      </c>
      <c r="G202" s="14" t="n"/>
    </row>
    <row r="203">
      <c r="A203" s="14" t="inlineStr">
        <is>
          <t>Mayo</t>
        </is>
      </c>
      <c r="B203" s="17" t="n"/>
      <c r="C203" s="14" t="n"/>
      <c r="D203" s="27" t="n"/>
      <c r="E203" s="28" t="n"/>
      <c r="F203" s="15">
        <f>IF(OR(D203&lt;&gt;"",E203&lt;&gt;""),IF(D203="",0,D203)+IF(E203="",0,E203),"")</f>
        <v/>
      </c>
      <c r="G203" s="14" t="n"/>
    </row>
    <row r="204">
      <c r="A204" s="14" t="inlineStr">
        <is>
          <t>Mayo</t>
        </is>
      </c>
      <c r="B204" s="17" t="n"/>
      <c r="C204" s="14" t="n"/>
      <c r="D204" s="27" t="n"/>
      <c r="E204" s="28" t="n"/>
      <c r="F204" s="15">
        <f>IF(OR(D204&lt;&gt;"",E204&lt;&gt;""),IF(D204="",0,D204)+IF(E204="",0,E204),"")</f>
        <v/>
      </c>
      <c r="G204" s="14" t="n"/>
    </row>
    <row r="205">
      <c r="A205" s="14" t="inlineStr">
        <is>
          <t>Mayo</t>
        </is>
      </c>
      <c r="B205" s="17" t="n"/>
      <c r="C205" s="14" t="n"/>
      <c r="D205" s="27" t="n"/>
      <c r="E205" s="28" t="n"/>
      <c r="F205" s="15">
        <f>IF(OR(D205&lt;&gt;"",E205&lt;&gt;""),IF(D205="",0,D205)+IF(E205="",0,E205),"")</f>
        <v/>
      </c>
      <c r="G205" s="14" t="n"/>
    </row>
    <row r="206">
      <c r="A206" s="14" t="inlineStr">
        <is>
          <t>Mayo</t>
        </is>
      </c>
      <c r="B206" s="17" t="n"/>
      <c r="C206" s="14" t="n"/>
      <c r="D206" s="27" t="n"/>
      <c r="E206" s="28" t="n"/>
      <c r="F206" s="15">
        <f>IF(OR(D206&lt;&gt;"",E206&lt;&gt;""),IF(D206="",0,D206)+IF(E206="",0,E206),"")</f>
        <v/>
      </c>
      <c r="G206" s="14" t="n"/>
    </row>
    <row r="207">
      <c r="A207" s="14" t="inlineStr">
        <is>
          <t>Mayo</t>
        </is>
      </c>
      <c r="B207" s="17" t="n"/>
      <c r="C207" s="14" t="n"/>
      <c r="D207" s="27" t="n"/>
      <c r="E207" s="28" t="n"/>
      <c r="F207" s="15">
        <f>IF(OR(D207&lt;&gt;"",E207&lt;&gt;""),IF(D207="",0,D207)+IF(E207="",0,E207),"")</f>
        <v/>
      </c>
      <c r="G207" s="14" t="n"/>
    </row>
    <row r="208">
      <c r="A208" s="14" t="inlineStr">
        <is>
          <t>Mayo</t>
        </is>
      </c>
      <c r="B208" s="17" t="n"/>
      <c r="C208" s="14" t="n"/>
      <c r="D208" s="27" t="n"/>
      <c r="E208" s="28" t="n"/>
      <c r="F208" s="15">
        <f>IF(OR(D208&lt;&gt;"",E208&lt;&gt;""),IF(D208="",0,D208)+IF(E208="",0,E208),"")</f>
        <v/>
      </c>
      <c r="G208" s="14" t="n"/>
    </row>
    <row r="209">
      <c r="A209" s="14" t="inlineStr">
        <is>
          <t>Mayo</t>
        </is>
      </c>
      <c r="B209" s="17" t="n"/>
      <c r="C209" s="14" t="n"/>
      <c r="D209" s="27" t="n"/>
      <c r="E209" s="28" t="n"/>
      <c r="F209" s="15">
        <f>IF(OR(D209&lt;&gt;"",E209&lt;&gt;""),IF(D209="",0,D209)+IF(E209="",0,E209),"")</f>
        <v/>
      </c>
      <c r="G209" s="14" t="n"/>
    </row>
    <row r="210">
      <c r="A210" s="14" t="inlineStr">
        <is>
          <t>Mayo</t>
        </is>
      </c>
      <c r="B210" s="17" t="n"/>
      <c r="C210" s="14" t="n"/>
      <c r="D210" s="27" t="n"/>
      <c r="E210" s="28" t="n"/>
      <c r="F210" s="15">
        <f>IF(OR(D210&lt;&gt;"",E210&lt;&gt;""),IF(D210="",0,D210)+IF(E210="",0,E210),"")</f>
        <v/>
      </c>
      <c r="G210" s="14" t="n"/>
    </row>
    <row r="211">
      <c r="A211" s="14" t="inlineStr">
        <is>
          <t>Mayo</t>
        </is>
      </c>
      <c r="B211" s="17" t="n"/>
      <c r="C211" s="14" t="n"/>
      <c r="D211" s="27" t="n"/>
      <c r="E211" s="28" t="n"/>
      <c r="F211" s="15">
        <f>IF(OR(D211&lt;&gt;"",E211&lt;&gt;""),IF(D211="",0,D211)+IF(E211="",0,E211),"")</f>
        <v/>
      </c>
      <c r="G211" s="14" t="n"/>
    </row>
    <row r="212">
      <c r="A212" s="10" t="inlineStr">
        <is>
          <t>TOTAL MAYO</t>
        </is>
      </c>
      <c r="B212" s="22" t="n"/>
      <c r="C212" s="29" t="inlineStr">
        <is>
          <t>Totales mes →</t>
        </is>
      </c>
      <c r="D212" s="7">
        <f>SUM(D172:D211)</f>
        <v/>
      </c>
      <c r="E212" s="7">
        <f>SUM(E172:E211)</f>
        <v/>
      </c>
      <c r="F212" s="7">
        <f>D212+E212</f>
        <v/>
      </c>
      <c r="G212" s="22" t="n"/>
    </row>
    <row r="214">
      <c r="A214" s="14" t="inlineStr">
        <is>
          <t>Junio</t>
        </is>
      </c>
      <c r="B214" s="17" t="n">
        <v>46200</v>
      </c>
      <c r="C214" s="14" t="inlineStr">
        <is>
          <t>Open 25</t>
        </is>
      </c>
      <c r="D214" s="27" t="n">
        <v>17000</v>
      </c>
      <c r="E214" s="28" t="n"/>
      <c r="F214" s="15">
        <f>IF(OR(D214&lt;&gt;"",E214&lt;&gt;""),IF(D214="",0,D214)+IF(E214="",0,E214),"")</f>
        <v/>
      </c>
      <c r="G214" s="14" t="inlineStr">
        <is>
          <t>MP · tienda</t>
        </is>
      </c>
    </row>
    <row r="215">
      <c r="A215" s="14" t="inlineStr">
        <is>
          <t>Junio</t>
        </is>
      </c>
      <c r="B215" s="17" t="n">
        <v>46200</v>
      </c>
      <c r="C215" s="14" t="inlineStr">
        <is>
          <t>Confitería Dos Escudos</t>
        </is>
      </c>
      <c r="D215" s="27" t="n">
        <v>40600</v>
      </c>
      <c r="E215" s="28" t="n"/>
      <c r="F215" s="15">
        <f>IF(OR(D215&lt;&gt;"",E215&lt;&gt;""),IF(D215="",0,D215)+IF(E215="",0,E215),"")</f>
        <v/>
      </c>
      <c r="G215" s="14" t="inlineStr">
        <is>
          <t>MP · confitería</t>
        </is>
      </c>
    </row>
    <row r="216">
      <c r="A216" s="14" t="inlineStr">
        <is>
          <t>Junio</t>
        </is>
      </c>
      <c r="B216" s="17" t="n">
        <v>46199</v>
      </c>
      <c r="C216" s="14" t="inlineStr">
        <is>
          <t>Todo Tartas</t>
        </is>
      </c>
      <c r="D216" s="27" t="n">
        <v>23700</v>
      </c>
      <c r="E216" s="28" t="n"/>
      <c r="F216" s="15">
        <f>IF(OR(D216&lt;&gt;"",E216&lt;&gt;""),IF(D216="",0,D216)+IF(E216="",0,E216),"")</f>
        <v/>
      </c>
      <c r="G216" s="14" t="inlineStr">
        <is>
          <t>MP · panadería</t>
        </is>
      </c>
    </row>
    <row r="217">
      <c r="A217" s="14" t="inlineStr">
        <is>
          <t>Junio</t>
        </is>
      </c>
      <c r="B217" s="17" t="n">
        <v>46197</v>
      </c>
      <c r="C217" s="14" t="inlineStr">
        <is>
          <t>Súper Pollo</t>
        </is>
      </c>
      <c r="D217" s="27" t="n">
        <v>17154</v>
      </c>
      <c r="E217" s="28" t="n"/>
      <c r="F217" s="15">
        <f>IF(OR(D217&lt;&gt;"",E217&lt;&gt;""),IF(D217="",0,D217)+IF(E217="",0,E217),"")</f>
        <v/>
      </c>
      <c r="G217" s="14" t="inlineStr">
        <is>
          <t>MP · pollo</t>
        </is>
      </c>
    </row>
    <row r="218">
      <c r="A218" s="14" t="inlineStr">
        <is>
          <t>Junio</t>
        </is>
      </c>
      <c r="B218" s="17" t="n">
        <v>46195</v>
      </c>
      <c r="C218" s="14" t="inlineStr">
        <is>
          <t>Súper Pollo</t>
        </is>
      </c>
      <c r="D218" s="27" t="n">
        <v>40939</v>
      </c>
      <c r="E218" s="28" t="n"/>
      <c r="F218" s="15">
        <f>IF(OR(D218&lt;&gt;"",E218&lt;&gt;""),IF(D218="",0,D218)+IF(E218="",0,E218),"")</f>
        <v/>
      </c>
      <c r="G218" s="14" t="inlineStr">
        <is>
          <t>MP · pollo</t>
        </is>
      </c>
    </row>
    <row r="219">
      <c r="A219" s="14" t="inlineStr">
        <is>
          <t>Junio</t>
        </is>
      </c>
      <c r="B219" s="17" t="n">
        <v>46193</v>
      </c>
      <c r="C219" s="14" t="inlineStr">
        <is>
          <t>PedidosYa Propina</t>
        </is>
      </c>
      <c r="D219" s="27" t="n">
        <v>1500</v>
      </c>
      <c r="E219" s="28" t="n"/>
      <c r="F219" s="15">
        <f>IF(OR(D219&lt;&gt;"",E219&lt;&gt;""),IF(D219="",0,D219)+IF(E219="",0,E219),"")</f>
        <v/>
      </c>
      <c r="G219" s="14" t="inlineStr">
        <is>
          <t>PEDIDOS YA · COMIDA · propina</t>
        </is>
      </c>
    </row>
    <row r="220">
      <c r="A220" s="14" t="inlineStr">
        <is>
          <t>Junio</t>
        </is>
      </c>
      <c r="B220" s="17" t="n">
        <v>46193</v>
      </c>
      <c r="C220" s="14" t="inlineStr">
        <is>
          <t>PedidosYa</t>
        </is>
      </c>
      <c r="D220" s="27" t="n">
        <v>47299</v>
      </c>
      <c r="E220" s="28" t="n"/>
      <c r="F220" s="15">
        <f>IF(OR(D220&lt;&gt;"",E220&lt;&gt;""),IF(D220="",0,D220)+IF(E220="",0,E220),"")</f>
        <v/>
      </c>
      <c r="G220" s="14" t="inlineStr">
        <is>
          <t>PEDIDOS YA · COMIDA · neto</t>
        </is>
      </c>
    </row>
    <row r="221">
      <c r="A221" s="14" t="inlineStr">
        <is>
          <t>Junio</t>
        </is>
      </c>
      <c r="B221" s="17" t="n">
        <v>46192</v>
      </c>
      <c r="C221" s="14" t="inlineStr">
        <is>
          <t>Todo Tartas</t>
        </is>
      </c>
      <c r="D221" s="27" t="n">
        <v>28000</v>
      </c>
      <c r="E221" s="28" t="n"/>
      <c r="F221" s="15">
        <f>IF(OR(D221&lt;&gt;"",E221&lt;&gt;""),IF(D221="",0,D221)+IF(E221="",0,E221),"")</f>
        <v/>
      </c>
      <c r="G221" s="14" t="inlineStr">
        <is>
          <t>MP · panadería</t>
        </is>
      </c>
    </row>
    <row r="222">
      <c r="A222" s="14" t="inlineStr">
        <is>
          <t>Junio</t>
        </is>
      </c>
      <c r="B222" s="17" t="n">
        <v>46191</v>
      </c>
      <c r="C222" s="14" t="inlineStr">
        <is>
          <t>Tienda De Café</t>
        </is>
      </c>
      <c r="D222" s="27" t="n">
        <v>18700</v>
      </c>
      <c r="E222" s="28" t="n"/>
      <c r="F222" s="15">
        <f>IF(OR(D222&lt;&gt;"",E222&lt;&gt;""),IF(D222="",0,D222)+IF(E222="",0,E222),"")</f>
        <v/>
      </c>
      <c r="G222" s="14" t="inlineStr">
        <is>
          <t>MP · café</t>
        </is>
      </c>
    </row>
    <row r="223">
      <c r="A223" s="14" t="inlineStr">
        <is>
          <t>Junio</t>
        </is>
      </c>
      <c r="B223" s="17" t="n">
        <v>46189</v>
      </c>
      <c r="C223" s="14" t="inlineStr">
        <is>
          <t>PedidosYa</t>
        </is>
      </c>
      <c r="D223" s="27" t="n">
        <v>68899</v>
      </c>
      <c r="E223" s="28" t="n"/>
      <c r="F223" s="15">
        <f>IF(OR(D223&lt;&gt;"",E223&lt;&gt;""),IF(D223="",0,D223)+IF(E223="",0,E223),"")</f>
        <v/>
      </c>
      <c r="G223" s="14" t="inlineStr">
        <is>
          <t>PEDIDOS YA · COMIDA</t>
        </is>
      </c>
    </row>
    <row r="224">
      <c r="A224" s="14" t="inlineStr">
        <is>
          <t>Junio</t>
        </is>
      </c>
      <c r="B224" s="17" t="n">
        <v>46186</v>
      </c>
      <c r="C224" s="14" t="inlineStr">
        <is>
          <t>Todo Tartas</t>
        </is>
      </c>
      <c r="D224" s="27" t="n">
        <v>11700</v>
      </c>
      <c r="E224" s="28" t="n"/>
      <c r="F224" s="15">
        <f>IF(OR(D224&lt;&gt;"",E224&lt;&gt;""),IF(D224="",0,D224)+IF(E224="",0,E224),"")</f>
        <v/>
      </c>
      <c r="G224" s="14" t="inlineStr">
        <is>
          <t>MP · panadería</t>
        </is>
      </c>
    </row>
    <row r="225">
      <c r="A225" s="14" t="inlineStr">
        <is>
          <t>Junio</t>
        </is>
      </c>
      <c r="B225" s="17" t="n">
        <v>46185</v>
      </c>
      <c r="C225" s="14" t="inlineStr">
        <is>
          <t>PedidosYa Propina</t>
        </is>
      </c>
      <c r="D225" s="27" t="n">
        <v>900</v>
      </c>
      <c r="E225" s="28" t="n"/>
      <c r="F225" s="15">
        <f>IF(OR(D225&lt;&gt;"",E225&lt;&gt;""),IF(D225="",0,D225)+IF(E225="",0,E225),"")</f>
        <v/>
      </c>
      <c r="G225" s="14" t="inlineStr">
        <is>
          <t>PEDIDOS YA · COMIDA · propina</t>
        </is>
      </c>
    </row>
    <row r="226">
      <c r="A226" s="14" t="inlineStr">
        <is>
          <t>Junio</t>
        </is>
      </c>
      <c r="B226" s="17" t="n">
        <v>46185</v>
      </c>
      <c r="C226" s="14" t="inlineStr">
        <is>
          <t>PedidosYa</t>
        </is>
      </c>
      <c r="D226" s="27" t="n">
        <v>17189</v>
      </c>
      <c r="E226" s="28" t="n"/>
      <c r="F226" s="15">
        <f>IF(OR(D226&lt;&gt;"",E226&lt;&gt;""),IF(D226="",0,D226)+IF(E226="",0,E226),"")</f>
        <v/>
      </c>
      <c r="G226" s="14" t="inlineStr">
        <is>
          <t>PEDIDOS YA · COMIDA</t>
        </is>
      </c>
    </row>
    <row r="227">
      <c r="A227" s="14" t="inlineStr">
        <is>
          <t>Junio</t>
        </is>
      </c>
      <c r="B227" s="17" t="n">
        <v>46184</v>
      </c>
      <c r="C227" s="14" t="inlineStr">
        <is>
          <t>PedidosYa Propina</t>
        </is>
      </c>
      <c r="D227" s="27" t="n">
        <v>1200</v>
      </c>
      <c r="E227" s="28" t="n"/>
      <c r="F227" s="15">
        <f>IF(OR(D227&lt;&gt;"",E227&lt;&gt;""),IF(D227="",0,D227)+IF(E227="",0,E227),"")</f>
        <v/>
      </c>
      <c r="G227" s="14" t="inlineStr">
        <is>
          <t>PEDIDOS YA · COMIDA · propina</t>
        </is>
      </c>
    </row>
    <row r="228">
      <c r="A228" s="14" t="inlineStr">
        <is>
          <t>Junio</t>
        </is>
      </c>
      <c r="B228" s="17" t="n">
        <v>46184</v>
      </c>
      <c r="C228" s="14" t="inlineStr">
        <is>
          <t>PedidosYa</t>
        </is>
      </c>
      <c r="D228" s="27" t="n">
        <v>28384</v>
      </c>
      <c r="E228" s="28" t="n"/>
      <c r="F228" s="15">
        <f>IF(OR(D228&lt;&gt;"",E228&lt;&gt;""),IF(D228="",0,D228)+IF(E228="",0,E228),"")</f>
        <v/>
      </c>
      <c r="G228" s="14" t="inlineStr">
        <is>
          <t>PEDIDOS YA · COMIDA</t>
        </is>
      </c>
    </row>
    <row r="229">
      <c r="A229" s="14" t="inlineStr">
        <is>
          <t>Junio</t>
        </is>
      </c>
      <c r="B229" s="17" t="n">
        <v>46174</v>
      </c>
      <c r="C229" s="14" t="inlineStr">
        <is>
          <t>Huevos Point</t>
        </is>
      </c>
      <c r="D229" s="27" t="n">
        <v>7500</v>
      </c>
      <c r="E229" s="28" t="n"/>
      <c r="F229" s="15">
        <f>IF(OR(D229&lt;&gt;"",E229&lt;&gt;""),IF(D229="",0,D229)+IF(E229="",0,E229),"")</f>
        <v/>
      </c>
      <c r="G229" s="14" t="inlineStr">
        <is>
          <t>MP · huevos</t>
        </is>
      </c>
    </row>
    <row r="230">
      <c r="A230" s="14" t="n"/>
      <c r="B230" s="17" t="n"/>
      <c r="C230" s="14" t="n"/>
      <c r="D230" s="27" t="n"/>
      <c r="E230" s="28" t="n"/>
      <c r="F230" s="15" t="n"/>
      <c r="G230" s="14" t="n"/>
    </row>
    <row r="231">
      <c r="A231" s="14" t="inlineStr">
        <is>
          <t>Junio</t>
        </is>
      </c>
      <c r="B231" s="17" t="n">
        <v>46176</v>
      </c>
      <c r="C231" s="14" t="inlineStr">
        <is>
          <t>Carrefour Ecommerce</t>
        </is>
      </c>
      <c r="D231" s="27" t="n">
        <v>23943</v>
      </c>
      <c r="E231" s="28" t="n"/>
      <c r="F231" s="15">
        <f>IF(OR(D231&lt;&gt;"",E231&lt;&gt;""),IF(D231="",0,D231)+IF(E231="",0,E231),"")</f>
        <v/>
      </c>
      <c r="G231" s="14" t="inlineStr">
        <is>
          <t>SUPERMERCADO · Carrefour</t>
        </is>
      </c>
    </row>
    <row r="232">
      <c r="A232" s="14" t="inlineStr">
        <is>
          <t>Junio</t>
        </is>
      </c>
      <c r="B232" s="17" t="n">
        <v>46180</v>
      </c>
      <c r="C232" s="14" t="inlineStr">
        <is>
          <t>Coto</t>
        </is>
      </c>
      <c r="D232" s="27" t="n">
        <v>348208</v>
      </c>
      <c r="E232" s="28" t="n"/>
      <c r="F232" s="15">
        <f>IF(OR(D232&lt;&gt;"",E232&lt;&gt;""),IF(D232="",0,D232)+IF(E232="",0,E232),"")</f>
        <v/>
      </c>
      <c r="G232" s="14" t="inlineStr">
        <is>
          <t>SUPERMERCADO · Coto</t>
        </is>
      </c>
    </row>
    <row r="233">
      <c r="A233" s="14" t="inlineStr">
        <is>
          <t>Junio</t>
        </is>
      </c>
      <c r="B233" s="17" t="n">
        <v>46184</v>
      </c>
      <c r="C233" s="14" t="inlineStr">
        <is>
          <t>Huevos Point</t>
        </is>
      </c>
      <c r="D233" s="27" t="n">
        <v>10500</v>
      </c>
      <c r="E233" s="28" t="n"/>
      <c r="F233" s="15">
        <f>IF(OR(D233&lt;&gt;"",E233&lt;&gt;""),IF(D233="",0,D233)+IF(E233="",0,E233),"")</f>
        <v/>
      </c>
      <c r="G233" s="14" t="inlineStr">
        <is>
          <t>MP · huevos</t>
        </is>
      </c>
    </row>
    <row r="234">
      <c r="A234" s="14" t="inlineStr">
        <is>
          <t>Junio</t>
        </is>
      </c>
      <c r="B234" s="17" t="n">
        <v>46194</v>
      </c>
      <c r="C234" s="14" t="inlineStr">
        <is>
          <t>Combustible — Shell</t>
        </is>
      </c>
      <c r="D234" s="27" t="n">
        <v>1648</v>
      </c>
      <c r="E234" s="28" t="n"/>
      <c r="F234" s="15">
        <f>IF(OR(D234&lt;&gt;"",E234&lt;&gt;""),IF(D234="",0,D234)+IF(E234="",0,E234),"")</f>
        <v/>
      </c>
      <c r="G234" s="14" t="inlineStr">
        <is>
          <t>MP · combustible · nafta · combustible</t>
        </is>
      </c>
    </row>
    <row r="235">
      <c r="A235" s="14" t="inlineStr">
        <is>
          <t>Junio</t>
        </is>
      </c>
      <c r="B235" s="17" t="n"/>
      <c r="C235" s="14" t="n"/>
      <c r="D235" s="27" t="n"/>
      <c r="E235" s="28" t="n"/>
      <c r="F235" s="15">
        <f>IF(OR(D235&lt;&gt;"",E235&lt;&gt;""),IF(D235="",0,D235)+IF(E235="",0,E235),"")</f>
        <v/>
      </c>
      <c r="G235" s="14" t="n"/>
    </row>
    <row r="236">
      <c r="A236" s="14" t="inlineStr">
        <is>
          <t>Junio</t>
        </is>
      </c>
      <c r="B236" s="17" t="n"/>
      <c r="C236" s="14" t="n"/>
      <c r="D236" s="27" t="n"/>
      <c r="E236" s="28" t="n"/>
      <c r="F236" s="15">
        <f>IF(OR(D236&lt;&gt;"",E236&lt;&gt;""),IF(D236="",0,D236)+IF(E236="",0,E236),"")</f>
        <v/>
      </c>
      <c r="G236" s="14" t="n"/>
    </row>
    <row r="237">
      <c r="A237" s="14" t="inlineStr">
        <is>
          <t>Junio</t>
        </is>
      </c>
      <c r="B237" s="17" t="n"/>
      <c r="C237" s="14" t="n"/>
      <c r="D237" s="27" t="n"/>
      <c r="E237" s="28" t="n"/>
      <c r="F237" s="15">
        <f>IF(OR(D237&lt;&gt;"",E237&lt;&gt;""),IF(D237="",0,D237)+IF(E237="",0,E237),"")</f>
        <v/>
      </c>
      <c r="G237" s="14" t="n"/>
    </row>
    <row r="238">
      <c r="A238" s="14" t="inlineStr">
        <is>
          <t>Junio</t>
        </is>
      </c>
      <c r="B238" s="17" t="n"/>
      <c r="C238" s="14" t="n"/>
      <c r="D238" s="27" t="n"/>
      <c r="E238" s="28" t="n"/>
      <c r="F238" s="15">
        <f>IF(OR(D238&lt;&gt;"",E238&lt;&gt;""),IF(D238="",0,D238)+IF(E238="",0,E238),"")</f>
        <v/>
      </c>
      <c r="G238" s="14" t="n"/>
    </row>
    <row r="239">
      <c r="A239" s="14" t="inlineStr">
        <is>
          <t>Junio</t>
        </is>
      </c>
      <c r="B239" s="17" t="n"/>
      <c r="C239" s="14" t="n"/>
      <c r="D239" s="27" t="n"/>
      <c r="E239" s="28" t="n"/>
      <c r="F239" s="15">
        <f>IF(OR(D239&lt;&gt;"",E239&lt;&gt;""),IF(D239="",0,D239)+IF(E239="",0,E239),"")</f>
        <v/>
      </c>
      <c r="G239" s="14" t="n"/>
    </row>
    <row r="240">
      <c r="A240" s="14" t="inlineStr">
        <is>
          <t>Junio</t>
        </is>
      </c>
      <c r="B240" s="17" t="n"/>
      <c r="C240" s="14" t="n"/>
      <c r="D240" s="27" t="n"/>
      <c r="E240" s="28" t="n"/>
      <c r="F240" s="15">
        <f>IF(OR(D240&lt;&gt;"",E240&lt;&gt;""),IF(D240="",0,D240)+IF(E240="",0,E240),"")</f>
        <v/>
      </c>
      <c r="G240" s="14" t="n"/>
    </row>
    <row r="241">
      <c r="A241" s="14" t="inlineStr">
        <is>
          <t>Junio</t>
        </is>
      </c>
      <c r="B241" s="17" t="n"/>
      <c r="C241" s="14" t="n"/>
      <c r="D241" s="27" t="n"/>
      <c r="E241" s="28" t="n"/>
      <c r="F241" s="15">
        <f>IF(OR(D241&lt;&gt;"",E241&lt;&gt;""),IF(D241="",0,D241)+IF(E241="",0,E241),"")</f>
        <v/>
      </c>
      <c r="G241" s="14" t="n"/>
    </row>
    <row r="242">
      <c r="A242" s="14" t="inlineStr">
        <is>
          <t>Junio</t>
        </is>
      </c>
      <c r="B242" s="17" t="n"/>
      <c r="C242" s="14" t="n"/>
      <c r="D242" s="27" t="n"/>
      <c r="E242" s="28" t="n"/>
      <c r="F242" s="15">
        <f>IF(OR(D242&lt;&gt;"",E242&lt;&gt;""),IF(D242="",0,D242)+IF(E242="",0,E242),"")</f>
        <v/>
      </c>
      <c r="G242" s="14" t="n"/>
    </row>
    <row r="243">
      <c r="A243" s="14" t="inlineStr">
        <is>
          <t>Junio</t>
        </is>
      </c>
      <c r="B243" s="17" t="n"/>
      <c r="C243" s="14" t="n"/>
      <c r="D243" s="27" t="n"/>
      <c r="E243" s="28" t="n"/>
      <c r="F243" s="15">
        <f>IF(OR(D243&lt;&gt;"",E243&lt;&gt;""),IF(D243="",0,D243)+IF(E243="",0,E243),"")</f>
        <v/>
      </c>
      <c r="G243" s="14" t="n"/>
    </row>
    <row r="244">
      <c r="A244" s="14" t="inlineStr">
        <is>
          <t>Junio</t>
        </is>
      </c>
      <c r="B244" s="17" t="n"/>
      <c r="C244" s="14" t="n"/>
      <c r="D244" s="27" t="n"/>
      <c r="E244" s="28" t="n"/>
      <c r="F244" s="15">
        <f>IF(OR(D244&lt;&gt;"",E244&lt;&gt;""),IF(D244="",0,D244)+IF(E244="",0,E244),"")</f>
        <v/>
      </c>
      <c r="G244" s="14" t="n"/>
    </row>
    <row r="245">
      <c r="A245" s="14" t="inlineStr">
        <is>
          <t>Junio</t>
        </is>
      </c>
      <c r="B245" s="17" t="n"/>
      <c r="C245" s="14" t="n"/>
      <c r="D245" s="27" t="n"/>
      <c r="E245" s="28" t="n"/>
      <c r="F245" s="15">
        <f>IF(OR(D245&lt;&gt;"",E245&lt;&gt;""),IF(D245="",0,D245)+IF(E245="",0,E245),"")</f>
        <v/>
      </c>
      <c r="G245" s="14" t="n"/>
    </row>
    <row r="246">
      <c r="A246" s="14" t="inlineStr">
        <is>
          <t>Junio</t>
        </is>
      </c>
      <c r="B246" s="17" t="n"/>
      <c r="C246" s="14" t="n"/>
      <c r="D246" s="27" t="n"/>
      <c r="E246" s="28" t="n"/>
      <c r="F246" s="15">
        <f>IF(OR(D246&lt;&gt;"",E246&lt;&gt;""),IF(D246="",0,D246)+IF(E246="",0,E246),"")</f>
        <v/>
      </c>
      <c r="G246" s="14" t="n"/>
    </row>
    <row r="247">
      <c r="A247" s="14" t="inlineStr">
        <is>
          <t>Junio</t>
        </is>
      </c>
      <c r="B247" s="17" t="n"/>
      <c r="C247" s="14" t="n"/>
      <c r="D247" s="27" t="n"/>
      <c r="E247" s="28" t="n"/>
      <c r="F247" s="15">
        <f>IF(OR(D247&lt;&gt;"",E247&lt;&gt;""),IF(D247="",0,D247)+IF(E247="",0,E247),"")</f>
        <v/>
      </c>
      <c r="G247" s="14" t="n"/>
    </row>
    <row r="248">
      <c r="A248" s="14" t="inlineStr">
        <is>
          <t>Junio</t>
        </is>
      </c>
      <c r="B248" s="17" t="n"/>
      <c r="C248" s="14" t="n"/>
      <c r="D248" s="27" t="n"/>
      <c r="E248" s="28" t="n"/>
      <c r="F248" s="15">
        <f>IF(OR(D248&lt;&gt;"",E248&lt;&gt;""),IF(D248="",0,D248)+IF(E248="",0,E248),"")</f>
        <v/>
      </c>
      <c r="G248" s="14" t="n"/>
    </row>
    <row r="249">
      <c r="A249" s="14" t="inlineStr">
        <is>
          <t>Junio</t>
        </is>
      </c>
      <c r="B249" s="17" t="n"/>
      <c r="C249" s="14" t="n"/>
      <c r="D249" s="27" t="n"/>
      <c r="E249" s="28" t="n"/>
      <c r="F249" s="15">
        <f>IF(OR(D249&lt;&gt;"",E249&lt;&gt;""),IF(D249="",0,D249)+IF(E249="",0,E249),"")</f>
        <v/>
      </c>
      <c r="G249" s="14" t="n"/>
    </row>
    <row r="250">
      <c r="A250" s="14" t="inlineStr">
        <is>
          <t>Junio</t>
        </is>
      </c>
      <c r="B250" s="17" t="n"/>
      <c r="C250" s="14" t="n"/>
      <c r="D250" s="27" t="n"/>
      <c r="E250" s="28" t="n"/>
      <c r="F250" s="15">
        <f>IF(OR(D250&lt;&gt;"",E250&lt;&gt;""),IF(D250="",0,D250)+IF(E250="",0,E250),"")</f>
        <v/>
      </c>
      <c r="G250" s="14" t="n"/>
    </row>
    <row r="251">
      <c r="A251" s="14" t="inlineStr">
        <is>
          <t>Junio</t>
        </is>
      </c>
      <c r="B251" s="17" t="n"/>
      <c r="C251" s="14" t="n"/>
      <c r="D251" s="27" t="n"/>
      <c r="E251" s="28" t="n"/>
      <c r="F251" s="15">
        <f>IF(OR(D251&lt;&gt;"",E251&lt;&gt;""),IF(D251="",0,D251)+IF(E251="",0,E251),"")</f>
        <v/>
      </c>
      <c r="G251" s="14" t="n"/>
    </row>
    <row r="252">
      <c r="A252" s="14" t="inlineStr">
        <is>
          <t>Junio</t>
        </is>
      </c>
      <c r="B252" s="17" t="n"/>
      <c r="C252" s="14" t="n"/>
      <c r="D252" s="27" t="n"/>
      <c r="E252" s="28" t="n"/>
      <c r="F252" s="15">
        <f>IF(OR(D252&lt;&gt;"",E252&lt;&gt;""),IF(D252="",0,D252)+IF(E252="",0,E252),"")</f>
        <v/>
      </c>
      <c r="G252" s="14" t="n"/>
    </row>
    <row r="253">
      <c r="A253" s="14" t="inlineStr">
        <is>
          <t>Junio</t>
        </is>
      </c>
      <c r="B253" s="17" t="n"/>
      <c r="C253" s="14" t="n"/>
      <c r="D253" s="27" t="n"/>
      <c r="E253" s="28" t="n"/>
      <c r="F253" s="15">
        <f>IF(OR(D253&lt;&gt;"",E253&lt;&gt;""),IF(D253="",0,D253)+IF(E253="",0,E253),"")</f>
        <v/>
      </c>
      <c r="G253" s="14" t="n"/>
    </row>
    <row r="254">
      <c r="A254" s="10" t="inlineStr">
        <is>
          <t>TOTAL JUNIO</t>
        </is>
      </c>
      <c r="B254" s="22" t="n"/>
      <c r="C254" s="29" t="inlineStr">
        <is>
          <t>Totales mes →</t>
        </is>
      </c>
      <c r="D254" s="7">
        <f>SUM(D214:D253)</f>
        <v/>
      </c>
      <c r="E254" s="7">
        <f>SUM(E214:E253)</f>
        <v/>
      </c>
      <c r="F254" s="7">
        <f>D254+E254</f>
        <v/>
      </c>
      <c r="G254" s="22" t="n"/>
    </row>
    <row r="256">
      <c r="A256" s="14" t="inlineStr">
        <is>
          <t>Julio</t>
        </is>
      </c>
      <c r="B256" s="17" t="n"/>
      <c r="C256" s="14" t="inlineStr">
        <is>
          <t>Repuesto sifón cocina</t>
        </is>
      </c>
      <c r="D256" s="27" t="n">
        <v>20000</v>
      </c>
      <c r="E256" s="28" t="n"/>
      <c r="F256" s="15">
        <f>IF(OR(D256&lt;&gt;"",E256&lt;&gt;""),IF(D256="",0,D256)+IF(E256="",0,E256),"")</f>
        <v/>
      </c>
      <c r="G256" s="14" t="n"/>
    </row>
    <row r="257">
      <c r="A257" s="14" t="inlineStr">
        <is>
          <t>Julio</t>
        </is>
      </c>
      <c r="B257" s="17" t="n"/>
      <c r="C257" s="14" t="inlineStr">
        <is>
          <t>Verdulería</t>
        </is>
      </c>
      <c r="D257" s="27" t="n">
        <v>8400</v>
      </c>
      <c r="E257" s="28" t="n"/>
      <c r="F257" s="15">
        <f>IF(OR(D257&lt;&gt;"",E257&lt;&gt;""),IF(D257="",0,D257)+IF(E257="",0,E257),"")</f>
        <v/>
      </c>
      <c r="G257" s="14" t="inlineStr">
        <is>
          <t>COMIDA · VERDULERÍA</t>
        </is>
      </c>
    </row>
    <row r="258">
      <c r="A258" s="14" t="inlineStr">
        <is>
          <t>Julio</t>
        </is>
      </c>
      <c r="B258" s="17" t="n"/>
      <c r="C258" s="14" t="inlineStr">
        <is>
          <t>Supermercado</t>
        </is>
      </c>
      <c r="D258" s="27" t="n">
        <v>70000</v>
      </c>
      <c r="E258" s="28" t="n"/>
      <c r="F258" s="15">
        <f>IF(OR(D258&lt;&gt;"",E258&lt;&gt;""),IF(D258="",0,D258)+IF(E258="",0,E258),"")</f>
        <v/>
      </c>
      <c r="G258" s="14" t="inlineStr">
        <is>
          <t>SUPERMERCADO</t>
        </is>
      </c>
    </row>
    <row r="259">
      <c r="A259" s="14" t="inlineStr">
        <is>
          <t>Julio</t>
        </is>
      </c>
      <c r="B259" s="17" t="n"/>
      <c r="C259" s="14" t="inlineStr">
        <is>
          <t>Supermercado Coto</t>
        </is>
      </c>
      <c r="D259" s="27" t="n">
        <v>234000</v>
      </c>
      <c r="E259" s="28" t="n"/>
      <c r="F259" s="15">
        <f>IF(OR(D259&lt;&gt;"",E259&lt;&gt;""),IF(D259="",0,D259)+IF(E259="",0,E259),"")</f>
        <v/>
      </c>
      <c r="G259" s="14" t="inlineStr">
        <is>
          <t>SUPERMERCADO · Coto</t>
        </is>
      </c>
    </row>
    <row r="260">
      <c r="A260" s="14" t="inlineStr">
        <is>
          <t>Julio</t>
        </is>
      </c>
      <c r="B260" s="17" t="n"/>
      <c r="C260" s="14" t="inlineStr">
        <is>
          <t>Día partido</t>
        </is>
      </c>
      <c r="D260" s="27" t="n">
        <v>140000</v>
      </c>
      <c r="E260" s="28" t="n"/>
      <c r="F260" s="15">
        <f>IF(OR(D260&lt;&gt;"",E260&lt;&gt;""),IF(D260="",0,D260)+IF(E260="",0,E260),"")</f>
        <v/>
      </c>
      <c r="G260" s="14" t="inlineStr">
        <is>
          <t>SUPERMERCADO · Día</t>
        </is>
      </c>
    </row>
    <row r="261">
      <c r="A261" s="14" t="inlineStr">
        <is>
          <t>Julio</t>
        </is>
      </c>
      <c r="B261" s="17" t="n">
        <v>46220</v>
      </c>
      <c r="C261" s="14" t="inlineStr">
        <is>
          <t>PedidosYa</t>
        </is>
      </c>
      <c r="D261" s="27" t="n">
        <v>73345</v>
      </c>
      <c r="E261" s="28" t="n"/>
      <c r="F261" s="15">
        <f>IF(OR(D261&lt;&gt;"",E261&lt;&gt;""),IF(D261="",0,D261)+IF(E261="",0,E261),"")</f>
        <v/>
      </c>
      <c r="G261" s="14" t="inlineStr">
        <is>
          <t>PEDIDOS YA · COMIDA</t>
        </is>
      </c>
    </row>
    <row r="262">
      <c r="A262" s="14" t="inlineStr">
        <is>
          <t>Julio</t>
        </is>
      </c>
      <c r="B262" s="17" t="n">
        <v>46216</v>
      </c>
      <c r="C262" s="14" t="inlineStr">
        <is>
          <t>Carnes Tito</t>
        </is>
      </c>
      <c r="D262" s="27" t="n">
        <v>8160</v>
      </c>
      <c r="E262" s="28" t="n"/>
      <c r="F262" s="15">
        <f>IF(OR(D262&lt;&gt;"",E262&lt;&gt;""),IF(D262="",0,D262)+IF(E262="",0,E262),"")</f>
        <v/>
      </c>
      <c r="G262" s="14" t="inlineStr">
        <is>
          <t>MP · carnicería</t>
        </is>
      </c>
    </row>
    <row r="263">
      <c r="A263" s="14" t="inlineStr">
        <is>
          <t>Julio</t>
        </is>
      </c>
      <c r="B263" s="17" t="n">
        <v>46214</v>
      </c>
      <c r="C263" s="14" t="inlineStr">
        <is>
          <t>Valenti</t>
        </is>
      </c>
      <c r="D263" s="27" t="n">
        <v>11375</v>
      </c>
      <c r="E263" s="28" t="n"/>
      <c r="F263" s="15">
        <f>IF(OR(D263&lt;&gt;"",E263&lt;&gt;""),IF(D263="",0,D263)+IF(E263="",0,E263),"")</f>
        <v/>
      </c>
      <c r="G263" s="14" t="inlineStr">
        <is>
          <t>COMIDA · VALENTI SA</t>
        </is>
      </c>
    </row>
    <row r="264">
      <c r="A264" s="14" t="inlineStr">
        <is>
          <t>Julio</t>
        </is>
      </c>
      <c r="B264" s="17" t="n">
        <v>46212</v>
      </c>
      <c r="C264" s="14" t="inlineStr">
        <is>
          <t>Valenti Sa</t>
        </is>
      </c>
      <c r="D264" s="27" t="n">
        <v>26400</v>
      </c>
      <c r="E264" s="28" t="n"/>
      <c r="F264" s="15">
        <f>IF(OR(D264&lt;&gt;"",E264&lt;&gt;""),IF(D264="",0,D264)+IF(E264="",0,E264),"")</f>
        <v/>
      </c>
      <c r="G264" s="14" t="inlineStr">
        <is>
          <t>COMIDA · VALENTI SA</t>
        </is>
      </c>
    </row>
    <row r="265">
      <c r="A265" s="14" t="n"/>
      <c r="B265" s="17" t="n"/>
      <c r="C265" s="14" t="n"/>
      <c r="D265" s="27" t="n"/>
      <c r="E265" s="28" t="n"/>
      <c r="F265" s="15" t="n"/>
      <c r="G265" s="14" t="n"/>
    </row>
    <row r="266">
      <c r="A266" s="14" t="inlineStr">
        <is>
          <t>Julio</t>
        </is>
      </c>
      <c r="B266" s="17" t="n">
        <v>46209</v>
      </c>
      <c r="C266" s="14" t="inlineStr">
        <is>
          <t>Le Pain Quotidien</t>
        </is>
      </c>
      <c r="D266" s="27" t="n">
        <v>3295</v>
      </c>
      <c r="E266" s="28" t="n"/>
      <c r="F266" s="15">
        <f>IF(OR(D266&lt;&gt;"",E266&lt;&gt;""),IF(D266="",0,D266)+IF(E266="",0,E266),"")</f>
        <v/>
      </c>
      <c r="G266" s="14" t="inlineStr">
        <is>
          <t>MP · panadería</t>
        </is>
      </c>
    </row>
    <row r="267">
      <c r="A267" s="14" t="inlineStr">
        <is>
          <t>Julio</t>
        </is>
      </c>
      <c r="B267" s="17" t="n">
        <v>46207</v>
      </c>
      <c r="C267" s="14" t="inlineStr">
        <is>
          <t>PedidosYa Propina</t>
        </is>
      </c>
      <c r="D267" s="27" t="n">
        <v>1200</v>
      </c>
      <c r="E267" s="28" t="n"/>
      <c r="F267" s="15">
        <f>IF(OR(D267&lt;&gt;"",E267&lt;&gt;""),IF(D267="",0,D267)+IF(E267="",0,E267),"")</f>
        <v/>
      </c>
      <c r="G267" s="14" t="inlineStr">
        <is>
          <t>PEDIDOS YA · COMIDA · propina</t>
        </is>
      </c>
    </row>
    <row r="268">
      <c r="A268" s="14" t="inlineStr">
        <is>
          <t>Julio</t>
        </is>
      </c>
      <c r="B268" s="17" t="n">
        <v>46207</v>
      </c>
      <c r="C268" s="14" t="inlineStr">
        <is>
          <t>PedidosYa</t>
        </is>
      </c>
      <c r="D268" s="27" t="n">
        <v>31799</v>
      </c>
      <c r="E268" s="28" t="n"/>
      <c r="F268" s="15">
        <f>IF(OR(D268&lt;&gt;"",E268&lt;&gt;""),IF(D268="",0,D268)+IF(E268="",0,E268),"")</f>
        <v/>
      </c>
      <c r="G268" s="14" t="inlineStr">
        <is>
          <t>PEDIDOS YA · COMIDA</t>
        </is>
      </c>
    </row>
    <row r="269">
      <c r="A269" s="14" t="inlineStr">
        <is>
          <t>Julio</t>
        </is>
      </c>
      <c r="B269" s="17" t="n">
        <v>46206</v>
      </c>
      <c r="C269" s="14" t="inlineStr">
        <is>
          <t>Todo Tartas</t>
        </is>
      </c>
      <c r="D269" s="27" t="n">
        <v>9690</v>
      </c>
      <c r="E269" s="28" t="n"/>
      <c r="F269" s="15">
        <f>IF(OR(D269&lt;&gt;"",E269&lt;&gt;""),IF(D269="",0,D269)+IF(E269="",0,E269),"")</f>
        <v/>
      </c>
      <c r="G269" s="14" t="inlineStr">
        <is>
          <t>MP · panadería</t>
        </is>
      </c>
    </row>
    <row r="270">
      <c r="A270" s="14" t="inlineStr">
        <is>
          <t>Julio</t>
        </is>
      </c>
      <c r="B270" s="17" t="n">
        <v>46220</v>
      </c>
      <c r="C270" s="14" t="inlineStr">
        <is>
          <t>Chocolates CHIAZZA (Florencia Londero)</t>
        </is>
      </c>
      <c r="D270" s="27" t="n">
        <v>8000</v>
      </c>
      <c r="E270" s="28" t="n"/>
      <c r="F270" s="15">
        <f>IF(OR(D270&lt;&gt;"",E270&lt;&gt;""),IF(D270="",0,D270)+IF(E270="",0,E270),"")</f>
        <v/>
      </c>
      <c r="G270" s="14" t="inlineStr">
        <is>
          <t>COMIDA · Chocolates CHIAZZA</t>
        </is>
      </c>
    </row>
    <row r="271">
      <c r="A271" s="14" t="inlineStr">
        <is>
          <t>Julio</t>
        </is>
      </c>
      <c r="B271" s="17" t="n">
        <v>46217</v>
      </c>
      <c r="C271" s="14" t="inlineStr">
        <is>
          <t>Verdulería (Noelia Caballero)</t>
        </is>
      </c>
      <c r="D271" s="27" t="n">
        <v>8977</v>
      </c>
      <c r="E271" s="28" t="n"/>
      <c r="F271" s="15">
        <f>IF(OR(D271&lt;&gt;"",E271&lt;&gt;""),IF(D271="",0,D271)+IF(E271="",0,E271),"")</f>
        <v/>
      </c>
      <c r="G271" s="14" t="inlineStr">
        <is>
          <t>COMIDA · VERDULERÍA</t>
        </is>
      </c>
    </row>
    <row r="272">
      <c r="A272" s="14" t="inlineStr">
        <is>
          <t>Julio</t>
        </is>
      </c>
      <c r="B272" s="17" t="n">
        <v>46214</v>
      </c>
      <c r="C272" s="14" t="inlineStr">
        <is>
          <t>Nemuri Sushi</t>
        </is>
      </c>
      <c r="D272" s="27" t="n">
        <v>195360</v>
      </c>
      <c r="E272" s="28" t="n"/>
      <c r="F272" s="15">
        <f>IF(OR(D272&lt;&gt;"",E272&lt;&gt;""),IF(D272="",0,D272)+IF(E272="",0,E272),"")</f>
        <v/>
      </c>
      <c r="G272" s="14" t="inlineStr">
        <is>
          <t>COMIDA · SUSHI</t>
        </is>
      </c>
    </row>
    <row r="273">
      <c r="A273" s="14" t="inlineStr">
        <is>
          <t>Julio</t>
        </is>
      </c>
      <c r="B273" s="17" t="n"/>
      <c r="C273" s="14" t="n"/>
      <c r="D273" s="27" t="n"/>
      <c r="E273" s="28" t="n"/>
      <c r="F273" s="15">
        <f>IF(OR(D273&lt;&gt;"",E273&lt;&gt;""),IF(D273="",0,D273)+IF(E273="",0,E273),"")</f>
        <v/>
      </c>
      <c r="G273" s="14" t="n"/>
    </row>
    <row r="274">
      <c r="A274" s="14" t="inlineStr">
        <is>
          <t>Julio</t>
        </is>
      </c>
      <c r="B274" s="17" t="n"/>
      <c r="C274" s="14" t="n"/>
      <c r="D274" s="27" t="n"/>
      <c r="E274" s="28" t="n"/>
      <c r="F274" s="15">
        <f>IF(OR(D274&lt;&gt;"",E274&lt;&gt;""),IF(D274="",0,D274)+IF(E274="",0,E274),"")</f>
        <v/>
      </c>
      <c r="G274" s="14" t="n"/>
    </row>
    <row r="275">
      <c r="A275" s="14" t="inlineStr">
        <is>
          <t>Julio</t>
        </is>
      </c>
      <c r="B275" s="17" t="n"/>
      <c r="C275" s="14" t="n"/>
      <c r="D275" s="27" t="n"/>
      <c r="E275" s="28" t="n"/>
      <c r="F275" s="15">
        <f>IF(OR(D275&lt;&gt;"",E275&lt;&gt;""),IF(D275="",0,D275)+IF(E275="",0,E275),"")</f>
        <v/>
      </c>
      <c r="G275" s="14" t="n"/>
    </row>
    <row r="276">
      <c r="A276" s="14" t="inlineStr">
        <is>
          <t>Julio</t>
        </is>
      </c>
      <c r="B276" s="17" t="n"/>
      <c r="C276" s="14" t="n"/>
      <c r="D276" s="27" t="n"/>
      <c r="E276" s="28" t="n"/>
      <c r="F276" s="15">
        <f>IF(OR(D276&lt;&gt;"",E276&lt;&gt;""),IF(D276="",0,D276)+IF(E276="",0,E276),"")</f>
        <v/>
      </c>
      <c r="G276" s="14" t="n"/>
    </row>
    <row r="277">
      <c r="A277" s="14" t="inlineStr">
        <is>
          <t>Julio</t>
        </is>
      </c>
      <c r="B277" s="17" t="n"/>
      <c r="C277" s="14" t="n"/>
      <c r="D277" s="27" t="n"/>
      <c r="E277" s="28" t="n"/>
      <c r="F277" s="15">
        <f>IF(OR(D277&lt;&gt;"",E277&lt;&gt;""),IF(D277="",0,D277)+IF(E277="",0,E277),"")</f>
        <v/>
      </c>
      <c r="G277" s="14" t="n"/>
    </row>
    <row r="278">
      <c r="A278" s="14" t="inlineStr">
        <is>
          <t>Julio</t>
        </is>
      </c>
      <c r="B278" s="17" t="n"/>
      <c r="C278" s="14" t="n"/>
      <c r="D278" s="27" t="n"/>
      <c r="E278" s="28" t="n"/>
      <c r="F278" s="15">
        <f>IF(OR(D278&lt;&gt;"",E278&lt;&gt;""),IF(D278="",0,D278)+IF(E278="",0,E278),"")</f>
        <v/>
      </c>
      <c r="G278" s="14" t="n"/>
    </row>
    <row r="279">
      <c r="A279" s="14" t="inlineStr">
        <is>
          <t>Julio</t>
        </is>
      </c>
      <c r="B279" s="17" t="n"/>
      <c r="C279" s="14" t="n"/>
      <c r="D279" s="27" t="n"/>
      <c r="E279" s="28" t="n"/>
      <c r="F279" s="15">
        <f>IF(OR(D279&lt;&gt;"",E279&lt;&gt;""),IF(D279="",0,D279)+IF(E279="",0,E279),"")</f>
        <v/>
      </c>
      <c r="G279" s="14" t="n"/>
    </row>
    <row r="280">
      <c r="A280" s="14" t="inlineStr">
        <is>
          <t>Julio</t>
        </is>
      </c>
      <c r="B280" s="17" t="n"/>
      <c r="C280" s="14" t="n"/>
      <c r="D280" s="27" t="n"/>
      <c r="E280" s="28" t="n"/>
      <c r="F280" s="15">
        <f>IF(OR(D280&lt;&gt;"",E280&lt;&gt;""),IF(D280="",0,D280)+IF(E280="",0,E280),"")</f>
        <v/>
      </c>
      <c r="G280" s="14" t="n"/>
    </row>
    <row r="281">
      <c r="A281" s="14" t="inlineStr">
        <is>
          <t>Julio</t>
        </is>
      </c>
      <c r="B281" s="17" t="n"/>
      <c r="C281" s="14" t="n"/>
      <c r="D281" s="27" t="n"/>
      <c r="E281" s="28" t="n"/>
      <c r="F281" s="15">
        <f>IF(OR(D281&lt;&gt;"",E281&lt;&gt;""),IF(D281="",0,D281)+IF(E281="",0,E281),"")</f>
        <v/>
      </c>
      <c r="G281" s="14" t="n"/>
    </row>
    <row r="282">
      <c r="A282" s="14" t="inlineStr">
        <is>
          <t>Julio</t>
        </is>
      </c>
      <c r="B282" s="17" t="n"/>
      <c r="C282" s="14" t="n"/>
      <c r="D282" s="27" t="n"/>
      <c r="E282" s="28" t="n"/>
      <c r="F282" s="15">
        <f>IF(OR(D282&lt;&gt;"",E282&lt;&gt;""),IF(D282="",0,D282)+IF(E282="",0,E282),"")</f>
        <v/>
      </c>
      <c r="G282" s="14" t="n"/>
    </row>
    <row r="283">
      <c r="A283" s="14" t="inlineStr">
        <is>
          <t>Julio</t>
        </is>
      </c>
      <c r="B283" s="17" t="n"/>
      <c r="C283" s="14" t="n"/>
      <c r="D283" s="27" t="n"/>
      <c r="E283" s="28" t="n"/>
      <c r="F283" s="15">
        <f>IF(OR(D283&lt;&gt;"",E283&lt;&gt;""),IF(D283="",0,D283)+IF(E283="",0,E283),"")</f>
        <v/>
      </c>
      <c r="G283" s="14" t="n"/>
    </row>
    <row r="284">
      <c r="A284" s="14" t="inlineStr">
        <is>
          <t>Julio</t>
        </is>
      </c>
      <c r="B284" s="17" t="n"/>
      <c r="C284" s="14" t="n"/>
      <c r="D284" s="27" t="n"/>
      <c r="E284" s="28" t="n"/>
      <c r="F284" s="15">
        <f>IF(OR(D284&lt;&gt;"",E284&lt;&gt;""),IF(D284="",0,D284)+IF(E284="",0,E284),"")</f>
        <v/>
      </c>
      <c r="G284" s="14" t="n"/>
    </row>
    <row r="285">
      <c r="A285" s="14" t="inlineStr">
        <is>
          <t>Julio</t>
        </is>
      </c>
      <c r="B285" s="17" t="n"/>
      <c r="C285" s="14" t="n"/>
      <c r="D285" s="27" t="n"/>
      <c r="E285" s="28" t="n"/>
      <c r="F285" s="15">
        <f>IF(OR(D285&lt;&gt;"",E285&lt;&gt;""),IF(D285="",0,D285)+IF(E285="",0,E285),"")</f>
        <v/>
      </c>
      <c r="G285" s="14" t="n"/>
    </row>
    <row r="286">
      <c r="A286" s="14" t="inlineStr">
        <is>
          <t>Julio</t>
        </is>
      </c>
      <c r="B286" s="17" t="n"/>
      <c r="C286" s="14" t="n"/>
      <c r="D286" s="27" t="n"/>
      <c r="E286" s="28" t="n"/>
      <c r="F286" s="15">
        <f>IF(OR(D286&lt;&gt;"",E286&lt;&gt;""),IF(D286="",0,D286)+IF(E286="",0,E286),"")</f>
        <v/>
      </c>
      <c r="G286" s="14" t="n"/>
    </row>
    <row r="287">
      <c r="A287" s="14" t="inlineStr">
        <is>
          <t>Julio</t>
        </is>
      </c>
      <c r="B287" s="17" t="n"/>
      <c r="C287" s="14" t="n"/>
      <c r="D287" s="27" t="n"/>
      <c r="E287" s="28" t="n"/>
      <c r="F287" s="15">
        <f>IF(OR(D287&lt;&gt;"",E287&lt;&gt;""),IF(D287="",0,D287)+IF(E287="",0,E287),"")</f>
        <v/>
      </c>
      <c r="G287" s="14" t="n"/>
    </row>
    <row r="288">
      <c r="A288" s="14" t="inlineStr">
        <is>
          <t>Julio</t>
        </is>
      </c>
      <c r="B288" s="17" t="n"/>
      <c r="C288" s="14" t="n"/>
      <c r="D288" s="27" t="n"/>
      <c r="E288" s="28" t="n"/>
      <c r="F288" s="15">
        <f>IF(OR(D288&lt;&gt;"",E288&lt;&gt;""),IF(D288="",0,D288)+IF(E288="",0,E288),"")</f>
        <v/>
      </c>
      <c r="G288" s="14" t="n"/>
    </row>
    <row r="289">
      <c r="A289" s="14" t="inlineStr">
        <is>
          <t>Julio</t>
        </is>
      </c>
      <c r="B289" s="17" t="n"/>
      <c r="C289" s="14" t="n"/>
      <c r="D289" s="27" t="n"/>
      <c r="E289" s="28" t="n"/>
      <c r="F289" s="15">
        <f>IF(OR(D289&lt;&gt;"",E289&lt;&gt;""),IF(D289="",0,D289)+IF(E289="",0,E289),"")</f>
        <v/>
      </c>
      <c r="G289" s="14" t="n"/>
    </row>
    <row r="290">
      <c r="A290" s="14" t="inlineStr">
        <is>
          <t>Julio</t>
        </is>
      </c>
      <c r="B290" s="17" t="n"/>
      <c r="C290" s="14" t="n"/>
      <c r="D290" s="27" t="n"/>
      <c r="E290" s="28" t="n"/>
      <c r="F290" s="15">
        <f>IF(OR(D290&lt;&gt;"",E290&lt;&gt;""),IF(D290="",0,D290)+IF(E290="",0,E290),"")</f>
        <v/>
      </c>
      <c r="G290" s="14" t="n"/>
    </row>
    <row r="291">
      <c r="A291" s="14" t="inlineStr">
        <is>
          <t>Julio</t>
        </is>
      </c>
      <c r="B291" s="17" t="n"/>
      <c r="C291" s="14" t="n"/>
      <c r="D291" s="27" t="n"/>
      <c r="E291" s="28" t="n"/>
      <c r="F291" s="15">
        <f>IF(OR(D291&lt;&gt;"",E291&lt;&gt;""),IF(D291="",0,D291)+IF(E291="",0,E291),"")</f>
        <v/>
      </c>
      <c r="G291" s="14" t="n"/>
    </row>
    <row r="292">
      <c r="A292" s="14" t="inlineStr">
        <is>
          <t>Julio</t>
        </is>
      </c>
      <c r="B292" s="17" t="n"/>
      <c r="C292" s="14" t="n"/>
      <c r="D292" s="27" t="n"/>
      <c r="E292" s="28" t="n"/>
      <c r="F292" s="15">
        <f>IF(OR(D292&lt;&gt;"",E292&lt;&gt;""),IF(D292="",0,D292)+IF(E292="",0,E292),"")</f>
        <v/>
      </c>
      <c r="G292" s="14" t="n"/>
    </row>
    <row r="293">
      <c r="A293" s="14" t="inlineStr">
        <is>
          <t>Julio</t>
        </is>
      </c>
      <c r="B293" s="17" t="n"/>
      <c r="C293" s="14" t="n"/>
      <c r="D293" s="27" t="n"/>
      <c r="E293" s="28" t="n"/>
      <c r="F293" s="15">
        <f>IF(OR(D293&lt;&gt;"",E293&lt;&gt;""),IF(D293="",0,D293)+IF(E293="",0,E293),"")</f>
        <v/>
      </c>
      <c r="G293" s="14" t="n"/>
    </row>
    <row r="294">
      <c r="A294" s="14" t="inlineStr">
        <is>
          <t>Julio</t>
        </is>
      </c>
      <c r="B294" s="17" t="n"/>
      <c r="C294" s="14" t="n"/>
      <c r="D294" s="27" t="n"/>
      <c r="E294" s="28" t="n"/>
      <c r="F294" s="15">
        <f>IF(OR(D294&lt;&gt;"",E294&lt;&gt;""),IF(D294="",0,D294)+IF(E294="",0,E294),"")</f>
        <v/>
      </c>
      <c r="G294" s="14" t="n"/>
    </row>
    <row r="295">
      <c r="A295" s="14" t="inlineStr">
        <is>
          <t>Julio</t>
        </is>
      </c>
      <c r="B295" s="17" t="n"/>
      <c r="C295" s="14" t="n"/>
      <c r="D295" s="27" t="n"/>
      <c r="E295" s="28" t="n"/>
      <c r="F295" s="15">
        <f>IF(OR(D295&lt;&gt;"",E295&lt;&gt;""),IF(D295="",0,D295)+IF(E295="",0,E295),"")</f>
        <v/>
      </c>
      <c r="G295" s="14" t="n"/>
    </row>
    <row r="296">
      <c r="A296" s="10" t="inlineStr">
        <is>
          <t>TOTAL JULIO</t>
        </is>
      </c>
      <c r="B296" s="22" t="n"/>
      <c r="C296" s="29" t="inlineStr">
        <is>
          <t>Totales mes →</t>
        </is>
      </c>
      <c r="D296" s="7">
        <f>SUM(D256:D295)</f>
        <v/>
      </c>
      <c r="E296" s="7">
        <f>SUM(E256:E295)</f>
        <v/>
      </c>
      <c r="F296" s="7">
        <f>D296+E296</f>
        <v/>
      </c>
      <c r="G296" s="22" t="n"/>
    </row>
    <row r="298">
      <c r="A298" s="14" t="inlineStr">
        <is>
          <t>Agosto</t>
        </is>
      </c>
      <c r="B298" s="17" t="n"/>
      <c r="C298" s="14" t="n"/>
      <c r="D298" s="27" t="n"/>
      <c r="E298" s="28" t="n"/>
      <c r="F298" s="15">
        <f>IF(OR(D298&lt;&gt;"",E298&lt;&gt;""),IF(D298="",0,D298)+IF(E298="",0,E298),"")</f>
        <v/>
      </c>
      <c r="G298" s="14" t="n"/>
    </row>
    <row r="299">
      <c r="A299" s="14" t="inlineStr">
        <is>
          <t>Agosto</t>
        </is>
      </c>
      <c r="B299" s="17" t="n"/>
      <c r="C299" s="14" t="n"/>
      <c r="D299" s="27" t="n"/>
      <c r="E299" s="28" t="n"/>
      <c r="F299" s="15">
        <f>IF(OR(D299&lt;&gt;"",E299&lt;&gt;""),IF(D299="",0,D299)+IF(E299="",0,E299),"")</f>
        <v/>
      </c>
      <c r="G299" s="14" t="n"/>
    </row>
    <row r="300">
      <c r="A300" s="14" t="inlineStr">
        <is>
          <t>Agosto</t>
        </is>
      </c>
      <c r="B300" s="17" t="n"/>
      <c r="C300" s="14" t="n"/>
      <c r="D300" s="27" t="n"/>
      <c r="E300" s="28" t="n"/>
      <c r="F300" s="15">
        <f>IF(OR(D300&lt;&gt;"",E300&lt;&gt;""),IF(D300="",0,D300)+IF(E300="",0,E300),"")</f>
        <v/>
      </c>
      <c r="G300" s="14" t="n"/>
    </row>
    <row r="301">
      <c r="A301" s="14" t="inlineStr">
        <is>
          <t>Agosto</t>
        </is>
      </c>
      <c r="B301" s="17" t="n"/>
      <c r="C301" s="14" t="n"/>
      <c r="D301" s="27" t="n"/>
      <c r="E301" s="28" t="n"/>
      <c r="F301" s="15">
        <f>IF(OR(D301&lt;&gt;"",E301&lt;&gt;""),IF(D301="",0,D301)+IF(E301="",0,E301),"")</f>
        <v/>
      </c>
      <c r="G301" s="14" t="n"/>
    </row>
    <row r="302">
      <c r="A302" s="14" t="inlineStr">
        <is>
          <t>Agosto</t>
        </is>
      </c>
      <c r="B302" s="17" t="n"/>
      <c r="C302" s="14" t="n"/>
      <c r="D302" s="27" t="n"/>
      <c r="E302" s="28" t="n"/>
      <c r="F302" s="15">
        <f>IF(OR(D302&lt;&gt;"",E302&lt;&gt;""),IF(D302="",0,D302)+IF(E302="",0,E302),"")</f>
        <v/>
      </c>
      <c r="G302" s="14" t="n"/>
    </row>
    <row r="303">
      <c r="A303" s="14" t="inlineStr">
        <is>
          <t>Agosto</t>
        </is>
      </c>
      <c r="B303" s="17" t="n"/>
      <c r="C303" s="14" t="n"/>
      <c r="D303" s="27" t="n"/>
      <c r="E303" s="28" t="n"/>
      <c r="F303" s="15">
        <f>IF(OR(D303&lt;&gt;"",E303&lt;&gt;""),IF(D303="",0,D303)+IF(E303="",0,E303),"")</f>
        <v/>
      </c>
      <c r="G303" s="14" t="n"/>
    </row>
    <row r="304">
      <c r="A304" s="14" t="inlineStr">
        <is>
          <t>Agosto</t>
        </is>
      </c>
      <c r="B304" s="17" t="n"/>
      <c r="C304" s="14" t="n"/>
      <c r="D304" s="27" t="n"/>
      <c r="E304" s="28" t="n"/>
      <c r="F304" s="15">
        <f>IF(OR(D304&lt;&gt;"",E304&lt;&gt;""),IF(D304="",0,D304)+IF(E304="",0,E304),"")</f>
        <v/>
      </c>
      <c r="G304" s="14" t="n"/>
    </row>
    <row r="305">
      <c r="A305" s="14" t="inlineStr">
        <is>
          <t>Agosto</t>
        </is>
      </c>
      <c r="B305" s="17" t="n"/>
      <c r="C305" s="14" t="n"/>
      <c r="D305" s="27" t="n"/>
      <c r="E305" s="28" t="n"/>
      <c r="F305" s="15">
        <f>IF(OR(D305&lt;&gt;"",E305&lt;&gt;""),IF(D305="",0,D305)+IF(E305="",0,E305),"")</f>
        <v/>
      </c>
      <c r="G305" s="14" t="n"/>
    </row>
    <row r="306">
      <c r="A306" s="14" t="inlineStr">
        <is>
          <t>Agosto</t>
        </is>
      </c>
      <c r="B306" s="17" t="n"/>
      <c r="C306" s="14" t="n"/>
      <c r="D306" s="27" t="n"/>
      <c r="E306" s="28" t="n"/>
      <c r="F306" s="15">
        <f>IF(OR(D306&lt;&gt;"",E306&lt;&gt;""),IF(D306="",0,D306)+IF(E306="",0,E306),"")</f>
        <v/>
      </c>
      <c r="G306" s="14" t="n"/>
    </row>
    <row r="307">
      <c r="A307" s="14" t="inlineStr">
        <is>
          <t>Agosto</t>
        </is>
      </c>
      <c r="B307" s="17" t="n"/>
      <c r="C307" s="14" t="n"/>
      <c r="D307" s="27" t="n"/>
      <c r="E307" s="28" t="n"/>
      <c r="F307" s="15">
        <f>IF(OR(D307&lt;&gt;"",E307&lt;&gt;""),IF(D307="",0,D307)+IF(E307="",0,E307),"")</f>
        <v/>
      </c>
      <c r="G307" s="14" t="n"/>
    </row>
    <row r="308">
      <c r="A308" s="14" t="inlineStr">
        <is>
          <t>Agosto</t>
        </is>
      </c>
      <c r="B308" s="17" t="n"/>
      <c r="C308" s="14" t="n"/>
      <c r="D308" s="27" t="n"/>
      <c r="E308" s="28" t="n"/>
      <c r="F308" s="15">
        <f>IF(OR(D308&lt;&gt;"",E308&lt;&gt;""),IF(D308="",0,D308)+IF(E308="",0,E308),"")</f>
        <v/>
      </c>
      <c r="G308" s="14" t="n"/>
    </row>
    <row r="309">
      <c r="A309" s="14" t="inlineStr">
        <is>
          <t>Agosto</t>
        </is>
      </c>
      <c r="B309" s="17" t="n"/>
      <c r="C309" s="14" t="n"/>
      <c r="D309" s="27" t="n"/>
      <c r="E309" s="28" t="n"/>
      <c r="F309" s="15">
        <f>IF(OR(D309&lt;&gt;"",E309&lt;&gt;""),IF(D309="",0,D309)+IF(E309="",0,E309),"")</f>
        <v/>
      </c>
      <c r="G309" s="14" t="n"/>
    </row>
    <row r="310">
      <c r="A310" s="14" t="inlineStr">
        <is>
          <t>Agosto</t>
        </is>
      </c>
      <c r="B310" s="17" t="n"/>
      <c r="C310" s="14" t="n"/>
      <c r="D310" s="27" t="n"/>
      <c r="E310" s="28" t="n"/>
      <c r="F310" s="15">
        <f>IF(OR(D310&lt;&gt;"",E310&lt;&gt;""),IF(D310="",0,D310)+IF(E310="",0,E310),"")</f>
        <v/>
      </c>
      <c r="G310" s="14" t="n"/>
    </row>
    <row r="311">
      <c r="A311" s="14" t="inlineStr">
        <is>
          <t>Agosto</t>
        </is>
      </c>
      <c r="B311" s="17" t="n"/>
      <c r="C311" s="14" t="n"/>
      <c r="D311" s="27" t="n"/>
      <c r="E311" s="28" t="n"/>
      <c r="F311" s="15">
        <f>IF(OR(D311&lt;&gt;"",E311&lt;&gt;""),IF(D311="",0,D311)+IF(E311="",0,E311),"")</f>
        <v/>
      </c>
      <c r="G311" s="14" t="n"/>
    </row>
    <row r="312">
      <c r="A312" s="14" t="inlineStr">
        <is>
          <t>Agosto</t>
        </is>
      </c>
      <c r="B312" s="17" t="n"/>
      <c r="C312" s="14" t="n"/>
      <c r="D312" s="27" t="n"/>
      <c r="E312" s="28" t="n"/>
      <c r="F312" s="15">
        <f>IF(OR(D312&lt;&gt;"",E312&lt;&gt;""),IF(D312="",0,D312)+IF(E312="",0,E312),"")</f>
        <v/>
      </c>
      <c r="G312" s="14" t="n"/>
    </row>
    <row r="313">
      <c r="A313" s="14" t="inlineStr">
        <is>
          <t>Agosto</t>
        </is>
      </c>
      <c r="B313" s="17" t="n"/>
      <c r="C313" s="14" t="n"/>
      <c r="D313" s="27" t="n"/>
      <c r="E313" s="28" t="n"/>
      <c r="F313" s="15">
        <f>IF(OR(D313&lt;&gt;"",E313&lt;&gt;""),IF(D313="",0,D313)+IF(E313="",0,E313),"")</f>
        <v/>
      </c>
      <c r="G313" s="14" t="n"/>
    </row>
    <row r="314">
      <c r="A314" s="14" t="inlineStr">
        <is>
          <t>Agosto</t>
        </is>
      </c>
      <c r="B314" s="17" t="n"/>
      <c r="C314" s="14" t="n"/>
      <c r="D314" s="27" t="n"/>
      <c r="E314" s="28" t="n"/>
      <c r="F314" s="15">
        <f>IF(OR(D314&lt;&gt;"",E314&lt;&gt;""),IF(D314="",0,D314)+IF(E314="",0,E314),"")</f>
        <v/>
      </c>
      <c r="G314" s="14" t="n"/>
    </row>
    <row r="315">
      <c r="A315" s="14" t="inlineStr">
        <is>
          <t>Agosto</t>
        </is>
      </c>
      <c r="B315" s="17" t="n"/>
      <c r="C315" s="14" t="n"/>
      <c r="D315" s="27" t="n"/>
      <c r="E315" s="28" t="n"/>
      <c r="F315" s="15">
        <f>IF(OR(D315&lt;&gt;"",E315&lt;&gt;""),IF(D315="",0,D315)+IF(E315="",0,E315),"")</f>
        <v/>
      </c>
      <c r="G315" s="14" t="n"/>
    </row>
    <row r="316">
      <c r="A316" s="14" t="inlineStr">
        <is>
          <t>Agosto</t>
        </is>
      </c>
      <c r="B316" s="17" t="n"/>
      <c r="C316" s="14" t="n"/>
      <c r="D316" s="27" t="n"/>
      <c r="E316" s="28" t="n"/>
      <c r="F316" s="15">
        <f>IF(OR(D316&lt;&gt;"",E316&lt;&gt;""),IF(D316="",0,D316)+IF(E316="",0,E316),"")</f>
        <v/>
      </c>
      <c r="G316" s="14" t="n"/>
    </row>
    <row r="317">
      <c r="A317" s="14" t="inlineStr">
        <is>
          <t>Agosto</t>
        </is>
      </c>
      <c r="B317" s="17" t="n"/>
      <c r="C317" s="14" t="n"/>
      <c r="D317" s="27" t="n"/>
      <c r="E317" s="28" t="n"/>
      <c r="F317" s="15">
        <f>IF(OR(D317&lt;&gt;"",E317&lt;&gt;""),IF(D317="",0,D317)+IF(E317="",0,E317),"")</f>
        <v/>
      </c>
      <c r="G317" s="14" t="n"/>
    </row>
    <row r="318">
      <c r="A318" s="14" t="inlineStr">
        <is>
          <t>Agosto</t>
        </is>
      </c>
      <c r="B318" s="17" t="n"/>
      <c r="C318" s="14" t="n"/>
      <c r="D318" s="27" t="n"/>
      <c r="E318" s="28" t="n"/>
      <c r="F318" s="15">
        <f>IF(OR(D318&lt;&gt;"",E318&lt;&gt;""),IF(D318="",0,D318)+IF(E318="",0,E318),"")</f>
        <v/>
      </c>
      <c r="G318" s="14" t="n"/>
    </row>
    <row r="319">
      <c r="A319" s="14" t="inlineStr">
        <is>
          <t>Agosto</t>
        </is>
      </c>
      <c r="B319" s="17" t="n"/>
      <c r="C319" s="14" t="n"/>
      <c r="D319" s="27" t="n"/>
      <c r="E319" s="28" t="n"/>
      <c r="F319" s="15">
        <f>IF(OR(D319&lt;&gt;"",E319&lt;&gt;""),IF(D319="",0,D319)+IF(E319="",0,E319),"")</f>
        <v/>
      </c>
      <c r="G319" s="14" t="n"/>
    </row>
    <row r="320">
      <c r="A320" s="14" t="inlineStr">
        <is>
          <t>Agosto</t>
        </is>
      </c>
      <c r="B320" s="17" t="n"/>
      <c r="C320" s="14" t="n"/>
      <c r="D320" s="27" t="n"/>
      <c r="E320" s="28" t="n"/>
      <c r="F320" s="15">
        <f>IF(OR(D320&lt;&gt;"",E320&lt;&gt;""),IF(D320="",0,D320)+IF(E320="",0,E320),"")</f>
        <v/>
      </c>
      <c r="G320" s="14" t="n"/>
    </row>
    <row r="321">
      <c r="A321" s="14" t="inlineStr">
        <is>
          <t>Agosto</t>
        </is>
      </c>
      <c r="B321" s="17" t="n"/>
      <c r="C321" s="14" t="n"/>
      <c r="D321" s="27" t="n"/>
      <c r="E321" s="28" t="n"/>
      <c r="F321" s="15">
        <f>IF(OR(D321&lt;&gt;"",E321&lt;&gt;""),IF(D321="",0,D321)+IF(E321="",0,E321),"")</f>
        <v/>
      </c>
      <c r="G321" s="14" t="n"/>
    </row>
    <row r="322">
      <c r="A322" s="14" t="inlineStr">
        <is>
          <t>Agosto</t>
        </is>
      </c>
      <c r="B322" s="17" t="n"/>
      <c r="C322" s="14" t="n"/>
      <c r="D322" s="27" t="n"/>
      <c r="E322" s="28" t="n"/>
      <c r="F322" s="15">
        <f>IF(OR(D322&lt;&gt;"",E322&lt;&gt;""),IF(D322="",0,D322)+IF(E322="",0,E322),"")</f>
        <v/>
      </c>
      <c r="G322" s="14" t="n"/>
    </row>
    <row r="323">
      <c r="A323" s="14" t="inlineStr">
        <is>
          <t>Agosto</t>
        </is>
      </c>
      <c r="B323" s="17" t="n"/>
      <c r="C323" s="14" t="n"/>
      <c r="D323" s="27" t="n"/>
      <c r="E323" s="28" t="n"/>
      <c r="F323" s="15">
        <f>IF(OR(D323&lt;&gt;"",E323&lt;&gt;""),IF(D323="",0,D323)+IF(E323="",0,E323),"")</f>
        <v/>
      </c>
      <c r="G323" s="14" t="n"/>
    </row>
    <row r="324">
      <c r="A324" s="14" t="inlineStr">
        <is>
          <t>Agosto</t>
        </is>
      </c>
      <c r="B324" s="17" t="n"/>
      <c r="C324" s="14" t="n"/>
      <c r="D324" s="27" t="n"/>
      <c r="E324" s="28" t="n"/>
      <c r="F324" s="15">
        <f>IF(OR(D324&lt;&gt;"",E324&lt;&gt;""),IF(D324="",0,D324)+IF(E324="",0,E324),"")</f>
        <v/>
      </c>
      <c r="G324" s="14" t="n"/>
    </row>
    <row r="325">
      <c r="A325" s="14" t="inlineStr">
        <is>
          <t>Agosto</t>
        </is>
      </c>
      <c r="B325" s="17" t="n"/>
      <c r="C325" s="14" t="n"/>
      <c r="D325" s="27" t="n"/>
      <c r="E325" s="28" t="n"/>
      <c r="F325" s="15">
        <f>IF(OR(D325&lt;&gt;"",E325&lt;&gt;""),IF(D325="",0,D325)+IF(E325="",0,E325),"")</f>
        <v/>
      </c>
      <c r="G325" s="14" t="n"/>
    </row>
    <row r="326">
      <c r="A326" s="14" t="inlineStr">
        <is>
          <t>Agosto</t>
        </is>
      </c>
      <c r="B326" s="17" t="n"/>
      <c r="C326" s="14" t="n"/>
      <c r="D326" s="27" t="n"/>
      <c r="E326" s="28" t="n"/>
      <c r="F326" s="15">
        <f>IF(OR(D326&lt;&gt;"",E326&lt;&gt;""),IF(D326="",0,D326)+IF(E326="",0,E326),"")</f>
        <v/>
      </c>
      <c r="G326" s="14" t="n"/>
    </row>
    <row r="327">
      <c r="A327" s="14" t="inlineStr">
        <is>
          <t>Agosto</t>
        </is>
      </c>
      <c r="B327" s="17" t="n"/>
      <c r="C327" s="14" t="n"/>
      <c r="D327" s="27" t="n"/>
      <c r="E327" s="28" t="n"/>
      <c r="F327" s="15">
        <f>IF(OR(D327&lt;&gt;"",E327&lt;&gt;""),IF(D327="",0,D327)+IF(E327="",0,E327),"")</f>
        <v/>
      </c>
      <c r="G327" s="14" t="n"/>
    </row>
    <row r="328">
      <c r="A328" s="14" t="inlineStr">
        <is>
          <t>Agosto</t>
        </is>
      </c>
      <c r="B328" s="17" t="n"/>
      <c r="C328" s="14" t="n"/>
      <c r="D328" s="27" t="n"/>
      <c r="E328" s="28" t="n"/>
      <c r="F328" s="15">
        <f>IF(OR(D328&lt;&gt;"",E328&lt;&gt;""),IF(D328="",0,D328)+IF(E328="",0,E328),"")</f>
        <v/>
      </c>
      <c r="G328" s="14" t="n"/>
    </row>
    <row r="329">
      <c r="A329" s="14" t="inlineStr">
        <is>
          <t>Agosto</t>
        </is>
      </c>
      <c r="B329" s="17" t="n"/>
      <c r="C329" s="14" t="n"/>
      <c r="D329" s="27" t="n"/>
      <c r="E329" s="28" t="n"/>
      <c r="F329" s="15">
        <f>IF(OR(D329&lt;&gt;"",E329&lt;&gt;""),IF(D329="",0,D329)+IF(E329="",0,E329),"")</f>
        <v/>
      </c>
      <c r="G329" s="14" t="n"/>
    </row>
    <row r="330">
      <c r="A330" s="14" t="inlineStr">
        <is>
          <t>Agosto</t>
        </is>
      </c>
      <c r="B330" s="17" t="n"/>
      <c r="C330" s="14" t="n"/>
      <c r="D330" s="27" t="n"/>
      <c r="E330" s="28" t="n"/>
      <c r="F330" s="15">
        <f>IF(OR(D330&lt;&gt;"",E330&lt;&gt;""),IF(D330="",0,D330)+IF(E330="",0,E330),"")</f>
        <v/>
      </c>
      <c r="G330" s="14" t="n"/>
    </row>
    <row r="331">
      <c r="A331" s="14" t="inlineStr">
        <is>
          <t>Agosto</t>
        </is>
      </c>
      <c r="B331" s="17" t="n"/>
      <c r="C331" s="14" t="n"/>
      <c r="D331" s="27" t="n"/>
      <c r="E331" s="28" t="n"/>
      <c r="F331" s="15">
        <f>IF(OR(D331&lt;&gt;"",E331&lt;&gt;""),IF(D331="",0,D331)+IF(E331="",0,E331),"")</f>
        <v/>
      </c>
      <c r="G331" s="14" t="n"/>
    </row>
    <row r="332">
      <c r="A332" s="14" t="inlineStr">
        <is>
          <t>Agosto</t>
        </is>
      </c>
      <c r="B332" s="17" t="n"/>
      <c r="C332" s="14" t="n"/>
      <c r="D332" s="27" t="n"/>
      <c r="E332" s="28" t="n"/>
      <c r="F332" s="15">
        <f>IF(OR(D332&lt;&gt;"",E332&lt;&gt;""),IF(D332="",0,D332)+IF(E332="",0,E332),"")</f>
        <v/>
      </c>
      <c r="G332" s="14" t="n"/>
    </row>
    <row r="333">
      <c r="A333" s="14" t="inlineStr">
        <is>
          <t>Agosto</t>
        </is>
      </c>
      <c r="B333" s="17" t="n"/>
      <c r="C333" s="14" t="n"/>
      <c r="D333" s="27" t="n"/>
      <c r="E333" s="28" t="n"/>
      <c r="F333" s="15">
        <f>IF(OR(D333&lt;&gt;"",E333&lt;&gt;""),IF(D333="",0,D333)+IF(E333="",0,E333),"")</f>
        <v/>
      </c>
      <c r="G333" s="14" t="n"/>
    </row>
    <row r="334">
      <c r="A334" s="14" t="inlineStr">
        <is>
          <t>Agosto</t>
        </is>
      </c>
      <c r="B334" s="17" t="n"/>
      <c r="C334" s="14" t="n"/>
      <c r="D334" s="27" t="n"/>
      <c r="E334" s="28" t="n"/>
      <c r="F334" s="15">
        <f>IF(OR(D334&lt;&gt;"",E334&lt;&gt;""),IF(D334="",0,D334)+IF(E334="",0,E334),"")</f>
        <v/>
      </c>
      <c r="G334" s="14" t="n"/>
    </row>
    <row r="335">
      <c r="A335" s="14" t="inlineStr">
        <is>
          <t>Agosto</t>
        </is>
      </c>
      <c r="B335" s="17" t="n"/>
      <c r="C335" s="14" t="n"/>
      <c r="D335" s="27" t="n"/>
      <c r="E335" s="28" t="n"/>
      <c r="F335" s="15">
        <f>IF(OR(D335&lt;&gt;"",E335&lt;&gt;""),IF(D335="",0,D335)+IF(E335="",0,E335),"")</f>
        <v/>
      </c>
      <c r="G335" s="14" t="n"/>
    </row>
    <row r="336">
      <c r="A336" s="14" t="inlineStr">
        <is>
          <t>Agosto</t>
        </is>
      </c>
      <c r="B336" s="17" t="n"/>
      <c r="C336" s="14" t="n"/>
      <c r="D336" s="27" t="n"/>
      <c r="E336" s="28" t="n"/>
      <c r="F336" s="15">
        <f>IF(OR(D336&lt;&gt;"",E336&lt;&gt;""),IF(D336="",0,D336)+IF(E336="",0,E336),"")</f>
        <v/>
      </c>
      <c r="G336" s="14" t="n"/>
    </row>
    <row r="337">
      <c r="A337" s="14" t="inlineStr">
        <is>
          <t>Agosto</t>
        </is>
      </c>
      <c r="B337" s="17" t="n"/>
      <c r="C337" s="14" t="n"/>
      <c r="D337" s="27" t="n"/>
      <c r="E337" s="28" t="n"/>
      <c r="F337" s="15">
        <f>IF(OR(D337&lt;&gt;"",E337&lt;&gt;""),IF(D337="",0,D337)+IF(E337="",0,E337),"")</f>
        <v/>
      </c>
      <c r="G337" s="14" t="n"/>
    </row>
    <row r="338">
      <c r="A338" s="10" t="inlineStr">
        <is>
          <t>TOTAL AGOSTO</t>
        </is>
      </c>
      <c r="B338" s="22" t="n"/>
      <c r="C338" s="29" t="inlineStr">
        <is>
          <t>Totales mes →</t>
        </is>
      </c>
      <c r="D338" s="7">
        <f>SUM(D298:D337)</f>
        <v/>
      </c>
      <c r="E338" s="7">
        <f>SUM(E298:E337)</f>
        <v/>
      </c>
      <c r="F338" s="7">
        <f>D338+E338</f>
        <v/>
      </c>
      <c r="G338" s="22" t="n"/>
    </row>
    <row r="340">
      <c r="A340" s="14" t="inlineStr">
        <is>
          <t>Septiembre</t>
        </is>
      </c>
      <c r="B340" s="17" t="n"/>
      <c r="C340" s="14" t="n"/>
      <c r="D340" s="27" t="n"/>
      <c r="E340" s="28" t="n"/>
      <c r="F340" s="15">
        <f>IF(OR(D340&lt;&gt;"",E340&lt;&gt;""),IF(D340="",0,D340)+IF(E340="",0,E340),"")</f>
        <v/>
      </c>
      <c r="G340" s="14" t="n"/>
    </row>
    <row r="341">
      <c r="A341" s="14" t="inlineStr">
        <is>
          <t>Septiembre</t>
        </is>
      </c>
      <c r="B341" s="17" t="n"/>
      <c r="C341" s="14" t="n"/>
      <c r="D341" s="27" t="n"/>
      <c r="E341" s="28" t="n"/>
      <c r="F341" s="15">
        <f>IF(OR(D341&lt;&gt;"",E341&lt;&gt;""),IF(D341="",0,D341)+IF(E341="",0,E341),"")</f>
        <v/>
      </c>
      <c r="G341" s="14" t="n"/>
    </row>
    <row r="342">
      <c r="A342" s="14" t="inlineStr">
        <is>
          <t>Septiembre</t>
        </is>
      </c>
      <c r="B342" s="17" t="n"/>
      <c r="C342" s="14" t="n"/>
      <c r="D342" s="27" t="n"/>
      <c r="E342" s="28" t="n"/>
      <c r="F342" s="15">
        <f>IF(OR(D342&lt;&gt;"",E342&lt;&gt;""),IF(D342="",0,D342)+IF(E342="",0,E342),"")</f>
        <v/>
      </c>
      <c r="G342" s="14" t="n"/>
    </row>
    <row r="343">
      <c r="A343" s="14" t="inlineStr">
        <is>
          <t>Septiembre</t>
        </is>
      </c>
      <c r="B343" s="17" t="n"/>
      <c r="C343" s="14" t="n"/>
      <c r="D343" s="27" t="n"/>
      <c r="E343" s="28" t="n"/>
      <c r="F343" s="15">
        <f>IF(OR(D343&lt;&gt;"",E343&lt;&gt;""),IF(D343="",0,D343)+IF(E343="",0,E343),"")</f>
        <v/>
      </c>
      <c r="G343" s="14" t="n"/>
    </row>
    <row r="344">
      <c r="A344" s="14" t="inlineStr">
        <is>
          <t>Septiembre</t>
        </is>
      </c>
      <c r="B344" s="17" t="n"/>
      <c r="C344" s="14" t="n"/>
      <c r="D344" s="27" t="n"/>
      <c r="E344" s="28" t="n"/>
      <c r="F344" s="15">
        <f>IF(OR(D344&lt;&gt;"",E344&lt;&gt;""),IF(D344="",0,D344)+IF(E344="",0,E344),"")</f>
        <v/>
      </c>
      <c r="G344" s="14" t="n"/>
    </row>
    <row r="345">
      <c r="A345" s="14" t="inlineStr">
        <is>
          <t>Septiembre</t>
        </is>
      </c>
      <c r="B345" s="17" t="n"/>
      <c r="C345" s="14" t="n"/>
      <c r="D345" s="27" t="n"/>
      <c r="E345" s="28" t="n"/>
      <c r="F345" s="15">
        <f>IF(OR(D345&lt;&gt;"",E345&lt;&gt;""),IF(D345="",0,D345)+IF(E345="",0,E345),"")</f>
        <v/>
      </c>
      <c r="G345" s="14" t="n"/>
    </row>
    <row r="346">
      <c r="A346" s="14" t="inlineStr">
        <is>
          <t>Septiembre</t>
        </is>
      </c>
      <c r="B346" s="17" t="n"/>
      <c r="C346" s="14" t="n"/>
      <c r="D346" s="27" t="n"/>
      <c r="E346" s="28" t="n"/>
      <c r="F346" s="15">
        <f>IF(OR(D346&lt;&gt;"",E346&lt;&gt;""),IF(D346="",0,D346)+IF(E346="",0,E346),"")</f>
        <v/>
      </c>
      <c r="G346" s="14" t="n"/>
    </row>
    <row r="347">
      <c r="A347" s="14" t="inlineStr">
        <is>
          <t>Septiembre</t>
        </is>
      </c>
      <c r="B347" s="17" t="n"/>
      <c r="C347" s="14" t="n"/>
      <c r="D347" s="27" t="n"/>
      <c r="E347" s="28" t="n"/>
      <c r="F347" s="15">
        <f>IF(OR(D347&lt;&gt;"",E347&lt;&gt;""),IF(D347="",0,D347)+IF(E347="",0,E347),"")</f>
        <v/>
      </c>
      <c r="G347" s="14" t="n"/>
    </row>
    <row r="348">
      <c r="A348" s="14" t="inlineStr">
        <is>
          <t>Septiembre</t>
        </is>
      </c>
      <c r="B348" s="17" t="n"/>
      <c r="C348" s="14" t="n"/>
      <c r="D348" s="27" t="n"/>
      <c r="E348" s="28" t="n"/>
      <c r="F348" s="15">
        <f>IF(OR(D348&lt;&gt;"",E348&lt;&gt;""),IF(D348="",0,D348)+IF(E348="",0,E348),"")</f>
        <v/>
      </c>
      <c r="G348" s="14" t="n"/>
    </row>
    <row r="349">
      <c r="A349" s="14" t="inlineStr">
        <is>
          <t>Septiembre</t>
        </is>
      </c>
      <c r="B349" s="17" t="n"/>
      <c r="C349" s="14" t="n"/>
      <c r="D349" s="27" t="n"/>
      <c r="E349" s="28" t="n"/>
      <c r="F349" s="15">
        <f>IF(OR(D349&lt;&gt;"",E349&lt;&gt;""),IF(D349="",0,D349)+IF(E349="",0,E349),"")</f>
        <v/>
      </c>
      <c r="G349" s="14" t="n"/>
    </row>
    <row r="350">
      <c r="A350" s="14" t="inlineStr">
        <is>
          <t>Septiembre</t>
        </is>
      </c>
      <c r="B350" s="17" t="n"/>
      <c r="C350" s="14" t="n"/>
      <c r="D350" s="27" t="n"/>
      <c r="E350" s="28" t="n"/>
      <c r="F350" s="15">
        <f>IF(OR(D350&lt;&gt;"",E350&lt;&gt;""),IF(D350="",0,D350)+IF(E350="",0,E350),"")</f>
        <v/>
      </c>
      <c r="G350" s="14" t="n"/>
    </row>
    <row r="351">
      <c r="A351" s="14" t="inlineStr">
        <is>
          <t>Septiembre</t>
        </is>
      </c>
      <c r="B351" s="17" t="n"/>
      <c r="C351" s="14" t="n"/>
      <c r="D351" s="27" t="n"/>
      <c r="E351" s="28" t="n"/>
      <c r="F351" s="15">
        <f>IF(OR(D351&lt;&gt;"",E351&lt;&gt;""),IF(D351="",0,D351)+IF(E351="",0,E351),"")</f>
        <v/>
      </c>
      <c r="G351" s="14" t="n"/>
    </row>
    <row r="352">
      <c r="A352" s="14" t="inlineStr">
        <is>
          <t>Septiembre</t>
        </is>
      </c>
      <c r="B352" s="17" t="n"/>
      <c r="C352" s="14" t="n"/>
      <c r="D352" s="27" t="n"/>
      <c r="E352" s="28" t="n"/>
      <c r="F352" s="15">
        <f>IF(OR(D352&lt;&gt;"",E352&lt;&gt;""),IF(D352="",0,D352)+IF(E352="",0,E352),"")</f>
        <v/>
      </c>
      <c r="G352" s="14" t="n"/>
    </row>
    <row r="353">
      <c r="A353" s="14" t="inlineStr">
        <is>
          <t>Septiembre</t>
        </is>
      </c>
      <c r="B353" s="17" t="n"/>
      <c r="C353" s="14" t="n"/>
      <c r="D353" s="27" t="n"/>
      <c r="E353" s="28" t="n"/>
      <c r="F353" s="15">
        <f>IF(OR(D353&lt;&gt;"",E353&lt;&gt;""),IF(D353="",0,D353)+IF(E353="",0,E353),"")</f>
        <v/>
      </c>
      <c r="G353" s="14" t="n"/>
    </row>
    <row r="354">
      <c r="A354" s="14" t="inlineStr">
        <is>
          <t>Septiembre</t>
        </is>
      </c>
      <c r="B354" s="17" t="n"/>
      <c r="C354" s="14" t="n"/>
      <c r="D354" s="27" t="n"/>
      <c r="E354" s="28" t="n"/>
      <c r="F354" s="15">
        <f>IF(OR(D354&lt;&gt;"",E354&lt;&gt;""),IF(D354="",0,D354)+IF(E354="",0,E354),"")</f>
        <v/>
      </c>
      <c r="G354" s="14" t="n"/>
    </row>
    <row r="355">
      <c r="A355" s="14" t="inlineStr">
        <is>
          <t>Septiembre</t>
        </is>
      </c>
      <c r="B355" s="17" t="n"/>
      <c r="C355" s="14" t="n"/>
      <c r="D355" s="27" t="n"/>
      <c r="E355" s="28" t="n"/>
      <c r="F355" s="15">
        <f>IF(OR(D355&lt;&gt;"",E355&lt;&gt;""),IF(D355="",0,D355)+IF(E355="",0,E355),"")</f>
        <v/>
      </c>
      <c r="G355" s="14" t="n"/>
    </row>
    <row r="356">
      <c r="A356" s="14" t="inlineStr">
        <is>
          <t>Septiembre</t>
        </is>
      </c>
      <c r="B356" s="17" t="n"/>
      <c r="C356" s="14" t="n"/>
      <c r="D356" s="27" t="n"/>
      <c r="E356" s="28" t="n"/>
      <c r="F356" s="15">
        <f>IF(OR(D356&lt;&gt;"",E356&lt;&gt;""),IF(D356="",0,D356)+IF(E356="",0,E356),"")</f>
        <v/>
      </c>
      <c r="G356" s="14" t="n"/>
    </row>
    <row r="357">
      <c r="A357" s="14" t="inlineStr">
        <is>
          <t>Septiembre</t>
        </is>
      </c>
      <c r="B357" s="17" t="n"/>
      <c r="C357" s="14" t="n"/>
      <c r="D357" s="27" t="n"/>
      <c r="E357" s="28" t="n"/>
      <c r="F357" s="15">
        <f>IF(OR(D357&lt;&gt;"",E357&lt;&gt;""),IF(D357="",0,D357)+IF(E357="",0,E357),"")</f>
        <v/>
      </c>
      <c r="G357" s="14" t="n"/>
    </row>
    <row r="358">
      <c r="A358" s="14" t="inlineStr">
        <is>
          <t>Septiembre</t>
        </is>
      </c>
      <c r="B358" s="17" t="n"/>
      <c r="C358" s="14" t="n"/>
      <c r="D358" s="27" t="n"/>
      <c r="E358" s="28" t="n"/>
      <c r="F358" s="15">
        <f>IF(OR(D358&lt;&gt;"",E358&lt;&gt;""),IF(D358="",0,D358)+IF(E358="",0,E358),"")</f>
        <v/>
      </c>
      <c r="G358" s="14" t="n"/>
    </row>
    <row r="359">
      <c r="A359" s="14" t="inlineStr">
        <is>
          <t>Septiembre</t>
        </is>
      </c>
      <c r="B359" s="17" t="n"/>
      <c r="C359" s="14" t="n"/>
      <c r="D359" s="27" t="n"/>
      <c r="E359" s="28" t="n"/>
      <c r="F359" s="15">
        <f>IF(OR(D359&lt;&gt;"",E359&lt;&gt;""),IF(D359="",0,D359)+IF(E359="",0,E359),"")</f>
        <v/>
      </c>
      <c r="G359" s="14" t="n"/>
    </row>
    <row r="360">
      <c r="A360" s="14" t="inlineStr">
        <is>
          <t>Septiembre</t>
        </is>
      </c>
      <c r="B360" s="17" t="n"/>
      <c r="C360" s="14" t="n"/>
      <c r="D360" s="27" t="n"/>
      <c r="E360" s="28" t="n"/>
      <c r="F360" s="15">
        <f>IF(OR(D360&lt;&gt;"",E360&lt;&gt;""),IF(D360="",0,D360)+IF(E360="",0,E360),"")</f>
        <v/>
      </c>
      <c r="G360" s="14" t="n"/>
    </row>
    <row r="361">
      <c r="A361" s="14" t="inlineStr">
        <is>
          <t>Septiembre</t>
        </is>
      </c>
      <c r="B361" s="17" t="n"/>
      <c r="C361" s="14" t="n"/>
      <c r="D361" s="27" t="n"/>
      <c r="E361" s="28" t="n"/>
      <c r="F361" s="15">
        <f>IF(OR(D361&lt;&gt;"",E361&lt;&gt;""),IF(D361="",0,D361)+IF(E361="",0,E361),"")</f>
        <v/>
      </c>
      <c r="G361" s="14" t="n"/>
    </row>
    <row r="362">
      <c r="A362" s="14" t="inlineStr">
        <is>
          <t>Septiembre</t>
        </is>
      </c>
      <c r="B362" s="17" t="n"/>
      <c r="C362" s="14" t="n"/>
      <c r="D362" s="27" t="n"/>
      <c r="E362" s="28" t="n"/>
      <c r="F362" s="15">
        <f>IF(OR(D362&lt;&gt;"",E362&lt;&gt;""),IF(D362="",0,D362)+IF(E362="",0,E362),"")</f>
        <v/>
      </c>
      <c r="G362" s="14" t="n"/>
    </row>
    <row r="363">
      <c r="A363" s="14" t="inlineStr">
        <is>
          <t>Septiembre</t>
        </is>
      </c>
      <c r="B363" s="17" t="n"/>
      <c r="C363" s="14" t="n"/>
      <c r="D363" s="27" t="n"/>
      <c r="E363" s="28" t="n"/>
      <c r="F363" s="15">
        <f>IF(OR(D363&lt;&gt;"",E363&lt;&gt;""),IF(D363="",0,D363)+IF(E363="",0,E363),"")</f>
        <v/>
      </c>
      <c r="G363" s="14" t="n"/>
    </row>
    <row r="364">
      <c r="A364" s="14" t="inlineStr">
        <is>
          <t>Septiembre</t>
        </is>
      </c>
      <c r="B364" s="17" t="n"/>
      <c r="C364" s="14" t="n"/>
      <c r="D364" s="27" t="n"/>
      <c r="E364" s="28" t="n"/>
      <c r="F364" s="15">
        <f>IF(OR(D364&lt;&gt;"",E364&lt;&gt;""),IF(D364="",0,D364)+IF(E364="",0,E364),"")</f>
        <v/>
      </c>
      <c r="G364" s="14" t="n"/>
    </row>
    <row r="365">
      <c r="A365" s="14" t="inlineStr">
        <is>
          <t>Septiembre</t>
        </is>
      </c>
      <c r="B365" s="17" t="n"/>
      <c r="C365" s="14" t="n"/>
      <c r="D365" s="27" t="n"/>
      <c r="E365" s="28" t="n"/>
      <c r="F365" s="15">
        <f>IF(OR(D365&lt;&gt;"",E365&lt;&gt;""),IF(D365="",0,D365)+IF(E365="",0,E365),"")</f>
        <v/>
      </c>
      <c r="G365" s="14" t="n"/>
    </row>
    <row r="366">
      <c r="A366" s="14" t="inlineStr">
        <is>
          <t>Septiembre</t>
        </is>
      </c>
      <c r="B366" s="17" t="n"/>
      <c r="C366" s="14" t="n"/>
      <c r="D366" s="27" t="n"/>
      <c r="E366" s="28" t="n"/>
      <c r="F366" s="15">
        <f>IF(OR(D366&lt;&gt;"",E366&lt;&gt;""),IF(D366="",0,D366)+IF(E366="",0,E366),"")</f>
        <v/>
      </c>
      <c r="G366" s="14" t="n"/>
    </row>
    <row r="367">
      <c r="A367" s="14" t="inlineStr">
        <is>
          <t>Septiembre</t>
        </is>
      </c>
      <c r="B367" s="17" t="n"/>
      <c r="C367" s="14" t="n"/>
      <c r="D367" s="27" t="n"/>
      <c r="E367" s="28" t="n"/>
      <c r="F367" s="15">
        <f>IF(OR(D367&lt;&gt;"",E367&lt;&gt;""),IF(D367="",0,D367)+IF(E367="",0,E367),"")</f>
        <v/>
      </c>
      <c r="G367" s="14" t="n"/>
    </row>
    <row r="368">
      <c r="A368" s="14" t="inlineStr">
        <is>
          <t>Septiembre</t>
        </is>
      </c>
      <c r="B368" s="17" t="n"/>
      <c r="C368" s="14" t="n"/>
      <c r="D368" s="27" t="n"/>
      <c r="E368" s="28" t="n"/>
      <c r="F368" s="15">
        <f>IF(OR(D368&lt;&gt;"",E368&lt;&gt;""),IF(D368="",0,D368)+IF(E368="",0,E368),"")</f>
        <v/>
      </c>
      <c r="G368" s="14" t="n"/>
    </row>
    <row r="369">
      <c r="A369" s="14" t="inlineStr">
        <is>
          <t>Septiembre</t>
        </is>
      </c>
      <c r="B369" s="17" t="n"/>
      <c r="C369" s="14" t="n"/>
      <c r="D369" s="27" t="n"/>
      <c r="E369" s="28" t="n"/>
      <c r="F369" s="15">
        <f>IF(OR(D369&lt;&gt;"",E369&lt;&gt;""),IF(D369="",0,D369)+IF(E369="",0,E369),"")</f>
        <v/>
      </c>
      <c r="G369" s="14" t="n"/>
    </row>
    <row r="370">
      <c r="A370" s="14" t="inlineStr">
        <is>
          <t>Septiembre</t>
        </is>
      </c>
      <c r="B370" s="17" t="n"/>
      <c r="C370" s="14" t="n"/>
      <c r="D370" s="27" t="n"/>
      <c r="E370" s="28" t="n"/>
      <c r="F370" s="15">
        <f>IF(OR(D370&lt;&gt;"",E370&lt;&gt;""),IF(D370="",0,D370)+IF(E370="",0,E370),"")</f>
        <v/>
      </c>
      <c r="G370" s="14" t="n"/>
    </row>
    <row r="371">
      <c r="A371" s="14" t="inlineStr">
        <is>
          <t>Septiembre</t>
        </is>
      </c>
      <c r="B371" s="17" t="n"/>
      <c r="C371" s="14" t="n"/>
      <c r="D371" s="27" t="n"/>
      <c r="E371" s="28" t="n"/>
      <c r="F371" s="15">
        <f>IF(OR(D371&lt;&gt;"",E371&lt;&gt;""),IF(D371="",0,D371)+IF(E371="",0,E371),"")</f>
        <v/>
      </c>
      <c r="G371" s="14" t="n"/>
    </row>
    <row r="372">
      <c r="A372" s="14" t="inlineStr">
        <is>
          <t>Septiembre</t>
        </is>
      </c>
      <c r="B372" s="17" t="n"/>
      <c r="C372" s="14" t="n"/>
      <c r="D372" s="27" t="n"/>
      <c r="E372" s="28" t="n"/>
      <c r="F372" s="15">
        <f>IF(OR(D372&lt;&gt;"",E372&lt;&gt;""),IF(D372="",0,D372)+IF(E372="",0,E372),"")</f>
        <v/>
      </c>
      <c r="G372" s="14" t="n"/>
    </row>
    <row r="373">
      <c r="A373" s="14" t="inlineStr">
        <is>
          <t>Septiembre</t>
        </is>
      </c>
      <c r="B373" s="17" t="n"/>
      <c r="C373" s="14" t="n"/>
      <c r="D373" s="27" t="n"/>
      <c r="E373" s="28" t="n"/>
      <c r="F373" s="15">
        <f>IF(OR(D373&lt;&gt;"",E373&lt;&gt;""),IF(D373="",0,D373)+IF(E373="",0,E373),"")</f>
        <v/>
      </c>
      <c r="G373" s="14" t="n"/>
    </row>
    <row r="374">
      <c r="A374" s="14" t="inlineStr">
        <is>
          <t>Septiembre</t>
        </is>
      </c>
      <c r="B374" s="17" t="n"/>
      <c r="C374" s="14" t="n"/>
      <c r="D374" s="27" t="n"/>
      <c r="E374" s="28" t="n"/>
      <c r="F374" s="15">
        <f>IF(OR(D374&lt;&gt;"",E374&lt;&gt;""),IF(D374="",0,D374)+IF(E374="",0,E374),"")</f>
        <v/>
      </c>
      <c r="G374" s="14" t="n"/>
    </row>
    <row r="375">
      <c r="A375" s="14" t="inlineStr">
        <is>
          <t>Septiembre</t>
        </is>
      </c>
      <c r="B375" s="17" t="n"/>
      <c r="C375" s="14" t="n"/>
      <c r="D375" s="27" t="n"/>
      <c r="E375" s="28" t="n"/>
      <c r="F375" s="15">
        <f>IF(OR(D375&lt;&gt;"",E375&lt;&gt;""),IF(D375="",0,D375)+IF(E375="",0,E375),"")</f>
        <v/>
      </c>
      <c r="G375" s="14" t="n"/>
    </row>
    <row r="376">
      <c r="A376" s="14" t="inlineStr">
        <is>
          <t>Septiembre</t>
        </is>
      </c>
      <c r="B376" s="17" t="n"/>
      <c r="C376" s="14" t="n"/>
      <c r="D376" s="27" t="n"/>
      <c r="E376" s="28" t="n"/>
      <c r="F376" s="15">
        <f>IF(OR(D376&lt;&gt;"",E376&lt;&gt;""),IF(D376="",0,D376)+IF(E376="",0,E376),"")</f>
        <v/>
      </c>
      <c r="G376" s="14" t="n"/>
    </row>
    <row r="377">
      <c r="A377" s="14" t="inlineStr">
        <is>
          <t>Septiembre</t>
        </is>
      </c>
      <c r="B377" s="17" t="n"/>
      <c r="C377" s="14" t="n"/>
      <c r="D377" s="27" t="n"/>
      <c r="E377" s="28" t="n"/>
      <c r="F377" s="15">
        <f>IF(OR(D377&lt;&gt;"",E377&lt;&gt;""),IF(D377="",0,D377)+IF(E377="",0,E377),"")</f>
        <v/>
      </c>
      <c r="G377" s="14" t="n"/>
    </row>
    <row r="378">
      <c r="A378" s="14" t="inlineStr">
        <is>
          <t>Septiembre</t>
        </is>
      </c>
      <c r="B378" s="17" t="n"/>
      <c r="C378" s="14" t="n"/>
      <c r="D378" s="27" t="n"/>
      <c r="E378" s="28" t="n"/>
      <c r="F378" s="15">
        <f>IF(OR(D378&lt;&gt;"",E378&lt;&gt;""),IF(D378="",0,D378)+IF(E378="",0,E378),"")</f>
        <v/>
      </c>
      <c r="G378" s="14" t="n"/>
    </row>
    <row r="379">
      <c r="A379" s="14" t="inlineStr">
        <is>
          <t>Septiembre</t>
        </is>
      </c>
      <c r="B379" s="17" t="n"/>
      <c r="C379" s="14" t="n"/>
      <c r="D379" s="27" t="n"/>
      <c r="E379" s="28" t="n"/>
      <c r="F379" s="15">
        <f>IF(OR(D379&lt;&gt;"",E379&lt;&gt;""),IF(D379="",0,D379)+IF(E379="",0,E379),"")</f>
        <v/>
      </c>
      <c r="G379" s="14" t="n"/>
    </row>
    <row r="380">
      <c r="A380" s="10" t="inlineStr">
        <is>
          <t>TOTAL SEPTIEMBRE</t>
        </is>
      </c>
      <c r="B380" s="22" t="n"/>
      <c r="C380" s="29" t="inlineStr">
        <is>
          <t>Totales mes →</t>
        </is>
      </c>
      <c r="D380" s="7">
        <f>SUM(D340:D379)</f>
        <v/>
      </c>
      <c r="E380" s="7">
        <f>SUM(E340:E379)</f>
        <v/>
      </c>
      <c r="F380" s="7">
        <f>D380+E380</f>
        <v/>
      </c>
      <c r="G380" s="22" t="n"/>
    </row>
    <row r="382">
      <c r="A382" s="14" t="inlineStr">
        <is>
          <t>Octubre</t>
        </is>
      </c>
      <c r="B382" s="17" t="n"/>
      <c r="C382" s="14" t="n"/>
      <c r="D382" s="27" t="n"/>
      <c r="E382" s="28" t="n"/>
      <c r="F382" s="15">
        <f>IF(OR(D382&lt;&gt;"",E382&lt;&gt;""),IF(D382="",0,D382)+IF(E382="",0,E382),"")</f>
        <v/>
      </c>
      <c r="G382" s="14" t="n"/>
    </row>
    <row r="383">
      <c r="A383" s="14" t="inlineStr">
        <is>
          <t>Octubre</t>
        </is>
      </c>
      <c r="B383" s="17" t="n"/>
      <c r="C383" s="14" t="n"/>
      <c r="D383" s="27" t="n"/>
      <c r="E383" s="28" t="n"/>
      <c r="F383" s="15">
        <f>IF(OR(D383&lt;&gt;"",E383&lt;&gt;""),IF(D383="",0,D383)+IF(E383="",0,E383),"")</f>
        <v/>
      </c>
      <c r="G383" s="14" t="n"/>
    </row>
    <row r="384">
      <c r="A384" s="14" t="inlineStr">
        <is>
          <t>Octubre</t>
        </is>
      </c>
      <c r="B384" s="17" t="n"/>
      <c r="C384" s="14" t="n"/>
      <c r="D384" s="27" t="n"/>
      <c r="E384" s="28" t="n"/>
      <c r="F384" s="15">
        <f>IF(OR(D384&lt;&gt;"",E384&lt;&gt;""),IF(D384="",0,D384)+IF(E384="",0,E384),"")</f>
        <v/>
      </c>
      <c r="G384" s="14" t="n"/>
    </row>
    <row r="385">
      <c r="A385" s="14" t="inlineStr">
        <is>
          <t>Octubre</t>
        </is>
      </c>
      <c r="B385" s="17" t="n"/>
      <c r="C385" s="14" t="n"/>
      <c r="D385" s="27" t="n"/>
      <c r="E385" s="28" t="n"/>
      <c r="F385" s="15">
        <f>IF(OR(D385&lt;&gt;"",E385&lt;&gt;""),IF(D385="",0,D385)+IF(E385="",0,E385),"")</f>
        <v/>
      </c>
      <c r="G385" s="14" t="n"/>
    </row>
    <row r="386">
      <c r="A386" s="14" t="inlineStr">
        <is>
          <t>Octubre</t>
        </is>
      </c>
      <c r="B386" s="17" t="n"/>
      <c r="C386" s="14" t="n"/>
      <c r="D386" s="27" t="n"/>
      <c r="E386" s="28" t="n"/>
      <c r="F386" s="15">
        <f>IF(OR(D386&lt;&gt;"",E386&lt;&gt;""),IF(D386="",0,D386)+IF(E386="",0,E386),"")</f>
        <v/>
      </c>
      <c r="G386" s="14" t="n"/>
    </row>
    <row r="387">
      <c r="A387" s="14" t="inlineStr">
        <is>
          <t>Octubre</t>
        </is>
      </c>
      <c r="B387" s="17" t="n"/>
      <c r="C387" s="14" t="n"/>
      <c r="D387" s="27" t="n"/>
      <c r="E387" s="28" t="n"/>
      <c r="F387" s="15">
        <f>IF(OR(D387&lt;&gt;"",E387&lt;&gt;""),IF(D387="",0,D387)+IF(E387="",0,E387),"")</f>
        <v/>
      </c>
      <c r="G387" s="14" t="n"/>
    </row>
    <row r="388">
      <c r="A388" s="14" t="inlineStr">
        <is>
          <t>Octubre</t>
        </is>
      </c>
      <c r="B388" s="17" t="n"/>
      <c r="C388" s="14" t="n"/>
      <c r="D388" s="27" t="n"/>
      <c r="E388" s="28" t="n"/>
      <c r="F388" s="15">
        <f>IF(OR(D388&lt;&gt;"",E388&lt;&gt;""),IF(D388="",0,D388)+IF(E388="",0,E388),"")</f>
        <v/>
      </c>
      <c r="G388" s="14" t="n"/>
    </row>
    <row r="389">
      <c r="A389" s="14" t="inlineStr">
        <is>
          <t>Octubre</t>
        </is>
      </c>
      <c r="B389" s="17" t="n"/>
      <c r="C389" s="14" t="n"/>
      <c r="D389" s="27" t="n"/>
      <c r="E389" s="28" t="n"/>
      <c r="F389" s="15">
        <f>IF(OR(D389&lt;&gt;"",E389&lt;&gt;""),IF(D389="",0,D389)+IF(E389="",0,E389),"")</f>
        <v/>
      </c>
      <c r="G389" s="14" t="n"/>
    </row>
    <row r="390">
      <c r="A390" s="14" t="inlineStr">
        <is>
          <t>Octubre</t>
        </is>
      </c>
      <c r="B390" s="17" t="n"/>
      <c r="C390" s="14" t="n"/>
      <c r="D390" s="27" t="n"/>
      <c r="E390" s="28" t="n"/>
      <c r="F390" s="15">
        <f>IF(OR(D390&lt;&gt;"",E390&lt;&gt;""),IF(D390="",0,D390)+IF(E390="",0,E390),"")</f>
        <v/>
      </c>
      <c r="G390" s="14" t="n"/>
    </row>
    <row r="391">
      <c r="A391" s="14" t="inlineStr">
        <is>
          <t>Octubre</t>
        </is>
      </c>
      <c r="B391" s="17" t="n"/>
      <c r="C391" s="14" t="n"/>
      <c r="D391" s="27" t="n"/>
      <c r="E391" s="28" t="n"/>
      <c r="F391" s="15">
        <f>IF(OR(D391&lt;&gt;"",E391&lt;&gt;""),IF(D391="",0,D391)+IF(E391="",0,E391),"")</f>
        <v/>
      </c>
      <c r="G391" s="14" t="n"/>
    </row>
    <row r="392">
      <c r="A392" s="14" t="inlineStr">
        <is>
          <t>Octubre</t>
        </is>
      </c>
      <c r="B392" s="17" t="n"/>
      <c r="C392" s="14" t="n"/>
      <c r="D392" s="27" t="n"/>
      <c r="E392" s="28" t="n"/>
      <c r="F392" s="15">
        <f>IF(OR(D392&lt;&gt;"",E392&lt;&gt;""),IF(D392="",0,D392)+IF(E392="",0,E392),"")</f>
        <v/>
      </c>
      <c r="G392" s="14" t="n"/>
    </row>
    <row r="393">
      <c r="A393" s="14" t="inlineStr">
        <is>
          <t>Octubre</t>
        </is>
      </c>
      <c r="B393" s="17" t="n"/>
      <c r="C393" s="14" t="n"/>
      <c r="D393" s="27" t="n"/>
      <c r="E393" s="28" t="n"/>
      <c r="F393" s="15">
        <f>IF(OR(D393&lt;&gt;"",E393&lt;&gt;""),IF(D393="",0,D393)+IF(E393="",0,E393),"")</f>
        <v/>
      </c>
      <c r="G393" s="14" t="n"/>
    </row>
    <row r="394">
      <c r="A394" s="14" t="inlineStr">
        <is>
          <t>Octubre</t>
        </is>
      </c>
      <c r="B394" s="17" t="n"/>
      <c r="C394" s="14" t="n"/>
      <c r="D394" s="27" t="n"/>
      <c r="E394" s="28" t="n"/>
      <c r="F394" s="15">
        <f>IF(OR(D394&lt;&gt;"",E394&lt;&gt;""),IF(D394="",0,D394)+IF(E394="",0,E394),"")</f>
        <v/>
      </c>
      <c r="G394" s="14" t="n"/>
    </row>
    <row r="395">
      <c r="A395" s="14" t="inlineStr">
        <is>
          <t>Octubre</t>
        </is>
      </c>
      <c r="B395" s="17" t="n"/>
      <c r="C395" s="14" t="n"/>
      <c r="D395" s="27" t="n"/>
      <c r="E395" s="28" t="n"/>
      <c r="F395" s="15">
        <f>IF(OR(D395&lt;&gt;"",E395&lt;&gt;""),IF(D395="",0,D395)+IF(E395="",0,E395),"")</f>
        <v/>
      </c>
      <c r="G395" s="14" t="n"/>
    </row>
    <row r="396">
      <c r="A396" s="14" t="inlineStr">
        <is>
          <t>Octubre</t>
        </is>
      </c>
      <c r="B396" s="17" t="n"/>
      <c r="C396" s="14" t="n"/>
      <c r="D396" s="27" t="n"/>
      <c r="E396" s="28" t="n"/>
      <c r="F396" s="15">
        <f>IF(OR(D396&lt;&gt;"",E396&lt;&gt;""),IF(D396="",0,D396)+IF(E396="",0,E396),"")</f>
        <v/>
      </c>
      <c r="G396" s="14" t="n"/>
    </row>
    <row r="397">
      <c r="A397" s="14" t="inlineStr">
        <is>
          <t>Octubre</t>
        </is>
      </c>
      <c r="B397" s="17" t="n"/>
      <c r="C397" s="14" t="n"/>
      <c r="D397" s="27" t="n"/>
      <c r="E397" s="28" t="n"/>
      <c r="F397" s="15">
        <f>IF(OR(D397&lt;&gt;"",E397&lt;&gt;""),IF(D397="",0,D397)+IF(E397="",0,E397),"")</f>
        <v/>
      </c>
      <c r="G397" s="14" t="n"/>
    </row>
    <row r="398">
      <c r="A398" s="14" t="inlineStr">
        <is>
          <t>Octubre</t>
        </is>
      </c>
      <c r="B398" s="17" t="n"/>
      <c r="C398" s="14" t="n"/>
      <c r="D398" s="27" t="n"/>
      <c r="E398" s="28" t="n"/>
      <c r="F398" s="15">
        <f>IF(OR(D398&lt;&gt;"",E398&lt;&gt;""),IF(D398="",0,D398)+IF(E398="",0,E398),"")</f>
        <v/>
      </c>
      <c r="G398" s="14" t="n"/>
    </row>
    <row r="399">
      <c r="A399" s="14" t="inlineStr">
        <is>
          <t>Octubre</t>
        </is>
      </c>
      <c r="B399" s="17" t="n"/>
      <c r="C399" s="14" t="n"/>
      <c r="D399" s="27" t="n"/>
      <c r="E399" s="28" t="n"/>
      <c r="F399" s="15">
        <f>IF(OR(D399&lt;&gt;"",E399&lt;&gt;""),IF(D399="",0,D399)+IF(E399="",0,E399),"")</f>
        <v/>
      </c>
      <c r="G399" s="14" t="n"/>
    </row>
    <row r="400">
      <c r="A400" s="14" t="inlineStr">
        <is>
          <t>Octubre</t>
        </is>
      </c>
      <c r="B400" s="17" t="n"/>
      <c r="C400" s="14" t="n"/>
      <c r="D400" s="27" t="n"/>
      <c r="E400" s="28" t="n"/>
      <c r="F400" s="15">
        <f>IF(OR(D400&lt;&gt;"",E400&lt;&gt;""),IF(D400="",0,D400)+IF(E400="",0,E400),"")</f>
        <v/>
      </c>
      <c r="G400" s="14" t="n"/>
    </row>
    <row r="401">
      <c r="A401" s="14" t="inlineStr">
        <is>
          <t>Octubre</t>
        </is>
      </c>
      <c r="B401" s="17" t="n"/>
      <c r="C401" s="14" t="n"/>
      <c r="D401" s="27" t="n"/>
      <c r="E401" s="28" t="n"/>
      <c r="F401" s="15">
        <f>IF(OR(D401&lt;&gt;"",E401&lt;&gt;""),IF(D401="",0,D401)+IF(E401="",0,E401),"")</f>
        <v/>
      </c>
      <c r="G401" s="14" t="n"/>
    </row>
    <row r="402">
      <c r="A402" s="14" t="inlineStr">
        <is>
          <t>Octubre</t>
        </is>
      </c>
      <c r="B402" s="17" t="n"/>
      <c r="C402" s="14" t="n"/>
      <c r="D402" s="27" t="n"/>
      <c r="E402" s="28" t="n"/>
      <c r="F402" s="15">
        <f>IF(OR(D402&lt;&gt;"",E402&lt;&gt;""),IF(D402="",0,D402)+IF(E402="",0,E402),"")</f>
        <v/>
      </c>
      <c r="G402" s="14" t="n"/>
    </row>
    <row r="403">
      <c r="A403" s="14" t="inlineStr">
        <is>
          <t>Octubre</t>
        </is>
      </c>
      <c r="B403" s="17" t="n"/>
      <c r="C403" s="14" t="n"/>
      <c r="D403" s="27" t="n"/>
      <c r="E403" s="28" t="n"/>
      <c r="F403" s="15">
        <f>IF(OR(D403&lt;&gt;"",E403&lt;&gt;""),IF(D403="",0,D403)+IF(E403="",0,E403),"")</f>
        <v/>
      </c>
      <c r="G403" s="14" t="n"/>
    </row>
    <row r="404">
      <c r="A404" s="14" t="inlineStr">
        <is>
          <t>Octubre</t>
        </is>
      </c>
      <c r="B404" s="17" t="n"/>
      <c r="C404" s="14" t="n"/>
      <c r="D404" s="27" t="n"/>
      <c r="E404" s="28" t="n"/>
      <c r="F404" s="15">
        <f>IF(OR(D404&lt;&gt;"",E404&lt;&gt;""),IF(D404="",0,D404)+IF(E404="",0,E404),"")</f>
        <v/>
      </c>
      <c r="G404" s="14" t="n"/>
    </row>
    <row r="405">
      <c r="A405" s="14" t="inlineStr">
        <is>
          <t>Octubre</t>
        </is>
      </c>
      <c r="B405" s="17" t="n"/>
      <c r="C405" s="14" t="n"/>
      <c r="D405" s="27" t="n"/>
      <c r="E405" s="28" t="n"/>
      <c r="F405" s="15">
        <f>IF(OR(D405&lt;&gt;"",E405&lt;&gt;""),IF(D405="",0,D405)+IF(E405="",0,E405),"")</f>
        <v/>
      </c>
      <c r="G405" s="14" t="n"/>
    </row>
    <row r="406">
      <c r="A406" s="14" t="inlineStr">
        <is>
          <t>Octubre</t>
        </is>
      </c>
      <c r="B406" s="17" t="n"/>
      <c r="C406" s="14" t="n"/>
      <c r="D406" s="27" t="n"/>
      <c r="E406" s="28" t="n"/>
      <c r="F406" s="15">
        <f>IF(OR(D406&lt;&gt;"",E406&lt;&gt;""),IF(D406="",0,D406)+IF(E406="",0,E406),"")</f>
        <v/>
      </c>
      <c r="G406" s="14" t="n"/>
    </row>
    <row r="407">
      <c r="A407" s="14" t="inlineStr">
        <is>
          <t>Octubre</t>
        </is>
      </c>
      <c r="B407" s="17" t="n"/>
      <c r="C407" s="14" t="n"/>
      <c r="D407" s="27" t="n"/>
      <c r="E407" s="28" t="n"/>
      <c r="F407" s="15">
        <f>IF(OR(D407&lt;&gt;"",E407&lt;&gt;""),IF(D407="",0,D407)+IF(E407="",0,E407),"")</f>
        <v/>
      </c>
      <c r="G407" s="14" t="n"/>
    </row>
    <row r="408">
      <c r="A408" s="14" t="inlineStr">
        <is>
          <t>Octubre</t>
        </is>
      </c>
      <c r="B408" s="17" t="n"/>
      <c r="C408" s="14" t="n"/>
      <c r="D408" s="27" t="n"/>
      <c r="E408" s="28" t="n"/>
      <c r="F408" s="15">
        <f>IF(OR(D408&lt;&gt;"",E408&lt;&gt;""),IF(D408="",0,D408)+IF(E408="",0,E408),"")</f>
        <v/>
      </c>
      <c r="G408" s="14" t="n"/>
    </row>
    <row r="409">
      <c r="A409" s="14" t="inlineStr">
        <is>
          <t>Octubre</t>
        </is>
      </c>
      <c r="B409" s="17" t="n"/>
      <c r="C409" s="14" t="n"/>
      <c r="D409" s="27" t="n"/>
      <c r="E409" s="28" t="n"/>
      <c r="F409" s="15">
        <f>IF(OR(D409&lt;&gt;"",E409&lt;&gt;""),IF(D409="",0,D409)+IF(E409="",0,E409),"")</f>
        <v/>
      </c>
      <c r="G409" s="14" t="n"/>
    </row>
    <row r="410">
      <c r="A410" s="14" t="inlineStr">
        <is>
          <t>Octubre</t>
        </is>
      </c>
      <c r="B410" s="17" t="n"/>
      <c r="C410" s="14" t="n"/>
      <c r="D410" s="27" t="n"/>
      <c r="E410" s="28" t="n"/>
      <c r="F410" s="15">
        <f>IF(OR(D410&lt;&gt;"",E410&lt;&gt;""),IF(D410="",0,D410)+IF(E410="",0,E410),"")</f>
        <v/>
      </c>
      <c r="G410" s="14" t="n"/>
    </row>
    <row r="411">
      <c r="A411" s="14" t="inlineStr">
        <is>
          <t>Octubre</t>
        </is>
      </c>
      <c r="B411" s="17" t="n"/>
      <c r="C411" s="14" t="n"/>
      <c r="D411" s="27" t="n"/>
      <c r="E411" s="28" t="n"/>
      <c r="F411" s="15">
        <f>IF(OR(D411&lt;&gt;"",E411&lt;&gt;""),IF(D411="",0,D411)+IF(E411="",0,E411),"")</f>
        <v/>
      </c>
      <c r="G411" s="14" t="n"/>
    </row>
    <row r="412">
      <c r="A412" s="14" t="inlineStr">
        <is>
          <t>Octubre</t>
        </is>
      </c>
      <c r="B412" s="17" t="n"/>
      <c r="C412" s="14" t="n"/>
      <c r="D412" s="27" t="n"/>
      <c r="E412" s="28" t="n"/>
      <c r="F412" s="15">
        <f>IF(OR(D412&lt;&gt;"",E412&lt;&gt;""),IF(D412="",0,D412)+IF(E412="",0,E412),"")</f>
        <v/>
      </c>
      <c r="G412" s="14" t="n"/>
    </row>
    <row r="413">
      <c r="A413" s="14" t="inlineStr">
        <is>
          <t>Octubre</t>
        </is>
      </c>
      <c r="B413" s="17" t="n"/>
      <c r="C413" s="14" t="n"/>
      <c r="D413" s="27" t="n"/>
      <c r="E413" s="28" t="n"/>
      <c r="F413" s="15">
        <f>IF(OR(D413&lt;&gt;"",E413&lt;&gt;""),IF(D413="",0,D413)+IF(E413="",0,E413),"")</f>
        <v/>
      </c>
      <c r="G413" s="14" t="n"/>
    </row>
    <row r="414">
      <c r="A414" s="14" t="inlineStr">
        <is>
          <t>Octubre</t>
        </is>
      </c>
      <c r="B414" s="17" t="n"/>
      <c r="C414" s="14" t="n"/>
      <c r="D414" s="27" t="n"/>
      <c r="E414" s="28" t="n"/>
      <c r="F414" s="15">
        <f>IF(OR(D414&lt;&gt;"",E414&lt;&gt;""),IF(D414="",0,D414)+IF(E414="",0,E414),"")</f>
        <v/>
      </c>
      <c r="G414" s="14" t="n"/>
    </row>
    <row r="415">
      <c r="A415" s="14" t="inlineStr">
        <is>
          <t>Octubre</t>
        </is>
      </c>
      <c r="B415" s="17" t="n"/>
      <c r="C415" s="14" t="n"/>
      <c r="D415" s="27" t="n"/>
      <c r="E415" s="28" t="n"/>
      <c r="F415" s="15">
        <f>IF(OR(D415&lt;&gt;"",E415&lt;&gt;""),IF(D415="",0,D415)+IF(E415="",0,E415),"")</f>
        <v/>
      </c>
      <c r="G415" s="14" t="n"/>
    </row>
    <row r="416">
      <c r="A416" s="14" t="inlineStr">
        <is>
          <t>Octubre</t>
        </is>
      </c>
      <c r="B416" s="17" t="n"/>
      <c r="C416" s="14" t="n"/>
      <c r="D416" s="27" t="n"/>
      <c r="E416" s="28" t="n"/>
      <c r="F416" s="15">
        <f>IF(OR(D416&lt;&gt;"",E416&lt;&gt;""),IF(D416="",0,D416)+IF(E416="",0,E416),"")</f>
        <v/>
      </c>
      <c r="G416" s="14" t="n"/>
    </row>
    <row r="417">
      <c r="A417" s="14" t="inlineStr">
        <is>
          <t>Octubre</t>
        </is>
      </c>
      <c r="B417" s="17" t="n"/>
      <c r="C417" s="14" t="n"/>
      <c r="D417" s="27" t="n"/>
      <c r="E417" s="28" t="n"/>
      <c r="F417" s="15">
        <f>IF(OR(D417&lt;&gt;"",E417&lt;&gt;""),IF(D417="",0,D417)+IF(E417="",0,E417),"")</f>
        <v/>
      </c>
      <c r="G417" s="14" t="n"/>
    </row>
    <row r="418">
      <c r="A418" s="14" t="inlineStr">
        <is>
          <t>Octubre</t>
        </is>
      </c>
      <c r="B418" s="17" t="n"/>
      <c r="C418" s="14" t="n"/>
      <c r="D418" s="27" t="n"/>
      <c r="E418" s="28" t="n"/>
      <c r="F418" s="15">
        <f>IF(OR(D418&lt;&gt;"",E418&lt;&gt;""),IF(D418="",0,D418)+IF(E418="",0,E418),"")</f>
        <v/>
      </c>
      <c r="G418" s="14" t="n"/>
    </row>
    <row r="419">
      <c r="A419" s="14" t="inlineStr">
        <is>
          <t>Octubre</t>
        </is>
      </c>
      <c r="B419" s="17" t="n"/>
      <c r="C419" s="14" t="n"/>
      <c r="D419" s="27" t="n"/>
      <c r="E419" s="28" t="n"/>
      <c r="F419" s="15">
        <f>IF(OR(D419&lt;&gt;"",E419&lt;&gt;""),IF(D419="",0,D419)+IF(E419="",0,E419),"")</f>
        <v/>
      </c>
      <c r="G419" s="14" t="n"/>
    </row>
    <row r="420">
      <c r="A420" s="14" t="inlineStr">
        <is>
          <t>Octubre</t>
        </is>
      </c>
      <c r="B420" s="17" t="n"/>
      <c r="C420" s="14" t="n"/>
      <c r="D420" s="27" t="n"/>
      <c r="E420" s="28" t="n"/>
      <c r="F420" s="15">
        <f>IF(OR(D420&lt;&gt;"",E420&lt;&gt;""),IF(D420="",0,D420)+IF(E420="",0,E420),"")</f>
        <v/>
      </c>
      <c r="G420" s="14" t="n"/>
    </row>
    <row r="421">
      <c r="A421" s="14" t="inlineStr">
        <is>
          <t>Octubre</t>
        </is>
      </c>
      <c r="B421" s="17" t="n"/>
      <c r="C421" s="14" t="n"/>
      <c r="D421" s="27" t="n"/>
      <c r="E421" s="28" t="n"/>
      <c r="F421" s="15">
        <f>IF(OR(D421&lt;&gt;"",E421&lt;&gt;""),IF(D421="",0,D421)+IF(E421="",0,E421),"")</f>
        <v/>
      </c>
      <c r="G421" s="14" t="n"/>
    </row>
    <row r="422">
      <c r="A422" s="10" t="inlineStr">
        <is>
          <t>TOTAL OCTUBRE</t>
        </is>
      </c>
      <c r="B422" s="22" t="n"/>
      <c r="C422" s="29" t="inlineStr">
        <is>
          <t>Totales mes →</t>
        </is>
      </c>
      <c r="D422" s="7">
        <f>SUM(D382:D421)</f>
        <v/>
      </c>
      <c r="E422" s="7">
        <f>SUM(E382:E421)</f>
        <v/>
      </c>
      <c r="F422" s="7">
        <f>D422+E422</f>
        <v/>
      </c>
      <c r="G422" s="22" t="n"/>
    </row>
    <row r="424">
      <c r="A424" s="14" t="inlineStr">
        <is>
          <t>Noviembre</t>
        </is>
      </c>
      <c r="B424" s="17" t="n"/>
      <c r="C424" s="14" t="n"/>
      <c r="D424" s="27" t="n"/>
      <c r="E424" s="28" t="n"/>
      <c r="F424" s="15">
        <f>IF(OR(D424&lt;&gt;"",E424&lt;&gt;""),IF(D424="",0,D424)+IF(E424="",0,E424),"")</f>
        <v/>
      </c>
      <c r="G424" s="14" t="n"/>
    </row>
    <row r="425">
      <c r="A425" s="14" t="inlineStr">
        <is>
          <t>Noviembre</t>
        </is>
      </c>
      <c r="B425" s="17" t="n"/>
      <c r="C425" s="14" t="n"/>
      <c r="D425" s="27" t="n"/>
      <c r="E425" s="28" t="n"/>
      <c r="F425" s="15">
        <f>IF(OR(D425&lt;&gt;"",E425&lt;&gt;""),IF(D425="",0,D425)+IF(E425="",0,E425),"")</f>
        <v/>
      </c>
      <c r="G425" s="14" t="n"/>
    </row>
    <row r="426">
      <c r="A426" s="14" t="inlineStr">
        <is>
          <t>Noviembre</t>
        </is>
      </c>
      <c r="B426" s="17" t="n"/>
      <c r="C426" s="14" t="n"/>
      <c r="D426" s="27" t="n"/>
      <c r="E426" s="28" t="n"/>
      <c r="F426" s="15">
        <f>IF(OR(D426&lt;&gt;"",E426&lt;&gt;""),IF(D426="",0,D426)+IF(E426="",0,E426),"")</f>
        <v/>
      </c>
      <c r="G426" s="14" t="n"/>
    </row>
    <row r="427">
      <c r="A427" s="14" t="inlineStr">
        <is>
          <t>Noviembre</t>
        </is>
      </c>
      <c r="B427" s="17" t="n"/>
      <c r="C427" s="14" t="n"/>
      <c r="D427" s="27" t="n"/>
      <c r="E427" s="28" t="n"/>
      <c r="F427" s="15">
        <f>IF(OR(D427&lt;&gt;"",E427&lt;&gt;""),IF(D427="",0,D427)+IF(E427="",0,E427),"")</f>
        <v/>
      </c>
      <c r="G427" s="14" t="n"/>
    </row>
    <row r="428">
      <c r="A428" s="14" t="inlineStr">
        <is>
          <t>Noviembre</t>
        </is>
      </c>
      <c r="B428" s="17" t="n"/>
      <c r="C428" s="14" t="n"/>
      <c r="D428" s="27" t="n"/>
      <c r="E428" s="28" t="n"/>
      <c r="F428" s="15">
        <f>IF(OR(D428&lt;&gt;"",E428&lt;&gt;""),IF(D428="",0,D428)+IF(E428="",0,E428),"")</f>
        <v/>
      </c>
      <c r="G428" s="14" t="n"/>
    </row>
    <row r="429">
      <c r="A429" s="14" t="inlineStr">
        <is>
          <t>Noviembre</t>
        </is>
      </c>
      <c r="B429" s="17" t="n"/>
      <c r="C429" s="14" t="n"/>
      <c r="D429" s="27" t="n"/>
      <c r="E429" s="28" t="n"/>
      <c r="F429" s="15">
        <f>IF(OR(D429&lt;&gt;"",E429&lt;&gt;""),IF(D429="",0,D429)+IF(E429="",0,E429),"")</f>
        <v/>
      </c>
      <c r="G429" s="14" t="n"/>
    </row>
    <row r="430">
      <c r="A430" s="14" t="inlineStr">
        <is>
          <t>Noviembre</t>
        </is>
      </c>
      <c r="B430" s="17" t="n"/>
      <c r="C430" s="14" t="n"/>
      <c r="D430" s="27" t="n"/>
      <c r="E430" s="28" t="n"/>
      <c r="F430" s="15">
        <f>IF(OR(D430&lt;&gt;"",E430&lt;&gt;""),IF(D430="",0,D430)+IF(E430="",0,E430),"")</f>
        <v/>
      </c>
      <c r="G430" s="14" t="n"/>
    </row>
    <row r="431">
      <c r="A431" s="14" t="inlineStr">
        <is>
          <t>Noviembre</t>
        </is>
      </c>
      <c r="B431" s="17" t="n"/>
      <c r="C431" s="14" t="n"/>
      <c r="D431" s="27" t="n"/>
      <c r="E431" s="28" t="n"/>
      <c r="F431" s="15">
        <f>IF(OR(D431&lt;&gt;"",E431&lt;&gt;""),IF(D431="",0,D431)+IF(E431="",0,E431),"")</f>
        <v/>
      </c>
      <c r="G431" s="14" t="n"/>
    </row>
    <row r="432">
      <c r="A432" s="14" t="inlineStr">
        <is>
          <t>Noviembre</t>
        </is>
      </c>
      <c r="B432" s="17" t="n"/>
      <c r="C432" s="14" t="n"/>
      <c r="D432" s="27" t="n"/>
      <c r="E432" s="28" t="n"/>
      <c r="F432" s="15">
        <f>IF(OR(D432&lt;&gt;"",E432&lt;&gt;""),IF(D432="",0,D432)+IF(E432="",0,E432),"")</f>
        <v/>
      </c>
      <c r="G432" s="14" t="n"/>
    </row>
    <row r="433">
      <c r="A433" s="14" t="inlineStr">
        <is>
          <t>Noviembre</t>
        </is>
      </c>
      <c r="B433" s="17" t="n"/>
      <c r="C433" s="14" t="n"/>
      <c r="D433" s="27" t="n"/>
      <c r="E433" s="28" t="n"/>
      <c r="F433" s="15">
        <f>IF(OR(D433&lt;&gt;"",E433&lt;&gt;""),IF(D433="",0,D433)+IF(E433="",0,E433),"")</f>
        <v/>
      </c>
      <c r="G433" s="14" t="n"/>
    </row>
    <row r="434">
      <c r="A434" s="14" t="inlineStr">
        <is>
          <t>Noviembre</t>
        </is>
      </c>
      <c r="B434" s="17" t="n"/>
      <c r="C434" s="14" t="n"/>
      <c r="D434" s="27" t="n"/>
      <c r="E434" s="28" t="n"/>
      <c r="F434" s="15">
        <f>IF(OR(D434&lt;&gt;"",E434&lt;&gt;""),IF(D434="",0,D434)+IF(E434="",0,E434),"")</f>
        <v/>
      </c>
      <c r="G434" s="14" t="n"/>
    </row>
    <row r="435">
      <c r="A435" s="14" t="inlineStr">
        <is>
          <t>Noviembre</t>
        </is>
      </c>
      <c r="B435" s="17" t="n"/>
      <c r="C435" s="14" t="n"/>
      <c r="D435" s="27" t="n"/>
      <c r="E435" s="28" t="n"/>
      <c r="F435" s="15">
        <f>IF(OR(D435&lt;&gt;"",E435&lt;&gt;""),IF(D435="",0,D435)+IF(E435="",0,E435),"")</f>
        <v/>
      </c>
      <c r="G435" s="14" t="n"/>
    </row>
    <row r="436">
      <c r="A436" s="14" t="inlineStr">
        <is>
          <t>Noviembre</t>
        </is>
      </c>
      <c r="B436" s="17" t="n"/>
      <c r="C436" s="14" t="n"/>
      <c r="D436" s="27" t="n"/>
      <c r="E436" s="28" t="n"/>
      <c r="F436" s="15">
        <f>IF(OR(D436&lt;&gt;"",E436&lt;&gt;""),IF(D436="",0,D436)+IF(E436="",0,E436),"")</f>
        <v/>
      </c>
      <c r="G436" s="14" t="n"/>
    </row>
    <row r="437">
      <c r="A437" s="14" t="inlineStr">
        <is>
          <t>Noviembre</t>
        </is>
      </c>
      <c r="B437" s="17" t="n"/>
      <c r="C437" s="14" t="n"/>
      <c r="D437" s="27" t="n"/>
      <c r="E437" s="28" t="n"/>
      <c r="F437" s="15">
        <f>IF(OR(D437&lt;&gt;"",E437&lt;&gt;""),IF(D437="",0,D437)+IF(E437="",0,E437),"")</f>
        <v/>
      </c>
      <c r="G437" s="14" t="n"/>
    </row>
    <row r="438">
      <c r="A438" s="14" t="inlineStr">
        <is>
          <t>Noviembre</t>
        </is>
      </c>
      <c r="B438" s="17" t="n"/>
      <c r="C438" s="14" t="n"/>
      <c r="D438" s="27" t="n"/>
      <c r="E438" s="28" t="n"/>
      <c r="F438" s="15">
        <f>IF(OR(D438&lt;&gt;"",E438&lt;&gt;""),IF(D438="",0,D438)+IF(E438="",0,E438),"")</f>
        <v/>
      </c>
      <c r="G438" s="14" t="n"/>
    </row>
    <row r="439">
      <c r="A439" s="14" t="inlineStr">
        <is>
          <t>Noviembre</t>
        </is>
      </c>
      <c r="B439" s="17" t="n"/>
      <c r="C439" s="14" t="n"/>
      <c r="D439" s="27" t="n"/>
      <c r="E439" s="28" t="n"/>
      <c r="F439" s="15">
        <f>IF(OR(D439&lt;&gt;"",E439&lt;&gt;""),IF(D439="",0,D439)+IF(E439="",0,E439),"")</f>
        <v/>
      </c>
      <c r="G439" s="14" t="n"/>
    </row>
    <row r="440">
      <c r="A440" s="14" t="inlineStr">
        <is>
          <t>Noviembre</t>
        </is>
      </c>
      <c r="B440" s="17" t="n"/>
      <c r="C440" s="14" t="n"/>
      <c r="D440" s="27" t="n"/>
      <c r="E440" s="28" t="n"/>
      <c r="F440" s="15">
        <f>IF(OR(D440&lt;&gt;"",E440&lt;&gt;""),IF(D440="",0,D440)+IF(E440="",0,E440),"")</f>
        <v/>
      </c>
      <c r="G440" s="14" t="n"/>
    </row>
    <row r="441">
      <c r="A441" s="14" t="inlineStr">
        <is>
          <t>Noviembre</t>
        </is>
      </c>
      <c r="B441" s="17" t="n"/>
      <c r="C441" s="14" t="n"/>
      <c r="D441" s="27" t="n"/>
      <c r="E441" s="28" t="n"/>
      <c r="F441" s="15">
        <f>IF(OR(D441&lt;&gt;"",E441&lt;&gt;""),IF(D441="",0,D441)+IF(E441="",0,E441),"")</f>
        <v/>
      </c>
      <c r="G441" s="14" t="n"/>
    </row>
    <row r="442">
      <c r="A442" s="14" t="inlineStr">
        <is>
          <t>Noviembre</t>
        </is>
      </c>
      <c r="B442" s="17" t="n"/>
      <c r="C442" s="14" t="n"/>
      <c r="D442" s="27" t="n"/>
      <c r="E442" s="28" t="n"/>
      <c r="F442" s="15">
        <f>IF(OR(D442&lt;&gt;"",E442&lt;&gt;""),IF(D442="",0,D442)+IF(E442="",0,E442),"")</f>
        <v/>
      </c>
      <c r="G442" s="14" t="n"/>
    </row>
    <row r="443">
      <c r="A443" s="14" t="inlineStr">
        <is>
          <t>Noviembre</t>
        </is>
      </c>
      <c r="B443" s="17" t="n"/>
      <c r="C443" s="14" t="n"/>
      <c r="D443" s="27" t="n"/>
      <c r="E443" s="28" t="n"/>
      <c r="F443" s="15">
        <f>IF(OR(D443&lt;&gt;"",E443&lt;&gt;""),IF(D443="",0,D443)+IF(E443="",0,E443),"")</f>
        <v/>
      </c>
      <c r="G443" s="14" t="n"/>
    </row>
    <row r="444">
      <c r="A444" s="14" t="inlineStr">
        <is>
          <t>Noviembre</t>
        </is>
      </c>
      <c r="B444" s="17" t="n"/>
      <c r="C444" s="14" t="n"/>
      <c r="D444" s="27" t="n"/>
      <c r="E444" s="28" t="n"/>
      <c r="F444" s="15">
        <f>IF(OR(D444&lt;&gt;"",E444&lt;&gt;""),IF(D444="",0,D444)+IF(E444="",0,E444),"")</f>
        <v/>
      </c>
      <c r="G444" s="14" t="n"/>
    </row>
    <row r="445">
      <c r="A445" s="14" t="inlineStr">
        <is>
          <t>Noviembre</t>
        </is>
      </c>
      <c r="B445" s="17" t="n"/>
      <c r="C445" s="14" t="n"/>
      <c r="D445" s="27" t="n"/>
      <c r="E445" s="28" t="n"/>
      <c r="F445" s="15">
        <f>IF(OR(D445&lt;&gt;"",E445&lt;&gt;""),IF(D445="",0,D445)+IF(E445="",0,E445),"")</f>
        <v/>
      </c>
      <c r="G445" s="14" t="n"/>
    </row>
    <row r="446">
      <c r="A446" s="14" t="inlineStr">
        <is>
          <t>Noviembre</t>
        </is>
      </c>
      <c r="B446" s="17" t="n"/>
      <c r="C446" s="14" t="n"/>
      <c r="D446" s="27" t="n"/>
      <c r="E446" s="28" t="n"/>
      <c r="F446" s="15">
        <f>IF(OR(D446&lt;&gt;"",E446&lt;&gt;""),IF(D446="",0,D446)+IF(E446="",0,E446),"")</f>
        <v/>
      </c>
      <c r="G446" s="14" t="n"/>
    </row>
    <row r="447">
      <c r="A447" s="14" t="inlineStr">
        <is>
          <t>Noviembre</t>
        </is>
      </c>
      <c r="B447" s="17" t="n"/>
      <c r="C447" s="14" t="n"/>
      <c r="D447" s="27" t="n"/>
      <c r="E447" s="28" t="n"/>
      <c r="F447" s="15">
        <f>IF(OR(D447&lt;&gt;"",E447&lt;&gt;""),IF(D447="",0,D447)+IF(E447="",0,E447),"")</f>
        <v/>
      </c>
      <c r="G447" s="14" t="n"/>
    </row>
    <row r="448">
      <c r="A448" s="14" t="inlineStr">
        <is>
          <t>Noviembre</t>
        </is>
      </c>
      <c r="B448" s="17" t="n"/>
      <c r="C448" s="14" t="n"/>
      <c r="D448" s="27" t="n"/>
      <c r="E448" s="28" t="n"/>
      <c r="F448" s="15">
        <f>IF(OR(D448&lt;&gt;"",E448&lt;&gt;""),IF(D448="",0,D448)+IF(E448="",0,E448),"")</f>
        <v/>
      </c>
      <c r="G448" s="14" t="n"/>
    </row>
    <row r="449">
      <c r="A449" s="14" t="inlineStr">
        <is>
          <t>Noviembre</t>
        </is>
      </c>
      <c r="B449" s="17" t="n"/>
      <c r="C449" s="14" t="n"/>
      <c r="D449" s="27" t="n"/>
      <c r="E449" s="28" t="n"/>
      <c r="F449" s="15">
        <f>IF(OR(D449&lt;&gt;"",E449&lt;&gt;""),IF(D449="",0,D449)+IF(E449="",0,E449),"")</f>
        <v/>
      </c>
      <c r="G449" s="14" t="n"/>
    </row>
    <row r="450">
      <c r="A450" s="14" t="inlineStr">
        <is>
          <t>Noviembre</t>
        </is>
      </c>
      <c r="B450" s="17" t="n"/>
      <c r="C450" s="14" t="n"/>
      <c r="D450" s="27" t="n"/>
      <c r="E450" s="28" t="n"/>
      <c r="F450" s="15">
        <f>IF(OR(D450&lt;&gt;"",E450&lt;&gt;""),IF(D450="",0,D450)+IF(E450="",0,E450),"")</f>
        <v/>
      </c>
      <c r="G450" s="14" t="n"/>
    </row>
    <row r="451">
      <c r="A451" s="14" t="inlineStr">
        <is>
          <t>Noviembre</t>
        </is>
      </c>
      <c r="B451" s="17" t="n"/>
      <c r="C451" s="14" t="n"/>
      <c r="D451" s="27" t="n"/>
      <c r="E451" s="28" t="n"/>
      <c r="F451" s="15">
        <f>IF(OR(D451&lt;&gt;"",E451&lt;&gt;""),IF(D451="",0,D451)+IF(E451="",0,E451),"")</f>
        <v/>
      </c>
      <c r="G451" s="14" t="n"/>
    </row>
    <row r="452">
      <c r="A452" s="14" t="inlineStr">
        <is>
          <t>Noviembre</t>
        </is>
      </c>
      <c r="B452" s="17" t="n"/>
      <c r="C452" s="14" t="n"/>
      <c r="D452" s="27" t="n"/>
      <c r="E452" s="28" t="n"/>
      <c r="F452" s="15">
        <f>IF(OR(D452&lt;&gt;"",E452&lt;&gt;""),IF(D452="",0,D452)+IF(E452="",0,E452),"")</f>
        <v/>
      </c>
      <c r="G452" s="14" t="n"/>
    </row>
    <row r="453">
      <c r="A453" s="14" t="inlineStr">
        <is>
          <t>Noviembre</t>
        </is>
      </c>
      <c r="B453" s="17" t="n"/>
      <c r="C453" s="14" t="n"/>
      <c r="D453" s="27" t="n"/>
      <c r="E453" s="28" t="n"/>
      <c r="F453" s="15">
        <f>IF(OR(D453&lt;&gt;"",E453&lt;&gt;""),IF(D453="",0,D453)+IF(E453="",0,E453),"")</f>
        <v/>
      </c>
      <c r="G453" s="14" t="n"/>
    </row>
    <row r="454">
      <c r="A454" s="14" t="inlineStr">
        <is>
          <t>Noviembre</t>
        </is>
      </c>
      <c r="B454" s="17" t="n"/>
      <c r="C454" s="14" t="n"/>
      <c r="D454" s="27" t="n"/>
      <c r="E454" s="28" t="n"/>
      <c r="F454" s="15">
        <f>IF(OR(D454&lt;&gt;"",E454&lt;&gt;""),IF(D454="",0,D454)+IF(E454="",0,E454),"")</f>
        <v/>
      </c>
      <c r="G454" s="14" t="n"/>
    </row>
    <row r="455">
      <c r="A455" s="14" t="inlineStr">
        <is>
          <t>Noviembre</t>
        </is>
      </c>
      <c r="B455" s="17" t="n"/>
      <c r="C455" s="14" t="n"/>
      <c r="D455" s="27" t="n"/>
      <c r="E455" s="28" t="n"/>
      <c r="F455" s="15">
        <f>IF(OR(D455&lt;&gt;"",E455&lt;&gt;""),IF(D455="",0,D455)+IF(E455="",0,E455),"")</f>
        <v/>
      </c>
      <c r="G455" s="14" t="n"/>
    </row>
    <row r="456">
      <c r="A456" s="14" t="inlineStr">
        <is>
          <t>Noviembre</t>
        </is>
      </c>
      <c r="B456" s="17" t="n"/>
      <c r="C456" s="14" t="n"/>
      <c r="D456" s="27" t="n"/>
      <c r="E456" s="28" t="n"/>
      <c r="F456" s="15">
        <f>IF(OR(D456&lt;&gt;"",E456&lt;&gt;""),IF(D456="",0,D456)+IF(E456="",0,E456),"")</f>
        <v/>
      </c>
      <c r="G456" s="14" t="n"/>
    </row>
    <row r="457">
      <c r="A457" s="14" t="inlineStr">
        <is>
          <t>Noviembre</t>
        </is>
      </c>
      <c r="B457" s="17" t="n"/>
      <c r="C457" s="14" t="n"/>
      <c r="D457" s="27" t="n"/>
      <c r="E457" s="28" t="n"/>
      <c r="F457" s="15">
        <f>IF(OR(D457&lt;&gt;"",E457&lt;&gt;""),IF(D457="",0,D457)+IF(E457="",0,E457),"")</f>
        <v/>
      </c>
      <c r="G457" s="14" t="n"/>
    </row>
    <row r="458">
      <c r="A458" s="14" t="inlineStr">
        <is>
          <t>Noviembre</t>
        </is>
      </c>
      <c r="B458" s="17" t="n"/>
      <c r="C458" s="14" t="n"/>
      <c r="D458" s="27" t="n"/>
      <c r="E458" s="28" t="n"/>
      <c r="F458" s="15">
        <f>IF(OR(D458&lt;&gt;"",E458&lt;&gt;""),IF(D458="",0,D458)+IF(E458="",0,E458),"")</f>
        <v/>
      </c>
      <c r="G458" s="14" t="n"/>
    </row>
    <row r="459">
      <c r="A459" s="14" t="inlineStr">
        <is>
          <t>Noviembre</t>
        </is>
      </c>
      <c r="B459" s="17" t="n"/>
      <c r="C459" s="14" t="n"/>
      <c r="D459" s="27" t="n"/>
      <c r="E459" s="28" t="n"/>
      <c r="F459" s="15">
        <f>IF(OR(D459&lt;&gt;"",E459&lt;&gt;""),IF(D459="",0,D459)+IF(E459="",0,E459),"")</f>
        <v/>
      </c>
      <c r="G459" s="14" t="n"/>
    </row>
    <row r="460">
      <c r="A460" s="14" t="inlineStr">
        <is>
          <t>Noviembre</t>
        </is>
      </c>
      <c r="B460" s="17" t="n"/>
      <c r="C460" s="14" t="n"/>
      <c r="D460" s="27" t="n"/>
      <c r="E460" s="28" t="n"/>
      <c r="F460" s="15">
        <f>IF(OR(D460&lt;&gt;"",E460&lt;&gt;""),IF(D460="",0,D460)+IF(E460="",0,E460),"")</f>
        <v/>
      </c>
      <c r="G460" s="14" t="n"/>
    </row>
    <row r="461">
      <c r="A461" s="14" t="inlineStr">
        <is>
          <t>Noviembre</t>
        </is>
      </c>
      <c r="B461" s="17" t="n"/>
      <c r="C461" s="14" t="n"/>
      <c r="D461" s="27" t="n"/>
      <c r="E461" s="28" t="n"/>
      <c r="F461" s="15">
        <f>IF(OR(D461&lt;&gt;"",E461&lt;&gt;""),IF(D461="",0,D461)+IF(E461="",0,E461),"")</f>
        <v/>
      </c>
      <c r="G461" s="14" t="n"/>
    </row>
    <row r="462">
      <c r="A462" s="14" t="inlineStr">
        <is>
          <t>Noviembre</t>
        </is>
      </c>
      <c r="B462" s="17" t="n"/>
      <c r="C462" s="14" t="n"/>
      <c r="D462" s="27" t="n"/>
      <c r="E462" s="28" t="n"/>
      <c r="F462" s="15">
        <f>IF(OR(D462&lt;&gt;"",E462&lt;&gt;""),IF(D462="",0,D462)+IF(E462="",0,E462),"")</f>
        <v/>
      </c>
      <c r="G462" s="14" t="n"/>
    </row>
    <row r="463">
      <c r="A463" s="14" t="inlineStr">
        <is>
          <t>Noviembre</t>
        </is>
      </c>
      <c r="B463" s="17" t="n"/>
      <c r="C463" s="14" t="n"/>
      <c r="D463" s="27" t="n"/>
      <c r="E463" s="28" t="n"/>
      <c r="F463" s="15">
        <f>IF(OR(D463&lt;&gt;"",E463&lt;&gt;""),IF(D463="",0,D463)+IF(E463="",0,E463),"")</f>
        <v/>
      </c>
      <c r="G463" s="14" t="n"/>
    </row>
    <row r="464">
      <c r="A464" s="10" t="inlineStr">
        <is>
          <t>TOTAL NOVIEMBRE</t>
        </is>
      </c>
      <c r="B464" s="22" t="n"/>
      <c r="C464" s="29" t="inlineStr">
        <is>
          <t>Totales mes →</t>
        </is>
      </c>
      <c r="D464" s="7">
        <f>SUM(D424:D463)</f>
        <v/>
      </c>
      <c r="E464" s="7">
        <f>SUM(E424:E463)</f>
        <v/>
      </c>
      <c r="F464" s="7">
        <f>D464+E464</f>
        <v/>
      </c>
      <c r="G464" s="22" t="n"/>
    </row>
    <row r="466">
      <c r="A466" s="14" t="inlineStr">
        <is>
          <t>Diciembre</t>
        </is>
      </c>
      <c r="B466" s="17" t="n"/>
      <c r="C466" s="14" t="n"/>
      <c r="D466" s="27" t="n"/>
      <c r="E466" s="28" t="n"/>
      <c r="F466" s="15">
        <f>IF(OR(D466&lt;&gt;"",E466&lt;&gt;""),IF(D466="",0,D466)+IF(E466="",0,E466),"")</f>
        <v/>
      </c>
      <c r="G466" s="14" t="n"/>
    </row>
    <row r="467">
      <c r="A467" s="14" t="inlineStr">
        <is>
          <t>Diciembre</t>
        </is>
      </c>
      <c r="B467" s="17" t="n"/>
      <c r="C467" s="14" t="n"/>
      <c r="D467" s="27" t="n"/>
      <c r="E467" s="28" t="n"/>
      <c r="F467" s="15">
        <f>IF(OR(D467&lt;&gt;"",E467&lt;&gt;""),IF(D467="",0,D467)+IF(E467="",0,E467),"")</f>
        <v/>
      </c>
      <c r="G467" s="14" t="n"/>
    </row>
    <row r="468">
      <c r="A468" s="14" t="inlineStr">
        <is>
          <t>Diciembre</t>
        </is>
      </c>
      <c r="B468" s="17" t="n"/>
      <c r="C468" s="14" t="n"/>
      <c r="D468" s="27" t="n"/>
      <c r="E468" s="28" t="n"/>
      <c r="F468" s="15">
        <f>IF(OR(D468&lt;&gt;"",E468&lt;&gt;""),IF(D468="",0,D468)+IF(E468="",0,E468),"")</f>
        <v/>
      </c>
      <c r="G468" s="14" t="n"/>
    </row>
    <row r="469">
      <c r="A469" s="14" t="inlineStr">
        <is>
          <t>Diciembre</t>
        </is>
      </c>
      <c r="B469" s="17" t="n"/>
      <c r="C469" s="14" t="n"/>
      <c r="D469" s="27" t="n"/>
      <c r="E469" s="28" t="n"/>
      <c r="F469" s="15">
        <f>IF(OR(D469&lt;&gt;"",E469&lt;&gt;""),IF(D469="",0,D469)+IF(E469="",0,E469),"")</f>
        <v/>
      </c>
      <c r="G469" s="14" t="n"/>
    </row>
    <row r="470">
      <c r="A470" s="14" t="inlineStr">
        <is>
          <t>Diciembre</t>
        </is>
      </c>
      <c r="B470" s="17" t="n"/>
      <c r="C470" s="14" t="n"/>
      <c r="D470" s="27" t="n"/>
      <c r="E470" s="28" t="n"/>
      <c r="F470" s="15">
        <f>IF(OR(D470&lt;&gt;"",E470&lt;&gt;""),IF(D470="",0,D470)+IF(E470="",0,E470),"")</f>
        <v/>
      </c>
      <c r="G470" s="14" t="n"/>
    </row>
    <row r="471">
      <c r="A471" s="14" t="inlineStr">
        <is>
          <t>Diciembre</t>
        </is>
      </c>
      <c r="B471" s="17" t="n"/>
      <c r="C471" s="14" t="n"/>
      <c r="D471" s="27" t="n"/>
      <c r="E471" s="28" t="n"/>
      <c r="F471" s="15">
        <f>IF(OR(D471&lt;&gt;"",E471&lt;&gt;""),IF(D471="",0,D471)+IF(E471="",0,E471),"")</f>
        <v/>
      </c>
      <c r="G471" s="14" t="n"/>
    </row>
    <row r="472">
      <c r="A472" s="14" t="inlineStr">
        <is>
          <t>Diciembre</t>
        </is>
      </c>
      <c r="B472" s="17" t="n"/>
      <c r="C472" s="14" t="n"/>
      <c r="D472" s="27" t="n"/>
      <c r="E472" s="28" t="n"/>
      <c r="F472" s="15">
        <f>IF(OR(D472&lt;&gt;"",E472&lt;&gt;""),IF(D472="",0,D472)+IF(E472="",0,E472),"")</f>
        <v/>
      </c>
      <c r="G472" s="14" t="n"/>
    </row>
    <row r="473">
      <c r="A473" s="14" t="inlineStr">
        <is>
          <t>Diciembre</t>
        </is>
      </c>
      <c r="B473" s="17" t="n"/>
      <c r="C473" s="14" t="n"/>
      <c r="D473" s="27" t="n"/>
      <c r="E473" s="28" t="n"/>
      <c r="F473" s="15">
        <f>IF(OR(D473&lt;&gt;"",E473&lt;&gt;""),IF(D473="",0,D473)+IF(E473="",0,E473),"")</f>
        <v/>
      </c>
      <c r="G473" s="14" t="n"/>
    </row>
    <row r="474">
      <c r="A474" s="14" t="inlineStr">
        <is>
          <t>Diciembre</t>
        </is>
      </c>
      <c r="B474" s="17" t="n"/>
      <c r="C474" s="14" t="n"/>
      <c r="D474" s="27" t="n"/>
      <c r="E474" s="28" t="n"/>
      <c r="F474" s="15">
        <f>IF(OR(D474&lt;&gt;"",E474&lt;&gt;""),IF(D474="",0,D474)+IF(E474="",0,E474),"")</f>
        <v/>
      </c>
      <c r="G474" s="14" t="n"/>
    </row>
    <row r="475">
      <c r="A475" s="14" t="inlineStr">
        <is>
          <t>Diciembre</t>
        </is>
      </c>
      <c r="B475" s="17" t="n"/>
      <c r="C475" s="14" t="n"/>
      <c r="D475" s="27" t="n"/>
      <c r="E475" s="28" t="n"/>
      <c r="F475" s="15">
        <f>IF(OR(D475&lt;&gt;"",E475&lt;&gt;""),IF(D475="",0,D475)+IF(E475="",0,E475),"")</f>
        <v/>
      </c>
      <c r="G475" s="14" t="n"/>
    </row>
    <row r="476">
      <c r="A476" s="14" t="inlineStr">
        <is>
          <t>Diciembre</t>
        </is>
      </c>
      <c r="B476" s="17" t="n"/>
      <c r="C476" s="14" t="n"/>
      <c r="D476" s="27" t="n"/>
      <c r="E476" s="28" t="n"/>
      <c r="F476" s="15">
        <f>IF(OR(D476&lt;&gt;"",E476&lt;&gt;""),IF(D476="",0,D476)+IF(E476="",0,E476),"")</f>
        <v/>
      </c>
      <c r="G476" s="14" t="n"/>
    </row>
    <row r="477">
      <c r="A477" s="14" t="inlineStr">
        <is>
          <t>Diciembre</t>
        </is>
      </c>
      <c r="B477" s="17" t="n"/>
      <c r="C477" s="14" t="n"/>
      <c r="D477" s="27" t="n"/>
      <c r="E477" s="28" t="n"/>
      <c r="F477" s="15">
        <f>IF(OR(D477&lt;&gt;"",E477&lt;&gt;""),IF(D477="",0,D477)+IF(E477="",0,E477),"")</f>
        <v/>
      </c>
      <c r="G477" s="14" t="n"/>
    </row>
    <row r="478">
      <c r="A478" s="14" t="inlineStr">
        <is>
          <t>Diciembre</t>
        </is>
      </c>
      <c r="B478" s="17" t="n"/>
      <c r="C478" s="14" t="n"/>
      <c r="D478" s="27" t="n"/>
      <c r="E478" s="28" t="n"/>
      <c r="F478" s="15">
        <f>IF(OR(D478&lt;&gt;"",E478&lt;&gt;""),IF(D478="",0,D478)+IF(E478="",0,E478),"")</f>
        <v/>
      </c>
      <c r="G478" s="14" t="n"/>
    </row>
    <row r="479">
      <c r="A479" s="14" t="inlineStr">
        <is>
          <t>Diciembre</t>
        </is>
      </c>
      <c r="B479" s="17" t="n"/>
      <c r="C479" s="14" t="n"/>
      <c r="D479" s="27" t="n"/>
      <c r="E479" s="28" t="n"/>
      <c r="F479" s="15">
        <f>IF(OR(D479&lt;&gt;"",E479&lt;&gt;""),IF(D479="",0,D479)+IF(E479="",0,E479),"")</f>
        <v/>
      </c>
      <c r="G479" s="14" t="n"/>
    </row>
    <row r="480">
      <c r="A480" s="14" t="inlineStr">
        <is>
          <t>Diciembre</t>
        </is>
      </c>
      <c r="B480" s="17" t="n"/>
      <c r="C480" s="14" t="n"/>
      <c r="D480" s="27" t="n"/>
      <c r="E480" s="28" t="n"/>
      <c r="F480" s="15">
        <f>IF(OR(D480&lt;&gt;"",E480&lt;&gt;""),IF(D480="",0,D480)+IF(E480="",0,E480),"")</f>
        <v/>
      </c>
      <c r="G480" s="14" t="n"/>
    </row>
    <row r="481">
      <c r="A481" s="14" t="inlineStr">
        <is>
          <t>Diciembre</t>
        </is>
      </c>
      <c r="B481" s="17" t="n"/>
      <c r="C481" s="14" t="n"/>
      <c r="D481" s="27" t="n"/>
      <c r="E481" s="28" t="n"/>
      <c r="F481" s="15">
        <f>IF(OR(D481&lt;&gt;"",E481&lt;&gt;""),IF(D481="",0,D481)+IF(E481="",0,E481),"")</f>
        <v/>
      </c>
      <c r="G481" s="14" t="n"/>
    </row>
    <row r="482">
      <c r="A482" s="14" t="inlineStr">
        <is>
          <t>Diciembre</t>
        </is>
      </c>
      <c r="B482" s="17" t="n"/>
      <c r="C482" s="14" t="n"/>
      <c r="D482" s="27" t="n"/>
      <c r="E482" s="28" t="n"/>
      <c r="F482" s="15">
        <f>IF(OR(D482&lt;&gt;"",E482&lt;&gt;""),IF(D482="",0,D482)+IF(E482="",0,E482),"")</f>
        <v/>
      </c>
      <c r="G482" s="14" t="n"/>
    </row>
    <row r="483">
      <c r="A483" s="14" t="inlineStr">
        <is>
          <t>Diciembre</t>
        </is>
      </c>
      <c r="B483" s="17" t="n"/>
      <c r="C483" s="14" t="n"/>
      <c r="D483" s="27" t="n"/>
      <c r="E483" s="28" t="n"/>
      <c r="F483" s="15">
        <f>IF(OR(D483&lt;&gt;"",E483&lt;&gt;""),IF(D483="",0,D483)+IF(E483="",0,E483),"")</f>
        <v/>
      </c>
      <c r="G483" s="14" t="n"/>
    </row>
    <row r="484">
      <c r="A484" s="14" t="inlineStr">
        <is>
          <t>Diciembre</t>
        </is>
      </c>
      <c r="B484" s="17" t="n"/>
      <c r="C484" s="14" t="n"/>
      <c r="D484" s="27" t="n"/>
      <c r="E484" s="28" t="n"/>
      <c r="F484" s="15">
        <f>IF(OR(D484&lt;&gt;"",E484&lt;&gt;""),IF(D484="",0,D484)+IF(E484="",0,E484),"")</f>
        <v/>
      </c>
      <c r="G484" s="14" t="n"/>
    </row>
    <row r="485">
      <c r="A485" s="14" t="inlineStr">
        <is>
          <t>Diciembre</t>
        </is>
      </c>
      <c r="B485" s="17" t="n"/>
      <c r="C485" s="14" t="n"/>
      <c r="D485" s="27" t="n"/>
      <c r="E485" s="28" t="n"/>
      <c r="F485" s="15">
        <f>IF(OR(D485&lt;&gt;"",E485&lt;&gt;""),IF(D485="",0,D485)+IF(E485="",0,E485),"")</f>
        <v/>
      </c>
      <c r="G485" s="14" t="n"/>
    </row>
    <row r="486">
      <c r="A486" s="14" t="inlineStr">
        <is>
          <t>Diciembre</t>
        </is>
      </c>
      <c r="B486" s="17" t="n"/>
      <c r="C486" s="14" t="n"/>
      <c r="D486" s="27" t="n"/>
      <c r="E486" s="28" t="n"/>
      <c r="F486" s="15">
        <f>IF(OR(D486&lt;&gt;"",E486&lt;&gt;""),IF(D486="",0,D486)+IF(E486="",0,E486),"")</f>
        <v/>
      </c>
      <c r="G486" s="14" t="n"/>
    </row>
    <row r="487">
      <c r="A487" s="14" t="inlineStr">
        <is>
          <t>Diciembre</t>
        </is>
      </c>
      <c r="B487" s="17" t="n"/>
      <c r="C487" s="14" t="n"/>
      <c r="D487" s="27" t="n"/>
      <c r="E487" s="28" t="n"/>
      <c r="F487" s="15">
        <f>IF(OR(D487&lt;&gt;"",E487&lt;&gt;""),IF(D487="",0,D487)+IF(E487="",0,E487),"")</f>
        <v/>
      </c>
      <c r="G487" s="14" t="n"/>
    </row>
    <row r="488">
      <c r="A488" s="14" t="inlineStr">
        <is>
          <t>Diciembre</t>
        </is>
      </c>
      <c r="B488" s="17" t="n"/>
      <c r="C488" s="14" t="n"/>
      <c r="D488" s="27" t="n"/>
      <c r="E488" s="28" t="n"/>
      <c r="F488" s="15">
        <f>IF(OR(D488&lt;&gt;"",E488&lt;&gt;""),IF(D488="",0,D488)+IF(E488="",0,E488),"")</f>
        <v/>
      </c>
      <c r="G488" s="14" t="n"/>
    </row>
    <row r="489">
      <c r="A489" s="14" t="inlineStr">
        <is>
          <t>Diciembre</t>
        </is>
      </c>
      <c r="B489" s="17" t="n"/>
      <c r="C489" s="14" t="n"/>
      <c r="D489" s="27" t="n"/>
      <c r="E489" s="28" t="n"/>
      <c r="F489" s="15">
        <f>IF(OR(D489&lt;&gt;"",E489&lt;&gt;""),IF(D489="",0,D489)+IF(E489="",0,E489),"")</f>
        <v/>
      </c>
      <c r="G489" s="14" t="n"/>
    </row>
    <row r="490">
      <c r="A490" s="14" t="inlineStr">
        <is>
          <t>Diciembre</t>
        </is>
      </c>
      <c r="B490" s="17" t="n"/>
      <c r="C490" s="14" t="n"/>
      <c r="D490" s="27" t="n"/>
      <c r="E490" s="28" t="n"/>
      <c r="F490" s="15">
        <f>IF(OR(D490&lt;&gt;"",E490&lt;&gt;""),IF(D490="",0,D490)+IF(E490="",0,E490),"")</f>
        <v/>
      </c>
      <c r="G490" s="14" t="n"/>
    </row>
    <row r="491">
      <c r="A491" s="14" t="inlineStr">
        <is>
          <t>Diciembre</t>
        </is>
      </c>
      <c r="B491" s="17" t="n"/>
      <c r="C491" s="14" t="n"/>
      <c r="D491" s="27" t="n"/>
      <c r="E491" s="28" t="n"/>
      <c r="F491" s="15">
        <f>IF(OR(D491&lt;&gt;"",E491&lt;&gt;""),IF(D491="",0,D491)+IF(E491="",0,E491),"")</f>
        <v/>
      </c>
      <c r="G491" s="14" t="n"/>
    </row>
    <row r="492">
      <c r="A492" s="14" t="inlineStr">
        <is>
          <t>Diciembre</t>
        </is>
      </c>
      <c r="B492" s="17" t="n"/>
      <c r="C492" s="14" t="n"/>
      <c r="D492" s="27" t="n"/>
      <c r="E492" s="28" t="n"/>
      <c r="F492" s="15">
        <f>IF(OR(D492&lt;&gt;"",E492&lt;&gt;""),IF(D492="",0,D492)+IF(E492="",0,E492),"")</f>
        <v/>
      </c>
      <c r="G492" s="14" t="n"/>
    </row>
    <row r="493">
      <c r="A493" s="14" t="inlineStr">
        <is>
          <t>Diciembre</t>
        </is>
      </c>
      <c r="B493" s="17" t="n"/>
      <c r="C493" s="14" t="n"/>
      <c r="D493" s="27" t="n"/>
      <c r="E493" s="28" t="n"/>
      <c r="F493" s="15">
        <f>IF(OR(D493&lt;&gt;"",E493&lt;&gt;""),IF(D493="",0,D493)+IF(E493="",0,E493),"")</f>
        <v/>
      </c>
      <c r="G493" s="14" t="n"/>
    </row>
    <row r="494">
      <c r="A494" s="14" t="inlineStr">
        <is>
          <t>Diciembre</t>
        </is>
      </c>
      <c r="B494" s="17" t="n"/>
      <c r="C494" s="14" t="n"/>
      <c r="D494" s="27" t="n"/>
      <c r="E494" s="28" t="n"/>
      <c r="F494" s="15">
        <f>IF(OR(D494&lt;&gt;"",E494&lt;&gt;""),IF(D494="",0,D494)+IF(E494="",0,E494),"")</f>
        <v/>
      </c>
      <c r="G494" s="14" t="n"/>
    </row>
    <row r="495">
      <c r="A495" s="14" t="inlineStr">
        <is>
          <t>Diciembre</t>
        </is>
      </c>
      <c r="B495" s="17" t="n"/>
      <c r="C495" s="14" t="n"/>
      <c r="D495" s="27" t="n"/>
      <c r="E495" s="28" t="n"/>
      <c r="F495" s="15">
        <f>IF(OR(D495&lt;&gt;"",E495&lt;&gt;""),IF(D495="",0,D495)+IF(E495="",0,E495),"")</f>
        <v/>
      </c>
      <c r="G495" s="14" t="n"/>
    </row>
    <row r="496">
      <c r="A496" s="14" t="inlineStr">
        <is>
          <t>Diciembre</t>
        </is>
      </c>
      <c r="B496" s="17" t="n"/>
      <c r="C496" s="14" t="n"/>
      <c r="D496" s="27" t="n"/>
      <c r="E496" s="28" t="n"/>
      <c r="F496" s="15">
        <f>IF(OR(D496&lt;&gt;"",E496&lt;&gt;""),IF(D496="",0,D496)+IF(E496="",0,E496),"")</f>
        <v/>
      </c>
      <c r="G496" s="14" t="n"/>
    </row>
    <row r="497">
      <c r="A497" s="14" t="inlineStr">
        <is>
          <t>Diciembre</t>
        </is>
      </c>
      <c r="B497" s="17" t="n"/>
      <c r="C497" s="14" t="n"/>
      <c r="D497" s="27" t="n"/>
      <c r="E497" s="28" t="n"/>
      <c r="F497" s="15">
        <f>IF(OR(D497&lt;&gt;"",E497&lt;&gt;""),IF(D497="",0,D497)+IF(E497="",0,E497),"")</f>
        <v/>
      </c>
      <c r="G497" s="14" t="n"/>
    </row>
    <row r="498">
      <c r="A498" s="14" t="inlineStr">
        <is>
          <t>Diciembre</t>
        </is>
      </c>
      <c r="B498" s="17" t="n"/>
      <c r="C498" s="14" t="n"/>
      <c r="D498" s="27" t="n"/>
      <c r="E498" s="28" t="n"/>
      <c r="F498" s="15">
        <f>IF(OR(D498&lt;&gt;"",E498&lt;&gt;""),IF(D498="",0,D498)+IF(E498="",0,E498),"")</f>
        <v/>
      </c>
      <c r="G498" s="14" t="n"/>
    </row>
    <row r="499">
      <c r="A499" s="14" t="inlineStr">
        <is>
          <t>Diciembre</t>
        </is>
      </c>
      <c r="B499" s="17" t="n"/>
      <c r="C499" s="14" t="n"/>
      <c r="D499" s="27" t="n"/>
      <c r="E499" s="28" t="n"/>
      <c r="F499" s="15">
        <f>IF(OR(D499&lt;&gt;"",E499&lt;&gt;""),IF(D499="",0,D499)+IF(E499="",0,E499),"")</f>
        <v/>
      </c>
      <c r="G499" s="14" t="n"/>
    </row>
    <row r="500">
      <c r="A500" s="14" t="inlineStr">
        <is>
          <t>Diciembre</t>
        </is>
      </c>
      <c r="B500" s="17" t="n"/>
      <c r="C500" s="14" t="n"/>
      <c r="D500" s="27" t="n"/>
      <c r="E500" s="28" t="n"/>
      <c r="F500" s="15">
        <f>IF(OR(D500&lt;&gt;"",E500&lt;&gt;""),IF(D500="",0,D500)+IF(E500="",0,E500),"")</f>
        <v/>
      </c>
      <c r="G500" s="14" t="n"/>
    </row>
    <row r="501">
      <c r="A501" s="14" t="inlineStr">
        <is>
          <t>Diciembre</t>
        </is>
      </c>
      <c r="B501" s="17" t="n"/>
      <c r="C501" s="14" t="n"/>
      <c r="D501" s="27" t="n"/>
      <c r="E501" s="28" t="n"/>
      <c r="F501" s="15">
        <f>IF(OR(D501&lt;&gt;"",E501&lt;&gt;""),IF(D501="",0,D501)+IF(E501="",0,E501),"")</f>
        <v/>
      </c>
      <c r="G501" s="14" t="n"/>
    </row>
    <row r="502">
      <c r="A502" s="14" t="inlineStr">
        <is>
          <t>Diciembre</t>
        </is>
      </c>
      <c r="B502" s="17" t="n"/>
      <c r="C502" s="14" t="n"/>
      <c r="D502" s="27" t="n"/>
      <c r="E502" s="28" t="n"/>
      <c r="F502" s="15">
        <f>IF(OR(D502&lt;&gt;"",E502&lt;&gt;""),IF(D502="",0,D502)+IF(E502="",0,E502),"")</f>
        <v/>
      </c>
      <c r="G502" s="14" t="n"/>
    </row>
    <row r="503">
      <c r="A503" s="14" t="inlineStr">
        <is>
          <t>Diciembre</t>
        </is>
      </c>
      <c r="B503" s="17" t="n"/>
      <c r="C503" s="14" t="n"/>
      <c r="D503" s="27" t="n"/>
      <c r="E503" s="28" t="n"/>
      <c r="F503" s="15">
        <f>IF(OR(D503&lt;&gt;"",E503&lt;&gt;""),IF(D503="",0,D503)+IF(E503="",0,E503),"")</f>
        <v/>
      </c>
      <c r="G503" s="14" t="n"/>
    </row>
    <row r="504">
      <c r="A504" s="14" t="inlineStr">
        <is>
          <t>Diciembre</t>
        </is>
      </c>
      <c r="B504" s="17" t="n"/>
      <c r="C504" s="14" t="n"/>
      <c r="D504" s="27" t="n"/>
      <c r="E504" s="28" t="n"/>
      <c r="F504" s="15">
        <f>IF(OR(D504&lt;&gt;"",E504&lt;&gt;""),IF(D504="",0,D504)+IF(E504="",0,E504),"")</f>
        <v/>
      </c>
      <c r="G504" s="14" t="n"/>
    </row>
    <row r="505">
      <c r="A505" s="14" t="inlineStr">
        <is>
          <t>Diciembre</t>
        </is>
      </c>
      <c r="B505" s="17" t="n"/>
      <c r="C505" s="14" t="n"/>
      <c r="D505" s="27" t="n"/>
      <c r="E505" s="28" t="n"/>
      <c r="F505" s="15">
        <f>IF(OR(D505&lt;&gt;"",E505&lt;&gt;""),IF(D505="",0,D505)+IF(E505="",0,E505),"")</f>
        <v/>
      </c>
      <c r="G505" s="14" t="n"/>
    </row>
    <row r="506">
      <c r="A506" s="10" t="inlineStr">
        <is>
          <t>TOTAL DICIEMBRE</t>
        </is>
      </c>
      <c r="B506" s="22" t="n"/>
      <c r="C506" s="29" t="inlineStr">
        <is>
          <t>Totales mes →</t>
        </is>
      </c>
      <c r="D506" s="7">
        <f>SUM(D466:D505)</f>
        <v/>
      </c>
      <c r="E506" s="7">
        <f>SUM(E466:E505)</f>
        <v/>
      </c>
      <c r="F506" s="7">
        <f>D506+E506</f>
        <v/>
      </c>
      <c r="G506" s="2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8" customWidth="1" min="3" max="3"/>
    <col width="12" customWidth="1" min="4" max="4"/>
    <col width="20" customWidth="1" min="5" max="5"/>
    <col width="18" customWidth="1" min="6" max="6"/>
    <col width="16" customWidth="1" min="7" max="7"/>
    <col width="48" customWidth="1" min="8" max="8"/>
    <col width="12" customWidth="1" min="9" max="9"/>
  </cols>
  <sheetData>
    <row r="1">
      <c r="A1" s="1" t="inlineStr">
        <is>
          <t>CIUDAD 1132 — Detalle de gastos 2026</t>
        </is>
      </c>
    </row>
    <row r="3">
      <c r="A3" s="16" t="inlineStr">
        <is>
          <t>Fecha</t>
        </is>
      </c>
      <c r="B3" s="16" t="inlineStr">
        <is>
          <t>Concepto</t>
        </is>
      </c>
      <c r="C3" s="16" t="inlineStr">
        <is>
          <t>Descripción</t>
        </is>
      </c>
      <c r="D3" s="16" t="inlineStr">
        <is>
          <t>Monto</t>
        </is>
      </c>
      <c r="E3" s="16" t="inlineStr">
        <is>
          <t>Forma de pago</t>
        </is>
      </c>
      <c r="F3" s="16" t="inlineStr">
        <is>
          <t>N° Cliente</t>
        </is>
      </c>
      <c r="G3" s="16" t="inlineStr">
        <is>
          <t>N° Medidor</t>
        </is>
      </c>
      <c r="H3" s="16" t="inlineStr">
        <is>
          <t>Notas</t>
        </is>
      </c>
      <c r="I3" s="16" t="inlineStr">
        <is>
          <t>Mes</t>
        </is>
      </c>
    </row>
    <row r="4">
      <c r="A4" s="17" t="n">
        <v>46023</v>
      </c>
      <c r="B4" s="14" t="inlineStr">
        <is>
          <t>LIMPIEZA CASA</t>
        </is>
      </c>
      <c r="C4" s="14" t="inlineStr">
        <is>
          <t>LIMPIEZA CASA — Enero 2026</t>
        </is>
      </c>
      <c r="D4" s="15" t="n">
        <v>650122</v>
      </c>
      <c r="E4" s="14" t="inlineStr"/>
      <c r="F4" s="18" t="inlineStr"/>
      <c r="G4" s="18" t="inlineStr"/>
      <c r="H4" s="14" t="inlineStr"/>
      <c r="I4" s="14" t="inlineStr">
        <is>
          <t>Enero</t>
        </is>
      </c>
    </row>
    <row r="5">
      <c r="A5" s="17" t="n">
        <v>46023</v>
      </c>
      <c r="B5" s="14" t="inlineStr">
        <is>
          <t>Telecentro</t>
        </is>
      </c>
      <c r="C5" s="14" t="inlineStr">
        <is>
          <t>Telecentro CIUDAD — 01/2026 (Gmail)</t>
        </is>
      </c>
      <c r="D5" s="15" t="n">
        <v>37984</v>
      </c>
      <c r="E5" s="14" t="inlineStr"/>
      <c r="F5" s="18" t="inlineStr"/>
      <c r="G5" s="18" t="inlineStr"/>
      <c r="H5" s="14" t="inlineStr">
        <is>
          <t>Recurrente $50.000/mes hasta nuevo aviso</t>
        </is>
      </c>
      <c r="I5" s="14" t="inlineStr">
        <is>
          <t>Enero</t>
        </is>
      </c>
    </row>
    <row r="6">
      <c r="A6" s="17" t="n">
        <v>46029</v>
      </c>
      <c r="B6" s="14" t="inlineStr">
        <is>
          <t>Expensas</t>
        </is>
      </c>
      <c r="C6" s="14" t="inlineStr">
        <is>
          <t>Expensas — Enero 2026 (pago 1)</t>
        </is>
      </c>
      <c r="D6" s="15" t="n">
        <v>35260</v>
      </c>
      <c r="E6" s="14" t="inlineStr">
        <is>
          <t>Transferencia</t>
        </is>
      </c>
      <c r="F6" s="18" t="inlineStr"/>
      <c r="G6" s="18" t="inlineStr"/>
      <c r="H6" s="14" t="inlineStr">
        <is>
          <t>Consorcio de Propietarios · Pagado</t>
        </is>
      </c>
      <c r="I6" s="14" t="inlineStr">
        <is>
          <t>Enero</t>
        </is>
      </c>
    </row>
    <row r="7">
      <c r="A7" s="17" t="n">
        <v>46029</v>
      </c>
      <c r="B7" s="14" t="inlineStr">
        <is>
          <t>Expensas</t>
        </is>
      </c>
      <c r="C7" s="14" t="inlineStr">
        <is>
          <t>Expensas — Enero 2026 (pago 2)</t>
        </is>
      </c>
      <c r="D7" s="15" t="n">
        <v>238240</v>
      </c>
      <c r="E7" s="14" t="inlineStr">
        <is>
          <t>Transferencia</t>
        </is>
      </c>
      <c r="F7" s="18" t="inlineStr"/>
      <c r="G7" s="18" t="inlineStr"/>
      <c r="H7" s="14" t="inlineStr">
        <is>
          <t>Consorcio de Propietarios · Pagado</t>
        </is>
      </c>
      <c r="I7" s="14" t="inlineStr">
        <is>
          <t>Enero</t>
        </is>
      </c>
    </row>
    <row r="8">
      <c r="A8" s="17" t="n">
        <v>46054</v>
      </c>
      <c r="B8" s="14" t="inlineStr">
        <is>
          <t>LIMPIEZA CASA</t>
        </is>
      </c>
      <c r="C8" s="14" t="inlineStr">
        <is>
          <t>LIMPIEZA CASA — Febrero 2026</t>
        </is>
      </c>
      <c r="D8" s="15" t="n">
        <v>515550</v>
      </c>
      <c r="E8" s="14" t="inlineStr"/>
      <c r="F8" s="18" t="inlineStr"/>
      <c r="G8" s="18" t="inlineStr"/>
      <c r="H8" s="14" t="inlineStr">
        <is>
          <t>Original: 515.549,50 · redondeado hacia arriba</t>
        </is>
      </c>
      <c r="I8" s="14" t="inlineStr">
        <is>
          <t>Febrero</t>
        </is>
      </c>
    </row>
    <row r="9">
      <c r="A9" s="17" t="n">
        <v>46054</v>
      </c>
      <c r="B9" s="14" t="inlineStr">
        <is>
          <t>Telecentro</t>
        </is>
      </c>
      <c r="C9" s="14" t="inlineStr">
        <is>
          <t>Telecentro CIUDAD — 02/2026 (Gmail)</t>
        </is>
      </c>
      <c r="D9" s="15" t="n">
        <v>38489</v>
      </c>
      <c r="E9" s="14" t="inlineStr"/>
      <c r="F9" s="18" t="inlineStr"/>
      <c r="G9" s="18" t="inlineStr"/>
      <c r="H9" s="14" t="inlineStr">
        <is>
          <t>Recurrente $50.000/mes hasta nuevo aviso</t>
        </is>
      </c>
      <c r="I9" s="14" t="inlineStr">
        <is>
          <t>Febrero</t>
        </is>
      </c>
    </row>
    <row r="10">
      <c r="A10" s="17" t="n">
        <v>46058</v>
      </c>
      <c r="B10" s="14" t="inlineStr">
        <is>
          <t>Metrogas</t>
        </is>
      </c>
      <c r="C10" s="14" t="inlineStr">
        <is>
          <t>Metrogas — período 08/01/2026 al 05/02/2026 · CIUDAD</t>
        </is>
      </c>
      <c r="D10" s="15" t="n">
        <v>37316</v>
      </c>
      <c r="E10" s="14" t="inlineStr">
        <is>
          <t>Débito automático</t>
        </is>
      </c>
      <c r="F10" s="18" t="inlineStr">
        <is>
          <t>30010996459</t>
        </is>
      </c>
      <c r="G10" s="18" t="inlineStr">
        <is>
          <t>40049923</t>
        </is>
      </c>
      <c r="H10" s="14" t="inlineStr">
        <is>
          <t>Vence 20/03/2026 · Consumo 92.28 m³</t>
        </is>
      </c>
      <c r="I10" s="14" t="inlineStr">
        <is>
          <t>Febrero</t>
        </is>
      </c>
    </row>
    <row r="11">
      <c r="A11" s="17" t="n">
        <v>46059</v>
      </c>
      <c r="B11" s="14" t="inlineStr">
        <is>
          <t>Expensas</t>
        </is>
      </c>
      <c r="C11" s="14" t="inlineStr">
        <is>
          <t>Expensas — Febrero 2026</t>
        </is>
      </c>
      <c r="D11" s="15" t="n">
        <v>218800</v>
      </c>
      <c r="E11" s="14" t="inlineStr">
        <is>
          <t>Transferencia</t>
        </is>
      </c>
      <c r="F11" s="18" t="inlineStr"/>
      <c r="G11" s="18" t="inlineStr"/>
      <c r="H11" s="14" t="inlineStr">
        <is>
          <t>Consorcio de Propietarios · Pagado</t>
        </is>
      </c>
      <c r="I11" s="14" t="inlineStr">
        <is>
          <t>Febrero</t>
        </is>
      </c>
    </row>
    <row r="12">
      <c r="A12" s="17" t="n">
        <v>46082</v>
      </c>
      <c r="B12" s="14" t="inlineStr">
        <is>
          <t>LIMPIEZA CASA</t>
        </is>
      </c>
      <c r="C12" s="14" t="inlineStr">
        <is>
          <t>LIMPIEZA CASA — Marzo 2026</t>
        </is>
      </c>
      <c r="D12" s="15" t="n">
        <v>524479</v>
      </c>
      <c r="E12" s="14" t="inlineStr"/>
      <c r="F12" s="18" t="inlineStr"/>
      <c r="G12" s="18" t="inlineStr"/>
      <c r="H12" s="14" t="inlineStr">
        <is>
          <t>Original: 524.478,50 · redondeado hacia arriba</t>
        </is>
      </c>
      <c r="I12" s="14" t="inlineStr">
        <is>
          <t>Marzo</t>
        </is>
      </c>
    </row>
    <row r="13">
      <c r="A13" s="17" t="n">
        <v>46082</v>
      </c>
      <c r="B13" s="14" t="inlineStr">
        <is>
          <t>Telecentro</t>
        </is>
      </c>
      <c r="C13" s="14" t="inlineStr">
        <is>
          <t>Telecentro CIUDAD — 03/2026 (Gmail)</t>
        </is>
      </c>
      <c r="D13" s="15" t="n">
        <v>39163</v>
      </c>
      <c r="E13" s="14" t="inlineStr"/>
      <c r="F13" s="18" t="inlineStr"/>
      <c r="G13" s="18" t="inlineStr"/>
      <c r="H13" s="14" t="inlineStr">
        <is>
          <t>Recurrente $50.000/mes hasta nuevo aviso</t>
        </is>
      </c>
      <c r="I13" s="14" t="inlineStr">
        <is>
          <t>Marzo</t>
        </is>
      </c>
    </row>
    <row r="14">
      <c r="A14" s="17" t="n">
        <v>46089</v>
      </c>
      <c r="B14" s="14" t="inlineStr">
        <is>
          <t>Luz</t>
        </is>
      </c>
      <c r="C14" s="14" t="inlineStr">
        <is>
          <t>Edenor — emisión 08/03/2026 · titular Maria Soledad Sanes · CIUDAD · cuenta 008917502309</t>
        </is>
      </c>
      <c r="D14" s="15" t="n">
        <v>82994</v>
      </c>
      <c r="E14" s="14" t="inlineStr">
        <is>
          <t>Débito Visa 3200</t>
        </is>
      </c>
      <c r="F14" s="18" t="inlineStr">
        <is>
          <t>008917502309</t>
        </is>
      </c>
      <c r="G14" s="18" t="inlineStr"/>
      <c r="H14" s="14" t="inlineStr">
        <is>
          <t>Vence 16/03/2026</t>
        </is>
      </c>
      <c r="I14" s="14" t="inlineStr">
        <is>
          <t>Marzo</t>
        </is>
      </c>
    </row>
    <row r="15">
      <c r="A15" s="17" t="n">
        <v>46090</v>
      </c>
      <c r="B15" s="14" t="inlineStr">
        <is>
          <t>Metrogas</t>
        </is>
      </c>
      <c r="C15" s="14" t="inlineStr">
        <is>
          <t>Metrogas — período 06/02/2026 al 09/03/2026 · CIUDAD</t>
        </is>
      </c>
      <c r="D15" s="15" t="n">
        <v>37569</v>
      </c>
      <c r="E15" s="14" t="inlineStr">
        <is>
          <t>Débito automático</t>
        </is>
      </c>
      <c r="F15" s="18" t="inlineStr">
        <is>
          <t>30010996459</t>
        </is>
      </c>
      <c r="G15" s="18" t="inlineStr">
        <is>
          <t>40049923</t>
        </is>
      </c>
      <c r="H15" s="14" t="inlineStr">
        <is>
          <t>Vence 20/04/2026 · Consumo 92.28 m³</t>
        </is>
      </c>
      <c r="I15" s="14" t="inlineStr">
        <is>
          <t>Marzo</t>
        </is>
      </c>
    </row>
    <row r="16">
      <c r="A16" s="17" t="n">
        <v>46091</v>
      </c>
      <c r="B16" s="14" t="inlineStr">
        <is>
          <t>Expensas</t>
        </is>
      </c>
      <c r="C16" s="14" t="inlineStr">
        <is>
          <t>Expensas — Marzo 2026</t>
        </is>
      </c>
      <c r="D16" s="15" t="n">
        <v>218800</v>
      </c>
      <c r="E16" s="14" t="inlineStr">
        <is>
          <t>Transferencia</t>
        </is>
      </c>
      <c r="F16" s="18" t="inlineStr"/>
      <c r="G16" s="18" t="inlineStr"/>
      <c r="H16" s="14" t="inlineStr">
        <is>
          <t>Consorcio de Propietarios · Pagado</t>
        </is>
      </c>
      <c r="I16" s="14" t="inlineStr">
        <is>
          <t>Marzo</t>
        </is>
      </c>
    </row>
    <row r="17">
      <c r="A17" s="17" t="n">
        <v>46113</v>
      </c>
      <c r="B17" s="14" t="inlineStr">
        <is>
          <t>Expensas</t>
        </is>
      </c>
      <c r="C17" s="14" t="inlineStr">
        <is>
          <t>Expensas — Abril 2026</t>
        </is>
      </c>
      <c r="D17" s="15" t="n"/>
      <c r="E17" s="14" t="inlineStr">
        <is>
          <t>Transferencia</t>
        </is>
      </c>
      <c r="F17" s="18" t="inlineStr"/>
      <c r="G17" s="18" t="inlineStr"/>
      <c r="H17" s="14" t="inlineStr">
        <is>
          <t>PENDIENTE — no se encontró el monto</t>
        </is>
      </c>
      <c r="I17" s="14" t="inlineStr">
        <is>
          <t>Abril</t>
        </is>
      </c>
    </row>
    <row r="18">
      <c r="A18" s="17" t="n">
        <v>46113</v>
      </c>
      <c r="B18" s="14" t="inlineStr">
        <is>
          <t>LIMPIEZA CASA</t>
        </is>
      </c>
      <c r="C18" s="14" t="inlineStr">
        <is>
          <t>LIMPIEZA CASA — Abril 2026</t>
        </is>
      </c>
      <c r="D18" s="15" t="n">
        <v>501015</v>
      </c>
      <c r="E18" s="14" t="inlineStr"/>
      <c r="F18" s="18" t="inlineStr"/>
      <c r="G18" s="18" t="inlineStr"/>
      <c r="H18" s="14" t="inlineStr"/>
      <c r="I18" s="14" t="inlineStr">
        <is>
          <t>Abril</t>
        </is>
      </c>
    </row>
    <row r="19">
      <c r="A19" s="17" t="n">
        <v>46113</v>
      </c>
      <c r="B19" s="14" t="inlineStr">
        <is>
          <t>Telecentro</t>
        </is>
      </c>
      <c r="C19" s="14" t="inlineStr">
        <is>
          <t>Telecentro CIUDAD — servicio mensual 04/2026</t>
        </is>
      </c>
      <c r="D19" s="15" t="n">
        <v>50000</v>
      </c>
      <c r="E19" s="14" t="inlineStr"/>
      <c r="F19" s="18" t="inlineStr"/>
      <c r="G19" s="18" t="inlineStr"/>
      <c r="H19" s="14" t="inlineStr">
        <is>
          <t>Recurrente $50.000/mes hasta nuevo aviso</t>
        </is>
      </c>
      <c r="I19" s="14" t="inlineStr">
        <is>
          <t>Abril</t>
        </is>
      </c>
    </row>
    <row r="20">
      <c r="A20" s="17" t="n">
        <v>46114</v>
      </c>
      <c r="B20" s="14" t="inlineStr">
        <is>
          <t>Luz</t>
        </is>
      </c>
      <c r="C20" s="14" t="inlineStr">
        <is>
          <t>Edenor — emisión 02/04/2026 · titular Maria Soledad Sanes · CIUDAD · cuenta 008917502309</t>
        </is>
      </c>
      <c r="D20" s="15" t="n">
        <v>56700</v>
      </c>
      <c r="E20" s="14" t="inlineStr">
        <is>
          <t>Débito Visa 3200</t>
        </is>
      </c>
      <c r="F20" s="18" t="inlineStr">
        <is>
          <t>008917502309</t>
        </is>
      </c>
      <c r="G20" s="18" t="inlineStr"/>
      <c r="H20" s="14" t="inlineStr">
        <is>
          <t>Vence 14/04/2026</t>
        </is>
      </c>
      <c r="I20" s="14" t="inlineStr">
        <is>
          <t>Abril</t>
        </is>
      </c>
    </row>
    <row r="21">
      <c r="A21" s="17" t="n">
        <v>46119</v>
      </c>
      <c r="B21" s="14" t="inlineStr">
        <is>
          <t>Metrogas</t>
        </is>
      </c>
      <c r="C21" s="14" t="inlineStr">
        <is>
          <t>Metrogas — período 10/03/2026 al 07/04/2026 · CIUDAD</t>
        </is>
      </c>
      <c r="D21" s="15" t="n">
        <v>36014</v>
      </c>
      <c r="E21" s="14" t="inlineStr">
        <is>
          <t>Débito automático</t>
        </is>
      </c>
      <c r="F21" s="18" t="inlineStr">
        <is>
          <t>30010996459</t>
        </is>
      </c>
      <c r="G21" s="18" t="inlineStr">
        <is>
          <t>40049923</t>
        </is>
      </c>
      <c r="H21" s="14" t="inlineStr">
        <is>
          <t>Vence 19/05/2026 · Consumo 45.72 m³</t>
        </is>
      </c>
      <c r="I21" s="14" t="inlineStr">
        <is>
          <t>Abril</t>
        </is>
      </c>
    </row>
    <row r="22">
      <c r="A22" s="17" t="n">
        <v>46143</v>
      </c>
      <c r="B22" s="14" t="inlineStr">
        <is>
          <t>Expensas</t>
        </is>
      </c>
      <c r="C22" s="14" t="inlineStr">
        <is>
          <t>Expensas — Mayo 2026</t>
        </is>
      </c>
      <c r="D22" s="15" t="n"/>
      <c r="E22" s="14" t="inlineStr">
        <is>
          <t>Transferencia</t>
        </is>
      </c>
      <c r="F22" s="18" t="inlineStr"/>
      <c r="G22" s="18" t="inlineStr"/>
      <c r="H22" s="14" t="inlineStr">
        <is>
          <t>PENDIENTE — no se encontró el monto</t>
        </is>
      </c>
      <c r="I22" s="14" t="inlineStr">
        <is>
          <t>Mayo</t>
        </is>
      </c>
    </row>
    <row r="23">
      <c r="A23" s="17" t="n">
        <v>46143</v>
      </c>
      <c r="B23" s="14" t="inlineStr">
        <is>
          <t>LIMPIEZA CASA</t>
        </is>
      </c>
      <c r="C23" s="14" t="inlineStr">
        <is>
          <t>LIMPIEZA CASA — Mayo 2026</t>
        </is>
      </c>
      <c r="D23" s="15" t="n">
        <v>545533</v>
      </c>
      <c r="E23" s="14" t="inlineStr"/>
      <c r="F23" s="18" t="inlineStr"/>
      <c r="G23" s="18" t="inlineStr"/>
      <c r="H23" s="14" t="inlineStr"/>
      <c r="I23" s="14" t="inlineStr">
        <is>
          <t>Mayo</t>
        </is>
      </c>
    </row>
    <row r="24">
      <c r="A24" s="17" t="n">
        <v>46143</v>
      </c>
      <c r="B24" s="14" t="inlineStr">
        <is>
          <t>Telecentro</t>
        </is>
      </c>
      <c r="C24" s="14" t="inlineStr">
        <is>
          <t>Telecentro CIUDAD — servicio mensual 05/2026</t>
        </is>
      </c>
      <c r="D24" s="15" t="n">
        <v>50000</v>
      </c>
      <c r="E24" s="14" t="inlineStr"/>
      <c r="F24" s="18" t="inlineStr"/>
      <c r="G24" s="18" t="inlineStr"/>
      <c r="H24" s="14" t="inlineStr">
        <is>
          <t>Recurrente $50.000/mes hasta nuevo aviso</t>
        </is>
      </c>
      <c r="I24" s="14" t="inlineStr">
        <is>
          <t>Mayo</t>
        </is>
      </c>
    </row>
    <row r="25">
      <c r="A25" s="17" t="n">
        <v>46144</v>
      </c>
      <c r="B25" s="14" t="inlineStr">
        <is>
          <t>Luz</t>
        </is>
      </c>
      <c r="C25" s="14" t="inlineStr">
        <is>
          <t>Edenor — emisión 02/05/2026 · titular Maria Soledad Sanes · CIUDAD · cuenta 008917502309</t>
        </is>
      </c>
      <c r="D25" s="15" t="n">
        <v>52012</v>
      </c>
      <c r="E25" s="14" t="inlineStr">
        <is>
          <t>Débito Visa 3200</t>
        </is>
      </c>
      <c r="F25" s="18" t="inlineStr">
        <is>
          <t>008917502309</t>
        </is>
      </c>
      <c r="G25" s="18" t="inlineStr"/>
      <c r="H25" s="14" t="inlineStr">
        <is>
          <t>Vence 14/05/2026</t>
        </is>
      </c>
      <c r="I25" s="14" t="inlineStr">
        <is>
          <t>Mayo</t>
        </is>
      </c>
    </row>
    <row r="26">
      <c r="A26" s="17" t="n">
        <v>46149</v>
      </c>
      <c r="B26" s="14" t="inlineStr">
        <is>
          <t>Metrogas</t>
        </is>
      </c>
      <c r="C26" s="14" t="inlineStr">
        <is>
          <t>Metrogas — período 08/04/2026 al 07/05/2026 · CIUDAD</t>
        </is>
      </c>
      <c r="D26" s="15" t="n">
        <v>30643</v>
      </c>
      <c r="E26" s="14" t="inlineStr">
        <is>
          <t>Débito automático</t>
        </is>
      </c>
      <c r="F26" s="18" t="inlineStr">
        <is>
          <t>30010996459</t>
        </is>
      </c>
      <c r="G26" s="18" t="inlineStr">
        <is>
          <t>40049923</t>
        </is>
      </c>
      <c r="H26" s="14" t="inlineStr">
        <is>
          <t>Vence 17/06/2026 · Consumo 45.72 m³</t>
        </is>
      </c>
      <c r="I26" s="14" t="inlineStr">
        <is>
          <t>Mayo</t>
        </is>
      </c>
    </row>
    <row r="27">
      <c r="A27" s="17" t="n">
        <v>46174</v>
      </c>
      <c r="B27" s="14" t="inlineStr">
        <is>
          <t>LIMPIEZA CASA</t>
        </is>
      </c>
      <c r="C27" s="14" t="inlineStr">
        <is>
          <t>LIMPIEZA CASA — Junio 2026</t>
        </is>
      </c>
      <c r="D27" s="15" t="n">
        <v>876981</v>
      </c>
      <c r="E27" s="14" t="inlineStr"/>
      <c r="F27" s="18" t="inlineStr"/>
      <c r="G27" s="18" t="inlineStr"/>
      <c r="H27" s="14" t="inlineStr">
        <is>
          <t>Original: 876.980,50 · redondeado hacia arriba</t>
        </is>
      </c>
      <c r="I27" s="14" t="inlineStr">
        <is>
          <t>Junio</t>
        </is>
      </c>
    </row>
    <row r="28">
      <c r="A28" s="17" t="n">
        <v>46174</v>
      </c>
      <c r="B28" s="14" t="inlineStr">
        <is>
          <t>Telecentro</t>
        </is>
      </c>
      <c r="C28" s="14" t="inlineStr">
        <is>
          <t>Telecentro CIUDAD — servicio mensual 06/2026</t>
        </is>
      </c>
      <c r="D28" s="15" t="n">
        <v>50000</v>
      </c>
      <c r="E28" s="14" t="inlineStr"/>
      <c r="F28" s="18" t="inlineStr"/>
      <c r="G28" s="18" t="inlineStr"/>
      <c r="H28" s="14" t="inlineStr">
        <is>
          <t>Recurrente $50.000/mes hasta nuevo aviso</t>
        </is>
      </c>
      <c r="I28" s="14" t="inlineStr">
        <is>
          <t>Junio</t>
        </is>
      </c>
    </row>
    <row r="29">
      <c r="A29" s="17" t="n">
        <v>46176</v>
      </c>
      <c r="B29" s="14" t="inlineStr">
        <is>
          <t>Luz</t>
        </is>
      </c>
      <c r="C29" s="14" t="inlineStr">
        <is>
          <t>Edenor — emisión 03/06/2026 · titular Maria Soledad Sanes · CIUDAD · cuenta 008917502309</t>
        </is>
      </c>
      <c r="D29" s="15" t="n">
        <v>106212</v>
      </c>
      <c r="E29" s="14" t="inlineStr">
        <is>
          <t>Débito Visa 3200</t>
        </is>
      </c>
      <c r="F29" s="18" t="inlineStr">
        <is>
          <t>008917502309</t>
        </is>
      </c>
      <c r="G29" s="18" t="inlineStr"/>
      <c r="H29" s="14" t="inlineStr">
        <is>
          <t>Vence 16/06/2026</t>
        </is>
      </c>
      <c r="I29" s="14" t="inlineStr">
        <is>
          <t>Junio</t>
        </is>
      </c>
    </row>
    <row r="30">
      <c r="A30" s="17" t="n">
        <v>46178</v>
      </c>
      <c r="B30" s="14" t="inlineStr">
        <is>
          <t>Metrogas</t>
        </is>
      </c>
      <c r="C30" s="14" t="inlineStr">
        <is>
          <t>Metrogas — período 08/05/2026 al 05/06/2026 · CIUDAD</t>
        </is>
      </c>
      <c r="D30" s="15" t="n">
        <v>73695</v>
      </c>
      <c r="E30" s="14" t="inlineStr">
        <is>
          <t>Débito automático</t>
        </is>
      </c>
      <c r="F30" s="18" t="inlineStr">
        <is>
          <t>30010996459</t>
        </is>
      </c>
      <c r="G30" s="18" t="inlineStr">
        <is>
          <t>40049923</t>
        </is>
      </c>
      <c r="H30" s="14" t="inlineStr">
        <is>
          <t>Vence 05/08/2026 · Consumo 259.13 m³</t>
        </is>
      </c>
      <c r="I30" s="14" t="inlineStr">
        <is>
          <t>Junio</t>
        </is>
      </c>
    </row>
    <row r="31">
      <c r="A31" s="17" t="n">
        <v>46183</v>
      </c>
      <c r="B31" s="14" t="inlineStr">
        <is>
          <t>Expensas</t>
        </is>
      </c>
      <c r="C31" s="14" t="inlineStr">
        <is>
          <t>Expensas — Junio 2026</t>
        </is>
      </c>
      <c r="D31" s="15" t="n">
        <v>246150</v>
      </c>
      <c r="E31" s="14" t="inlineStr">
        <is>
          <t>Transferencia</t>
        </is>
      </c>
      <c r="F31" s="18" t="inlineStr"/>
      <c r="G31" s="18" t="inlineStr"/>
      <c r="H31" s="14" t="inlineStr">
        <is>
          <t>Consorcio de Propietarios · Pagado</t>
        </is>
      </c>
      <c r="I31" s="14" t="inlineStr">
        <is>
          <t>Junio</t>
        </is>
      </c>
    </row>
    <row r="32">
      <c r="A32" s="17" t="n">
        <v>46204</v>
      </c>
      <c r="B32" s="14" t="inlineStr">
        <is>
          <t>Luz</t>
        </is>
      </c>
      <c r="C32" s="14" t="inlineStr">
        <is>
          <t>Edenor — emisión 01/07/2026 · titular Maria Soledad Sanes · CIUDAD · cuenta 008917502309</t>
        </is>
      </c>
      <c r="D32" s="15" t="n">
        <v>128877</v>
      </c>
      <c r="E32" s="14" t="inlineStr">
        <is>
          <t>Débito Visa 3200</t>
        </is>
      </c>
      <c r="F32" s="18" t="inlineStr">
        <is>
          <t>008917502309</t>
        </is>
      </c>
      <c r="G32" s="18" t="inlineStr"/>
      <c r="H32" s="14" t="inlineStr">
        <is>
          <t>Vence 13/07/2026</t>
        </is>
      </c>
      <c r="I32" s="14" t="inlineStr">
        <is>
          <t>Julio</t>
        </is>
      </c>
    </row>
    <row r="33">
      <c r="A33" s="17" t="n">
        <v>46204</v>
      </c>
      <c r="B33" s="14" t="inlineStr">
        <is>
          <t>Telecentro</t>
        </is>
      </c>
      <c r="C33" s="14" t="inlineStr">
        <is>
          <t>Telecentro CIUDAD — servicio mensual 07/2026</t>
        </is>
      </c>
      <c r="D33" s="15" t="n">
        <v>50000</v>
      </c>
      <c r="E33" s="14" t="inlineStr"/>
      <c r="F33" s="18" t="inlineStr"/>
      <c r="G33" s="18" t="inlineStr"/>
      <c r="H33" s="14" t="inlineStr">
        <is>
          <t>Recurrente $50.000/mes hasta nuevo aviso</t>
        </is>
      </c>
      <c r="I33" s="14" t="inlineStr">
        <is>
          <t>Julio</t>
        </is>
      </c>
    </row>
    <row r="34">
      <c r="A34" s="17" t="n">
        <v>46212</v>
      </c>
      <c r="B34" s="14" t="inlineStr">
        <is>
          <t>Expensas</t>
        </is>
      </c>
      <c r="C34" s="14" t="inlineStr">
        <is>
          <t>Expensas — Julio 2026</t>
        </is>
      </c>
      <c r="D34" s="15" t="n">
        <v>273500</v>
      </c>
      <c r="E34" s="14" t="inlineStr">
        <is>
          <t>Transferencia</t>
        </is>
      </c>
      <c r="F34" s="18" t="inlineStr"/>
      <c r="G34" s="18" t="inlineStr"/>
      <c r="H34" s="14" t="inlineStr">
        <is>
          <t>Consorcio de Propietarios · Pagado</t>
        </is>
      </c>
      <c r="I34" s="14" t="inlineStr">
        <is>
          <t>Julio</t>
        </is>
      </c>
    </row>
    <row r="35">
      <c r="A35" s="17" t="n">
        <v>46235</v>
      </c>
      <c r="B35" s="14" t="inlineStr">
        <is>
          <t>Telecentro</t>
        </is>
      </c>
      <c r="C35" s="14" t="inlineStr">
        <is>
          <t>Telecentro CIUDAD — servicio mensual 08/2026</t>
        </is>
      </c>
      <c r="D35" s="15" t="n">
        <v>50000</v>
      </c>
      <c r="E35" s="14" t="inlineStr"/>
      <c r="F35" s="18" t="inlineStr"/>
      <c r="G35" s="18" t="inlineStr"/>
      <c r="H35" s="14" t="inlineStr">
        <is>
          <t>Recurrente $50.000/mes hasta nuevo aviso</t>
        </is>
      </c>
      <c r="I35" s="14" t="inlineStr">
        <is>
          <t>Agosto</t>
        </is>
      </c>
    </row>
    <row r="36">
      <c r="A36" s="17" t="n">
        <v>46266</v>
      </c>
      <c r="B36" s="14" t="inlineStr">
        <is>
          <t>Telecentro</t>
        </is>
      </c>
      <c r="C36" s="14" t="inlineStr">
        <is>
          <t>Telecentro CIUDAD — servicio mensual 09/2026</t>
        </is>
      </c>
      <c r="D36" s="15" t="n">
        <v>50000</v>
      </c>
      <c r="E36" s="14" t="inlineStr"/>
      <c r="F36" s="18" t="inlineStr"/>
      <c r="G36" s="18" t="inlineStr"/>
      <c r="H36" s="14" t="inlineStr">
        <is>
          <t>Recurrente $50.000/mes hasta nuevo aviso</t>
        </is>
      </c>
      <c r="I36" s="14" t="inlineStr">
        <is>
          <t>Septiembre</t>
        </is>
      </c>
    </row>
    <row r="37">
      <c r="A37" s="17" t="n">
        <v>46296</v>
      </c>
      <c r="B37" s="14" t="inlineStr">
        <is>
          <t>Telecentro</t>
        </is>
      </c>
      <c r="C37" s="14" t="inlineStr">
        <is>
          <t>Telecentro CIUDAD — servicio mensual 10/2026</t>
        </is>
      </c>
      <c r="D37" s="15" t="n">
        <v>50000</v>
      </c>
      <c r="E37" s="14" t="inlineStr"/>
      <c r="F37" s="18" t="inlineStr"/>
      <c r="G37" s="18" t="inlineStr"/>
      <c r="H37" s="14" t="inlineStr">
        <is>
          <t>Recurrente $50.000/mes hasta nuevo aviso</t>
        </is>
      </c>
      <c r="I37" s="14" t="inlineStr">
        <is>
          <t>Octubre</t>
        </is>
      </c>
    </row>
    <row r="38">
      <c r="A38" s="17" t="n">
        <v>46327</v>
      </c>
      <c r="B38" s="14" t="inlineStr">
        <is>
          <t>Telecentro</t>
        </is>
      </c>
      <c r="C38" s="14" t="inlineStr">
        <is>
          <t>Telecentro CIUDAD — servicio mensual 11/2026</t>
        </is>
      </c>
      <c r="D38" s="15" t="n">
        <v>50000</v>
      </c>
      <c r="E38" s="14" t="inlineStr"/>
      <c r="F38" s="18" t="inlineStr"/>
      <c r="G38" s="18" t="inlineStr"/>
      <c r="H38" s="14" t="inlineStr">
        <is>
          <t>Recurrente $50.000/mes hasta nuevo aviso</t>
        </is>
      </c>
      <c r="I38" s="14" t="inlineStr">
        <is>
          <t>Noviembre</t>
        </is>
      </c>
    </row>
    <row r="39">
      <c r="A39" s="17" t="n">
        <v>46357</v>
      </c>
      <c r="B39" s="14" t="inlineStr">
        <is>
          <t>Telecentro</t>
        </is>
      </c>
      <c r="C39" s="14" t="inlineStr">
        <is>
          <t>Telecentro CIUDAD — servicio mensual 12/2026</t>
        </is>
      </c>
      <c r="D39" s="15" t="n">
        <v>50000</v>
      </c>
      <c r="E39" s="14" t="inlineStr"/>
      <c r="F39" s="18" t="inlineStr"/>
      <c r="G39" s="18" t="inlineStr"/>
      <c r="H39" s="14" t="inlineStr">
        <is>
          <t>Recurrente $50.000/mes hasta nuevo aviso</t>
        </is>
      </c>
      <c r="I39" s="14" t="inlineStr">
        <is>
          <t>Diciembre</t>
        </is>
      </c>
    </row>
    <row r="40">
      <c r="A40" s="25" t="n">
        <v>46023</v>
      </c>
      <c r="B40" t="inlineStr">
        <is>
          <t>Streaming</t>
        </is>
      </c>
      <c r="C40" t="inlineStr">
        <is>
          <t>Streaming — prorrateo anual 200.000 / 12 (Enero)</t>
        </is>
      </c>
      <c r="D40" s="26">
        <f>200000/12</f>
        <v/>
      </c>
      <c r="H40" t="inlineStr">
        <is>
          <t>Total anual 200.000 distribuido en 12 meses</t>
        </is>
      </c>
      <c r="I40" t="inlineStr">
        <is>
          <t>Enero</t>
        </is>
      </c>
    </row>
    <row r="41">
      <c r="A41" s="25" t="n">
        <v>46054</v>
      </c>
      <c r="B41" t="inlineStr">
        <is>
          <t>Streaming</t>
        </is>
      </c>
      <c r="C41" t="inlineStr">
        <is>
          <t>Streaming — prorrateo anual 200.000 / 12 (Febrero)</t>
        </is>
      </c>
      <c r="D41" s="26">
        <f>200000/12</f>
        <v/>
      </c>
      <c r="H41" t="inlineStr">
        <is>
          <t>Total anual 200.000 distribuido en 12 meses</t>
        </is>
      </c>
      <c r="I41" t="inlineStr">
        <is>
          <t>Febrero</t>
        </is>
      </c>
    </row>
    <row r="42">
      <c r="A42" s="25" t="n">
        <v>46082</v>
      </c>
      <c r="B42" t="inlineStr">
        <is>
          <t>Streaming</t>
        </is>
      </c>
      <c r="C42" t="inlineStr">
        <is>
          <t>Streaming — prorrateo anual 200.000 / 12 (Marzo)</t>
        </is>
      </c>
      <c r="D42" s="26">
        <f>200000/12</f>
        <v/>
      </c>
      <c r="H42" t="inlineStr">
        <is>
          <t>Total anual 200.000 distribuido en 12 meses</t>
        </is>
      </c>
      <c r="I42" t="inlineStr">
        <is>
          <t>Marzo</t>
        </is>
      </c>
    </row>
    <row r="43">
      <c r="A43" s="25" t="n">
        <v>46113</v>
      </c>
      <c r="B43" t="inlineStr">
        <is>
          <t>Streaming</t>
        </is>
      </c>
      <c r="C43" t="inlineStr">
        <is>
          <t>Streaming — prorrateo anual 200.000 / 12 (Abril)</t>
        </is>
      </c>
      <c r="D43" s="26">
        <f>200000/12</f>
        <v/>
      </c>
      <c r="H43" t="inlineStr">
        <is>
          <t>Total anual 200.000 distribuido en 12 meses</t>
        </is>
      </c>
      <c r="I43" t="inlineStr">
        <is>
          <t>Abril</t>
        </is>
      </c>
    </row>
    <row r="44">
      <c r="A44" s="25" t="n">
        <v>46143</v>
      </c>
      <c r="B44" t="inlineStr">
        <is>
          <t>Streaming</t>
        </is>
      </c>
      <c r="C44" t="inlineStr">
        <is>
          <t>Streaming — prorrateo anual 200.000 / 12 (Mayo)</t>
        </is>
      </c>
      <c r="D44" s="26">
        <f>200000/12</f>
        <v/>
      </c>
      <c r="H44" t="inlineStr">
        <is>
          <t>Total anual 200.000 distribuido en 12 meses</t>
        </is>
      </c>
      <c r="I44" t="inlineStr">
        <is>
          <t>Mayo</t>
        </is>
      </c>
    </row>
    <row r="45">
      <c r="A45" s="25" t="n">
        <v>46174</v>
      </c>
      <c r="B45" t="inlineStr">
        <is>
          <t>Streaming</t>
        </is>
      </c>
      <c r="C45" t="inlineStr">
        <is>
          <t>Streaming — prorrateo anual 200.000 / 12 (Junio)</t>
        </is>
      </c>
      <c r="D45" s="26">
        <f>200000/12</f>
        <v/>
      </c>
      <c r="H45" t="inlineStr">
        <is>
          <t>Total anual 200.000 distribuido en 12 meses</t>
        </is>
      </c>
      <c r="I45" t="inlineStr">
        <is>
          <t>Junio</t>
        </is>
      </c>
    </row>
    <row r="46">
      <c r="A46" s="25" t="n">
        <v>46204</v>
      </c>
      <c r="B46" t="inlineStr">
        <is>
          <t>Streaming</t>
        </is>
      </c>
      <c r="C46" t="inlineStr">
        <is>
          <t>Streaming — prorrateo anual 200.000 / 12 (Julio)</t>
        </is>
      </c>
      <c r="D46" s="26">
        <f>200000/12</f>
        <v/>
      </c>
      <c r="H46" t="inlineStr">
        <is>
          <t>Total anual 200.000 distribuido en 12 meses</t>
        </is>
      </c>
      <c r="I46" t="inlineStr">
        <is>
          <t>Julio</t>
        </is>
      </c>
    </row>
    <row r="47">
      <c r="A47" s="25" t="n">
        <v>46235</v>
      </c>
      <c r="B47" t="inlineStr">
        <is>
          <t>Streaming</t>
        </is>
      </c>
      <c r="C47" t="inlineStr">
        <is>
          <t>Streaming — prorrateo anual 200.000 / 12 (Agosto)</t>
        </is>
      </c>
      <c r="D47" s="26">
        <f>200000/12</f>
        <v/>
      </c>
      <c r="H47" t="inlineStr">
        <is>
          <t>Total anual 200.000 distribuido en 12 meses</t>
        </is>
      </c>
      <c r="I47" t="inlineStr">
        <is>
          <t>Agosto</t>
        </is>
      </c>
    </row>
    <row r="48">
      <c r="A48" s="25" t="n">
        <v>46266</v>
      </c>
      <c r="B48" t="inlineStr">
        <is>
          <t>Streaming</t>
        </is>
      </c>
      <c r="C48" t="inlineStr">
        <is>
          <t>Streaming — prorrateo anual 200.000 / 12 (Septiembre)</t>
        </is>
      </c>
      <c r="D48" s="26">
        <f>200000/12</f>
        <v/>
      </c>
      <c r="H48" t="inlineStr">
        <is>
          <t>Total anual 200.000 distribuido en 12 meses</t>
        </is>
      </c>
      <c r="I48" t="inlineStr">
        <is>
          <t>Septiembre</t>
        </is>
      </c>
    </row>
    <row r="49">
      <c r="A49" s="25" t="n">
        <v>46296</v>
      </c>
      <c r="B49" t="inlineStr">
        <is>
          <t>Streaming</t>
        </is>
      </c>
      <c r="C49" t="inlineStr">
        <is>
          <t>Streaming — prorrateo anual 200.000 / 12 (Octubre)</t>
        </is>
      </c>
      <c r="D49" s="26">
        <f>200000/12</f>
        <v/>
      </c>
      <c r="H49" t="inlineStr">
        <is>
          <t>Total anual 200.000 distribuido en 12 meses</t>
        </is>
      </c>
      <c r="I49" t="inlineStr">
        <is>
          <t>Octubre</t>
        </is>
      </c>
    </row>
    <row r="50">
      <c r="A50" s="25" t="n">
        <v>46327</v>
      </c>
      <c r="B50" t="inlineStr">
        <is>
          <t>Streaming</t>
        </is>
      </c>
      <c r="C50" t="inlineStr">
        <is>
          <t>Streaming — prorrateo anual 200.000 / 12 (Noviembre)</t>
        </is>
      </c>
      <c r="D50" s="26">
        <f>200000/12</f>
        <v/>
      </c>
      <c r="H50" t="inlineStr">
        <is>
          <t>Total anual 200.000 distribuido en 12 meses</t>
        </is>
      </c>
      <c r="I50" t="inlineStr">
        <is>
          <t>Noviembre</t>
        </is>
      </c>
    </row>
    <row r="51">
      <c r="A51" s="25" t="n">
        <v>46357</v>
      </c>
      <c r="B51" t="inlineStr">
        <is>
          <t>Streaming</t>
        </is>
      </c>
      <c r="C51" t="inlineStr">
        <is>
          <t>Streaming — prorrateo anual 200.000 / 12 (Diciembre)</t>
        </is>
      </c>
      <c r="D51" s="26">
        <f>200000/12</f>
        <v/>
      </c>
      <c r="H51" t="inlineStr">
        <is>
          <t>Total anual 200.000 distribuido en 12 meses</t>
        </is>
      </c>
      <c r="I51" t="inlineStr">
        <is>
          <t>Diciembre</t>
        </is>
      </c>
    </row>
    <row r="52">
      <c r="A52" s="25" t="n">
        <v>46084</v>
      </c>
      <c r="B52" t="inlineStr">
        <is>
          <t>ABL</t>
        </is>
      </c>
      <c r="C52" t="inlineStr">
        <is>
          <t>Agip ABL GCBA</t>
        </is>
      </c>
      <c r="D52" s="26" t="n">
        <v>88141</v>
      </c>
      <c r="E52" t="inlineStr">
        <is>
          <t>Mercado Pago — Dinero disponible</t>
        </is>
      </c>
      <c r="H52" t="inlineStr">
        <is>
          <t>ceil desde $88.140,38</t>
        </is>
      </c>
      <c r="I52" t="inlineStr">
        <is>
          <t>Marzo</t>
        </is>
      </c>
    </row>
    <row r="53">
      <c r="A53" s="25" t="n">
        <v>46066</v>
      </c>
      <c r="B53" t="inlineStr">
        <is>
          <t>ABL</t>
        </is>
      </c>
      <c r="C53" t="inlineStr">
        <is>
          <t>Agip ABL GCBA</t>
        </is>
      </c>
      <c r="D53" s="26" t="n">
        <v>83757</v>
      </c>
      <c r="E53" t="inlineStr">
        <is>
          <t>Mercado Pago — Dinero disponible</t>
        </is>
      </c>
      <c r="H53" t="inlineStr">
        <is>
          <t>ceil desde $83.756,62</t>
        </is>
      </c>
      <c r="I53" t="inlineStr">
        <is>
          <t>Febrero</t>
        </is>
      </c>
    </row>
    <row r="54">
      <c r="A54" s="25" t="n">
        <v>46029</v>
      </c>
      <c r="B54" t="inlineStr">
        <is>
          <t>ABL</t>
        </is>
      </c>
      <c r="C54" t="inlineStr">
        <is>
          <t>Agip</t>
        </is>
      </c>
      <c r="D54" s="26" t="n">
        <v>12435</v>
      </c>
      <c r="E54" t="inlineStr">
        <is>
          <t>Mercado Pago — Dinero disponible</t>
        </is>
      </c>
      <c r="H54" t="inlineStr">
        <is>
          <t>ceil desde $12.434,16 — confirmar si es ABL</t>
        </is>
      </c>
      <c r="I54" t="inlineStr">
        <is>
          <t>Enero</t>
        </is>
      </c>
    </row>
    <row r="55">
      <c r="A55" s="25" t="n">
        <v>46030</v>
      </c>
      <c r="B55" t="inlineStr">
        <is>
          <t>FARMACIA</t>
        </is>
      </c>
      <c r="C55" t="inlineStr">
        <is>
          <t>Farmacia</t>
        </is>
      </c>
      <c r="D55" s="26" t="n">
        <v>29546</v>
      </c>
      <c r="E55" t="inlineStr">
        <is>
          <t>Mercado Pago</t>
        </is>
      </c>
      <c r="H55" t="inlineStr">
        <is>
          <t>FARMACIA · Farmacia Selma · cargado en Almacen Detalle</t>
        </is>
      </c>
      <c r="I55" t="inlineStr">
        <is>
          <t>Enero</t>
        </is>
      </c>
    </row>
    <row r="56">
      <c r="A56" s="25" t="n">
        <v>46032</v>
      </c>
      <c r="B56" t="inlineStr">
        <is>
          <t>FARMACIA</t>
        </is>
      </c>
      <c r="C56" t="inlineStr">
        <is>
          <t>Farmacia</t>
        </is>
      </c>
      <c r="D56" s="26" t="n">
        <v>116500</v>
      </c>
      <c r="E56" t="inlineStr">
        <is>
          <t>Mercado Pago</t>
        </is>
      </c>
      <c r="H56" t="inlineStr">
        <is>
          <t>FARMACIA · Farmacia Maure</t>
        </is>
      </c>
      <c r="I56" t="inlineStr">
        <is>
          <t>Enero</t>
        </is>
      </c>
    </row>
    <row r="57">
      <c r="A57" s="25" t="n">
        <v>46073</v>
      </c>
      <c r="B57" t="inlineStr">
        <is>
          <t>FARMACIA</t>
        </is>
      </c>
      <c r="C57" t="inlineStr">
        <is>
          <t>Farmacia</t>
        </is>
      </c>
      <c r="D57" s="26" t="n">
        <v>124100</v>
      </c>
      <c r="E57" t="inlineStr">
        <is>
          <t>Mercado Pago</t>
        </is>
      </c>
      <c r="H57" t="inlineStr">
        <is>
          <t>FARMACIA · Farmacia Maure</t>
        </is>
      </c>
      <c r="I57" t="inlineStr">
        <is>
          <t>Febrero</t>
        </is>
      </c>
    </row>
    <row r="58">
      <c r="A58" s="25" t="n">
        <v>46118</v>
      </c>
      <c r="B58" t="inlineStr">
        <is>
          <t>FARMACIA</t>
        </is>
      </c>
      <c r="C58" t="inlineStr">
        <is>
          <t>Farmacia</t>
        </is>
      </c>
      <c r="D58" s="26" t="n">
        <v>191500</v>
      </c>
      <c r="E58" t="inlineStr">
        <is>
          <t>Mercado Pago</t>
        </is>
      </c>
      <c r="H58" t="inlineStr">
        <is>
          <t>FARMACIA · Farmacia Maure</t>
        </is>
      </c>
      <c r="I58" t="inlineStr">
        <is>
          <t>Abril</t>
        </is>
      </c>
    </row>
    <row r="59">
      <c r="A59" s="25" t="n">
        <v>46171</v>
      </c>
      <c r="B59" t="inlineStr">
        <is>
          <t>FARMACIA</t>
        </is>
      </c>
      <c r="C59" t="inlineStr">
        <is>
          <t>Farmacia</t>
        </is>
      </c>
      <c r="D59" s="26" t="n">
        <v>85034</v>
      </c>
      <c r="E59" t="inlineStr">
        <is>
          <t>Mercado Pago</t>
        </is>
      </c>
      <c r="H59" t="inlineStr">
        <is>
          <t>FARMACIA · Farmacity</t>
        </is>
      </c>
      <c r="I59" t="inlineStr">
        <is>
          <t>Mayo</t>
        </is>
      </c>
    </row>
    <row r="60">
      <c r="A60" s="25" t="n">
        <v>46217</v>
      </c>
      <c r="B60" t="inlineStr">
        <is>
          <t>FARMACIA</t>
        </is>
      </c>
      <c r="C60" t="inlineStr">
        <is>
          <t>Farmacia</t>
        </is>
      </c>
      <c r="D60" s="26" t="n">
        <v>218500</v>
      </c>
      <c r="E60" t="inlineStr">
        <is>
          <t>Mercado Pago</t>
        </is>
      </c>
      <c r="H60" t="inlineStr">
        <is>
          <t>FARMACIA · Farmacia Maure</t>
        </is>
      </c>
      <c r="I60" t="inlineStr">
        <is>
          <t>Julio</t>
        </is>
      </c>
    </row>
    <row r="61">
      <c r="A61" s="44" t="n">
        <v>46186</v>
      </c>
      <c r="B61" t="inlineStr">
        <is>
          <t>AROMATIZANTES</t>
        </is>
      </c>
      <c r="C61" t="inlineStr">
        <is>
          <t>CASA — Aromatizantes Saphirus</t>
        </is>
      </c>
      <c r="D61" s="26" t="n">
        <v>79900</v>
      </c>
      <c r="E61" t="inlineStr">
        <is>
          <t>Mercado Pago</t>
        </is>
      </c>
      <c r="H61" t="inlineStr">
        <is>
          <t>CASA · AROMATIZANTES · Saphirus · CIUDAD</t>
        </is>
      </c>
      <c r="I61" t="inlineStr">
        <is>
          <t>Junio</t>
        </is>
      </c>
    </row>
    <row r="62">
      <c r="A62" s="44" t="n">
        <v>46122</v>
      </c>
      <c r="B62" t="inlineStr">
        <is>
          <t>REPARACIONES Y REPUESTOS</t>
        </is>
      </c>
      <c r="C62" t="inlineStr">
        <is>
          <t>Rollo plástico con burbujas 1 × 25 m</t>
        </is>
      </c>
      <c r="D62" s="26" t="n">
        <v>17041</v>
      </c>
      <c r="E62" t="inlineStr">
        <is>
          <t>Mercado Pago</t>
        </is>
      </c>
      <c r="H62" t="inlineStr">
        <is>
          <t>Mercado Libre · CIUDAD</t>
        </is>
      </c>
      <c r="I62" t="inlineStr">
        <is>
          <t>Abril</t>
        </is>
      </c>
    </row>
    <row r="63">
      <c r="A63" s="44" t="n">
        <v>46125</v>
      </c>
      <c r="B63" t="inlineStr">
        <is>
          <t>REPARACIONES Y REPUESTOS</t>
        </is>
      </c>
      <c r="C63" t="inlineStr">
        <is>
          <t>Control remoto Samsung con Netflix/Prime Video</t>
        </is>
      </c>
      <c r="D63" s="26" t="n">
        <v>13989</v>
      </c>
      <c r="E63" t="inlineStr">
        <is>
          <t>Mercado Pago</t>
        </is>
      </c>
      <c r="H63" t="inlineStr">
        <is>
          <t>Mercado Libre · CIUDAD</t>
        </is>
      </c>
      <c r="I63" t="inlineStr">
        <is>
          <t>Abril</t>
        </is>
      </c>
    </row>
    <row r="64">
      <c r="A64" s="44" t="n">
        <v>46126</v>
      </c>
      <c r="B64" t="inlineStr">
        <is>
          <t>REPARACIONES Y REPUESTOS</t>
        </is>
      </c>
      <c r="C64" t="inlineStr">
        <is>
          <t>Control remoto Samsung original AU7000</t>
        </is>
      </c>
      <c r="D64" s="26" t="n">
        <v>119000</v>
      </c>
      <c r="E64" t="inlineStr">
        <is>
          <t>Mercado Pago</t>
        </is>
      </c>
      <c r="H64" t="inlineStr">
        <is>
          <t>Mercado Libre · CIUDAD</t>
        </is>
      </c>
      <c r="I64" t="inlineStr">
        <is>
          <t>Abril</t>
        </is>
      </c>
    </row>
  </sheetData>
  <autoFilter ref="A3:I5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14" customWidth="1" min="4" max="4"/>
    <col width="28" customWidth="1" min="5" max="5"/>
    <col width="42" customWidth="1" min="6" max="6"/>
  </cols>
  <sheetData>
    <row r="1">
      <c r="A1" s="1" t="inlineStr">
        <is>
          <t>CIUDAD 1132 — Dinero retirado</t>
        </is>
      </c>
    </row>
    <row r="2">
      <c r="A2" s="30" t="inlineStr">
        <is>
          <t>Retiros de Mercado Pago (concepto «Dinero retirado» / efectivo). No entra en el TOTAL de gastos de la hoja 2026.</t>
        </is>
      </c>
    </row>
    <row r="4">
      <c r="A4" s="31" t="inlineStr">
        <is>
          <t>Resumen por mes</t>
        </is>
      </c>
    </row>
    <row r="5">
      <c r="A5" s="12" t="inlineStr">
        <is>
          <t>Mes</t>
        </is>
      </c>
      <c r="B5" s="12" t="inlineStr">
        <is>
          <t>Total retirado</t>
        </is>
      </c>
    </row>
    <row r="6">
      <c r="A6" s="14" t="inlineStr">
        <is>
          <t>Enero</t>
        </is>
      </c>
      <c r="B6" s="15">
        <f>SUMIF($B$23:$B$142,A6,$D$23:$D$142)</f>
        <v/>
      </c>
    </row>
    <row r="7">
      <c r="A7" s="14" t="inlineStr">
        <is>
          <t>Febrero</t>
        </is>
      </c>
      <c r="B7" s="15">
        <f>SUMIF($B$23:$B$142,A7,$D$23:$D$142)</f>
        <v/>
      </c>
    </row>
    <row r="8">
      <c r="A8" s="14" t="inlineStr">
        <is>
          <t>Marzo</t>
        </is>
      </c>
      <c r="B8" s="15">
        <f>SUMIF($B$23:$B$142,A8,$D$23:$D$142)</f>
        <v/>
      </c>
    </row>
    <row r="9">
      <c r="A9" s="14" t="inlineStr">
        <is>
          <t>Abril</t>
        </is>
      </c>
      <c r="B9" s="15">
        <f>SUMIF($B$23:$B$142,A9,$D$23:$D$142)</f>
        <v/>
      </c>
    </row>
    <row r="10">
      <c r="A10" s="14" t="inlineStr">
        <is>
          <t>Mayo</t>
        </is>
      </c>
      <c r="B10" s="15">
        <f>SUMIF($B$23:$B$142,A10,$D$23:$D$142)</f>
        <v/>
      </c>
    </row>
    <row r="11">
      <c r="A11" s="14" t="inlineStr">
        <is>
          <t>Junio</t>
        </is>
      </c>
      <c r="B11" s="15">
        <f>SUMIF($B$23:$B$142,A11,$D$23:$D$142)</f>
        <v/>
      </c>
    </row>
    <row r="12">
      <c r="A12" s="14" t="inlineStr">
        <is>
          <t>Julio</t>
        </is>
      </c>
      <c r="B12" s="15">
        <f>SUMIF($B$23:$B$142,A12,$D$23:$D$142)</f>
        <v/>
      </c>
    </row>
    <row r="13">
      <c r="A13" s="14" t="inlineStr">
        <is>
          <t>Agosto</t>
        </is>
      </c>
      <c r="B13" s="15">
        <f>SUMIF($B$23:$B$142,A13,$D$23:$D$142)</f>
        <v/>
      </c>
    </row>
    <row r="14">
      <c r="A14" s="14" t="inlineStr">
        <is>
          <t>Septiembre</t>
        </is>
      </c>
      <c r="B14" s="15">
        <f>SUMIF($B$23:$B$142,A14,$D$23:$D$142)</f>
        <v/>
      </c>
    </row>
    <row r="15">
      <c r="A15" s="14" t="inlineStr">
        <is>
          <t>Octubre</t>
        </is>
      </c>
      <c r="B15" s="15">
        <f>SUMIF($B$23:$B$142,A15,$D$23:$D$142)</f>
        <v/>
      </c>
    </row>
    <row r="16">
      <c r="A16" s="14" t="inlineStr">
        <is>
          <t>Noviembre</t>
        </is>
      </c>
      <c r="B16" s="15">
        <f>SUMIF($B$23:$B$142,A16,$D$23:$D$142)</f>
        <v/>
      </c>
    </row>
    <row r="17">
      <c r="A17" s="14" t="inlineStr">
        <is>
          <t>Diciembre</t>
        </is>
      </c>
      <c r="B17" s="15">
        <f>SUMIF($B$23:$B$142,A17,$D$23:$D$142)</f>
        <v/>
      </c>
    </row>
    <row r="18">
      <c r="A18" s="32" t="inlineStr">
        <is>
          <t>TOTAL AÑO</t>
        </is>
      </c>
      <c r="B18" s="33">
        <f>SUM(B6:B17)</f>
        <v/>
      </c>
    </row>
    <row r="21">
      <c r="A21" s="31" t="inlineStr">
        <is>
          <t>Detalle</t>
        </is>
      </c>
    </row>
    <row r="22">
      <c r="A22" s="12" t="inlineStr">
        <is>
          <t>Fecha</t>
        </is>
      </c>
      <c r="B22" s="12" t="inlineStr">
        <is>
          <t>Mes</t>
        </is>
      </c>
      <c r="C22" s="12" t="inlineStr">
        <is>
          <t>Concepto</t>
        </is>
      </c>
      <c r="D22" s="12" t="inlineStr">
        <is>
          <t>Monto</t>
        </is>
      </c>
      <c r="E22" s="12" t="inlineStr">
        <is>
          <t>Medio / destino</t>
        </is>
      </c>
      <c r="F22" s="12" t="inlineStr">
        <is>
          <t>Comentario</t>
        </is>
      </c>
    </row>
    <row r="23">
      <c r="A23" s="17" t="n"/>
      <c r="B23" s="14" t="n"/>
      <c r="C23" s="14" t="n"/>
      <c r="D23" s="15" t="n"/>
      <c r="E23" s="14" t="n"/>
      <c r="F23" s="14" t="n"/>
    </row>
    <row r="24">
      <c r="A24" s="17" t="n"/>
      <c r="B24" s="14" t="n"/>
      <c r="C24" s="14" t="n"/>
      <c r="D24" s="15" t="n"/>
      <c r="E24" s="14" t="n"/>
      <c r="F24" s="14" t="n"/>
    </row>
    <row r="25">
      <c r="A25" s="17" t="n"/>
      <c r="B25" s="14" t="n"/>
      <c r="C25" s="14" t="n"/>
      <c r="D25" s="15" t="n"/>
      <c r="E25" s="14" t="n"/>
      <c r="F25" s="14" t="n"/>
    </row>
    <row r="26">
      <c r="A26" s="17" t="n"/>
      <c r="B26" s="14" t="n"/>
      <c r="C26" s="14" t="n"/>
      <c r="D26" s="15" t="n"/>
      <c r="E26" s="14" t="n"/>
      <c r="F26" s="14" t="n"/>
    </row>
    <row r="27">
      <c r="A27" s="17" t="n"/>
      <c r="B27" s="14" t="n"/>
      <c r="C27" s="14" t="n"/>
      <c r="D27" s="15" t="n"/>
      <c r="E27" s="14" t="n"/>
      <c r="F27" s="14" t="n"/>
    </row>
    <row r="28">
      <c r="A28" s="17" t="n"/>
      <c r="B28" s="14" t="n"/>
      <c r="C28" s="14" t="n"/>
      <c r="D28" s="15" t="n"/>
      <c r="E28" s="14" t="n"/>
      <c r="F28" s="14" t="n"/>
    </row>
    <row r="29">
      <c r="A29" s="17" t="n"/>
      <c r="B29" s="14" t="n"/>
      <c r="C29" s="14" t="n"/>
      <c r="D29" s="15" t="n"/>
      <c r="E29" s="14" t="n"/>
      <c r="F29" s="14" t="n"/>
    </row>
    <row r="30">
      <c r="A30" s="17" t="n"/>
      <c r="B30" s="14" t="n"/>
      <c r="C30" s="14" t="n"/>
      <c r="D30" s="15" t="n"/>
      <c r="E30" s="14" t="n"/>
      <c r="F30" s="14" t="n"/>
    </row>
    <row r="31">
      <c r="A31" s="17" t="n"/>
      <c r="B31" s="14" t="n"/>
      <c r="C31" s="14" t="n"/>
      <c r="D31" s="15" t="n"/>
      <c r="E31" s="14" t="n"/>
      <c r="F31" s="14" t="n"/>
    </row>
    <row r="32">
      <c r="A32" s="17" t="n"/>
      <c r="B32" s="14" t="n"/>
      <c r="C32" s="14" t="n"/>
      <c r="D32" s="15" t="n"/>
      <c r="E32" s="14" t="n"/>
      <c r="F32" s="14" t="n"/>
    </row>
    <row r="33">
      <c r="A33" s="17" t="n"/>
      <c r="B33" s="14" t="n"/>
      <c r="C33" s="14" t="n"/>
      <c r="D33" s="15" t="n"/>
      <c r="E33" s="14" t="n"/>
      <c r="F33" s="14" t="n"/>
    </row>
    <row r="34">
      <c r="A34" s="17" t="n"/>
      <c r="B34" s="14" t="n"/>
      <c r="C34" s="14" t="n"/>
      <c r="D34" s="15" t="n"/>
      <c r="E34" s="14" t="n"/>
      <c r="F34" s="14" t="n"/>
    </row>
    <row r="35">
      <c r="A35" s="17" t="n"/>
      <c r="B35" s="14" t="n"/>
      <c r="C35" s="14" t="n"/>
      <c r="D35" s="15" t="n"/>
      <c r="E35" s="14" t="n"/>
      <c r="F35" s="14" t="n"/>
    </row>
    <row r="36">
      <c r="A36" s="17" t="n"/>
      <c r="B36" s="14" t="n"/>
      <c r="C36" s="14" t="n"/>
      <c r="D36" s="15" t="n"/>
      <c r="E36" s="14" t="n"/>
      <c r="F36" s="14" t="n"/>
    </row>
    <row r="37">
      <c r="A37" s="17" t="n"/>
      <c r="B37" s="14" t="n"/>
      <c r="C37" s="14" t="n"/>
      <c r="D37" s="15" t="n"/>
      <c r="E37" s="14" t="n"/>
      <c r="F37" s="14" t="n"/>
    </row>
    <row r="38">
      <c r="A38" s="17" t="n"/>
      <c r="B38" s="14" t="n"/>
      <c r="C38" s="14" t="n"/>
      <c r="D38" s="15" t="n"/>
      <c r="E38" s="14" t="n"/>
      <c r="F38" s="14" t="n"/>
    </row>
    <row r="39">
      <c r="A39" s="17" t="n"/>
      <c r="B39" s="14" t="n"/>
      <c r="C39" s="14" t="n"/>
      <c r="D39" s="15" t="n"/>
      <c r="E39" s="14" t="n"/>
      <c r="F39" s="14" t="n"/>
    </row>
    <row r="40">
      <c r="A40" s="17" t="n"/>
      <c r="B40" s="14" t="n"/>
      <c r="C40" s="14" t="n"/>
      <c r="D40" s="15" t="n"/>
      <c r="E40" s="14" t="n"/>
      <c r="F40" s="14" t="n"/>
    </row>
    <row r="41">
      <c r="A41" s="17" t="n"/>
      <c r="B41" s="14" t="n"/>
      <c r="C41" s="14" t="n"/>
      <c r="D41" s="15" t="n"/>
      <c r="E41" s="14" t="n"/>
      <c r="F41" s="14" t="n"/>
    </row>
    <row r="42">
      <c r="A42" s="17" t="n"/>
      <c r="B42" s="14" t="n"/>
      <c r="C42" s="14" t="n"/>
      <c r="D42" s="15" t="n"/>
      <c r="E42" s="14" t="n"/>
      <c r="F42" s="14" t="n"/>
    </row>
    <row r="43">
      <c r="A43" s="17" t="n"/>
      <c r="B43" s="14" t="n"/>
      <c r="C43" s="14" t="n"/>
      <c r="D43" s="15" t="n"/>
      <c r="E43" s="14" t="n"/>
      <c r="F43" s="14" t="n"/>
    </row>
    <row r="44">
      <c r="A44" s="17" t="n"/>
      <c r="B44" s="14" t="n"/>
      <c r="C44" s="14" t="n"/>
      <c r="D44" s="15" t="n"/>
      <c r="E44" s="14" t="n"/>
      <c r="F44" s="14" t="n"/>
    </row>
    <row r="45">
      <c r="A45" s="17" t="n"/>
      <c r="B45" s="14" t="n"/>
      <c r="C45" s="14" t="n"/>
      <c r="D45" s="15" t="n"/>
      <c r="E45" s="14" t="n"/>
      <c r="F45" s="14" t="n"/>
    </row>
    <row r="46">
      <c r="A46" s="17" t="n"/>
      <c r="B46" s="14" t="n"/>
      <c r="C46" s="14" t="n"/>
      <c r="D46" s="15" t="n"/>
      <c r="E46" s="14" t="n"/>
      <c r="F46" s="14" t="n"/>
    </row>
    <row r="47">
      <c r="A47" s="17" t="n"/>
      <c r="B47" s="14" t="n"/>
      <c r="C47" s="14" t="n"/>
      <c r="D47" s="15" t="n"/>
      <c r="E47" s="14" t="n"/>
      <c r="F47" s="14" t="n"/>
    </row>
    <row r="48">
      <c r="A48" s="17" t="n"/>
      <c r="B48" s="14" t="n"/>
      <c r="C48" s="14" t="n"/>
      <c r="D48" s="15" t="n"/>
      <c r="E48" s="14" t="n"/>
      <c r="F48" s="14" t="n"/>
    </row>
    <row r="49">
      <c r="A49" s="17" t="n"/>
      <c r="B49" s="14" t="n"/>
      <c r="C49" s="14" t="n"/>
      <c r="D49" s="15" t="n"/>
      <c r="E49" s="14" t="n"/>
      <c r="F49" s="14" t="n"/>
    </row>
    <row r="50">
      <c r="A50" s="17" t="n"/>
      <c r="B50" s="14" t="n"/>
      <c r="C50" s="14" t="n"/>
      <c r="D50" s="15" t="n"/>
      <c r="E50" s="14" t="n"/>
      <c r="F50" s="14" t="n"/>
    </row>
    <row r="51">
      <c r="A51" s="17" t="n"/>
      <c r="B51" s="14" t="n"/>
      <c r="C51" s="14" t="n"/>
      <c r="D51" s="15" t="n"/>
      <c r="E51" s="14" t="n"/>
      <c r="F51" s="14" t="n"/>
    </row>
    <row r="52">
      <c r="A52" s="17" t="n"/>
      <c r="B52" s="14" t="n"/>
      <c r="C52" s="14" t="n"/>
      <c r="D52" s="15" t="n"/>
      <c r="E52" s="14" t="n"/>
      <c r="F52" s="14" t="n"/>
    </row>
    <row r="53">
      <c r="A53" s="17" t="n"/>
      <c r="B53" s="14" t="n"/>
      <c r="C53" s="14" t="n"/>
      <c r="D53" s="15" t="n"/>
      <c r="E53" s="14" t="n"/>
      <c r="F53" s="14" t="n"/>
    </row>
    <row r="54">
      <c r="A54" s="17" t="n"/>
      <c r="B54" s="14" t="n"/>
      <c r="C54" s="14" t="n"/>
      <c r="D54" s="15" t="n"/>
      <c r="E54" s="14" t="n"/>
      <c r="F54" s="14" t="n"/>
    </row>
    <row r="55">
      <c r="A55" s="17" t="n"/>
      <c r="B55" s="14" t="n"/>
      <c r="C55" s="14" t="n"/>
      <c r="D55" s="15" t="n"/>
      <c r="E55" s="14" t="n"/>
      <c r="F55" s="14" t="n"/>
    </row>
    <row r="56">
      <c r="A56" s="17" t="n"/>
      <c r="B56" s="14" t="n"/>
      <c r="C56" s="14" t="n"/>
      <c r="D56" s="15" t="n"/>
      <c r="E56" s="14" t="n"/>
      <c r="F56" s="14" t="n"/>
    </row>
    <row r="57">
      <c r="A57" s="17" t="n"/>
      <c r="B57" s="14" t="n"/>
      <c r="C57" s="14" t="n"/>
      <c r="D57" s="15" t="n"/>
      <c r="E57" s="14" t="n"/>
      <c r="F57" s="14" t="n"/>
    </row>
    <row r="58">
      <c r="A58" s="17" t="n"/>
      <c r="B58" s="14" t="n"/>
      <c r="C58" s="14" t="n"/>
      <c r="D58" s="15" t="n"/>
      <c r="E58" s="14" t="n"/>
      <c r="F58" s="14" t="n"/>
    </row>
    <row r="59">
      <c r="A59" s="17" t="n"/>
      <c r="B59" s="14" t="n"/>
      <c r="C59" s="14" t="n"/>
      <c r="D59" s="15" t="n"/>
      <c r="E59" s="14" t="n"/>
      <c r="F59" s="14" t="n"/>
    </row>
    <row r="60">
      <c r="A60" s="17" t="n"/>
      <c r="B60" s="14" t="n"/>
      <c r="C60" s="14" t="n"/>
      <c r="D60" s="15" t="n"/>
      <c r="E60" s="14" t="n"/>
      <c r="F60" s="14" t="n"/>
    </row>
    <row r="61">
      <c r="A61" s="17" t="n"/>
      <c r="B61" s="14" t="n"/>
      <c r="C61" s="14" t="n"/>
      <c r="D61" s="15" t="n"/>
      <c r="E61" s="14" t="n"/>
      <c r="F61" s="14" t="n"/>
    </row>
    <row r="62">
      <c r="A62" s="17" t="n"/>
      <c r="B62" s="14" t="n"/>
      <c r="C62" s="14" t="n"/>
      <c r="D62" s="15" t="n"/>
      <c r="E62" s="14" t="n"/>
      <c r="F62" s="14" t="n"/>
    </row>
    <row r="63">
      <c r="A63" s="17" t="n"/>
      <c r="B63" s="14" t="n"/>
      <c r="C63" s="14" t="n"/>
      <c r="D63" s="15" t="n"/>
      <c r="E63" s="14" t="n"/>
      <c r="F63" s="14" t="n"/>
    </row>
    <row r="64">
      <c r="A64" s="17" t="n"/>
      <c r="B64" s="14" t="n"/>
      <c r="C64" s="14" t="n"/>
      <c r="D64" s="15" t="n"/>
      <c r="E64" s="14" t="n"/>
      <c r="F64" s="14" t="n"/>
    </row>
    <row r="65">
      <c r="A65" s="17" t="n"/>
      <c r="B65" s="14" t="n"/>
      <c r="C65" s="14" t="n"/>
      <c r="D65" s="15" t="n"/>
      <c r="E65" s="14" t="n"/>
      <c r="F65" s="14" t="n"/>
    </row>
    <row r="66">
      <c r="A66" s="17" t="n"/>
      <c r="B66" s="14" t="n"/>
      <c r="C66" s="14" t="n"/>
      <c r="D66" s="15" t="n"/>
      <c r="E66" s="14" t="n"/>
      <c r="F66" s="14" t="n"/>
    </row>
    <row r="67">
      <c r="A67" s="17" t="n"/>
      <c r="B67" s="14" t="n"/>
      <c r="C67" s="14" t="n"/>
      <c r="D67" s="15" t="n"/>
      <c r="E67" s="14" t="n"/>
      <c r="F67" s="14" t="n"/>
    </row>
    <row r="68">
      <c r="A68" s="17" t="n"/>
      <c r="B68" s="14" t="n"/>
      <c r="C68" s="14" t="n"/>
      <c r="D68" s="15" t="n"/>
      <c r="E68" s="14" t="n"/>
      <c r="F68" s="14" t="n"/>
    </row>
    <row r="69">
      <c r="A69" s="17" t="n"/>
      <c r="B69" s="14" t="n"/>
      <c r="C69" s="14" t="n"/>
      <c r="D69" s="15" t="n"/>
      <c r="E69" s="14" t="n"/>
      <c r="F69" s="14" t="n"/>
    </row>
    <row r="70">
      <c r="A70" s="17" t="n"/>
      <c r="B70" s="14" t="n"/>
      <c r="C70" s="14" t="n"/>
      <c r="D70" s="15" t="n"/>
      <c r="E70" s="14" t="n"/>
      <c r="F70" s="14" t="n"/>
    </row>
    <row r="71">
      <c r="A71" s="17" t="n"/>
      <c r="B71" s="14" t="n"/>
      <c r="C71" s="14" t="n"/>
      <c r="D71" s="15" t="n"/>
      <c r="E71" s="14" t="n"/>
      <c r="F71" s="14" t="n"/>
    </row>
    <row r="72">
      <c r="A72" s="17" t="n"/>
      <c r="B72" s="14" t="n"/>
      <c r="C72" s="14" t="n"/>
      <c r="D72" s="15" t="n"/>
      <c r="E72" s="14" t="n"/>
      <c r="F72" s="14" t="n"/>
    </row>
    <row r="73">
      <c r="A73" s="17" t="n"/>
      <c r="B73" s="14" t="n"/>
      <c r="C73" s="14" t="n"/>
      <c r="D73" s="15" t="n"/>
      <c r="E73" s="14" t="n"/>
      <c r="F73" s="14" t="n"/>
    </row>
    <row r="74">
      <c r="A74" s="17" t="n"/>
      <c r="B74" s="14" t="n"/>
      <c r="C74" s="14" t="n"/>
      <c r="D74" s="15" t="n"/>
      <c r="E74" s="14" t="n"/>
      <c r="F74" s="14" t="n"/>
    </row>
    <row r="75">
      <c r="A75" s="17" t="n"/>
      <c r="B75" s="14" t="n"/>
      <c r="C75" s="14" t="n"/>
      <c r="D75" s="15" t="n"/>
      <c r="E75" s="14" t="n"/>
      <c r="F75" s="14" t="n"/>
    </row>
    <row r="76">
      <c r="A76" s="17" t="n"/>
      <c r="B76" s="14" t="n"/>
      <c r="C76" s="14" t="n"/>
      <c r="D76" s="15" t="n"/>
      <c r="E76" s="14" t="n"/>
      <c r="F76" s="14" t="n"/>
    </row>
    <row r="77">
      <c r="A77" s="17" t="n"/>
      <c r="B77" s="14" t="n"/>
      <c r="C77" s="14" t="n"/>
      <c r="D77" s="15" t="n"/>
      <c r="E77" s="14" t="n"/>
      <c r="F77" s="14" t="n"/>
    </row>
    <row r="78">
      <c r="A78" s="17" t="n"/>
      <c r="B78" s="14" t="n"/>
      <c r="C78" s="14" t="n"/>
      <c r="D78" s="15" t="n"/>
      <c r="E78" s="14" t="n"/>
      <c r="F78" s="14" t="n"/>
    </row>
    <row r="79">
      <c r="A79" s="17" t="n"/>
      <c r="B79" s="14" t="n"/>
      <c r="C79" s="14" t="n"/>
      <c r="D79" s="15" t="n"/>
      <c r="E79" s="14" t="n"/>
      <c r="F79" s="14" t="n"/>
    </row>
    <row r="80">
      <c r="A80" s="17" t="n"/>
      <c r="B80" s="14" t="n"/>
      <c r="C80" s="14" t="n"/>
      <c r="D80" s="15" t="n"/>
      <c r="E80" s="14" t="n"/>
      <c r="F80" s="14" t="n"/>
    </row>
    <row r="81">
      <c r="A81" s="17" t="n"/>
      <c r="B81" s="14" t="n"/>
      <c r="C81" s="14" t="n"/>
      <c r="D81" s="15" t="n"/>
      <c r="E81" s="14" t="n"/>
      <c r="F81" s="14" t="n"/>
    </row>
    <row r="82">
      <c r="A82" s="17" t="n"/>
      <c r="B82" s="14" t="n"/>
      <c r="C82" s="14" t="n"/>
      <c r="D82" s="15" t="n"/>
      <c r="E82" s="14" t="n"/>
      <c r="F82" s="14" t="n"/>
    </row>
    <row r="83">
      <c r="A83" s="17" t="n"/>
      <c r="B83" s="14" t="n"/>
      <c r="C83" s="14" t="n"/>
      <c r="D83" s="15" t="n"/>
      <c r="E83" s="14" t="n"/>
      <c r="F83" s="14" t="n"/>
    </row>
    <row r="84">
      <c r="A84" s="17" t="n"/>
      <c r="B84" s="14" t="n"/>
      <c r="C84" s="14" t="n"/>
      <c r="D84" s="15" t="n"/>
      <c r="E84" s="14" t="n"/>
      <c r="F84" s="14" t="n"/>
    </row>
    <row r="85">
      <c r="A85" s="17" t="n"/>
      <c r="B85" s="14" t="n"/>
      <c r="C85" s="14" t="n"/>
      <c r="D85" s="15" t="n"/>
      <c r="E85" s="14" t="n"/>
      <c r="F85" s="14" t="n"/>
    </row>
    <row r="86">
      <c r="A86" s="17" t="n"/>
      <c r="B86" s="14" t="n"/>
      <c r="C86" s="14" t="n"/>
      <c r="D86" s="15" t="n"/>
      <c r="E86" s="14" t="n"/>
      <c r="F86" s="14" t="n"/>
    </row>
    <row r="87">
      <c r="A87" s="17" t="n"/>
      <c r="B87" s="14" t="n"/>
      <c r="C87" s="14" t="n"/>
      <c r="D87" s="15" t="n"/>
      <c r="E87" s="14" t="n"/>
      <c r="F87" s="14" t="n"/>
    </row>
    <row r="88">
      <c r="A88" s="17" t="n"/>
      <c r="B88" s="14" t="n"/>
      <c r="C88" s="14" t="n"/>
      <c r="D88" s="15" t="n"/>
      <c r="E88" s="14" t="n"/>
      <c r="F88" s="14" t="n"/>
    </row>
    <row r="89">
      <c r="A89" s="17" t="n"/>
      <c r="B89" s="14" t="n"/>
      <c r="C89" s="14" t="n"/>
      <c r="D89" s="15" t="n"/>
      <c r="E89" s="14" t="n"/>
      <c r="F89" s="14" t="n"/>
    </row>
    <row r="90">
      <c r="A90" s="17" t="n"/>
      <c r="B90" s="14" t="n"/>
      <c r="C90" s="14" t="n"/>
      <c r="D90" s="15" t="n"/>
      <c r="E90" s="14" t="n"/>
      <c r="F90" s="14" t="n"/>
    </row>
    <row r="91">
      <c r="A91" s="17" t="n"/>
      <c r="B91" s="14" t="n"/>
      <c r="C91" s="14" t="n"/>
      <c r="D91" s="15" t="n"/>
      <c r="E91" s="14" t="n"/>
      <c r="F91" s="14" t="n"/>
    </row>
    <row r="92">
      <c r="A92" s="17" t="n"/>
      <c r="B92" s="14" t="n"/>
      <c r="C92" s="14" t="n"/>
      <c r="D92" s="15" t="n"/>
      <c r="E92" s="14" t="n"/>
      <c r="F92" s="14" t="n"/>
    </row>
    <row r="93">
      <c r="A93" s="17" t="n"/>
      <c r="B93" s="14" t="n"/>
      <c r="C93" s="14" t="n"/>
      <c r="D93" s="15" t="n"/>
      <c r="E93" s="14" t="n"/>
      <c r="F93" s="14" t="n"/>
    </row>
    <row r="94">
      <c r="A94" s="17" t="n"/>
      <c r="B94" s="14" t="n"/>
      <c r="C94" s="14" t="n"/>
      <c r="D94" s="15" t="n"/>
      <c r="E94" s="14" t="n"/>
      <c r="F94" s="14" t="n"/>
    </row>
    <row r="95">
      <c r="A95" s="17" t="n"/>
      <c r="B95" s="14" t="n"/>
      <c r="C95" s="14" t="n"/>
      <c r="D95" s="15" t="n"/>
      <c r="E95" s="14" t="n"/>
      <c r="F95" s="14" t="n"/>
    </row>
    <row r="96">
      <c r="A96" s="17" t="n"/>
      <c r="B96" s="14" t="n"/>
      <c r="C96" s="14" t="n"/>
      <c r="D96" s="15" t="n"/>
      <c r="E96" s="14" t="n"/>
      <c r="F96" s="14" t="n"/>
    </row>
    <row r="97">
      <c r="A97" s="17" t="n"/>
      <c r="B97" s="14" t="n"/>
      <c r="C97" s="14" t="n"/>
      <c r="D97" s="15" t="n"/>
      <c r="E97" s="14" t="n"/>
      <c r="F97" s="14" t="n"/>
    </row>
    <row r="98">
      <c r="A98" s="17" t="n"/>
      <c r="B98" s="14" t="n"/>
      <c r="C98" s="14" t="n"/>
      <c r="D98" s="15" t="n"/>
      <c r="E98" s="14" t="n"/>
      <c r="F98" s="14" t="n"/>
    </row>
    <row r="99">
      <c r="A99" s="17" t="n"/>
      <c r="B99" s="14" t="n"/>
      <c r="C99" s="14" t="n"/>
      <c r="D99" s="15" t="n"/>
      <c r="E99" s="14" t="n"/>
      <c r="F99" s="14" t="n"/>
    </row>
    <row r="100">
      <c r="A100" s="17" t="n"/>
      <c r="B100" s="14" t="n"/>
      <c r="C100" s="14" t="n"/>
      <c r="D100" s="15" t="n"/>
      <c r="E100" s="14" t="n"/>
      <c r="F100" s="14" t="n"/>
    </row>
    <row r="101">
      <c r="A101" s="17" t="n"/>
      <c r="B101" s="14" t="n"/>
      <c r="C101" s="14" t="n"/>
      <c r="D101" s="15" t="n"/>
      <c r="E101" s="14" t="n"/>
      <c r="F101" s="14" t="n"/>
    </row>
    <row r="102">
      <c r="A102" s="17" t="n"/>
      <c r="B102" s="14" t="n"/>
      <c r="C102" s="14" t="n"/>
      <c r="D102" s="15" t="n"/>
      <c r="E102" s="14" t="n"/>
      <c r="F102" s="14" t="n"/>
    </row>
    <row r="103">
      <c r="A103" s="17" t="n"/>
      <c r="B103" s="14" t="n"/>
      <c r="C103" s="14" t="n"/>
      <c r="D103" s="15" t="n"/>
      <c r="E103" s="14" t="n"/>
      <c r="F103" s="14" t="n"/>
    </row>
    <row r="104">
      <c r="A104" s="17" t="n"/>
      <c r="B104" s="14" t="n"/>
      <c r="C104" s="14" t="n"/>
      <c r="D104" s="15" t="n"/>
      <c r="E104" s="14" t="n"/>
      <c r="F104" s="14" t="n"/>
    </row>
    <row r="105">
      <c r="A105" s="17" t="n"/>
      <c r="B105" s="14" t="n"/>
      <c r="C105" s="14" t="n"/>
      <c r="D105" s="15" t="n"/>
      <c r="E105" s="14" t="n"/>
      <c r="F105" s="14" t="n"/>
    </row>
    <row r="106">
      <c r="A106" s="17" t="n"/>
      <c r="B106" s="14" t="n"/>
      <c r="C106" s="14" t="n"/>
      <c r="D106" s="15" t="n"/>
      <c r="E106" s="14" t="n"/>
      <c r="F106" s="14" t="n"/>
    </row>
    <row r="107">
      <c r="A107" s="17" t="n"/>
      <c r="B107" s="14" t="n"/>
      <c r="C107" s="14" t="n"/>
      <c r="D107" s="15" t="n"/>
      <c r="E107" s="14" t="n"/>
      <c r="F107" s="14" t="n"/>
    </row>
    <row r="108">
      <c r="A108" s="17" t="n"/>
      <c r="B108" s="14" t="n"/>
      <c r="C108" s="14" t="n"/>
      <c r="D108" s="15" t="n"/>
      <c r="E108" s="14" t="n"/>
      <c r="F108" s="14" t="n"/>
    </row>
    <row r="109">
      <c r="A109" s="17" t="n"/>
      <c r="B109" s="14" t="n"/>
      <c r="C109" s="14" t="n"/>
      <c r="D109" s="15" t="n"/>
      <c r="E109" s="14" t="n"/>
      <c r="F109" s="14" t="n"/>
    </row>
    <row r="110">
      <c r="A110" s="17" t="n"/>
      <c r="B110" s="14" t="n"/>
      <c r="C110" s="14" t="n"/>
      <c r="D110" s="15" t="n"/>
      <c r="E110" s="14" t="n"/>
      <c r="F110" s="14" t="n"/>
    </row>
    <row r="111">
      <c r="A111" s="17" t="n"/>
      <c r="B111" s="14" t="n"/>
      <c r="C111" s="14" t="n"/>
      <c r="D111" s="15" t="n"/>
      <c r="E111" s="14" t="n"/>
      <c r="F111" s="14" t="n"/>
    </row>
    <row r="112">
      <c r="A112" s="17" t="n"/>
      <c r="B112" s="14" t="n"/>
      <c r="C112" s="14" t="n"/>
      <c r="D112" s="15" t="n"/>
      <c r="E112" s="14" t="n"/>
      <c r="F112" s="14" t="n"/>
    </row>
    <row r="113">
      <c r="A113" s="17" t="n"/>
      <c r="B113" s="14" t="n"/>
      <c r="C113" s="14" t="n"/>
      <c r="D113" s="15" t="n"/>
      <c r="E113" s="14" t="n"/>
      <c r="F113" s="14" t="n"/>
    </row>
    <row r="114">
      <c r="A114" s="17" t="n"/>
      <c r="B114" s="14" t="n"/>
      <c r="C114" s="14" t="n"/>
      <c r="D114" s="15" t="n"/>
      <c r="E114" s="14" t="n"/>
      <c r="F114" s="14" t="n"/>
    </row>
    <row r="115">
      <c r="A115" s="17" t="n"/>
      <c r="B115" s="14" t="n"/>
      <c r="C115" s="14" t="n"/>
      <c r="D115" s="15" t="n"/>
      <c r="E115" s="14" t="n"/>
      <c r="F115" s="14" t="n"/>
    </row>
    <row r="116">
      <c r="A116" s="17" t="n"/>
      <c r="B116" s="14" t="n"/>
      <c r="C116" s="14" t="n"/>
      <c r="D116" s="15" t="n"/>
      <c r="E116" s="14" t="n"/>
      <c r="F116" s="14" t="n"/>
    </row>
    <row r="117">
      <c r="A117" s="17" t="n"/>
      <c r="B117" s="14" t="n"/>
      <c r="C117" s="14" t="n"/>
      <c r="D117" s="15" t="n"/>
      <c r="E117" s="14" t="n"/>
      <c r="F117" s="14" t="n"/>
    </row>
    <row r="118">
      <c r="A118" s="17" t="n"/>
      <c r="B118" s="14" t="n"/>
      <c r="C118" s="14" t="n"/>
      <c r="D118" s="15" t="n"/>
      <c r="E118" s="14" t="n"/>
      <c r="F118" s="14" t="n"/>
    </row>
    <row r="119">
      <c r="A119" s="17" t="n"/>
      <c r="B119" s="14" t="n"/>
      <c r="C119" s="14" t="n"/>
      <c r="D119" s="15" t="n"/>
      <c r="E119" s="14" t="n"/>
      <c r="F119" s="14" t="n"/>
    </row>
    <row r="120">
      <c r="A120" s="17" t="n"/>
      <c r="B120" s="14" t="n"/>
      <c r="C120" s="14" t="n"/>
      <c r="D120" s="15" t="n"/>
      <c r="E120" s="14" t="n"/>
      <c r="F120" s="14" t="n"/>
    </row>
    <row r="121">
      <c r="A121" s="17" t="n"/>
      <c r="B121" s="14" t="n"/>
      <c r="C121" s="14" t="n"/>
      <c r="D121" s="15" t="n"/>
      <c r="E121" s="14" t="n"/>
      <c r="F121" s="14" t="n"/>
    </row>
    <row r="122">
      <c r="A122" s="17" t="n"/>
      <c r="B122" s="14" t="n"/>
      <c r="C122" s="14" t="n"/>
      <c r="D122" s="15" t="n"/>
      <c r="E122" s="14" t="n"/>
      <c r="F122" s="14" t="n"/>
    </row>
    <row r="123">
      <c r="A123" s="17" t="n"/>
      <c r="B123" s="14" t="n"/>
      <c r="C123" s="14" t="n"/>
      <c r="D123" s="15" t="n"/>
      <c r="E123" s="14" t="n"/>
      <c r="F123" s="14" t="n"/>
    </row>
    <row r="124">
      <c r="A124" s="17" t="n"/>
      <c r="B124" s="14" t="n"/>
      <c r="C124" s="14" t="n"/>
      <c r="D124" s="15" t="n"/>
      <c r="E124" s="14" t="n"/>
      <c r="F124" s="14" t="n"/>
    </row>
    <row r="125">
      <c r="A125" s="17" t="n"/>
      <c r="B125" s="14" t="n"/>
      <c r="C125" s="14" t="n"/>
      <c r="D125" s="15" t="n"/>
      <c r="E125" s="14" t="n"/>
      <c r="F125" s="14" t="n"/>
    </row>
    <row r="126">
      <c r="A126" s="17" t="n"/>
      <c r="B126" s="14" t="n"/>
      <c r="C126" s="14" t="n"/>
      <c r="D126" s="15" t="n"/>
      <c r="E126" s="14" t="n"/>
      <c r="F126" s="14" t="n"/>
    </row>
    <row r="127">
      <c r="A127" s="17" t="n"/>
      <c r="B127" s="14" t="n"/>
      <c r="C127" s="14" t="n"/>
      <c r="D127" s="15" t="n"/>
      <c r="E127" s="14" t="n"/>
      <c r="F127" s="14" t="n"/>
    </row>
    <row r="128">
      <c r="A128" s="17" t="n"/>
      <c r="B128" s="14" t="n"/>
      <c r="C128" s="14" t="n"/>
      <c r="D128" s="15" t="n"/>
      <c r="E128" s="14" t="n"/>
      <c r="F128" s="14" t="n"/>
    </row>
    <row r="129">
      <c r="A129" s="17" t="n"/>
      <c r="B129" s="14" t="n"/>
      <c r="C129" s="14" t="n"/>
      <c r="D129" s="15" t="n"/>
      <c r="E129" s="14" t="n"/>
      <c r="F129" s="14" t="n"/>
    </row>
    <row r="130">
      <c r="A130" s="17" t="n"/>
      <c r="B130" s="14" t="n"/>
      <c r="C130" s="14" t="n"/>
      <c r="D130" s="15" t="n"/>
      <c r="E130" s="14" t="n"/>
      <c r="F130" s="14" t="n"/>
    </row>
    <row r="131">
      <c r="A131" s="17" t="n"/>
      <c r="B131" s="14" t="n"/>
      <c r="C131" s="14" t="n"/>
      <c r="D131" s="15" t="n"/>
      <c r="E131" s="14" t="n"/>
      <c r="F131" s="14" t="n"/>
    </row>
    <row r="132">
      <c r="A132" s="17" t="n"/>
      <c r="B132" s="14" t="n"/>
      <c r="C132" s="14" t="n"/>
      <c r="D132" s="15" t="n"/>
      <c r="E132" s="14" t="n"/>
      <c r="F132" s="14" t="n"/>
    </row>
    <row r="133">
      <c r="A133" s="17" t="n"/>
      <c r="B133" s="14" t="n"/>
      <c r="C133" s="14" t="n"/>
      <c r="D133" s="15" t="n"/>
      <c r="E133" s="14" t="n"/>
      <c r="F133" s="14" t="n"/>
    </row>
    <row r="134">
      <c r="A134" s="17" t="n"/>
      <c r="B134" s="14" t="n"/>
      <c r="C134" s="14" t="n"/>
      <c r="D134" s="15" t="n"/>
      <c r="E134" s="14" t="n"/>
      <c r="F134" s="14" t="n"/>
    </row>
    <row r="135">
      <c r="A135" s="17" t="n"/>
      <c r="B135" s="14" t="n"/>
      <c r="C135" s="14" t="n"/>
      <c r="D135" s="15" t="n"/>
      <c r="E135" s="14" t="n"/>
      <c r="F135" s="14" t="n"/>
    </row>
    <row r="136">
      <c r="A136" s="17" t="n"/>
      <c r="B136" s="14" t="n"/>
      <c r="C136" s="14" t="n"/>
      <c r="D136" s="15" t="n"/>
      <c r="E136" s="14" t="n"/>
      <c r="F136" s="14" t="n"/>
    </row>
    <row r="137">
      <c r="A137" s="17" t="n"/>
      <c r="B137" s="14" t="n"/>
      <c r="C137" s="14" t="n"/>
      <c r="D137" s="15" t="n"/>
      <c r="E137" s="14" t="n"/>
      <c r="F137" s="14" t="n"/>
    </row>
    <row r="138">
      <c r="A138" s="17" t="n"/>
      <c r="B138" s="14" t="n"/>
      <c r="C138" s="14" t="n"/>
      <c r="D138" s="15" t="n"/>
      <c r="E138" s="14" t="n"/>
      <c r="F138" s="14" t="n"/>
    </row>
    <row r="139">
      <c r="A139" s="17" t="n"/>
      <c r="B139" s="14" t="n"/>
      <c r="C139" s="14" t="n"/>
      <c r="D139" s="15" t="n"/>
      <c r="E139" s="14" t="n"/>
      <c r="F139" s="14" t="n"/>
    </row>
    <row r="140">
      <c r="A140" s="17" t="n"/>
      <c r="B140" s="14" t="n"/>
      <c r="C140" s="14" t="n"/>
      <c r="D140" s="15" t="n"/>
      <c r="E140" s="14" t="n"/>
      <c r="F140" s="14" t="n"/>
    </row>
    <row r="141">
      <c r="A141" s="17" t="n"/>
      <c r="B141" s="14" t="n"/>
      <c r="C141" s="14" t="n"/>
      <c r="D141" s="15" t="n"/>
      <c r="E141" s="14" t="n"/>
      <c r="F141" s="14" t="n"/>
    </row>
    <row r="142">
      <c r="A142" s="17" t="n"/>
      <c r="B142" s="14" t="n"/>
      <c r="C142" s="14" t="n"/>
      <c r="D142" s="15" t="n"/>
      <c r="E142" s="14" t="n"/>
      <c r="F142" s="14" t="n"/>
    </row>
  </sheetData>
  <mergeCells count="2">
    <mergeCell ref="A2:F2"/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23"/>
  <sheetViews>
    <sheetView workbookViewId="0">
      <pane ySplit="23" topLeftCell="A2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18" customWidth="1" min="4" max="4"/>
    <col width="34" customWidth="1" min="5" max="5"/>
    <col width="15" customWidth="1" min="6" max="6"/>
    <col width="25" customWidth="1" min="7" max="7"/>
    <col width="15" customWidth="1" min="8" max="8"/>
    <col width="18" customWidth="1" min="9" max="9"/>
    <col width="42" customWidth="1" min="10" max="10"/>
  </cols>
  <sheetData>
    <row r="1">
      <c r="A1" s="1" t="inlineStr">
        <is>
          <t>CIUDAD 1132 — Inversión</t>
        </is>
      </c>
    </row>
    <row r="2">
      <c r="A2" s="30" t="inlineStr">
        <is>
          <t>Bonos, plazos fijos, fondos y otros movimientos de inversión. No suma al TOTAL de gastos de la hoja 2026.</t>
        </is>
      </c>
    </row>
    <row r="4">
      <c r="A4" s="31" t="inlineStr">
        <is>
          <t>Resumen por mes</t>
        </is>
      </c>
    </row>
    <row r="5">
      <c r="A5" s="34" t="inlineStr">
        <is>
          <t>Mes</t>
        </is>
      </c>
      <c r="B5" s="34" t="inlineStr">
        <is>
          <t>Invertido</t>
        </is>
      </c>
      <c r="C5" s="34" t="inlineStr">
        <is>
          <t>Rescatado</t>
        </is>
      </c>
      <c r="D5" s="34" t="inlineStr">
        <is>
          <t>Rendimiento</t>
        </is>
      </c>
      <c r="E5" s="34" t="inlineStr">
        <is>
          <t>Neto</t>
        </is>
      </c>
    </row>
    <row r="6">
      <c r="A6" s="14" t="inlineStr">
        <is>
          <t>Enero</t>
        </is>
      </c>
      <c r="B6" s="15">
        <f>SUMIFS($F$24:$F$223,$B$24:$B$223,A6,$D$24:$D$223,"Inversión")</f>
        <v/>
      </c>
      <c r="C6" s="15">
        <f>SUMIFS($F$24:$F$223,$B$24:$B$223,A6,$D$24:$D$223,"Rescate")</f>
        <v/>
      </c>
      <c r="D6" s="15">
        <f>SUMIFS($F$24:$F$223,$B$24:$B$223,A6,$D$24:$D$223,"Rendimiento")</f>
        <v/>
      </c>
      <c r="E6" s="15">
        <f>C6+D6-B6</f>
        <v/>
      </c>
    </row>
    <row r="7">
      <c r="A7" s="14" t="inlineStr">
        <is>
          <t>Febrero</t>
        </is>
      </c>
      <c r="B7" s="15">
        <f>SUMIFS($F$24:$F$223,$B$24:$B$223,A7,$D$24:$D$223,"Inversión")</f>
        <v/>
      </c>
      <c r="C7" s="15">
        <f>SUMIFS($F$24:$F$223,$B$24:$B$223,A7,$D$24:$D$223,"Rescate")</f>
        <v/>
      </c>
      <c r="D7" s="15">
        <f>SUMIFS($F$24:$F$223,$B$24:$B$223,A7,$D$24:$D$223,"Rendimiento")</f>
        <v/>
      </c>
      <c r="E7" s="15">
        <f>C7+D7-B7</f>
        <v/>
      </c>
    </row>
    <row r="8">
      <c r="A8" s="14" t="inlineStr">
        <is>
          <t>Marzo</t>
        </is>
      </c>
      <c r="B8" s="15">
        <f>SUMIFS($F$24:$F$223,$B$24:$B$223,A8,$D$24:$D$223,"Inversión")</f>
        <v/>
      </c>
      <c r="C8" s="15">
        <f>SUMIFS($F$24:$F$223,$B$24:$B$223,A8,$D$24:$D$223,"Rescate")</f>
        <v/>
      </c>
      <c r="D8" s="15">
        <f>SUMIFS($F$24:$F$223,$B$24:$B$223,A8,$D$24:$D$223,"Rendimiento")</f>
        <v/>
      </c>
      <c r="E8" s="15">
        <f>C8+D8-B8</f>
        <v/>
      </c>
    </row>
    <row r="9">
      <c r="A9" s="14" t="inlineStr">
        <is>
          <t>Abril</t>
        </is>
      </c>
      <c r="B9" s="15">
        <f>SUMIFS($F$24:$F$223,$B$24:$B$223,A9,$D$24:$D$223,"Inversión")</f>
        <v/>
      </c>
      <c r="C9" s="15">
        <f>SUMIFS($F$24:$F$223,$B$24:$B$223,A9,$D$24:$D$223,"Rescate")</f>
        <v/>
      </c>
      <c r="D9" s="15">
        <f>SUMIFS($F$24:$F$223,$B$24:$B$223,A9,$D$24:$D$223,"Rendimiento")</f>
        <v/>
      </c>
      <c r="E9" s="15">
        <f>C9+D9-B9</f>
        <v/>
      </c>
    </row>
    <row r="10">
      <c r="A10" s="14" t="inlineStr">
        <is>
          <t>Mayo</t>
        </is>
      </c>
      <c r="B10" s="15">
        <f>SUMIFS($F$24:$F$223,$B$24:$B$223,A10,$D$24:$D$223,"Inversión")</f>
        <v/>
      </c>
      <c r="C10" s="15">
        <f>SUMIFS($F$24:$F$223,$B$24:$B$223,A10,$D$24:$D$223,"Rescate")</f>
        <v/>
      </c>
      <c r="D10" s="15">
        <f>SUMIFS($F$24:$F$223,$B$24:$B$223,A10,$D$24:$D$223,"Rendimiento")</f>
        <v/>
      </c>
      <c r="E10" s="15">
        <f>C10+D10-B10</f>
        <v/>
      </c>
    </row>
    <row r="11">
      <c r="A11" s="14" t="inlineStr">
        <is>
          <t>Junio</t>
        </is>
      </c>
      <c r="B11" s="15">
        <f>SUMIFS($F$24:$F$223,$B$24:$B$223,A11,$D$24:$D$223,"Inversión")</f>
        <v/>
      </c>
      <c r="C11" s="15">
        <f>SUMIFS($F$24:$F$223,$B$24:$B$223,A11,$D$24:$D$223,"Rescate")</f>
        <v/>
      </c>
      <c r="D11" s="15">
        <f>SUMIFS($F$24:$F$223,$B$24:$B$223,A11,$D$24:$D$223,"Rendimiento")</f>
        <v/>
      </c>
      <c r="E11" s="15">
        <f>C11+D11-B11</f>
        <v/>
      </c>
    </row>
    <row r="12">
      <c r="A12" s="14" t="inlineStr">
        <is>
          <t>Julio</t>
        </is>
      </c>
      <c r="B12" s="15">
        <f>SUMIFS($F$24:$F$223,$B$24:$B$223,A12,$D$24:$D$223,"Inversión")</f>
        <v/>
      </c>
      <c r="C12" s="15">
        <f>SUMIFS($F$24:$F$223,$B$24:$B$223,A12,$D$24:$D$223,"Rescate")</f>
        <v/>
      </c>
      <c r="D12" s="15">
        <f>SUMIFS($F$24:$F$223,$B$24:$B$223,A12,$D$24:$D$223,"Rendimiento")</f>
        <v/>
      </c>
      <c r="E12" s="15">
        <f>C12+D12-B12</f>
        <v/>
      </c>
    </row>
    <row r="13">
      <c r="A13" s="14" t="inlineStr">
        <is>
          <t>Agosto</t>
        </is>
      </c>
      <c r="B13" s="15">
        <f>SUMIFS($F$24:$F$223,$B$24:$B$223,A13,$D$24:$D$223,"Inversión")</f>
        <v/>
      </c>
      <c r="C13" s="15">
        <f>SUMIFS($F$24:$F$223,$B$24:$B$223,A13,$D$24:$D$223,"Rescate")</f>
        <v/>
      </c>
      <c r="D13" s="15">
        <f>SUMIFS($F$24:$F$223,$B$24:$B$223,A13,$D$24:$D$223,"Rendimiento")</f>
        <v/>
      </c>
      <c r="E13" s="15">
        <f>C13+D13-B13</f>
        <v/>
      </c>
    </row>
    <row r="14">
      <c r="A14" s="14" t="inlineStr">
        <is>
          <t>Septiembre</t>
        </is>
      </c>
      <c r="B14" s="15">
        <f>SUMIFS($F$24:$F$223,$B$24:$B$223,A14,$D$24:$D$223,"Inversión")</f>
        <v/>
      </c>
      <c r="C14" s="15">
        <f>SUMIFS($F$24:$F$223,$B$24:$B$223,A14,$D$24:$D$223,"Rescate")</f>
        <v/>
      </c>
      <c r="D14" s="15">
        <f>SUMIFS($F$24:$F$223,$B$24:$B$223,A14,$D$24:$D$223,"Rendimiento")</f>
        <v/>
      </c>
      <c r="E14" s="15">
        <f>C14+D14-B14</f>
        <v/>
      </c>
    </row>
    <row r="15">
      <c r="A15" s="14" t="inlineStr">
        <is>
          <t>Octubre</t>
        </is>
      </c>
      <c r="B15" s="15">
        <f>SUMIFS($F$24:$F$223,$B$24:$B$223,A15,$D$24:$D$223,"Inversión")</f>
        <v/>
      </c>
      <c r="C15" s="15">
        <f>SUMIFS($F$24:$F$223,$B$24:$B$223,A15,$D$24:$D$223,"Rescate")</f>
        <v/>
      </c>
      <c r="D15" s="15">
        <f>SUMIFS($F$24:$F$223,$B$24:$B$223,A15,$D$24:$D$223,"Rendimiento")</f>
        <v/>
      </c>
      <c r="E15" s="15">
        <f>C15+D15-B15</f>
        <v/>
      </c>
    </row>
    <row r="16">
      <c r="A16" s="14" t="inlineStr">
        <is>
          <t>Noviembre</t>
        </is>
      </c>
      <c r="B16" s="15">
        <f>SUMIFS($F$24:$F$223,$B$24:$B$223,A16,$D$24:$D$223,"Inversión")</f>
        <v/>
      </c>
      <c r="C16" s="15">
        <f>SUMIFS($F$24:$F$223,$B$24:$B$223,A16,$D$24:$D$223,"Rescate")</f>
        <v/>
      </c>
      <c r="D16" s="15">
        <f>SUMIFS($F$24:$F$223,$B$24:$B$223,A16,$D$24:$D$223,"Rendimiento")</f>
        <v/>
      </c>
      <c r="E16" s="15">
        <f>C16+D16-B16</f>
        <v/>
      </c>
    </row>
    <row r="17">
      <c r="A17" s="14" t="inlineStr">
        <is>
          <t>Diciembre</t>
        </is>
      </c>
      <c r="B17" s="15">
        <f>SUMIFS($F$24:$F$223,$B$24:$B$223,A17,$D$24:$D$223,"Inversión")</f>
        <v/>
      </c>
      <c r="C17" s="15">
        <f>SUMIFS($F$24:$F$223,$B$24:$B$223,A17,$D$24:$D$223,"Rescate")</f>
        <v/>
      </c>
      <c r="D17" s="15">
        <f>SUMIFS($F$24:$F$223,$B$24:$B$223,A17,$D$24:$D$223,"Rendimiento")</f>
        <v/>
      </c>
      <c r="E17" s="15">
        <f>C17+D17-B17</f>
        <v/>
      </c>
    </row>
    <row r="18">
      <c r="A18" s="35" t="inlineStr">
        <is>
          <t>TOTAL AÑO</t>
        </is>
      </c>
      <c r="B18" s="36">
        <f>SUM(B6:B17)</f>
        <v/>
      </c>
      <c r="C18" s="36">
        <f>SUM(C6:C17)</f>
        <v/>
      </c>
      <c r="D18" s="36">
        <f>SUM(D6:D17)</f>
        <v/>
      </c>
      <c r="E18" s="36">
        <f>SUM(E6:E17)</f>
        <v/>
      </c>
    </row>
    <row r="21">
      <c r="A21" s="31" t="inlineStr">
        <is>
          <t>Detalle</t>
        </is>
      </c>
    </row>
    <row r="23">
      <c r="A23" s="34" t="inlineStr">
        <is>
          <t>Fecha</t>
        </is>
      </c>
      <c r="B23" s="34" t="inlineStr">
        <is>
          <t>Mes</t>
        </is>
      </c>
      <c r="C23" s="34" t="inlineStr">
        <is>
          <t>Tipo</t>
        </is>
      </c>
      <c r="D23" s="34" t="inlineStr">
        <is>
          <t>Movimiento</t>
        </is>
      </c>
      <c r="E23" s="34" t="inlineStr">
        <is>
          <t>Instrumento / concepto</t>
        </is>
      </c>
      <c r="F23" s="34" t="inlineStr">
        <is>
          <t>Monto</t>
        </is>
      </c>
      <c r="G23" s="34" t="inlineStr">
        <is>
          <t>Entidad / medio</t>
        </is>
      </c>
      <c r="H23" s="34" t="inlineStr">
        <is>
          <t>Vencimiento</t>
        </is>
      </c>
      <c r="I23" s="34" t="inlineStr">
        <is>
          <t>Tasa / rendimiento</t>
        </is>
      </c>
      <c r="J23" s="34" t="inlineStr">
        <is>
          <t>Comentario</t>
        </is>
      </c>
    </row>
    <row r="24">
      <c r="A24" s="17" t="n"/>
      <c r="B24" s="14" t="n"/>
      <c r="C24" s="14" t="n"/>
      <c r="D24" s="14" t="n"/>
      <c r="E24" s="14" t="n"/>
      <c r="F24" s="15" t="n"/>
      <c r="G24" s="14" t="n"/>
      <c r="H24" s="17" t="n"/>
      <c r="I24" s="37" t="n"/>
      <c r="J24" s="14" t="n"/>
    </row>
    <row r="25">
      <c r="A25" s="17" t="n"/>
      <c r="B25" s="14" t="n"/>
      <c r="C25" s="14" t="n"/>
      <c r="D25" s="14" t="n"/>
      <c r="E25" s="14" t="n"/>
      <c r="F25" s="15" t="n"/>
      <c r="G25" s="14" t="n"/>
      <c r="H25" s="17" t="n"/>
      <c r="I25" s="37" t="n"/>
      <c r="J25" s="14" t="n"/>
    </row>
    <row r="26">
      <c r="A26" s="17" t="n"/>
      <c r="B26" s="14" t="n"/>
      <c r="C26" s="14" t="n"/>
      <c r="D26" s="14" t="n"/>
      <c r="E26" s="14" t="n"/>
      <c r="F26" s="15" t="n"/>
      <c r="G26" s="14" t="n"/>
      <c r="H26" s="17" t="n"/>
      <c r="I26" s="37" t="n"/>
      <c r="J26" s="14" t="n"/>
    </row>
    <row r="27">
      <c r="A27" s="17" t="n"/>
      <c r="B27" s="14" t="n"/>
      <c r="C27" s="14" t="n"/>
      <c r="D27" s="14" t="n"/>
      <c r="E27" s="14" t="n"/>
      <c r="F27" s="15" t="n"/>
      <c r="G27" s="14" t="n"/>
      <c r="H27" s="17" t="n"/>
      <c r="I27" s="37" t="n"/>
      <c r="J27" s="14" t="n"/>
    </row>
    <row r="28">
      <c r="A28" s="17" t="n"/>
      <c r="B28" s="14" t="n"/>
      <c r="C28" s="14" t="n"/>
      <c r="D28" s="14" t="n"/>
      <c r="E28" s="14" t="n"/>
      <c r="F28" s="15" t="n"/>
      <c r="G28" s="14" t="n"/>
      <c r="H28" s="17" t="n"/>
      <c r="I28" s="37" t="n"/>
      <c r="J28" s="14" t="n"/>
    </row>
    <row r="29">
      <c r="A29" s="17" t="n"/>
      <c r="B29" s="14" t="n"/>
      <c r="C29" s="14" t="n"/>
      <c r="D29" s="14" t="n"/>
      <c r="E29" s="14" t="n"/>
      <c r="F29" s="15" t="n"/>
      <c r="G29" s="14" t="n"/>
      <c r="H29" s="17" t="n"/>
      <c r="I29" s="37" t="n"/>
      <c r="J29" s="14" t="n"/>
    </row>
    <row r="30">
      <c r="A30" s="17" t="n"/>
      <c r="B30" s="14" t="n"/>
      <c r="C30" s="14" t="n"/>
      <c r="D30" s="14" t="n"/>
      <c r="E30" s="14" t="n"/>
      <c r="F30" s="15" t="n"/>
      <c r="G30" s="14" t="n"/>
      <c r="H30" s="17" t="n"/>
      <c r="I30" s="37" t="n"/>
      <c r="J30" s="14" t="n"/>
    </row>
    <row r="31">
      <c r="A31" s="17" t="n"/>
      <c r="B31" s="14" t="n"/>
      <c r="C31" s="14" t="n"/>
      <c r="D31" s="14" t="n"/>
      <c r="E31" s="14" t="n"/>
      <c r="F31" s="15" t="n"/>
      <c r="G31" s="14" t="n"/>
      <c r="H31" s="17" t="n"/>
      <c r="I31" s="37" t="n"/>
      <c r="J31" s="14" t="n"/>
    </row>
    <row r="32">
      <c r="A32" s="17" t="n"/>
      <c r="B32" s="14" t="n"/>
      <c r="C32" s="14" t="n"/>
      <c r="D32" s="14" t="n"/>
      <c r="E32" s="14" t="n"/>
      <c r="F32" s="15" t="n"/>
      <c r="G32" s="14" t="n"/>
      <c r="H32" s="17" t="n"/>
      <c r="I32" s="37" t="n"/>
      <c r="J32" s="14" t="n"/>
    </row>
    <row r="33">
      <c r="A33" s="17" t="n"/>
      <c r="B33" s="14" t="n"/>
      <c r="C33" s="14" t="n"/>
      <c r="D33" s="14" t="n"/>
      <c r="E33" s="14" t="n"/>
      <c r="F33" s="15" t="n"/>
      <c r="G33" s="14" t="n"/>
      <c r="H33" s="17" t="n"/>
      <c r="I33" s="37" t="n"/>
      <c r="J33" s="14" t="n"/>
    </row>
    <row r="34">
      <c r="A34" s="17" t="n"/>
      <c r="B34" s="14" t="n"/>
      <c r="C34" s="14" t="n"/>
      <c r="D34" s="14" t="n"/>
      <c r="E34" s="14" t="n"/>
      <c r="F34" s="15" t="n"/>
      <c r="G34" s="14" t="n"/>
      <c r="H34" s="17" t="n"/>
      <c r="I34" s="37" t="n"/>
      <c r="J34" s="14" t="n"/>
    </row>
    <row r="35">
      <c r="A35" s="17" t="n"/>
      <c r="B35" s="14" t="n"/>
      <c r="C35" s="14" t="n"/>
      <c r="D35" s="14" t="n"/>
      <c r="E35" s="14" t="n"/>
      <c r="F35" s="15" t="n"/>
      <c r="G35" s="14" t="n"/>
      <c r="H35" s="17" t="n"/>
      <c r="I35" s="37" t="n"/>
      <c r="J35" s="14" t="n"/>
    </row>
    <row r="36">
      <c r="A36" s="17" t="n"/>
      <c r="B36" s="14" t="n"/>
      <c r="C36" s="14" t="n"/>
      <c r="D36" s="14" t="n"/>
      <c r="E36" s="14" t="n"/>
      <c r="F36" s="15" t="n"/>
      <c r="G36" s="14" t="n"/>
      <c r="H36" s="17" t="n"/>
      <c r="I36" s="37" t="n"/>
      <c r="J36" s="14" t="n"/>
    </row>
    <row r="37">
      <c r="A37" s="17" t="n"/>
      <c r="B37" s="14" t="n"/>
      <c r="C37" s="14" t="n"/>
      <c r="D37" s="14" t="n"/>
      <c r="E37" s="14" t="n"/>
      <c r="F37" s="15" t="n"/>
      <c r="G37" s="14" t="n"/>
      <c r="H37" s="17" t="n"/>
      <c r="I37" s="37" t="n"/>
      <c r="J37" s="14" t="n"/>
    </row>
    <row r="38">
      <c r="A38" s="17" t="n"/>
      <c r="B38" s="14" t="n"/>
      <c r="C38" s="14" t="n"/>
      <c r="D38" s="14" t="n"/>
      <c r="E38" s="14" t="n"/>
      <c r="F38" s="15" t="n"/>
      <c r="G38" s="14" t="n"/>
      <c r="H38" s="17" t="n"/>
      <c r="I38" s="37" t="n"/>
      <c r="J38" s="14" t="n"/>
    </row>
    <row r="39">
      <c r="A39" s="17" t="n"/>
      <c r="B39" s="14" t="n"/>
      <c r="C39" s="14" t="n"/>
      <c r="D39" s="14" t="n"/>
      <c r="E39" s="14" t="n"/>
      <c r="F39" s="15" t="n"/>
      <c r="G39" s="14" t="n"/>
      <c r="H39" s="17" t="n"/>
      <c r="I39" s="37" t="n"/>
      <c r="J39" s="14" t="n"/>
    </row>
    <row r="40">
      <c r="A40" s="17" t="n"/>
      <c r="B40" s="14" t="n"/>
      <c r="C40" s="14" t="n"/>
      <c r="D40" s="14" t="n"/>
      <c r="E40" s="14" t="n"/>
      <c r="F40" s="15" t="n"/>
      <c r="G40" s="14" t="n"/>
      <c r="H40" s="17" t="n"/>
      <c r="I40" s="37" t="n"/>
      <c r="J40" s="14" t="n"/>
    </row>
    <row r="41">
      <c r="A41" s="17" t="n"/>
      <c r="B41" s="14" t="n"/>
      <c r="C41" s="14" t="n"/>
      <c r="D41" s="14" t="n"/>
      <c r="E41" s="14" t="n"/>
      <c r="F41" s="15" t="n"/>
      <c r="G41" s="14" t="n"/>
      <c r="H41" s="17" t="n"/>
      <c r="I41" s="37" t="n"/>
      <c r="J41" s="14" t="n"/>
    </row>
    <row r="42">
      <c r="A42" s="17" t="n"/>
      <c r="B42" s="14" t="n"/>
      <c r="C42" s="14" t="n"/>
      <c r="D42" s="14" t="n"/>
      <c r="E42" s="14" t="n"/>
      <c r="F42" s="15" t="n"/>
      <c r="G42" s="14" t="n"/>
      <c r="H42" s="17" t="n"/>
      <c r="I42" s="37" t="n"/>
      <c r="J42" s="14" t="n"/>
    </row>
    <row r="43">
      <c r="A43" s="17" t="n"/>
      <c r="B43" s="14" t="n"/>
      <c r="C43" s="14" t="n"/>
      <c r="D43" s="14" t="n"/>
      <c r="E43" s="14" t="n"/>
      <c r="F43" s="15" t="n"/>
      <c r="G43" s="14" t="n"/>
      <c r="H43" s="17" t="n"/>
      <c r="I43" s="37" t="n"/>
      <c r="J43" s="14" t="n"/>
    </row>
    <row r="44">
      <c r="A44" s="17" t="n"/>
      <c r="B44" s="14" t="n"/>
      <c r="C44" s="14" t="n"/>
      <c r="D44" s="14" t="n"/>
      <c r="E44" s="14" t="n"/>
      <c r="F44" s="15" t="n"/>
      <c r="G44" s="14" t="n"/>
      <c r="H44" s="17" t="n"/>
      <c r="I44" s="37" t="n"/>
      <c r="J44" s="14" t="n"/>
    </row>
    <row r="45">
      <c r="A45" s="17" t="n"/>
      <c r="B45" s="14" t="n"/>
      <c r="C45" s="14" t="n"/>
      <c r="D45" s="14" t="n"/>
      <c r="E45" s="14" t="n"/>
      <c r="F45" s="15" t="n"/>
      <c r="G45" s="14" t="n"/>
      <c r="H45" s="17" t="n"/>
      <c r="I45" s="37" t="n"/>
      <c r="J45" s="14" t="n"/>
    </row>
    <row r="46">
      <c r="A46" s="17" t="n"/>
      <c r="B46" s="14" t="n"/>
      <c r="C46" s="14" t="n"/>
      <c r="D46" s="14" t="n"/>
      <c r="E46" s="14" t="n"/>
      <c r="F46" s="15" t="n"/>
      <c r="G46" s="14" t="n"/>
      <c r="H46" s="17" t="n"/>
      <c r="I46" s="37" t="n"/>
      <c r="J46" s="14" t="n"/>
    </row>
    <row r="47">
      <c r="A47" s="17" t="n"/>
      <c r="B47" s="14" t="n"/>
      <c r="C47" s="14" t="n"/>
      <c r="D47" s="14" t="n"/>
      <c r="E47" s="14" t="n"/>
      <c r="F47" s="15" t="n"/>
      <c r="G47" s="14" t="n"/>
      <c r="H47" s="17" t="n"/>
      <c r="I47" s="37" t="n"/>
      <c r="J47" s="14" t="n"/>
    </row>
    <row r="48">
      <c r="A48" s="17" t="n"/>
      <c r="B48" s="14" t="n"/>
      <c r="C48" s="14" t="n"/>
      <c r="D48" s="14" t="n"/>
      <c r="E48" s="14" t="n"/>
      <c r="F48" s="15" t="n"/>
      <c r="G48" s="14" t="n"/>
      <c r="H48" s="17" t="n"/>
      <c r="I48" s="37" t="n"/>
      <c r="J48" s="14" t="n"/>
    </row>
    <row r="49">
      <c r="A49" s="17" t="n"/>
      <c r="B49" s="14" t="n"/>
      <c r="C49" s="14" t="n"/>
      <c r="D49" s="14" t="n"/>
      <c r="E49" s="14" t="n"/>
      <c r="F49" s="15" t="n"/>
      <c r="G49" s="14" t="n"/>
      <c r="H49" s="17" t="n"/>
      <c r="I49" s="37" t="n"/>
      <c r="J49" s="14" t="n"/>
    </row>
    <row r="50">
      <c r="A50" s="17" t="n"/>
      <c r="B50" s="14" t="n"/>
      <c r="C50" s="14" t="n"/>
      <c r="D50" s="14" t="n"/>
      <c r="E50" s="14" t="n"/>
      <c r="F50" s="15" t="n"/>
      <c r="G50" s="14" t="n"/>
      <c r="H50" s="17" t="n"/>
      <c r="I50" s="37" t="n"/>
      <c r="J50" s="14" t="n"/>
    </row>
    <row r="51">
      <c r="A51" s="17" t="n"/>
      <c r="B51" s="14" t="n"/>
      <c r="C51" s="14" t="n"/>
      <c r="D51" s="14" t="n"/>
      <c r="E51" s="14" t="n"/>
      <c r="F51" s="15" t="n"/>
      <c r="G51" s="14" t="n"/>
      <c r="H51" s="17" t="n"/>
      <c r="I51" s="37" t="n"/>
      <c r="J51" s="14" t="n"/>
    </row>
    <row r="52">
      <c r="A52" s="17" t="n"/>
      <c r="B52" s="14" t="n"/>
      <c r="C52" s="14" t="n"/>
      <c r="D52" s="14" t="n"/>
      <c r="E52" s="14" t="n"/>
      <c r="F52" s="15" t="n"/>
      <c r="G52" s="14" t="n"/>
      <c r="H52" s="17" t="n"/>
      <c r="I52" s="37" t="n"/>
      <c r="J52" s="14" t="n"/>
    </row>
    <row r="53">
      <c r="A53" s="17" t="n"/>
      <c r="B53" s="14" t="n"/>
      <c r="C53" s="14" t="n"/>
      <c r="D53" s="14" t="n"/>
      <c r="E53" s="14" t="n"/>
      <c r="F53" s="15" t="n"/>
      <c r="G53" s="14" t="n"/>
      <c r="H53" s="17" t="n"/>
      <c r="I53" s="37" t="n"/>
      <c r="J53" s="14" t="n"/>
    </row>
    <row r="54">
      <c r="A54" s="17" t="n"/>
      <c r="B54" s="14" t="n"/>
      <c r="C54" s="14" t="n"/>
      <c r="D54" s="14" t="n"/>
      <c r="E54" s="14" t="n"/>
      <c r="F54" s="15" t="n"/>
      <c r="G54" s="14" t="n"/>
      <c r="H54" s="17" t="n"/>
      <c r="I54" s="37" t="n"/>
      <c r="J54" s="14" t="n"/>
    </row>
    <row r="55">
      <c r="A55" s="17" t="n"/>
      <c r="B55" s="14" t="n"/>
      <c r="C55" s="14" t="n"/>
      <c r="D55" s="14" t="n"/>
      <c r="E55" s="14" t="n"/>
      <c r="F55" s="15" t="n"/>
      <c r="G55" s="14" t="n"/>
      <c r="H55" s="17" t="n"/>
      <c r="I55" s="37" t="n"/>
      <c r="J55" s="14" t="n"/>
    </row>
    <row r="56">
      <c r="A56" s="17" t="n"/>
      <c r="B56" s="14" t="n"/>
      <c r="C56" s="14" t="n"/>
      <c r="D56" s="14" t="n"/>
      <c r="E56" s="14" t="n"/>
      <c r="F56" s="15" t="n"/>
      <c r="G56" s="14" t="n"/>
      <c r="H56" s="17" t="n"/>
      <c r="I56" s="37" t="n"/>
      <c r="J56" s="14" t="n"/>
    </row>
    <row r="57">
      <c r="A57" s="17" t="n"/>
      <c r="B57" s="14" t="n"/>
      <c r="C57" s="14" t="n"/>
      <c r="D57" s="14" t="n"/>
      <c r="E57" s="14" t="n"/>
      <c r="F57" s="15" t="n"/>
      <c r="G57" s="14" t="n"/>
      <c r="H57" s="17" t="n"/>
      <c r="I57" s="37" t="n"/>
      <c r="J57" s="14" t="n"/>
    </row>
    <row r="58">
      <c r="A58" s="17" t="n"/>
      <c r="B58" s="14" t="n"/>
      <c r="C58" s="14" t="n"/>
      <c r="D58" s="14" t="n"/>
      <c r="E58" s="14" t="n"/>
      <c r="F58" s="15" t="n"/>
      <c r="G58" s="14" t="n"/>
      <c r="H58" s="17" t="n"/>
      <c r="I58" s="37" t="n"/>
      <c r="J58" s="14" t="n"/>
    </row>
    <row r="59">
      <c r="A59" s="17" t="n"/>
      <c r="B59" s="14" t="n"/>
      <c r="C59" s="14" t="n"/>
      <c r="D59" s="14" t="n"/>
      <c r="E59" s="14" t="n"/>
      <c r="F59" s="15" t="n"/>
      <c r="G59" s="14" t="n"/>
      <c r="H59" s="17" t="n"/>
      <c r="I59" s="37" t="n"/>
      <c r="J59" s="14" t="n"/>
    </row>
    <row r="60">
      <c r="A60" s="17" t="n"/>
      <c r="B60" s="14" t="n"/>
      <c r="C60" s="14" t="n"/>
      <c r="D60" s="14" t="n"/>
      <c r="E60" s="14" t="n"/>
      <c r="F60" s="15" t="n"/>
      <c r="G60" s="14" t="n"/>
      <c r="H60" s="17" t="n"/>
      <c r="I60" s="37" t="n"/>
      <c r="J60" s="14" t="n"/>
    </row>
    <row r="61">
      <c r="A61" s="17" t="n"/>
      <c r="B61" s="14" t="n"/>
      <c r="C61" s="14" t="n"/>
      <c r="D61" s="14" t="n"/>
      <c r="E61" s="14" t="n"/>
      <c r="F61" s="15" t="n"/>
      <c r="G61" s="14" t="n"/>
      <c r="H61" s="17" t="n"/>
      <c r="I61" s="37" t="n"/>
      <c r="J61" s="14" t="n"/>
    </row>
    <row r="62">
      <c r="A62" s="17" t="n"/>
      <c r="B62" s="14" t="n"/>
      <c r="C62" s="14" t="n"/>
      <c r="D62" s="14" t="n"/>
      <c r="E62" s="14" t="n"/>
      <c r="F62" s="15" t="n"/>
      <c r="G62" s="14" t="n"/>
      <c r="H62" s="17" t="n"/>
      <c r="I62" s="37" t="n"/>
      <c r="J62" s="14" t="n"/>
    </row>
    <row r="63">
      <c r="A63" s="17" t="n"/>
      <c r="B63" s="14" t="n"/>
      <c r="C63" s="14" t="n"/>
      <c r="D63" s="14" t="n"/>
      <c r="E63" s="14" t="n"/>
      <c r="F63" s="15" t="n"/>
      <c r="G63" s="14" t="n"/>
      <c r="H63" s="17" t="n"/>
      <c r="I63" s="37" t="n"/>
      <c r="J63" s="14" t="n"/>
    </row>
    <row r="64">
      <c r="A64" s="17" t="n"/>
      <c r="B64" s="14" t="n"/>
      <c r="C64" s="14" t="n"/>
      <c r="D64" s="14" t="n"/>
      <c r="E64" s="14" t="n"/>
      <c r="F64" s="15" t="n"/>
      <c r="G64" s="14" t="n"/>
      <c r="H64" s="17" t="n"/>
      <c r="I64" s="37" t="n"/>
      <c r="J64" s="14" t="n"/>
    </row>
    <row r="65">
      <c r="A65" s="17" t="n"/>
      <c r="B65" s="14" t="n"/>
      <c r="C65" s="14" t="n"/>
      <c r="D65" s="14" t="n"/>
      <c r="E65" s="14" t="n"/>
      <c r="F65" s="15" t="n"/>
      <c r="G65" s="14" t="n"/>
      <c r="H65" s="17" t="n"/>
      <c r="I65" s="37" t="n"/>
      <c r="J65" s="14" t="n"/>
    </row>
    <row r="66">
      <c r="A66" s="17" t="n"/>
      <c r="B66" s="14" t="n"/>
      <c r="C66" s="14" t="n"/>
      <c r="D66" s="14" t="n"/>
      <c r="E66" s="14" t="n"/>
      <c r="F66" s="15" t="n"/>
      <c r="G66" s="14" t="n"/>
      <c r="H66" s="17" t="n"/>
      <c r="I66" s="37" t="n"/>
      <c r="J66" s="14" t="n"/>
    </row>
    <row r="67">
      <c r="A67" s="17" t="n"/>
      <c r="B67" s="14" t="n"/>
      <c r="C67" s="14" t="n"/>
      <c r="D67" s="14" t="n"/>
      <c r="E67" s="14" t="n"/>
      <c r="F67" s="15" t="n"/>
      <c r="G67" s="14" t="n"/>
      <c r="H67" s="17" t="n"/>
      <c r="I67" s="37" t="n"/>
      <c r="J67" s="14" t="n"/>
    </row>
    <row r="68">
      <c r="A68" s="17" t="n"/>
      <c r="B68" s="14" t="n"/>
      <c r="C68" s="14" t="n"/>
      <c r="D68" s="14" t="n"/>
      <c r="E68" s="14" t="n"/>
      <c r="F68" s="15" t="n"/>
      <c r="G68" s="14" t="n"/>
      <c r="H68" s="17" t="n"/>
      <c r="I68" s="37" t="n"/>
      <c r="J68" s="14" t="n"/>
    </row>
    <row r="69">
      <c r="A69" s="17" t="n"/>
      <c r="B69" s="14" t="n"/>
      <c r="C69" s="14" t="n"/>
      <c r="D69" s="14" t="n"/>
      <c r="E69" s="14" t="n"/>
      <c r="F69" s="15" t="n"/>
      <c r="G69" s="14" t="n"/>
      <c r="H69" s="17" t="n"/>
      <c r="I69" s="37" t="n"/>
      <c r="J69" s="14" t="n"/>
    </row>
    <row r="70">
      <c r="A70" s="17" t="n"/>
      <c r="B70" s="14" t="n"/>
      <c r="C70" s="14" t="n"/>
      <c r="D70" s="14" t="n"/>
      <c r="E70" s="14" t="n"/>
      <c r="F70" s="15" t="n"/>
      <c r="G70" s="14" t="n"/>
      <c r="H70" s="17" t="n"/>
      <c r="I70" s="37" t="n"/>
      <c r="J70" s="14" t="n"/>
    </row>
    <row r="71">
      <c r="A71" s="17" t="n"/>
      <c r="B71" s="14" t="n"/>
      <c r="C71" s="14" t="n"/>
      <c r="D71" s="14" t="n"/>
      <c r="E71" s="14" t="n"/>
      <c r="F71" s="15" t="n"/>
      <c r="G71" s="14" t="n"/>
      <c r="H71" s="17" t="n"/>
      <c r="I71" s="37" t="n"/>
      <c r="J71" s="14" t="n"/>
    </row>
    <row r="72">
      <c r="A72" s="17" t="n"/>
      <c r="B72" s="14" t="n"/>
      <c r="C72" s="14" t="n"/>
      <c r="D72" s="14" t="n"/>
      <c r="E72" s="14" t="n"/>
      <c r="F72" s="15" t="n"/>
      <c r="G72" s="14" t="n"/>
      <c r="H72" s="17" t="n"/>
      <c r="I72" s="37" t="n"/>
      <c r="J72" s="14" t="n"/>
    </row>
    <row r="73">
      <c r="A73" s="17" t="n"/>
      <c r="B73" s="14" t="n"/>
      <c r="C73" s="14" t="n"/>
      <c r="D73" s="14" t="n"/>
      <c r="E73" s="14" t="n"/>
      <c r="F73" s="15" t="n"/>
      <c r="G73" s="14" t="n"/>
      <c r="H73" s="17" t="n"/>
      <c r="I73" s="37" t="n"/>
      <c r="J73" s="14" t="n"/>
    </row>
    <row r="74">
      <c r="A74" s="17" t="n"/>
      <c r="B74" s="14" t="n"/>
      <c r="C74" s="14" t="n"/>
      <c r="D74" s="14" t="n"/>
      <c r="E74" s="14" t="n"/>
      <c r="F74" s="15" t="n"/>
      <c r="G74" s="14" t="n"/>
      <c r="H74" s="17" t="n"/>
      <c r="I74" s="37" t="n"/>
      <c r="J74" s="14" t="n"/>
    </row>
    <row r="75">
      <c r="A75" s="17" t="n"/>
      <c r="B75" s="14" t="n"/>
      <c r="C75" s="14" t="n"/>
      <c r="D75" s="14" t="n"/>
      <c r="E75" s="14" t="n"/>
      <c r="F75" s="15" t="n"/>
      <c r="G75" s="14" t="n"/>
      <c r="H75" s="17" t="n"/>
      <c r="I75" s="37" t="n"/>
      <c r="J75" s="14" t="n"/>
    </row>
    <row r="76">
      <c r="A76" s="17" t="n"/>
      <c r="B76" s="14" t="n"/>
      <c r="C76" s="14" t="n"/>
      <c r="D76" s="14" t="n"/>
      <c r="E76" s="14" t="n"/>
      <c r="F76" s="15" t="n"/>
      <c r="G76" s="14" t="n"/>
      <c r="H76" s="17" t="n"/>
      <c r="I76" s="37" t="n"/>
      <c r="J76" s="14" t="n"/>
    </row>
    <row r="77">
      <c r="A77" s="17" t="n"/>
      <c r="B77" s="14" t="n"/>
      <c r="C77" s="14" t="n"/>
      <c r="D77" s="14" t="n"/>
      <c r="E77" s="14" t="n"/>
      <c r="F77" s="15" t="n"/>
      <c r="G77" s="14" t="n"/>
      <c r="H77" s="17" t="n"/>
      <c r="I77" s="37" t="n"/>
      <c r="J77" s="14" t="n"/>
    </row>
    <row r="78">
      <c r="A78" s="17" t="n"/>
      <c r="B78" s="14" t="n"/>
      <c r="C78" s="14" t="n"/>
      <c r="D78" s="14" t="n"/>
      <c r="E78" s="14" t="n"/>
      <c r="F78" s="15" t="n"/>
      <c r="G78" s="14" t="n"/>
      <c r="H78" s="17" t="n"/>
      <c r="I78" s="37" t="n"/>
      <c r="J78" s="14" t="n"/>
    </row>
    <row r="79">
      <c r="A79" s="17" t="n"/>
      <c r="B79" s="14" t="n"/>
      <c r="C79" s="14" t="n"/>
      <c r="D79" s="14" t="n"/>
      <c r="E79" s="14" t="n"/>
      <c r="F79" s="15" t="n"/>
      <c r="G79" s="14" t="n"/>
      <c r="H79" s="17" t="n"/>
      <c r="I79" s="37" t="n"/>
      <c r="J79" s="14" t="n"/>
    </row>
    <row r="80">
      <c r="A80" s="17" t="n"/>
      <c r="B80" s="14" t="n"/>
      <c r="C80" s="14" t="n"/>
      <c r="D80" s="14" t="n"/>
      <c r="E80" s="14" t="n"/>
      <c r="F80" s="15" t="n"/>
      <c r="G80" s="14" t="n"/>
      <c r="H80" s="17" t="n"/>
      <c r="I80" s="37" t="n"/>
      <c r="J80" s="14" t="n"/>
    </row>
    <row r="81">
      <c r="A81" s="17" t="n"/>
      <c r="B81" s="14" t="n"/>
      <c r="C81" s="14" t="n"/>
      <c r="D81" s="14" t="n"/>
      <c r="E81" s="14" t="n"/>
      <c r="F81" s="15" t="n"/>
      <c r="G81" s="14" t="n"/>
      <c r="H81" s="17" t="n"/>
      <c r="I81" s="37" t="n"/>
      <c r="J81" s="14" t="n"/>
    </row>
    <row r="82">
      <c r="A82" s="17" t="n"/>
      <c r="B82" s="14" t="n"/>
      <c r="C82" s="14" t="n"/>
      <c r="D82" s="14" t="n"/>
      <c r="E82" s="14" t="n"/>
      <c r="F82" s="15" t="n"/>
      <c r="G82" s="14" t="n"/>
      <c r="H82" s="17" t="n"/>
      <c r="I82" s="37" t="n"/>
      <c r="J82" s="14" t="n"/>
    </row>
    <row r="83">
      <c r="A83" s="17" t="n"/>
      <c r="B83" s="14" t="n"/>
      <c r="C83" s="14" t="n"/>
      <c r="D83" s="14" t="n"/>
      <c r="E83" s="14" t="n"/>
      <c r="F83" s="15" t="n"/>
      <c r="G83" s="14" t="n"/>
      <c r="H83" s="17" t="n"/>
      <c r="I83" s="37" t="n"/>
      <c r="J83" s="14" t="n"/>
    </row>
    <row r="84">
      <c r="A84" s="17" t="n"/>
      <c r="B84" s="14" t="n"/>
      <c r="C84" s="14" t="n"/>
      <c r="D84" s="14" t="n"/>
      <c r="E84" s="14" t="n"/>
      <c r="F84" s="15" t="n"/>
      <c r="G84" s="14" t="n"/>
      <c r="H84" s="17" t="n"/>
      <c r="I84" s="37" t="n"/>
      <c r="J84" s="14" t="n"/>
    </row>
    <row r="85">
      <c r="A85" s="17" t="n"/>
      <c r="B85" s="14" t="n"/>
      <c r="C85" s="14" t="n"/>
      <c r="D85" s="14" t="n"/>
      <c r="E85" s="14" t="n"/>
      <c r="F85" s="15" t="n"/>
      <c r="G85" s="14" t="n"/>
      <c r="H85" s="17" t="n"/>
      <c r="I85" s="37" t="n"/>
      <c r="J85" s="14" t="n"/>
    </row>
    <row r="86">
      <c r="A86" s="17" t="n"/>
      <c r="B86" s="14" t="n"/>
      <c r="C86" s="14" t="n"/>
      <c r="D86" s="14" t="n"/>
      <c r="E86" s="14" t="n"/>
      <c r="F86" s="15" t="n"/>
      <c r="G86" s="14" t="n"/>
      <c r="H86" s="17" t="n"/>
      <c r="I86" s="37" t="n"/>
      <c r="J86" s="14" t="n"/>
    </row>
    <row r="87">
      <c r="A87" s="17" t="n"/>
      <c r="B87" s="14" t="n"/>
      <c r="C87" s="14" t="n"/>
      <c r="D87" s="14" t="n"/>
      <c r="E87" s="14" t="n"/>
      <c r="F87" s="15" t="n"/>
      <c r="G87" s="14" t="n"/>
      <c r="H87" s="17" t="n"/>
      <c r="I87" s="37" t="n"/>
      <c r="J87" s="14" t="n"/>
    </row>
    <row r="88">
      <c r="A88" s="17" t="n"/>
      <c r="B88" s="14" t="n"/>
      <c r="C88" s="14" t="n"/>
      <c r="D88" s="14" t="n"/>
      <c r="E88" s="14" t="n"/>
      <c r="F88" s="15" t="n"/>
      <c r="G88" s="14" t="n"/>
      <c r="H88" s="17" t="n"/>
      <c r="I88" s="37" t="n"/>
      <c r="J88" s="14" t="n"/>
    </row>
    <row r="89">
      <c r="A89" s="17" t="n"/>
      <c r="B89" s="14" t="n"/>
      <c r="C89" s="14" t="n"/>
      <c r="D89" s="14" t="n"/>
      <c r="E89" s="14" t="n"/>
      <c r="F89" s="15" t="n"/>
      <c r="G89" s="14" t="n"/>
      <c r="H89" s="17" t="n"/>
      <c r="I89" s="37" t="n"/>
      <c r="J89" s="14" t="n"/>
    </row>
    <row r="90">
      <c r="A90" s="17" t="n"/>
      <c r="B90" s="14" t="n"/>
      <c r="C90" s="14" t="n"/>
      <c r="D90" s="14" t="n"/>
      <c r="E90" s="14" t="n"/>
      <c r="F90" s="15" t="n"/>
      <c r="G90" s="14" t="n"/>
      <c r="H90" s="17" t="n"/>
      <c r="I90" s="37" t="n"/>
      <c r="J90" s="14" t="n"/>
    </row>
    <row r="91">
      <c r="A91" s="17" t="n"/>
      <c r="B91" s="14" t="n"/>
      <c r="C91" s="14" t="n"/>
      <c r="D91" s="14" t="n"/>
      <c r="E91" s="14" t="n"/>
      <c r="F91" s="15" t="n"/>
      <c r="G91" s="14" t="n"/>
      <c r="H91" s="17" t="n"/>
      <c r="I91" s="37" t="n"/>
      <c r="J91" s="14" t="n"/>
    </row>
    <row r="92">
      <c r="A92" s="17" t="n"/>
      <c r="B92" s="14" t="n"/>
      <c r="C92" s="14" t="n"/>
      <c r="D92" s="14" t="n"/>
      <c r="E92" s="14" t="n"/>
      <c r="F92" s="15" t="n"/>
      <c r="G92" s="14" t="n"/>
      <c r="H92" s="17" t="n"/>
      <c r="I92" s="37" t="n"/>
      <c r="J92" s="14" t="n"/>
    </row>
    <row r="93">
      <c r="A93" s="17" t="n"/>
      <c r="B93" s="14" t="n"/>
      <c r="C93" s="14" t="n"/>
      <c r="D93" s="14" t="n"/>
      <c r="E93" s="14" t="n"/>
      <c r="F93" s="15" t="n"/>
      <c r="G93" s="14" t="n"/>
      <c r="H93" s="17" t="n"/>
      <c r="I93" s="37" t="n"/>
      <c r="J93" s="14" t="n"/>
    </row>
    <row r="94">
      <c r="A94" s="17" t="n"/>
      <c r="B94" s="14" t="n"/>
      <c r="C94" s="14" t="n"/>
      <c r="D94" s="14" t="n"/>
      <c r="E94" s="14" t="n"/>
      <c r="F94" s="15" t="n"/>
      <c r="G94" s="14" t="n"/>
      <c r="H94" s="17" t="n"/>
      <c r="I94" s="37" t="n"/>
      <c r="J94" s="14" t="n"/>
    </row>
    <row r="95">
      <c r="A95" s="17" t="n"/>
      <c r="B95" s="14" t="n"/>
      <c r="C95" s="14" t="n"/>
      <c r="D95" s="14" t="n"/>
      <c r="E95" s="14" t="n"/>
      <c r="F95" s="15" t="n"/>
      <c r="G95" s="14" t="n"/>
      <c r="H95" s="17" t="n"/>
      <c r="I95" s="37" t="n"/>
      <c r="J95" s="14" t="n"/>
    </row>
    <row r="96">
      <c r="A96" s="17" t="n"/>
      <c r="B96" s="14" t="n"/>
      <c r="C96" s="14" t="n"/>
      <c r="D96" s="14" t="n"/>
      <c r="E96" s="14" t="n"/>
      <c r="F96" s="15" t="n"/>
      <c r="G96" s="14" t="n"/>
      <c r="H96" s="17" t="n"/>
      <c r="I96" s="37" t="n"/>
      <c r="J96" s="14" t="n"/>
    </row>
    <row r="97">
      <c r="A97" s="17" t="n"/>
      <c r="B97" s="14" t="n"/>
      <c r="C97" s="14" t="n"/>
      <c r="D97" s="14" t="n"/>
      <c r="E97" s="14" t="n"/>
      <c r="F97" s="15" t="n"/>
      <c r="G97" s="14" t="n"/>
      <c r="H97" s="17" t="n"/>
      <c r="I97" s="37" t="n"/>
      <c r="J97" s="14" t="n"/>
    </row>
    <row r="98">
      <c r="A98" s="17" t="n"/>
      <c r="B98" s="14" t="n"/>
      <c r="C98" s="14" t="n"/>
      <c r="D98" s="14" t="n"/>
      <c r="E98" s="14" t="n"/>
      <c r="F98" s="15" t="n"/>
      <c r="G98" s="14" t="n"/>
      <c r="H98" s="17" t="n"/>
      <c r="I98" s="37" t="n"/>
      <c r="J98" s="14" t="n"/>
    </row>
    <row r="99">
      <c r="A99" s="17" t="n"/>
      <c r="B99" s="14" t="n"/>
      <c r="C99" s="14" t="n"/>
      <c r="D99" s="14" t="n"/>
      <c r="E99" s="14" t="n"/>
      <c r="F99" s="15" t="n"/>
      <c r="G99" s="14" t="n"/>
      <c r="H99" s="17" t="n"/>
      <c r="I99" s="37" t="n"/>
      <c r="J99" s="14" t="n"/>
    </row>
    <row r="100">
      <c r="A100" s="17" t="n"/>
      <c r="B100" s="14" t="n"/>
      <c r="C100" s="14" t="n"/>
      <c r="D100" s="14" t="n"/>
      <c r="E100" s="14" t="n"/>
      <c r="F100" s="15" t="n"/>
      <c r="G100" s="14" t="n"/>
      <c r="H100" s="17" t="n"/>
      <c r="I100" s="37" t="n"/>
      <c r="J100" s="14" t="n"/>
    </row>
    <row r="101">
      <c r="A101" s="17" t="n"/>
      <c r="B101" s="14" t="n"/>
      <c r="C101" s="14" t="n"/>
      <c r="D101" s="14" t="n"/>
      <c r="E101" s="14" t="n"/>
      <c r="F101" s="15" t="n"/>
      <c r="G101" s="14" t="n"/>
      <c r="H101" s="17" t="n"/>
      <c r="I101" s="37" t="n"/>
      <c r="J101" s="14" t="n"/>
    </row>
    <row r="102">
      <c r="A102" s="17" t="n"/>
      <c r="B102" s="14" t="n"/>
      <c r="C102" s="14" t="n"/>
      <c r="D102" s="14" t="n"/>
      <c r="E102" s="14" t="n"/>
      <c r="F102" s="15" t="n"/>
      <c r="G102" s="14" t="n"/>
      <c r="H102" s="17" t="n"/>
      <c r="I102" s="37" t="n"/>
      <c r="J102" s="14" t="n"/>
    </row>
    <row r="103">
      <c r="A103" s="17" t="n"/>
      <c r="B103" s="14" t="n"/>
      <c r="C103" s="14" t="n"/>
      <c r="D103" s="14" t="n"/>
      <c r="E103" s="14" t="n"/>
      <c r="F103" s="15" t="n"/>
      <c r="G103" s="14" t="n"/>
      <c r="H103" s="17" t="n"/>
      <c r="I103" s="37" t="n"/>
      <c r="J103" s="14" t="n"/>
    </row>
    <row r="104">
      <c r="A104" s="17" t="n"/>
      <c r="B104" s="14" t="n"/>
      <c r="C104" s="14" t="n"/>
      <c r="D104" s="14" t="n"/>
      <c r="E104" s="14" t="n"/>
      <c r="F104" s="15" t="n"/>
      <c r="G104" s="14" t="n"/>
      <c r="H104" s="17" t="n"/>
      <c r="I104" s="37" t="n"/>
      <c r="J104" s="14" t="n"/>
    </row>
    <row r="105">
      <c r="A105" s="17" t="n"/>
      <c r="B105" s="14" t="n"/>
      <c r="C105" s="14" t="n"/>
      <c r="D105" s="14" t="n"/>
      <c r="E105" s="14" t="n"/>
      <c r="F105" s="15" t="n"/>
      <c r="G105" s="14" t="n"/>
      <c r="H105" s="17" t="n"/>
      <c r="I105" s="37" t="n"/>
      <c r="J105" s="14" t="n"/>
    </row>
    <row r="106">
      <c r="A106" s="17" t="n"/>
      <c r="B106" s="14" t="n"/>
      <c r="C106" s="14" t="n"/>
      <c r="D106" s="14" t="n"/>
      <c r="E106" s="14" t="n"/>
      <c r="F106" s="15" t="n"/>
      <c r="G106" s="14" t="n"/>
      <c r="H106" s="17" t="n"/>
      <c r="I106" s="37" t="n"/>
      <c r="J106" s="14" t="n"/>
    </row>
    <row r="107">
      <c r="A107" s="17" t="n"/>
      <c r="B107" s="14" t="n"/>
      <c r="C107" s="14" t="n"/>
      <c r="D107" s="14" t="n"/>
      <c r="E107" s="14" t="n"/>
      <c r="F107" s="15" t="n"/>
      <c r="G107" s="14" t="n"/>
      <c r="H107" s="17" t="n"/>
      <c r="I107" s="37" t="n"/>
      <c r="J107" s="14" t="n"/>
    </row>
    <row r="108">
      <c r="A108" s="17" t="n"/>
      <c r="B108" s="14" t="n"/>
      <c r="C108" s="14" t="n"/>
      <c r="D108" s="14" t="n"/>
      <c r="E108" s="14" t="n"/>
      <c r="F108" s="15" t="n"/>
      <c r="G108" s="14" t="n"/>
      <c r="H108" s="17" t="n"/>
      <c r="I108" s="37" t="n"/>
      <c r="J108" s="14" t="n"/>
    </row>
    <row r="109">
      <c r="A109" s="17" t="n"/>
      <c r="B109" s="14" t="n"/>
      <c r="C109" s="14" t="n"/>
      <c r="D109" s="14" t="n"/>
      <c r="E109" s="14" t="n"/>
      <c r="F109" s="15" t="n"/>
      <c r="G109" s="14" t="n"/>
      <c r="H109" s="17" t="n"/>
      <c r="I109" s="37" t="n"/>
      <c r="J109" s="14" t="n"/>
    </row>
    <row r="110">
      <c r="A110" s="17" t="n"/>
      <c r="B110" s="14" t="n"/>
      <c r="C110" s="14" t="n"/>
      <c r="D110" s="14" t="n"/>
      <c r="E110" s="14" t="n"/>
      <c r="F110" s="15" t="n"/>
      <c r="G110" s="14" t="n"/>
      <c r="H110" s="17" t="n"/>
      <c r="I110" s="37" t="n"/>
      <c r="J110" s="14" t="n"/>
    </row>
    <row r="111">
      <c r="A111" s="17" t="n"/>
      <c r="B111" s="14" t="n"/>
      <c r="C111" s="14" t="n"/>
      <c r="D111" s="14" t="n"/>
      <c r="E111" s="14" t="n"/>
      <c r="F111" s="15" t="n"/>
      <c r="G111" s="14" t="n"/>
      <c r="H111" s="17" t="n"/>
      <c r="I111" s="37" t="n"/>
      <c r="J111" s="14" t="n"/>
    </row>
    <row r="112">
      <c r="A112" s="17" t="n"/>
      <c r="B112" s="14" t="n"/>
      <c r="C112" s="14" t="n"/>
      <c r="D112" s="14" t="n"/>
      <c r="E112" s="14" t="n"/>
      <c r="F112" s="15" t="n"/>
      <c r="G112" s="14" t="n"/>
      <c r="H112" s="17" t="n"/>
      <c r="I112" s="37" t="n"/>
      <c r="J112" s="14" t="n"/>
    </row>
    <row r="113">
      <c r="A113" s="17" t="n"/>
      <c r="B113" s="14" t="n"/>
      <c r="C113" s="14" t="n"/>
      <c r="D113" s="14" t="n"/>
      <c r="E113" s="14" t="n"/>
      <c r="F113" s="15" t="n"/>
      <c r="G113" s="14" t="n"/>
      <c r="H113" s="17" t="n"/>
      <c r="I113" s="37" t="n"/>
      <c r="J113" s="14" t="n"/>
    </row>
    <row r="114">
      <c r="A114" s="17" t="n"/>
      <c r="B114" s="14" t="n"/>
      <c r="C114" s="14" t="n"/>
      <c r="D114" s="14" t="n"/>
      <c r="E114" s="14" t="n"/>
      <c r="F114" s="15" t="n"/>
      <c r="G114" s="14" t="n"/>
      <c r="H114" s="17" t="n"/>
      <c r="I114" s="37" t="n"/>
      <c r="J114" s="14" t="n"/>
    </row>
    <row r="115">
      <c r="A115" s="17" t="n"/>
      <c r="B115" s="14" t="n"/>
      <c r="C115" s="14" t="n"/>
      <c r="D115" s="14" t="n"/>
      <c r="E115" s="14" t="n"/>
      <c r="F115" s="15" t="n"/>
      <c r="G115" s="14" t="n"/>
      <c r="H115" s="17" t="n"/>
      <c r="I115" s="37" t="n"/>
      <c r="J115" s="14" t="n"/>
    </row>
    <row r="116">
      <c r="A116" s="17" t="n"/>
      <c r="B116" s="14" t="n"/>
      <c r="C116" s="14" t="n"/>
      <c r="D116" s="14" t="n"/>
      <c r="E116" s="14" t="n"/>
      <c r="F116" s="15" t="n"/>
      <c r="G116" s="14" t="n"/>
      <c r="H116" s="17" t="n"/>
      <c r="I116" s="37" t="n"/>
      <c r="J116" s="14" t="n"/>
    </row>
    <row r="117">
      <c r="A117" s="17" t="n"/>
      <c r="B117" s="14" t="n"/>
      <c r="C117" s="14" t="n"/>
      <c r="D117" s="14" t="n"/>
      <c r="E117" s="14" t="n"/>
      <c r="F117" s="15" t="n"/>
      <c r="G117" s="14" t="n"/>
      <c r="H117" s="17" t="n"/>
      <c r="I117" s="37" t="n"/>
      <c r="J117" s="14" t="n"/>
    </row>
    <row r="118">
      <c r="A118" s="17" t="n"/>
      <c r="B118" s="14" t="n"/>
      <c r="C118" s="14" t="n"/>
      <c r="D118" s="14" t="n"/>
      <c r="E118" s="14" t="n"/>
      <c r="F118" s="15" t="n"/>
      <c r="G118" s="14" t="n"/>
      <c r="H118" s="17" t="n"/>
      <c r="I118" s="37" t="n"/>
      <c r="J118" s="14" t="n"/>
    </row>
    <row r="119">
      <c r="A119" s="17" t="n"/>
      <c r="B119" s="14" t="n"/>
      <c r="C119" s="14" t="n"/>
      <c r="D119" s="14" t="n"/>
      <c r="E119" s="14" t="n"/>
      <c r="F119" s="15" t="n"/>
      <c r="G119" s="14" t="n"/>
      <c r="H119" s="17" t="n"/>
      <c r="I119" s="37" t="n"/>
      <c r="J119" s="14" t="n"/>
    </row>
    <row r="120">
      <c r="A120" s="17" t="n"/>
      <c r="B120" s="14" t="n"/>
      <c r="C120" s="14" t="n"/>
      <c r="D120" s="14" t="n"/>
      <c r="E120" s="14" t="n"/>
      <c r="F120" s="15" t="n"/>
      <c r="G120" s="14" t="n"/>
      <c r="H120" s="17" t="n"/>
      <c r="I120" s="37" t="n"/>
      <c r="J120" s="14" t="n"/>
    </row>
    <row r="121">
      <c r="A121" s="17" t="n"/>
      <c r="B121" s="14" t="n"/>
      <c r="C121" s="14" t="n"/>
      <c r="D121" s="14" t="n"/>
      <c r="E121" s="14" t="n"/>
      <c r="F121" s="15" t="n"/>
      <c r="G121" s="14" t="n"/>
      <c r="H121" s="17" t="n"/>
      <c r="I121" s="37" t="n"/>
      <c r="J121" s="14" t="n"/>
    </row>
    <row r="122">
      <c r="A122" s="17" t="n"/>
      <c r="B122" s="14" t="n"/>
      <c r="C122" s="14" t="n"/>
      <c r="D122" s="14" t="n"/>
      <c r="E122" s="14" t="n"/>
      <c r="F122" s="15" t="n"/>
      <c r="G122" s="14" t="n"/>
      <c r="H122" s="17" t="n"/>
      <c r="I122" s="37" t="n"/>
      <c r="J122" s="14" t="n"/>
    </row>
    <row r="123">
      <c r="A123" s="17" t="n"/>
      <c r="B123" s="14" t="n"/>
      <c r="C123" s="14" t="n"/>
      <c r="D123" s="14" t="n"/>
      <c r="E123" s="14" t="n"/>
      <c r="F123" s="15" t="n"/>
      <c r="G123" s="14" t="n"/>
      <c r="H123" s="17" t="n"/>
      <c r="I123" s="37" t="n"/>
      <c r="J123" s="14" t="n"/>
    </row>
    <row r="124">
      <c r="A124" s="17" t="n"/>
      <c r="B124" s="14" t="n"/>
      <c r="C124" s="14" t="n"/>
      <c r="D124" s="14" t="n"/>
      <c r="E124" s="14" t="n"/>
      <c r="F124" s="15" t="n"/>
      <c r="G124" s="14" t="n"/>
      <c r="H124" s="17" t="n"/>
      <c r="I124" s="37" t="n"/>
      <c r="J124" s="14" t="n"/>
    </row>
    <row r="125">
      <c r="A125" s="17" t="n"/>
      <c r="B125" s="14" t="n"/>
      <c r="C125" s="14" t="n"/>
      <c r="D125" s="14" t="n"/>
      <c r="E125" s="14" t="n"/>
      <c r="F125" s="15" t="n"/>
      <c r="G125" s="14" t="n"/>
      <c r="H125" s="17" t="n"/>
      <c r="I125" s="37" t="n"/>
      <c r="J125" s="14" t="n"/>
    </row>
    <row r="126">
      <c r="A126" s="17" t="n"/>
      <c r="B126" s="14" t="n"/>
      <c r="C126" s="14" t="n"/>
      <c r="D126" s="14" t="n"/>
      <c r="E126" s="14" t="n"/>
      <c r="F126" s="15" t="n"/>
      <c r="G126" s="14" t="n"/>
      <c r="H126" s="17" t="n"/>
      <c r="I126" s="37" t="n"/>
      <c r="J126" s="14" t="n"/>
    </row>
    <row r="127">
      <c r="A127" s="17" t="n"/>
      <c r="B127" s="14" t="n"/>
      <c r="C127" s="14" t="n"/>
      <c r="D127" s="14" t="n"/>
      <c r="E127" s="14" t="n"/>
      <c r="F127" s="15" t="n"/>
      <c r="G127" s="14" t="n"/>
      <c r="H127" s="17" t="n"/>
      <c r="I127" s="37" t="n"/>
      <c r="J127" s="14" t="n"/>
    </row>
    <row r="128">
      <c r="A128" s="17" t="n"/>
      <c r="B128" s="14" t="n"/>
      <c r="C128" s="14" t="n"/>
      <c r="D128" s="14" t="n"/>
      <c r="E128" s="14" t="n"/>
      <c r="F128" s="15" t="n"/>
      <c r="G128" s="14" t="n"/>
      <c r="H128" s="17" t="n"/>
      <c r="I128" s="37" t="n"/>
      <c r="J128" s="14" t="n"/>
    </row>
    <row r="129">
      <c r="A129" s="17" t="n"/>
      <c r="B129" s="14" t="n"/>
      <c r="C129" s="14" t="n"/>
      <c r="D129" s="14" t="n"/>
      <c r="E129" s="14" t="n"/>
      <c r="F129" s="15" t="n"/>
      <c r="G129" s="14" t="n"/>
      <c r="H129" s="17" t="n"/>
      <c r="I129" s="37" t="n"/>
      <c r="J129" s="14" t="n"/>
    </row>
    <row r="130">
      <c r="A130" s="17" t="n"/>
      <c r="B130" s="14" t="n"/>
      <c r="C130" s="14" t="n"/>
      <c r="D130" s="14" t="n"/>
      <c r="E130" s="14" t="n"/>
      <c r="F130" s="15" t="n"/>
      <c r="G130" s="14" t="n"/>
      <c r="H130" s="17" t="n"/>
      <c r="I130" s="37" t="n"/>
      <c r="J130" s="14" t="n"/>
    </row>
    <row r="131">
      <c r="A131" s="17" t="n"/>
      <c r="B131" s="14" t="n"/>
      <c r="C131" s="14" t="n"/>
      <c r="D131" s="14" t="n"/>
      <c r="E131" s="14" t="n"/>
      <c r="F131" s="15" t="n"/>
      <c r="G131" s="14" t="n"/>
      <c r="H131" s="17" t="n"/>
      <c r="I131" s="37" t="n"/>
      <c r="J131" s="14" t="n"/>
    </row>
    <row r="132">
      <c r="A132" s="17" t="n"/>
      <c r="B132" s="14" t="n"/>
      <c r="C132" s="14" t="n"/>
      <c r="D132" s="14" t="n"/>
      <c r="E132" s="14" t="n"/>
      <c r="F132" s="15" t="n"/>
      <c r="G132" s="14" t="n"/>
      <c r="H132" s="17" t="n"/>
      <c r="I132" s="37" t="n"/>
      <c r="J132" s="14" t="n"/>
    </row>
    <row r="133">
      <c r="A133" s="17" t="n"/>
      <c r="B133" s="14" t="n"/>
      <c r="C133" s="14" t="n"/>
      <c r="D133" s="14" t="n"/>
      <c r="E133" s="14" t="n"/>
      <c r="F133" s="15" t="n"/>
      <c r="G133" s="14" t="n"/>
      <c r="H133" s="17" t="n"/>
      <c r="I133" s="37" t="n"/>
      <c r="J133" s="14" t="n"/>
    </row>
    <row r="134">
      <c r="A134" s="17" t="n"/>
      <c r="B134" s="14" t="n"/>
      <c r="C134" s="14" t="n"/>
      <c r="D134" s="14" t="n"/>
      <c r="E134" s="14" t="n"/>
      <c r="F134" s="15" t="n"/>
      <c r="G134" s="14" t="n"/>
      <c r="H134" s="17" t="n"/>
      <c r="I134" s="37" t="n"/>
      <c r="J134" s="14" t="n"/>
    </row>
    <row r="135">
      <c r="A135" s="17" t="n"/>
      <c r="B135" s="14" t="n"/>
      <c r="C135" s="14" t="n"/>
      <c r="D135" s="14" t="n"/>
      <c r="E135" s="14" t="n"/>
      <c r="F135" s="15" t="n"/>
      <c r="G135" s="14" t="n"/>
      <c r="H135" s="17" t="n"/>
      <c r="I135" s="37" t="n"/>
      <c r="J135" s="14" t="n"/>
    </row>
    <row r="136">
      <c r="A136" s="17" t="n"/>
      <c r="B136" s="14" t="n"/>
      <c r="C136" s="14" t="n"/>
      <c r="D136" s="14" t="n"/>
      <c r="E136" s="14" t="n"/>
      <c r="F136" s="15" t="n"/>
      <c r="G136" s="14" t="n"/>
      <c r="H136" s="17" t="n"/>
      <c r="I136" s="37" t="n"/>
      <c r="J136" s="14" t="n"/>
    </row>
    <row r="137">
      <c r="A137" s="17" t="n"/>
      <c r="B137" s="14" t="n"/>
      <c r="C137" s="14" t="n"/>
      <c r="D137" s="14" t="n"/>
      <c r="E137" s="14" t="n"/>
      <c r="F137" s="15" t="n"/>
      <c r="G137" s="14" t="n"/>
      <c r="H137" s="17" t="n"/>
      <c r="I137" s="37" t="n"/>
      <c r="J137" s="14" t="n"/>
    </row>
    <row r="138">
      <c r="A138" s="17" t="n"/>
      <c r="B138" s="14" t="n"/>
      <c r="C138" s="14" t="n"/>
      <c r="D138" s="14" t="n"/>
      <c r="E138" s="14" t="n"/>
      <c r="F138" s="15" t="n"/>
      <c r="G138" s="14" t="n"/>
      <c r="H138" s="17" t="n"/>
      <c r="I138" s="37" t="n"/>
      <c r="J138" s="14" t="n"/>
    </row>
    <row r="139">
      <c r="A139" s="17" t="n"/>
      <c r="B139" s="14" t="n"/>
      <c r="C139" s="14" t="n"/>
      <c r="D139" s="14" t="n"/>
      <c r="E139" s="14" t="n"/>
      <c r="F139" s="15" t="n"/>
      <c r="G139" s="14" t="n"/>
      <c r="H139" s="17" t="n"/>
      <c r="I139" s="37" t="n"/>
      <c r="J139" s="14" t="n"/>
    </row>
    <row r="140">
      <c r="A140" s="17" t="n"/>
      <c r="B140" s="14" t="n"/>
      <c r="C140" s="14" t="n"/>
      <c r="D140" s="14" t="n"/>
      <c r="E140" s="14" t="n"/>
      <c r="F140" s="15" t="n"/>
      <c r="G140" s="14" t="n"/>
      <c r="H140" s="17" t="n"/>
      <c r="I140" s="37" t="n"/>
      <c r="J140" s="14" t="n"/>
    </row>
    <row r="141">
      <c r="A141" s="17" t="n"/>
      <c r="B141" s="14" t="n"/>
      <c r="C141" s="14" t="n"/>
      <c r="D141" s="14" t="n"/>
      <c r="E141" s="14" t="n"/>
      <c r="F141" s="15" t="n"/>
      <c r="G141" s="14" t="n"/>
      <c r="H141" s="17" t="n"/>
      <c r="I141" s="37" t="n"/>
      <c r="J141" s="14" t="n"/>
    </row>
    <row r="142">
      <c r="A142" s="17" t="n"/>
      <c r="B142" s="14" t="n"/>
      <c r="C142" s="14" t="n"/>
      <c r="D142" s="14" t="n"/>
      <c r="E142" s="14" t="n"/>
      <c r="F142" s="15" t="n"/>
      <c r="G142" s="14" t="n"/>
      <c r="H142" s="17" t="n"/>
      <c r="I142" s="37" t="n"/>
      <c r="J142" s="14" t="n"/>
    </row>
    <row r="143">
      <c r="A143" s="17" t="n"/>
      <c r="B143" s="14" t="n"/>
      <c r="C143" s="14" t="n"/>
      <c r="D143" s="14" t="n"/>
      <c r="E143" s="14" t="n"/>
      <c r="F143" s="15" t="n"/>
      <c r="G143" s="14" t="n"/>
      <c r="H143" s="17" t="n"/>
      <c r="I143" s="37" t="n"/>
      <c r="J143" s="14" t="n"/>
    </row>
    <row r="144">
      <c r="A144" s="17" t="n"/>
      <c r="B144" s="14" t="n"/>
      <c r="C144" s="14" t="n"/>
      <c r="D144" s="14" t="n"/>
      <c r="E144" s="14" t="n"/>
      <c r="F144" s="15" t="n"/>
      <c r="G144" s="14" t="n"/>
      <c r="H144" s="17" t="n"/>
      <c r="I144" s="37" t="n"/>
      <c r="J144" s="14" t="n"/>
    </row>
    <row r="145">
      <c r="A145" s="17" t="n"/>
      <c r="B145" s="14" t="n"/>
      <c r="C145" s="14" t="n"/>
      <c r="D145" s="14" t="n"/>
      <c r="E145" s="14" t="n"/>
      <c r="F145" s="15" t="n"/>
      <c r="G145" s="14" t="n"/>
      <c r="H145" s="17" t="n"/>
      <c r="I145" s="37" t="n"/>
      <c r="J145" s="14" t="n"/>
    </row>
    <row r="146">
      <c r="A146" s="17" t="n"/>
      <c r="B146" s="14" t="n"/>
      <c r="C146" s="14" t="n"/>
      <c r="D146" s="14" t="n"/>
      <c r="E146" s="14" t="n"/>
      <c r="F146" s="15" t="n"/>
      <c r="G146" s="14" t="n"/>
      <c r="H146" s="17" t="n"/>
      <c r="I146" s="37" t="n"/>
      <c r="J146" s="14" t="n"/>
    </row>
    <row r="147">
      <c r="A147" s="17" t="n"/>
      <c r="B147" s="14" t="n"/>
      <c r="C147" s="14" t="n"/>
      <c r="D147" s="14" t="n"/>
      <c r="E147" s="14" t="n"/>
      <c r="F147" s="15" t="n"/>
      <c r="G147" s="14" t="n"/>
      <c r="H147" s="17" t="n"/>
      <c r="I147" s="37" t="n"/>
      <c r="J147" s="14" t="n"/>
    </row>
    <row r="148">
      <c r="A148" s="17" t="n"/>
      <c r="B148" s="14" t="n"/>
      <c r="C148" s="14" t="n"/>
      <c r="D148" s="14" t="n"/>
      <c r="E148" s="14" t="n"/>
      <c r="F148" s="15" t="n"/>
      <c r="G148" s="14" t="n"/>
      <c r="H148" s="17" t="n"/>
      <c r="I148" s="37" t="n"/>
      <c r="J148" s="14" t="n"/>
    </row>
    <row r="149">
      <c r="A149" s="17" t="n"/>
      <c r="B149" s="14" t="n"/>
      <c r="C149" s="14" t="n"/>
      <c r="D149" s="14" t="n"/>
      <c r="E149" s="14" t="n"/>
      <c r="F149" s="15" t="n"/>
      <c r="G149" s="14" t="n"/>
      <c r="H149" s="17" t="n"/>
      <c r="I149" s="37" t="n"/>
      <c r="J149" s="14" t="n"/>
    </row>
    <row r="150">
      <c r="A150" s="17" t="n"/>
      <c r="B150" s="14" t="n"/>
      <c r="C150" s="14" t="n"/>
      <c r="D150" s="14" t="n"/>
      <c r="E150" s="14" t="n"/>
      <c r="F150" s="15" t="n"/>
      <c r="G150" s="14" t="n"/>
      <c r="H150" s="17" t="n"/>
      <c r="I150" s="37" t="n"/>
      <c r="J150" s="14" t="n"/>
    </row>
    <row r="151">
      <c r="A151" s="17" t="n"/>
      <c r="B151" s="14" t="n"/>
      <c r="C151" s="14" t="n"/>
      <c r="D151" s="14" t="n"/>
      <c r="E151" s="14" t="n"/>
      <c r="F151" s="15" t="n"/>
      <c r="G151" s="14" t="n"/>
      <c r="H151" s="17" t="n"/>
      <c r="I151" s="37" t="n"/>
      <c r="J151" s="14" t="n"/>
    </row>
    <row r="152">
      <c r="A152" s="17" t="n"/>
      <c r="B152" s="14" t="n"/>
      <c r="C152" s="14" t="n"/>
      <c r="D152" s="14" t="n"/>
      <c r="E152" s="14" t="n"/>
      <c r="F152" s="15" t="n"/>
      <c r="G152" s="14" t="n"/>
      <c r="H152" s="17" t="n"/>
      <c r="I152" s="37" t="n"/>
      <c r="J152" s="14" t="n"/>
    </row>
    <row r="153">
      <c r="A153" s="17" t="n"/>
      <c r="B153" s="14" t="n"/>
      <c r="C153" s="14" t="n"/>
      <c r="D153" s="14" t="n"/>
      <c r="E153" s="14" t="n"/>
      <c r="F153" s="15" t="n"/>
      <c r="G153" s="14" t="n"/>
      <c r="H153" s="17" t="n"/>
      <c r="I153" s="37" t="n"/>
      <c r="J153" s="14" t="n"/>
    </row>
    <row r="154">
      <c r="A154" s="17" t="n"/>
      <c r="B154" s="14" t="n"/>
      <c r="C154" s="14" t="n"/>
      <c r="D154" s="14" t="n"/>
      <c r="E154" s="14" t="n"/>
      <c r="F154" s="15" t="n"/>
      <c r="G154" s="14" t="n"/>
      <c r="H154" s="17" t="n"/>
      <c r="I154" s="37" t="n"/>
      <c r="J154" s="14" t="n"/>
    </row>
    <row r="155">
      <c r="A155" s="17" t="n"/>
      <c r="B155" s="14" t="n"/>
      <c r="C155" s="14" t="n"/>
      <c r="D155" s="14" t="n"/>
      <c r="E155" s="14" t="n"/>
      <c r="F155" s="15" t="n"/>
      <c r="G155" s="14" t="n"/>
      <c r="H155" s="17" t="n"/>
      <c r="I155" s="37" t="n"/>
      <c r="J155" s="14" t="n"/>
    </row>
    <row r="156">
      <c r="A156" s="17" t="n"/>
      <c r="B156" s="14" t="n"/>
      <c r="C156" s="14" t="n"/>
      <c r="D156" s="14" t="n"/>
      <c r="E156" s="14" t="n"/>
      <c r="F156" s="15" t="n"/>
      <c r="G156" s="14" t="n"/>
      <c r="H156" s="17" t="n"/>
      <c r="I156" s="37" t="n"/>
      <c r="J156" s="14" t="n"/>
    </row>
    <row r="157">
      <c r="A157" s="17" t="n"/>
      <c r="B157" s="14" t="n"/>
      <c r="C157" s="14" t="n"/>
      <c r="D157" s="14" t="n"/>
      <c r="E157" s="14" t="n"/>
      <c r="F157" s="15" t="n"/>
      <c r="G157" s="14" t="n"/>
      <c r="H157" s="17" t="n"/>
      <c r="I157" s="37" t="n"/>
      <c r="J157" s="14" t="n"/>
    </row>
    <row r="158">
      <c r="A158" s="17" t="n"/>
      <c r="B158" s="14" t="n"/>
      <c r="C158" s="14" t="n"/>
      <c r="D158" s="14" t="n"/>
      <c r="E158" s="14" t="n"/>
      <c r="F158" s="15" t="n"/>
      <c r="G158" s="14" t="n"/>
      <c r="H158" s="17" t="n"/>
      <c r="I158" s="37" t="n"/>
      <c r="J158" s="14" t="n"/>
    </row>
    <row r="159">
      <c r="A159" s="17" t="n"/>
      <c r="B159" s="14" t="n"/>
      <c r="C159" s="14" t="n"/>
      <c r="D159" s="14" t="n"/>
      <c r="E159" s="14" t="n"/>
      <c r="F159" s="15" t="n"/>
      <c r="G159" s="14" t="n"/>
      <c r="H159" s="17" t="n"/>
      <c r="I159" s="37" t="n"/>
      <c r="J159" s="14" t="n"/>
    </row>
    <row r="160">
      <c r="A160" s="17" t="n"/>
      <c r="B160" s="14" t="n"/>
      <c r="C160" s="14" t="n"/>
      <c r="D160" s="14" t="n"/>
      <c r="E160" s="14" t="n"/>
      <c r="F160" s="15" t="n"/>
      <c r="G160" s="14" t="n"/>
      <c r="H160" s="17" t="n"/>
      <c r="I160" s="37" t="n"/>
      <c r="J160" s="14" t="n"/>
    </row>
    <row r="161">
      <c r="A161" s="17" t="n"/>
      <c r="B161" s="14" t="n"/>
      <c r="C161" s="14" t="n"/>
      <c r="D161" s="14" t="n"/>
      <c r="E161" s="14" t="n"/>
      <c r="F161" s="15" t="n"/>
      <c r="G161" s="14" t="n"/>
      <c r="H161" s="17" t="n"/>
      <c r="I161" s="37" t="n"/>
      <c r="J161" s="14" t="n"/>
    </row>
    <row r="162">
      <c r="A162" s="17" t="n"/>
      <c r="B162" s="14" t="n"/>
      <c r="C162" s="14" t="n"/>
      <c r="D162" s="14" t="n"/>
      <c r="E162" s="14" t="n"/>
      <c r="F162" s="15" t="n"/>
      <c r="G162" s="14" t="n"/>
      <c r="H162" s="17" t="n"/>
      <c r="I162" s="37" t="n"/>
      <c r="J162" s="14" t="n"/>
    </row>
    <row r="163">
      <c r="A163" s="17" t="n"/>
      <c r="B163" s="14" t="n"/>
      <c r="C163" s="14" t="n"/>
      <c r="D163" s="14" t="n"/>
      <c r="E163" s="14" t="n"/>
      <c r="F163" s="15" t="n"/>
      <c r="G163" s="14" t="n"/>
      <c r="H163" s="17" t="n"/>
      <c r="I163" s="37" t="n"/>
      <c r="J163" s="14" t="n"/>
    </row>
    <row r="164">
      <c r="A164" s="17" t="n"/>
      <c r="B164" s="14" t="n"/>
      <c r="C164" s="14" t="n"/>
      <c r="D164" s="14" t="n"/>
      <c r="E164" s="14" t="n"/>
      <c r="F164" s="15" t="n"/>
      <c r="G164" s="14" t="n"/>
      <c r="H164" s="17" t="n"/>
      <c r="I164" s="37" t="n"/>
      <c r="J164" s="14" t="n"/>
    </row>
    <row r="165">
      <c r="A165" s="17" t="n"/>
      <c r="B165" s="14" t="n"/>
      <c r="C165" s="14" t="n"/>
      <c r="D165" s="14" t="n"/>
      <c r="E165" s="14" t="n"/>
      <c r="F165" s="15" t="n"/>
      <c r="G165" s="14" t="n"/>
      <c r="H165" s="17" t="n"/>
      <c r="I165" s="37" t="n"/>
      <c r="J165" s="14" t="n"/>
    </row>
    <row r="166">
      <c r="A166" s="17" t="n"/>
      <c r="B166" s="14" t="n"/>
      <c r="C166" s="14" t="n"/>
      <c r="D166" s="14" t="n"/>
      <c r="E166" s="14" t="n"/>
      <c r="F166" s="15" t="n"/>
      <c r="G166" s="14" t="n"/>
      <c r="H166" s="17" t="n"/>
      <c r="I166" s="37" t="n"/>
      <c r="J166" s="14" t="n"/>
    </row>
    <row r="167">
      <c r="A167" s="17" t="n"/>
      <c r="B167" s="14" t="n"/>
      <c r="C167" s="14" t="n"/>
      <c r="D167" s="14" t="n"/>
      <c r="E167" s="14" t="n"/>
      <c r="F167" s="15" t="n"/>
      <c r="G167" s="14" t="n"/>
      <c r="H167" s="17" t="n"/>
      <c r="I167" s="37" t="n"/>
      <c r="J167" s="14" t="n"/>
    </row>
    <row r="168">
      <c r="A168" s="17" t="n"/>
      <c r="B168" s="14" t="n"/>
      <c r="C168" s="14" t="n"/>
      <c r="D168" s="14" t="n"/>
      <c r="E168" s="14" t="n"/>
      <c r="F168" s="15" t="n"/>
      <c r="G168" s="14" t="n"/>
      <c r="H168" s="17" t="n"/>
      <c r="I168" s="37" t="n"/>
      <c r="J168" s="14" t="n"/>
    </row>
    <row r="169">
      <c r="A169" s="17" t="n"/>
      <c r="B169" s="14" t="n"/>
      <c r="C169" s="14" t="n"/>
      <c r="D169" s="14" t="n"/>
      <c r="E169" s="14" t="n"/>
      <c r="F169" s="15" t="n"/>
      <c r="G169" s="14" t="n"/>
      <c r="H169" s="17" t="n"/>
      <c r="I169" s="37" t="n"/>
      <c r="J169" s="14" t="n"/>
    </row>
    <row r="170">
      <c r="A170" s="17" t="n"/>
      <c r="B170" s="14" t="n"/>
      <c r="C170" s="14" t="n"/>
      <c r="D170" s="14" t="n"/>
      <c r="E170" s="14" t="n"/>
      <c r="F170" s="15" t="n"/>
      <c r="G170" s="14" t="n"/>
      <c r="H170" s="17" t="n"/>
      <c r="I170" s="37" t="n"/>
      <c r="J170" s="14" t="n"/>
    </row>
    <row r="171">
      <c r="A171" s="17" t="n"/>
      <c r="B171" s="14" t="n"/>
      <c r="C171" s="14" t="n"/>
      <c r="D171" s="14" t="n"/>
      <c r="E171" s="14" t="n"/>
      <c r="F171" s="15" t="n"/>
      <c r="G171" s="14" t="n"/>
      <c r="H171" s="17" t="n"/>
      <c r="I171" s="37" t="n"/>
      <c r="J171" s="14" t="n"/>
    </row>
    <row r="172">
      <c r="A172" s="17" t="n"/>
      <c r="B172" s="14" t="n"/>
      <c r="C172" s="14" t="n"/>
      <c r="D172" s="14" t="n"/>
      <c r="E172" s="14" t="n"/>
      <c r="F172" s="15" t="n"/>
      <c r="G172" s="14" t="n"/>
      <c r="H172" s="17" t="n"/>
      <c r="I172" s="37" t="n"/>
      <c r="J172" s="14" t="n"/>
    </row>
    <row r="173">
      <c r="A173" s="17" t="n"/>
      <c r="B173" s="14" t="n"/>
      <c r="C173" s="14" t="n"/>
      <c r="D173" s="14" t="n"/>
      <c r="E173" s="14" t="n"/>
      <c r="F173" s="15" t="n"/>
      <c r="G173" s="14" t="n"/>
      <c r="H173" s="17" t="n"/>
      <c r="I173" s="37" t="n"/>
      <c r="J173" s="14" t="n"/>
    </row>
    <row r="174">
      <c r="A174" s="17" t="n"/>
      <c r="B174" s="14" t="n"/>
      <c r="C174" s="14" t="n"/>
      <c r="D174" s="14" t="n"/>
      <c r="E174" s="14" t="n"/>
      <c r="F174" s="15" t="n"/>
      <c r="G174" s="14" t="n"/>
      <c r="H174" s="17" t="n"/>
      <c r="I174" s="37" t="n"/>
      <c r="J174" s="14" t="n"/>
    </row>
    <row r="175">
      <c r="A175" s="17" t="n"/>
      <c r="B175" s="14" t="n"/>
      <c r="C175" s="14" t="n"/>
      <c r="D175" s="14" t="n"/>
      <c r="E175" s="14" t="n"/>
      <c r="F175" s="15" t="n"/>
      <c r="G175" s="14" t="n"/>
      <c r="H175" s="17" t="n"/>
      <c r="I175" s="37" t="n"/>
      <c r="J175" s="14" t="n"/>
    </row>
    <row r="176">
      <c r="A176" s="17" t="n"/>
      <c r="B176" s="14" t="n"/>
      <c r="C176" s="14" t="n"/>
      <c r="D176" s="14" t="n"/>
      <c r="E176" s="14" t="n"/>
      <c r="F176" s="15" t="n"/>
      <c r="G176" s="14" t="n"/>
      <c r="H176" s="17" t="n"/>
      <c r="I176" s="37" t="n"/>
      <c r="J176" s="14" t="n"/>
    </row>
    <row r="177">
      <c r="A177" s="17" t="n"/>
      <c r="B177" s="14" t="n"/>
      <c r="C177" s="14" t="n"/>
      <c r="D177" s="14" t="n"/>
      <c r="E177" s="14" t="n"/>
      <c r="F177" s="15" t="n"/>
      <c r="G177" s="14" t="n"/>
      <c r="H177" s="17" t="n"/>
      <c r="I177" s="37" t="n"/>
      <c r="J177" s="14" t="n"/>
    </row>
    <row r="178">
      <c r="A178" s="17" t="n"/>
      <c r="B178" s="14" t="n"/>
      <c r="C178" s="14" t="n"/>
      <c r="D178" s="14" t="n"/>
      <c r="E178" s="14" t="n"/>
      <c r="F178" s="15" t="n"/>
      <c r="G178" s="14" t="n"/>
      <c r="H178" s="17" t="n"/>
      <c r="I178" s="37" t="n"/>
      <c r="J178" s="14" t="n"/>
    </row>
    <row r="179">
      <c r="A179" s="17" t="n"/>
      <c r="B179" s="14" t="n"/>
      <c r="C179" s="14" t="n"/>
      <c r="D179" s="14" t="n"/>
      <c r="E179" s="14" t="n"/>
      <c r="F179" s="15" t="n"/>
      <c r="G179" s="14" t="n"/>
      <c r="H179" s="17" t="n"/>
      <c r="I179" s="37" t="n"/>
      <c r="J179" s="14" t="n"/>
    </row>
    <row r="180">
      <c r="A180" s="17" t="n"/>
      <c r="B180" s="14" t="n"/>
      <c r="C180" s="14" t="n"/>
      <c r="D180" s="14" t="n"/>
      <c r="E180" s="14" t="n"/>
      <c r="F180" s="15" t="n"/>
      <c r="G180" s="14" t="n"/>
      <c r="H180" s="17" t="n"/>
      <c r="I180" s="37" t="n"/>
      <c r="J180" s="14" t="n"/>
    </row>
    <row r="181">
      <c r="A181" s="17" t="n"/>
      <c r="B181" s="14" t="n"/>
      <c r="C181" s="14" t="n"/>
      <c r="D181" s="14" t="n"/>
      <c r="E181" s="14" t="n"/>
      <c r="F181" s="15" t="n"/>
      <c r="G181" s="14" t="n"/>
      <c r="H181" s="17" t="n"/>
      <c r="I181" s="37" t="n"/>
      <c r="J181" s="14" t="n"/>
    </row>
    <row r="182">
      <c r="A182" s="17" t="n"/>
      <c r="B182" s="14" t="n"/>
      <c r="C182" s="14" t="n"/>
      <c r="D182" s="14" t="n"/>
      <c r="E182" s="14" t="n"/>
      <c r="F182" s="15" t="n"/>
      <c r="G182" s="14" t="n"/>
      <c r="H182" s="17" t="n"/>
      <c r="I182" s="37" t="n"/>
      <c r="J182" s="14" t="n"/>
    </row>
    <row r="183">
      <c r="A183" s="17" t="n"/>
      <c r="B183" s="14" t="n"/>
      <c r="C183" s="14" t="n"/>
      <c r="D183" s="14" t="n"/>
      <c r="E183" s="14" t="n"/>
      <c r="F183" s="15" t="n"/>
      <c r="G183" s="14" t="n"/>
      <c r="H183" s="17" t="n"/>
      <c r="I183" s="37" t="n"/>
      <c r="J183" s="14" t="n"/>
    </row>
    <row r="184">
      <c r="A184" s="17" t="n"/>
      <c r="B184" s="14" t="n"/>
      <c r="C184" s="14" t="n"/>
      <c r="D184" s="14" t="n"/>
      <c r="E184" s="14" t="n"/>
      <c r="F184" s="15" t="n"/>
      <c r="G184" s="14" t="n"/>
      <c r="H184" s="17" t="n"/>
      <c r="I184" s="37" t="n"/>
      <c r="J184" s="14" t="n"/>
    </row>
    <row r="185">
      <c r="A185" s="17" t="n"/>
      <c r="B185" s="14" t="n"/>
      <c r="C185" s="14" t="n"/>
      <c r="D185" s="14" t="n"/>
      <c r="E185" s="14" t="n"/>
      <c r="F185" s="15" t="n"/>
      <c r="G185" s="14" t="n"/>
      <c r="H185" s="17" t="n"/>
      <c r="I185" s="37" t="n"/>
      <c r="J185" s="14" t="n"/>
    </row>
    <row r="186">
      <c r="A186" s="17" t="n"/>
      <c r="B186" s="14" t="n"/>
      <c r="C186" s="14" t="n"/>
      <c r="D186" s="14" t="n"/>
      <c r="E186" s="14" t="n"/>
      <c r="F186" s="15" t="n"/>
      <c r="G186" s="14" t="n"/>
      <c r="H186" s="17" t="n"/>
      <c r="I186" s="37" t="n"/>
      <c r="J186" s="14" t="n"/>
    </row>
    <row r="187">
      <c r="A187" s="17" t="n"/>
      <c r="B187" s="14" t="n"/>
      <c r="C187" s="14" t="n"/>
      <c r="D187" s="14" t="n"/>
      <c r="E187" s="14" t="n"/>
      <c r="F187" s="15" t="n"/>
      <c r="G187" s="14" t="n"/>
      <c r="H187" s="17" t="n"/>
      <c r="I187" s="37" t="n"/>
      <c r="J187" s="14" t="n"/>
    </row>
    <row r="188">
      <c r="A188" s="17" t="n"/>
      <c r="B188" s="14" t="n"/>
      <c r="C188" s="14" t="n"/>
      <c r="D188" s="14" t="n"/>
      <c r="E188" s="14" t="n"/>
      <c r="F188" s="15" t="n"/>
      <c r="G188" s="14" t="n"/>
      <c r="H188" s="17" t="n"/>
      <c r="I188" s="37" t="n"/>
      <c r="J188" s="14" t="n"/>
    </row>
    <row r="189">
      <c r="A189" s="17" t="n"/>
      <c r="B189" s="14" t="n"/>
      <c r="C189" s="14" t="n"/>
      <c r="D189" s="14" t="n"/>
      <c r="E189" s="14" t="n"/>
      <c r="F189" s="15" t="n"/>
      <c r="G189" s="14" t="n"/>
      <c r="H189" s="17" t="n"/>
      <c r="I189" s="37" t="n"/>
      <c r="J189" s="14" t="n"/>
    </row>
    <row r="190">
      <c r="A190" s="17" t="n"/>
      <c r="B190" s="14" t="n"/>
      <c r="C190" s="14" t="n"/>
      <c r="D190" s="14" t="n"/>
      <c r="E190" s="14" t="n"/>
      <c r="F190" s="15" t="n"/>
      <c r="G190" s="14" t="n"/>
      <c r="H190" s="17" t="n"/>
      <c r="I190" s="37" t="n"/>
      <c r="J190" s="14" t="n"/>
    </row>
    <row r="191">
      <c r="A191" s="17" t="n"/>
      <c r="B191" s="14" t="n"/>
      <c r="C191" s="14" t="n"/>
      <c r="D191" s="14" t="n"/>
      <c r="E191" s="14" t="n"/>
      <c r="F191" s="15" t="n"/>
      <c r="G191" s="14" t="n"/>
      <c r="H191" s="17" t="n"/>
      <c r="I191" s="37" t="n"/>
      <c r="J191" s="14" t="n"/>
    </row>
    <row r="192">
      <c r="A192" s="17" t="n"/>
      <c r="B192" s="14" t="n"/>
      <c r="C192" s="14" t="n"/>
      <c r="D192" s="14" t="n"/>
      <c r="E192" s="14" t="n"/>
      <c r="F192" s="15" t="n"/>
      <c r="G192" s="14" t="n"/>
      <c r="H192" s="17" t="n"/>
      <c r="I192" s="37" t="n"/>
      <c r="J192" s="14" t="n"/>
    </row>
    <row r="193">
      <c r="A193" s="17" t="n"/>
      <c r="B193" s="14" t="n"/>
      <c r="C193" s="14" t="n"/>
      <c r="D193" s="14" t="n"/>
      <c r="E193" s="14" t="n"/>
      <c r="F193" s="15" t="n"/>
      <c r="G193" s="14" t="n"/>
      <c r="H193" s="17" t="n"/>
      <c r="I193" s="37" t="n"/>
      <c r="J193" s="14" t="n"/>
    </row>
    <row r="194">
      <c r="A194" s="17" t="n"/>
      <c r="B194" s="14" t="n"/>
      <c r="C194" s="14" t="n"/>
      <c r="D194" s="14" t="n"/>
      <c r="E194" s="14" t="n"/>
      <c r="F194" s="15" t="n"/>
      <c r="G194" s="14" t="n"/>
      <c r="H194" s="17" t="n"/>
      <c r="I194" s="37" t="n"/>
      <c r="J194" s="14" t="n"/>
    </row>
    <row r="195">
      <c r="A195" s="17" t="n"/>
      <c r="B195" s="14" t="n"/>
      <c r="C195" s="14" t="n"/>
      <c r="D195" s="14" t="n"/>
      <c r="E195" s="14" t="n"/>
      <c r="F195" s="15" t="n"/>
      <c r="G195" s="14" t="n"/>
      <c r="H195" s="17" t="n"/>
      <c r="I195" s="37" t="n"/>
      <c r="J195" s="14" t="n"/>
    </row>
    <row r="196">
      <c r="A196" s="17" t="n"/>
      <c r="B196" s="14" t="n"/>
      <c r="C196" s="14" t="n"/>
      <c r="D196" s="14" t="n"/>
      <c r="E196" s="14" t="n"/>
      <c r="F196" s="15" t="n"/>
      <c r="G196" s="14" t="n"/>
      <c r="H196" s="17" t="n"/>
      <c r="I196" s="37" t="n"/>
      <c r="J196" s="14" t="n"/>
    </row>
    <row r="197">
      <c r="A197" s="17" t="n"/>
      <c r="B197" s="14" t="n"/>
      <c r="C197" s="14" t="n"/>
      <c r="D197" s="14" t="n"/>
      <c r="E197" s="14" t="n"/>
      <c r="F197" s="15" t="n"/>
      <c r="G197" s="14" t="n"/>
      <c r="H197" s="17" t="n"/>
      <c r="I197" s="37" t="n"/>
      <c r="J197" s="14" t="n"/>
    </row>
    <row r="198">
      <c r="A198" s="17" t="n"/>
      <c r="B198" s="14" t="n"/>
      <c r="C198" s="14" t="n"/>
      <c r="D198" s="14" t="n"/>
      <c r="E198" s="14" t="n"/>
      <c r="F198" s="15" t="n"/>
      <c r="G198" s="14" t="n"/>
      <c r="H198" s="17" t="n"/>
      <c r="I198" s="37" t="n"/>
      <c r="J198" s="14" t="n"/>
    </row>
    <row r="199">
      <c r="A199" s="17" t="n"/>
      <c r="B199" s="14" t="n"/>
      <c r="C199" s="14" t="n"/>
      <c r="D199" s="14" t="n"/>
      <c r="E199" s="14" t="n"/>
      <c r="F199" s="15" t="n"/>
      <c r="G199" s="14" t="n"/>
      <c r="H199" s="17" t="n"/>
      <c r="I199" s="37" t="n"/>
      <c r="J199" s="14" t="n"/>
    </row>
    <row r="200">
      <c r="A200" s="17" t="n"/>
      <c r="B200" s="14" t="n"/>
      <c r="C200" s="14" t="n"/>
      <c r="D200" s="14" t="n"/>
      <c r="E200" s="14" t="n"/>
      <c r="F200" s="15" t="n"/>
      <c r="G200" s="14" t="n"/>
      <c r="H200" s="17" t="n"/>
      <c r="I200" s="37" t="n"/>
      <c r="J200" s="14" t="n"/>
    </row>
    <row r="201">
      <c r="A201" s="17" t="n"/>
      <c r="B201" s="14" t="n"/>
      <c r="C201" s="14" t="n"/>
      <c r="D201" s="14" t="n"/>
      <c r="E201" s="14" t="n"/>
      <c r="F201" s="15" t="n"/>
      <c r="G201" s="14" t="n"/>
      <c r="H201" s="17" t="n"/>
      <c r="I201" s="37" t="n"/>
      <c r="J201" s="14" t="n"/>
    </row>
    <row r="202">
      <c r="A202" s="17" t="n"/>
      <c r="B202" s="14" t="n"/>
      <c r="C202" s="14" t="n"/>
      <c r="D202" s="14" t="n"/>
      <c r="E202" s="14" t="n"/>
      <c r="F202" s="15" t="n"/>
      <c r="G202" s="14" t="n"/>
      <c r="H202" s="17" t="n"/>
      <c r="I202" s="37" t="n"/>
      <c r="J202" s="14" t="n"/>
    </row>
    <row r="203">
      <c r="A203" s="17" t="n"/>
      <c r="B203" s="14" t="n"/>
      <c r="C203" s="14" t="n"/>
      <c r="D203" s="14" t="n"/>
      <c r="E203" s="14" t="n"/>
      <c r="F203" s="15" t="n"/>
      <c r="G203" s="14" t="n"/>
      <c r="H203" s="17" t="n"/>
      <c r="I203" s="37" t="n"/>
      <c r="J203" s="14" t="n"/>
    </row>
    <row r="204">
      <c r="A204" s="17" t="n"/>
      <c r="B204" s="14" t="n"/>
      <c r="C204" s="14" t="n"/>
      <c r="D204" s="14" t="n"/>
      <c r="E204" s="14" t="n"/>
      <c r="F204" s="15" t="n"/>
      <c r="G204" s="14" t="n"/>
      <c r="H204" s="17" t="n"/>
      <c r="I204" s="37" t="n"/>
      <c r="J204" s="14" t="n"/>
    </row>
    <row r="205">
      <c r="A205" s="17" t="n"/>
      <c r="B205" s="14" t="n"/>
      <c r="C205" s="14" t="n"/>
      <c r="D205" s="14" t="n"/>
      <c r="E205" s="14" t="n"/>
      <c r="F205" s="15" t="n"/>
      <c r="G205" s="14" t="n"/>
      <c r="H205" s="17" t="n"/>
      <c r="I205" s="37" t="n"/>
      <c r="J205" s="14" t="n"/>
    </row>
    <row r="206">
      <c r="A206" s="17" t="n"/>
      <c r="B206" s="14" t="n"/>
      <c r="C206" s="14" t="n"/>
      <c r="D206" s="14" t="n"/>
      <c r="E206" s="14" t="n"/>
      <c r="F206" s="15" t="n"/>
      <c r="G206" s="14" t="n"/>
      <c r="H206" s="17" t="n"/>
      <c r="I206" s="37" t="n"/>
      <c r="J206" s="14" t="n"/>
    </row>
    <row r="207">
      <c r="A207" s="17" t="n"/>
      <c r="B207" s="14" t="n"/>
      <c r="C207" s="14" t="n"/>
      <c r="D207" s="14" t="n"/>
      <c r="E207" s="14" t="n"/>
      <c r="F207" s="15" t="n"/>
      <c r="G207" s="14" t="n"/>
      <c r="H207" s="17" t="n"/>
      <c r="I207" s="37" t="n"/>
      <c r="J207" s="14" t="n"/>
    </row>
    <row r="208">
      <c r="A208" s="17" t="n"/>
      <c r="B208" s="14" t="n"/>
      <c r="C208" s="14" t="n"/>
      <c r="D208" s="14" t="n"/>
      <c r="E208" s="14" t="n"/>
      <c r="F208" s="15" t="n"/>
      <c r="G208" s="14" t="n"/>
      <c r="H208" s="17" t="n"/>
      <c r="I208" s="37" t="n"/>
      <c r="J208" s="14" t="n"/>
    </row>
    <row r="209">
      <c r="A209" s="17" t="n"/>
      <c r="B209" s="14" t="n"/>
      <c r="C209" s="14" t="n"/>
      <c r="D209" s="14" t="n"/>
      <c r="E209" s="14" t="n"/>
      <c r="F209" s="15" t="n"/>
      <c r="G209" s="14" t="n"/>
      <c r="H209" s="17" t="n"/>
      <c r="I209" s="37" t="n"/>
      <c r="J209" s="14" t="n"/>
    </row>
    <row r="210">
      <c r="A210" s="17" t="n"/>
      <c r="B210" s="14" t="n"/>
      <c r="C210" s="14" t="n"/>
      <c r="D210" s="14" t="n"/>
      <c r="E210" s="14" t="n"/>
      <c r="F210" s="15" t="n"/>
      <c r="G210" s="14" t="n"/>
      <c r="H210" s="17" t="n"/>
      <c r="I210" s="37" t="n"/>
      <c r="J210" s="14" t="n"/>
    </row>
    <row r="211">
      <c r="A211" s="17" t="n"/>
      <c r="B211" s="14" t="n"/>
      <c r="C211" s="14" t="n"/>
      <c r="D211" s="14" t="n"/>
      <c r="E211" s="14" t="n"/>
      <c r="F211" s="15" t="n"/>
      <c r="G211" s="14" t="n"/>
      <c r="H211" s="17" t="n"/>
      <c r="I211" s="37" t="n"/>
      <c r="J211" s="14" t="n"/>
    </row>
    <row r="212">
      <c r="A212" s="17" t="n"/>
      <c r="B212" s="14" t="n"/>
      <c r="C212" s="14" t="n"/>
      <c r="D212" s="14" t="n"/>
      <c r="E212" s="14" t="n"/>
      <c r="F212" s="15" t="n"/>
      <c r="G212" s="14" t="n"/>
      <c r="H212" s="17" t="n"/>
      <c r="I212" s="37" t="n"/>
      <c r="J212" s="14" t="n"/>
    </row>
    <row r="213">
      <c r="A213" s="17" t="n"/>
      <c r="B213" s="14" t="n"/>
      <c r="C213" s="14" t="n"/>
      <c r="D213" s="14" t="n"/>
      <c r="E213" s="14" t="n"/>
      <c r="F213" s="15" t="n"/>
      <c r="G213" s="14" t="n"/>
      <c r="H213" s="17" t="n"/>
      <c r="I213" s="37" t="n"/>
      <c r="J213" s="14" t="n"/>
    </row>
    <row r="214">
      <c r="A214" s="17" t="n"/>
      <c r="B214" s="14" t="n"/>
      <c r="C214" s="14" t="n"/>
      <c r="D214" s="14" t="n"/>
      <c r="E214" s="14" t="n"/>
      <c r="F214" s="15" t="n"/>
      <c r="G214" s="14" t="n"/>
      <c r="H214" s="17" t="n"/>
      <c r="I214" s="37" t="n"/>
      <c r="J214" s="14" t="n"/>
    </row>
    <row r="215">
      <c r="A215" s="17" t="n"/>
      <c r="B215" s="14" t="n"/>
      <c r="C215" s="14" t="n"/>
      <c r="D215" s="14" t="n"/>
      <c r="E215" s="14" t="n"/>
      <c r="F215" s="15" t="n"/>
      <c r="G215" s="14" t="n"/>
      <c r="H215" s="17" t="n"/>
      <c r="I215" s="37" t="n"/>
      <c r="J215" s="14" t="n"/>
    </row>
    <row r="216">
      <c r="A216" s="17" t="n"/>
      <c r="B216" s="14" t="n"/>
      <c r="C216" s="14" t="n"/>
      <c r="D216" s="14" t="n"/>
      <c r="E216" s="14" t="n"/>
      <c r="F216" s="15" t="n"/>
      <c r="G216" s="14" t="n"/>
      <c r="H216" s="17" t="n"/>
      <c r="I216" s="37" t="n"/>
      <c r="J216" s="14" t="n"/>
    </row>
    <row r="217">
      <c r="A217" s="17" t="n"/>
      <c r="B217" s="14" t="n"/>
      <c r="C217" s="14" t="n"/>
      <c r="D217" s="14" t="n"/>
      <c r="E217" s="14" t="n"/>
      <c r="F217" s="15" t="n"/>
      <c r="G217" s="14" t="n"/>
      <c r="H217" s="17" t="n"/>
      <c r="I217" s="37" t="n"/>
      <c r="J217" s="14" t="n"/>
    </row>
    <row r="218">
      <c r="A218" s="17" t="n"/>
      <c r="B218" s="14" t="n"/>
      <c r="C218" s="14" t="n"/>
      <c r="D218" s="14" t="n"/>
      <c r="E218" s="14" t="n"/>
      <c r="F218" s="15" t="n"/>
      <c r="G218" s="14" t="n"/>
      <c r="H218" s="17" t="n"/>
      <c r="I218" s="37" t="n"/>
      <c r="J218" s="14" t="n"/>
    </row>
    <row r="219">
      <c r="A219" s="17" t="n"/>
      <c r="B219" s="14" t="n"/>
      <c r="C219" s="14" t="n"/>
      <c r="D219" s="14" t="n"/>
      <c r="E219" s="14" t="n"/>
      <c r="F219" s="15" t="n"/>
      <c r="G219" s="14" t="n"/>
      <c r="H219" s="17" t="n"/>
      <c r="I219" s="37" t="n"/>
      <c r="J219" s="14" t="n"/>
    </row>
    <row r="220">
      <c r="A220" s="17" t="n"/>
      <c r="B220" s="14" t="n"/>
      <c r="C220" s="14" t="n"/>
      <c r="D220" s="14" t="n"/>
      <c r="E220" s="14" t="n"/>
      <c r="F220" s="15" t="n"/>
      <c r="G220" s="14" t="n"/>
      <c r="H220" s="17" t="n"/>
      <c r="I220" s="37" t="n"/>
      <c r="J220" s="14" t="n"/>
    </row>
    <row r="221">
      <c r="A221" s="17" t="n"/>
      <c r="B221" s="14" t="n"/>
      <c r="C221" s="14" t="n"/>
      <c r="D221" s="14" t="n"/>
      <c r="E221" s="14" t="n"/>
      <c r="F221" s="15" t="n"/>
      <c r="G221" s="14" t="n"/>
      <c r="H221" s="17" t="n"/>
      <c r="I221" s="37" t="n"/>
      <c r="J221" s="14" t="n"/>
    </row>
    <row r="222">
      <c r="A222" s="17" t="n"/>
      <c r="B222" s="14" t="n"/>
      <c r="C222" s="14" t="n"/>
      <c r="D222" s="14" t="n"/>
      <c r="E222" s="14" t="n"/>
      <c r="F222" s="15" t="n"/>
      <c r="G222" s="14" t="n"/>
      <c r="H222" s="17" t="n"/>
      <c r="I222" s="37" t="n"/>
      <c r="J222" s="14" t="n"/>
    </row>
    <row r="223">
      <c r="A223" s="17" t="n"/>
      <c r="B223" s="14" t="n"/>
      <c r="C223" s="14" t="n"/>
      <c r="D223" s="14" t="n"/>
      <c r="E223" s="14" t="n"/>
      <c r="F223" s="15" t="n"/>
      <c r="G223" s="14" t="n"/>
      <c r="H223" s="17" t="n"/>
      <c r="I223" s="37" t="n"/>
      <c r="J223" s="14" t="n"/>
    </row>
  </sheetData>
  <autoFilter ref="A23:J223"/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7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14" customWidth="1" min="4" max="4"/>
    <col width="34" customWidth="1" min="5" max="5"/>
    <col width="42" customWidth="1" min="6" max="6"/>
  </cols>
  <sheetData>
    <row r="1">
      <c r="A1" s="1" t="inlineStr">
        <is>
          <t>CIUDAD 1132 — Transferencias recibidas</t>
        </is>
      </c>
    </row>
    <row r="2">
      <c r="A2" s="30" t="inlineStr">
        <is>
          <t>Movimientos Mercado Pago «Transferencia recibida». No entra en el total de gastos de la hoja 2026.</t>
        </is>
      </c>
    </row>
    <row r="4">
      <c r="A4" s="31" t="inlineStr">
        <is>
          <t>Resumen por mes</t>
        </is>
      </c>
    </row>
    <row r="5">
      <c r="A5" s="34" t="inlineStr">
        <is>
          <t>Mes</t>
        </is>
      </c>
      <c r="B5" s="34" t="inlineStr">
        <is>
          <t>Total recibido</t>
        </is>
      </c>
    </row>
    <row r="6">
      <c r="A6" s="14" t="inlineStr">
        <is>
          <t>Enero</t>
        </is>
      </c>
      <c r="B6" s="15">
        <f>SUMIF($B$23:$B$52,A6,$D$23:$D$52)</f>
        <v/>
      </c>
    </row>
    <row r="7">
      <c r="A7" s="14" t="inlineStr">
        <is>
          <t>Febrero</t>
        </is>
      </c>
      <c r="B7" s="15">
        <f>SUMIF($B$23:$B$52,A7,$D$23:$D$52)</f>
        <v/>
      </c>
    </row>
    <row r="8">
      <c r="A8" s="14" t="inlineStr">
        <is>
          <t>Marzo</t>
        </is>
      </c>
      <c r="B8" s="15">
        <f>SUMIF($B$23:$B$52,A8,$D$23:$D$52)</f>
        <v/>
      </c>
    </row>
    <row r="9">
      <c r="A9" s="14" t="inlineStr">
        <is>
          <t>Abril</t>
        </is>
      </c>
      <c r="B9" s="15">
        <f>SUMIF($B$23:$B$52,A9,$D$23:$D$52)</f>
        <v/>
      </c>
    </row>
    <row r="10">
      <c r="A10" s="14" t="inlineStr">
        <is>
          <t>Mayo</t>
        </is>
      </c>
      <c r="B10" s="15">
        <f>SUMIF($B$23:$B$52,A10,$D$23:$D$52)</f>
        <v/>
      </c>
    </row>
    <row r="11">
      <c r="A11" s="14" t="inlineStr">
        <is>
          <t>Junio</t>
        </is>
      </c>
      <c r="B11" s="15">
        <f>SUMIF($B$23:$B$52,A11,$D$23:$D$52)</f>
        <v/>
      </c>
    </row>
    <row r="12">
      <c r="A12" s="14" t="inlineStr">
        <is>
          <t>Julio</t>
        </is>
      </c>
      <c r="B12" s="15">
        <f>SUMIF($B$23:$B$52,A12,$D$23:$D$52)</f>
        <v/>
      </c>
    </row>
    <row r="13">
      <c r="A13" s="14" t="inlineStr">
        <is>
          <t>Agosto</t>
        </is>
      </c>
      <c r="B13" s="15">
        <f>SUMIF($B$23:$B$52,A13,$D$23:$D$52)</f>
        <v/>
      </c>
    </row>
    <row r="14">
      <c r="A14" s="14" t="inlineStr">
        <is>
          <t>Septiembre</t>
        </is>
      </c>
      <c r="B14" s="15">
        <f>SUMIF($B$23:$B$52,A14,$D$23:$D$52)</f>
        <v/>
      </c>
    </row>
    <row r="15">
      <c r="A15" s="14" t="inlineStr">
        <is>
          <t>Octubre</t>
        </is>
      </c>
      <c r="B15" s="15">
        <f>SUMIF($B$23:$B$52,A15,$D$23:$D$52)</f>
        <v/>
      </c>
    </row>
    <row r="16">
      <c r="A16" s="14" t="inlineStr">
        <is>
          <t>Noviembre</t>
        </is>
      </c>
      <c r="B16" s="15">
        <f>SUMIF($B$23:$B$52,A16,$D$23:$D$52)</f>
        <v/>
      </c>
    </row>
    <row r="17">
      <c r="A17" s="14" t="inlineStr">
        <is>
          <t>Diciembre</t>
        </is>
      </c>
      <c r="B17" s="15">
        <f>SUMIF($B$23:$B$52,A17,$D$23:$D$52)</f>
        <v/>
      </c>
    </row>
    <row r="18">
      <c r="A18" s="38" t="inlineStr">
        <is>
          <t>TOTAL AÑO</t>
        </is>
      </c>
      <c r="B18" s="39">
        <f>SUM(B6:B17)</f>
        <v/>
      </c>
    </row>
    <row r="21">
      <c r="A21" s="31" t="inlineStr">
        <is>
          <t>Detalle</t>
        </is>
      </c>
    </row>
    <row r="22">
      <c r="A22" s="34" t="inlineStr">
        <is>
          <t>Fecha</t>
        </is>
      </c>
      <c r="B22" s="34" t="inlineStr">
        <is>
          <t>Mes</t>
        </is>
      </c>
      <c r="C22" s="34" t="inlineStr">
        <is>
          <t>Origen / concepto</t>
        </is>
      </c>
      <c r="D22" s="34" t="inlineStr">
        <is>
          <t>Monto</t>
        </is>
      </c>
      <c r="E22" s="34" t="inlineStr">
        <is>
          <t>Medio</t>
        </is>
      </c>
      <c r="F22" s="34" t="inlineStr">
        <is>
          <t>Comentario</t>
        </is>
      </c>
    </row>
    <row r="23">
      <c r="A23" s="43" t="n">
        <v>46030</v>
      </c>
      <c r="B23" s="14" t="inlineStr">
        <is>
          <t>Enero</t>
        </is>
      </c>
      <c r="C23" s="14" t="inlineStr">
        <is>
          <t>Maria Martinez</t>
        </is>
      </c>
      <c r="D23" s="15" t="n">
        <v>46300</v>
      </c>
      <c r="E23" s="14" t="inlineStr">
        <is>
          <t>Mercado Pago — Transferencia recibida</t>
        </is>
      </c>
      <c r="F23" s="14" t="inlineStr">
        <is>
          <t>settlement · ingreso recibido</t>
        </is>
      </c>
    </row>
    <row r="24">
      <c r="A24" s="43" t="n">
        <v>46030</v>
      </c>
      <c r="B24" s="14" t="inlineStr">
        <is>
          <t>Enero</t>
        </is>
      </c>
      <c r="C24" s="14" t="inlineStr">
        <is>
          <t>Florencia Ivana Risi</t>
        </is>
      </c>
      <c r="D24" s="15" t="n">
        <v>46300</v>
      </c>
      <c r="E24" s="14" t="inlineStr">
        <is>
          <t>Mercado Pago — Transferencia recibida</t>
        </is>
      </c>
      <c r="F24" s="14" t="inlineStr">
        <is>
          <t>settlement · ingreso recibido</t>
        </is>
      </c>
    </row>
    <row r="25">
      <c r="A25" s="43" t="n">
        <v>46030</v>
      </c>
      <c r="B25" s="14" t="inlineStr">
        <is>
          <t>Enero</t>
        </is>
      </c>
      <c r="C25" s="14" t="inlineStr">
        <is>
          <t>GR</t>
        </is>
      </c>
      <c r="D25" s="15" t="n">
        <v>46300</v>
      </c>
      <c r="E25" s="14" t="inlineStr">
        <is>
          <t>Mercado Pago — Transferencia recibida</t>
        </is>
      </c>
      <c r="F25" s="14" t="inlineStr">
        <is>
          <t>settlement · ingreso recibido</t>
        </is>
      </c>
    </row>
    <row r="26">
      <c r="A26" s="43" t="n">
        <v>46031</v>
      </c>
      <c r="B26" s="14" t="inlineStr">
        <is>
          <t>Enero</t>
        </is>
      </c>
      <c r="C26" s="14" t="inlineStr">
        <is>
          <t>Antonela</t>
        </is>
      </c>
      <c r="D26" s="15" t="n">
        <v>46300</v>
      </c>
      <c r="E26" s="14" t="inlineStr">
        <is>
          <t>Mercado Pago — Transferencia recibida</t>
        </is>
      </c>
      <c r="F26" s="14" t="inlineStr">
        <is>
          <t>settlement · ingreso recibido</t>
        </is>
      </c>
    </row>
    <row r="27">
      <c r="A27" s="43" t="n">
        <v>46031</v>
      </c>
      <c r="B27" s="14" t="inlineStr">
        <is>
          <t>Enero</t>
        </is>
      </c>
      <c r="C27" s="14" t="inlineStr">
        <is>
          <t>Lujan Paz</t>
        </is>
      </c>
      <c r="D27" s="15" t="n">
        <v>46300</v>
      </c>
      <c r="E27" s="14" t="inlineStr">
        <is>
          <t>Mercado Pago — Transferencia recibida</t>
        </is>
      </c>
      <c r="F27" s="14" t="inlineStr">
        <is>
          <t>settlement · ingreso recibido</t>
        </is>
      </c>
    </row>
    <row r="28">
      <c r="A28" s="43" t="n">
        <v>46108</v>
      </c>
      <c r="B28" s="14" t="inlineStr">
        <is>
          <t>Marzo</t>
        </is>
      </c>
      <c r="C28" s="14" t="inlineStr">
        <is>
          <t>Trade in mla   Prod</t>
        </is>
      </c>
      <c r="D28" s="15" t="n">
        <v>408100</v>
      </c>
      <c r="E28" s="14" t="inlineStr">
        <is>
          <t>Mercado Pago — Transferencia recibida</t>
        </is>
      </c>
      <c r="F28" s="14" t="inlineStr">
        <is>
          <t>settlement · ingreso recibido</t>
        </is>
      </c>
    </row>
    <row r="29">
      <c r="A29" s="43" t="n">
        <v>46130</v>
      </c>
      <c r="B29" s="14" t="inlineStr">
        <is>
          <t>Abril</t>
        </is>
      </c>
      <c r="C29" s="14" t="inlineStr">
        <is>
          <t>Lujan Paz</t>
        </is>
      </c>
      <c r="D29" s="15" t="n">
        <v>39000</v>
      </c>
      <c r="E29" s="14" t="inlineStr">
        <is>
          <t>Mercado Pago — Transferencia recibida</t>
        </is>
      </c>
      <c r="F29" s="14" t="inlineStr">
        <is>
          <t>settlement · ingreso recibido</t>
        </is>
      </c>
    </row>
    <row r="30">
      <c r="A30" s="43" t="n">
        <v>46130</v>
      </c>
      <c r="B30" s="14" t="inlineStr">
        <is>
          <t>Abril</t>
        </is>
      </c>
      <c r="C30" s="14" t="inlineStr">
        <is>
          <t>Ana</t>
        </is>
      </c>
      <c r="D30" s="15" t="n">
        <v>39000</v>
      </c>
      <c r="E30" s="14" t="inlineStr">
        <is>
          <t>Mercado Pago — Transferencia recibida</t>
        </is>
      </c>
      <c r="F30" s="14" t="inlineStr">
        <is>
          <t>settlement · ingreso recibido</t>
        </is>
      </c>
    </row>
    <row r="31">
      <c r="A31" s="43" t="n">
        <v>46130</v>
      </c>
      <c r="B31" s="14" t="inlineStr">
        <is>
          <t>Abril</t>
        </is>
      </c>
      <c r="C31" s="14" t="inlineStr">
        <is>
          <t>Antonela</t>
        </is>
      </c>
      <c r="D31" s="15" t="n">
        <v>39000</v>
      </c>
      <c r="E31" s="14" t="inlineStr">
        <is>
          <t>Mercado Pago — Transferencia recibida</t>
        </is>
      </c>
      <c r="F31" s="14" t="inlineStr">
        <is>
          <t>settlement · ingreso recibido</t>
        </is>
      </c>
    </row>
    <row r="32">
      <c r="A32" s="43" t="n">
        <v>46130</v>
      </c>
      <c r="B32" s="14" t="inlineStr">
        <is>
          <t>Abril</t>
        </is>
      </c>
      <c r="C32" s="14" t="inlineStr">
        <is>
          <t>Maria Martinez</t>
        </is>
      </c>
      <c r="D32" s="15" t="n">
        <v>39000</v>
      </c>
      <c r="E32" s="14" t="inlineStr">
        <is>
          <t>Mercado Pago — Transferencia recibida</t>
        </is>
      </c>
      <c r="F32" s="14" t="inlineStr">
        <is>
          <t>settlement · ingreso recibido</t>
        </is>
      </c>
    </row>
    <row r="33">
      <c r="A33" s="43" t="n">
        <v>46140</v>
      </c>
      <c r="B33" s="14" t="inlineStr">
        <is>
          <t>Abril</t>
        </is>
      </c>
      <c r="C33" s="14" t="inlineStr">
        <is>
          <t>Maria Florencia Colombo</t>
        </is>
      </c>
      <c r="D33" s="15" t="n">
        <v>34000</v>
      </c>
      <c r="E33" s="14" t="inlineStr">
        <is>
          <t>Mercado Pago — Transferencia recibida</t>
        </is>
      </c>
      <c r="F33" s="14" t="inlineStr">
        <is>
          <t>settlement · ingreso recibido</t>
        </is>
      </c>
    </row>
    <row r="34">
      <c r="A34" s="43" t="n">
        <v>46140</v>
      </c>
      <c r="B34" s="14" t="inlineStr">
        <is>
          <t>Abril</t>
        </is>
      </c>
      <c r="C34" s="14" t="inlineStr">
        <is>
          <t>Maria Martinez</t>
        </is>
      </c>
      <c r="D34" s="15" t="n">
        <v>34900</v>
      </c>
      <c r="E34" s="14" t="inlineStr">
        <is>
          <t>Mercado Pago — Transferencia recibida</t>
        </is>
      </c>
      <c r="F34" s="14" t="inlineStr">
        <is>
          <t>settlement · ingreso recibido</t>
        </is>
      </c>
    </row>
    <row r="35">
      <c r="A35" s="43" t="n">
        <v>46140</v>
      </c>
      <c r="B35" s="14" t="inlineStr">
        <is>
          <t>Abril</t>
        </is>
      </c>
      <c r="C35" s="14" t="inlineStr">
        <is>
          <t>Nico arias</t>
        </is>
      </c>
      <c r="D35" s="15" t="n">
        <v>34000</v>
      </c>
      <c r="E35" s="14" t="inlineStr">
        <is>
          <t>Mercado Pago — Transferencia recibida</t>
        </is>
      </c>
      <c r="F35" s="14" t="inlineStr">
        <is>
          <t>settlement · ingreso recibido</t>
        </is>
      </c>
    </row>
    <row r="36">
      <c r="A36" s="43" t="n">
        <v>46140</v>
      </c>
      <c r="B36" s="14" t="inlineStr">
        <is>
          <t>Abril</t>
        </is>
      </c>
      <c r="C36" s="14" t="inlineStr">
        <is>
          <t>Lucas Rial Antelo</t>
        </is>
      </c>
      <c r="D36" s="15" t="n">
        <v>34000</v>
      </c>
      <c r="E36" s="14" t="inlineStr">
        <is>
          <t>Mercado Pago — Transferencia recibida</t>
        </is>
      </c>
      <c r="F36" s="14" t="inlineStr">
        <is>
          <t>settlement · ingreso recibido</t>
        </is>
      </c>
    </row>
    <row r="37">
      <c r="A37" s="43" t="n">
        <v>46140</v>
      </c>
      <c r="B37" s="14" t="inlineStr">
        <is>
          <t>Abril</t>
        </is>
      </c>
      <c r="C37" s="14" t="inlineStr">
        <is>
          <t>Ferpoiman</t>
        </is>
      </c>
      <c r="D37" s="15" t="n">
        <v>34000</v>
      </c>
      <c r="E37" s="14" t="inlineStr">
        <is>
          <t>Mercado Pago — Transferencia recibida</t>
        </is>
      </c>
      <c r="F37" s="14" t="inlineStr">
        <is>
          <t>settlement · ingreso recibido</t>
        </is>
      </c>
    </row>
    <row r="38">
      <c r="A38" s="43" t="n">
        <v>46140</v>
      </c>
      <c r="B38" s="14" t="inlineStr">
        <is>
          <t>Abril</t>
        </is>
      </c>
      <c r="C38" s="14" t="inlineStr">
        <is>
          <t>MAXIMILIANO RAUL GONZALEZ</t>
        </is>
      </c>
      <c r="D38" s="15" t="n">
        <v>34000</v>
      </c>
      <c r="E38" s="14" t="inlineStr">
        <is>
          <t>Mercado Pago — Transferencia recibida</t>
        </is>
      </c>
      <c r="F38" s="14" t="inlineStr">
        <is>
          <t>settlement · ingreso recibido</t>
        </is>
      </c>
    </row>
    <row r="39">
      <c r="A39" s="43" t="n">
        <v>46144</v>
      </c>
      <c r="B39" s="14" t="inlineStr">
        <is>
          <t>Mayo</t>
        </is>
      </c>
      <c r="C39" s="14" t="inlineStr">
        <is>
          <t>Tamara Ginesin</t>
        </is>
      </c>
      <c r="D39" s="15" t="n">
        <v>3000</v>
      </c>
      <c r="E39" s="14" t="inlineStr">
        <is>
          <t>Mercado Pago — Transferencia recibida</t>
        </is>
      </c>
      <c r="F39" s="14" t="inlineStr">
        <is>
          <t>recibida · hoja Transferencias recibidas (no gasto)</t>
        </is>
      </c>
    </row>
    <row r="40">
      <c r="A40" s="43" t="n">
        <v>46150</v>
      </c>
      <c r="B40" s="14" t="inlineStr">
        <is>
          <t>Mayo</t>
        </is>
      </c>
      <c r="C40" s="14" t="inlineStr">
        <is>
          <t>Ana Magariños</t>
        </is>
      </c>
      <c r="D40" s="15" t="n">
        <v>5000</v>
      </c>
      <c r="E40" s="14" t="inlineStr">
        <is>
          <t>Mercado Pago — Transferencia recibida</t>
        </is>
      </c>
      <c r="F40" s="14" t="inlineStr">
        <is>
          <t>recibida · hoja Transferencias recibidas (no gasto)</t>
        </is>
      </c>
    </row>
    <row r="41">
      <c r="A41" s="43" t="n">
        <v>46153</v>
      </c>
      <c r="B41" s="14" t="inlineStr">
        <is>
          <t>Mayo</t>
        </is>
      </c>
      <c r="C41" s="14" t="inlineStr">
        <is>
          <t>Mercado Libre</t>
        </is>
      </c>
      <c r="D41" s="15" t="n">
        <v>4699990</v>
      </c>
      <c r="E41" s="14" t="inlineStr">
        <is>
          <t>Mercado Pago — Transferencia recibida</t>
        </is>
      </c>
      <c r="F41" s="14" t="inlineStr">
        <is>
          <t>reintegro ML · hoja Transferencias recibidas (no gasto)</t>
        </is>
      </c>
    </row>
    <row r="42">
      <c r="A42" s="43" t="n">
        <v>46200</v>
      </c>
      <c r="B42" s="14" t="inlineStr">
        <is>
          <t>Junio</t>
        </is>
      </c>
      <c r="C42" s="14" t="inlineStr">
        <is>
          <t>Carlos Farinella</t>
        </is>
      </c>
      <c r="D42" s="15" t="n">
        <v>110000</v>
      </c>
      <c r="E42" s="14" t="inlineStr">
        <is>
          <t>Mercado Pago — Transferencia recibida</t>
        </is>
      </c>
      <c r="F42" s="14" t="inlineStr">
        <is>
          <t>recibida · hoja Transferencias recibidas (no gasto)</t>
        </is>
      </c>
    </row>
    <row r="43">
      <c r="A43" s="43" t="n">
        <v>46212</v>
      </c>
      <c r="B43" s="14" t="inlineStr">
        <is>
          <t>Julio</t>
        </is>
      </c>
      <c r="C43" s="14" t="inlineStr">
        <is>
          <t>Carlos Farinella</t>
        </is>
      </c>
      <c r="D43" s="15" t="n">
        <v>80000</v>
      </c>
      <c r="E43" s="14" t="inlineStr">
        <is>
          <t>Mercado Pago — Transferencia recibida</t>
        </is>
      </c>
      <c r="F43" s="14" t="inlineStr">
        <is>
          <t>recibida · hoja Transferencias recibidas (no gasto)</t>
        </is>
      </c>
    </row>
    <row r="44">
      <c r="A44" s="17" t="n"/>
      <c r="B44" s="14" t="n"/>
      <c r="C44" s="14" t="n"/>
      <c r="D44" s="15" t="n"/>
      <c r="E44" s="14" t="n"/>
      <c r="F44" s="14" t="n"/>
    </row>
    <row r="45">
      <c r="A45" s="17" t="n"/>
      <c r="B45" s="14" t="n"/>
      <c r="C45" s="14" t="n"/>
      <c r="D45" s="15" t="n"/>
      <c r="E45" s="14" t="n"/>
      <c r="F45" s="14" t="n"/>
    </row>
    <row r="46">
      <c r="A46" s="17" t="n"/>
      <c r="B46" s="14" t="n"/>
      <c r="C46" s="14" t="n"/>
      <c r="D46" s="15" t="n"/>
      <c r="E46" s="14" t="n"/>
      <c r="F46" s="14" t="n"/>
    </row>
    <row r="47">
      <c r="A47" s="17" t="n"/>
      <c r="B47" s="14" t="n"/>
      <c r="C47" s="14" t="n"/>
      <c r="D47" s="15" t="n"/>
      <c r="E47" s="14" t="n"/>
      <c r="F47" s="14" t="n"/>
    </row>
    <row r="48">
      <c r="A48" s="17" t="n"/>
      <c r="B48" s="14" t="n"/>
      <c r="C48" s="14" t="n"/>
      <c r="D48" s="15" t="n"/>
      <c r="E48" s="14" t="n"/>
      <c r="F48" s="14" t="n"/>
    </row>
    <row r="49">
      <c r="A49" s="17" t="n"/>
      <c r="B49" s="14" t="n"/>
      <c r="C49" s="14" t="n"/>
      <c r="D49" s="15" t="n"/>
      <c r="E49" s="14" t="n"/>
      <c r="F49" s="14" t="n"/>
    </row>
    <row r="50">
      <c r="A50" s="17" t="n"/>
      <c r="B50" s="14" t="n"/>
      <c r="C50" s="14" t="n"/>
      <c r="D50" s="15" t="n"/>
      <c r="E50" s="14" t="n"/>
      <c r="F50" s="14" t="n"/>
    </row>
    <row r="51">
      <c r="A51" s="17" t="n"/>
      <c r="B51" s="14" t="n"/>
      <c r="C51" s="14" t="n"/>
      <c r="D51" s="15" t="n"/>
      <c r="E51" s="14" t="n"/>
      <c r="F51" s="14" t="n"/>
    </row>
    <row r="52">
      <c r="A52" s="17" t="n"/>
      <c r="B52" s="14" t="n"/>
      <c r="C52" s="14" t="n"/>
      <c r="D52" s="15" t="n"/>
      <c r="E52" s="14" t="n"/>
      <c r="F52" s="14" t="n"/>
    </row>
    <row r="53">
      <c r="A53" s="17" t="n"/>
      <c r="B53" s="14" t="n"/>
      <c r="C53" s="14" t="n"/>
      <c r="D53" s="15" t="n"/>
      <c r="E53" s="14" t="n"/>
      <c r="F53" s="14" t="n"/>
    </row>
    <row r="54">
      <c r="A54" s="17" t="n"/>
      <c r="B54" s="14" t="n"/>
      <c r="C54" s="14" t="n"/>
      <c r="D54" s="15" t="n"/>
      <c r="E54" s="14" t="n"/>
      <c r="F54" s="14" t="n"/>
    </row>
    <row r="55">
      <c r="A55" s="17" t="n"/>
      <c r="B55" s="14" t="n"/>
      <c r="C55" s="14" t="n"/>
      <c r="D55" s="15" t="n"/>
      <c r="E55" s="14" t="n"/>
      <c r="F55" s="14" t="n"/>
    </row>
    <row r="56">
      <c r="A56" s="17" t="n"/>
      <c r="B56" s="14" t="n"/>
      <c r="C56" s="14" t="n"/>
      <c r="D56" s="15" t="n"/>
      <c r="E56" s="14" t="n"/>
      <c r="F56" s="14" t="n"/>
    </row>
    <row r="57">
      <c r="A57" s="17" t="n"/>
      <c r="B57" s="14" t="n"/>
      <c r="C57" s="14" t="n"/>
      <c r="D57" s="15" t="n"/>
      <c r="E57" s="14" t="n"/>
      <c r="F57" s="14" t="n"/>
    </row>
    <row r="58">
      <c r="A58" s="17" t="n"/>
      <c r="B58" s="14" t="n"/>
      <c r="C58" s="14" t="n"/>
      <c r="D58" s="15" t="n"/>
      <c r="E58" s="14" t="n"/>
      <c r="F58" s="14" t="n"/>
    </row>
    <row r="59">
      <c r="A59" s="17" t="n"/>
      <c r="B59" s="14" t="n"/>
      <c r="C59" s="14" t="n"/>
      <c r="D59" s="15" t="n"/>
      <c r="E59" s="14" t="n"/>
      <c r="F59" s="14" t="n"/>
    </row>
    <row r="60">
      <c r="A60" s="17" t="n"/>
      <c r="B60" s="14" t="n"/>
      <c r="C60" s="14" t="n"/>
      <c r="D60" s="15" t="n"/>
      <c r="E60" s="14" t="n"/>
      <c r="F60" s="14" t="n"/>
    </row>
    <row r="61">
      <c r="A61" s="17" t="n"/>
      <c r="B61" s="14" t="n"/>
      <c r="C61" s="14" t="n"/>
      <c r="D61" s="15" t="n"/>
      <c r="E61" s="14" t="n"/>
      <c r="F61" s="14" t="n"/>
    </row>
    <row r="62">
      <c r="A62" s="17" t="n"/>
      <c r="B62" s="14" t="n"/>
      <c r="C62" s="14" t="n"/>
      <c r="D62" s="15" t="n"/>
      <c r="E62" s="14" t="n"/>
      <c r="F62" s="14" t="n"/>
    </row>
    <row r="63">
      <c r="A63" s="17" t="n"/>
      <c r="B63" s="14" t="n"/>
      <c r="C63" s="14" t="n"/>
      <c r="D63" s="15" t="n"/>
      <c r="E63" s="14" t="n"/>
      <c r="F63" s="14" t="n"/>
    </row>
    <row r="64">
      <c r="A64" s="17" t="n"/>
      <c r="B64" s="14" t="n"/>
      <c r="C64" s="14" t="n"/>
      <c r="D64" s="15" t="n"/>
      <c r="E64" s="14" t="n"/>
      <c r="F64" s="14" t="n"/>
    </row>
    <row r="65">
      <c r="A65" s="17" t="n"/>
      <c r="B65" s="14" t="n"/>
      <c r="C65" s="14" t="n"/>
      <c r="D65" s="15" t="n"/>
      <c r="E65" s="14" t="n"/>
      <c r="F65" s="14" t="n"/>
    </row>
    <row r="66">
      <c r="A66" s="17" t="n"/>
      <c r="B66" s="14" t="n"/>
      <c r="C66" s="14" t="n"/>
      <c r="D66" s="15" t="n"/>
      <c r="E66" s="14" t="n"/>
      <c r="F66" s="14" t="n"/>
    </row>
    <row r="67">
      <c r="A67" s="17" t="n"/>
      <c r="B67" s="14" t="n"/>
      <c r="C67" s="14" t="n"/>
      <c r="D67" s="15" t="n"/>
      <c r="E67" s="14" t="n"/>
      <c r="F67" s="14" t="n"/>
    </row>
    <row r="68">
      <c r="A68" s="17" t="n"/>
      <c r="B68" s="14" t="n"/>
      <c r="C68" s="14" t="n"/>
      <c r="D68" s="15" t="n"/>
      <c r="E68" s="14" t="n"/>
      <c r="F68" s="14" t="n"/>
    </row>
    <row r="69">
      <c r="A69" s="17" t="n"/>
      <c r="B69" s="14" t="n"/>
      <c r="C69" s="14" t="n"/>
      <c r="D69" s="15" t="n"/>
      <c r="E69" s="14" t="n"/>
      <c r="F69" s="14" t="n"/>
    </row>
    <row r="70">
      <c r="A70" s="17" t="n"/>
      <c r="B70" s="14" t="n"/>
      <c r="C70" s="14" t="n"/>
      <c r="D70" s="15" t="n"/>
      <c r="E70" s="14" t="n"/>
      <c r="F70" s="14" t="n"/>
    </row>
    <row r="71">
      <c r="A71" s="17" t="n"/>
      <c r="B71" s="14" t="n"/>
      <c r="C71" s="14" t="n"/>
      <c r="D71" s="15" t="n"/>
      <c r="E71" s="14" t="n"/>
      <c r="F71" s="14" t="n"/>
    </row>
    <row r="72">
      <c r="A72" s="17" t="n"/>
      <c r="B72" s="14" t="n"/>
      <c r="C72" s="14" t="n"/>
      <c r="D72" s="15" t="n"/>
      <c r="E72" s="14" t="n"/>
      <c r="F72" s="14" t="n"/>
    </row>
    <row r="73">
      <c r="A73" s="17" t="n"/>
      <c r="B73" s="14" t="n"/>
      <c r="C73" s="14" t="n"/>
      <c r="D73" s="15" t="n"/>
      <c r="E73" s="14" t="n"/>
      <c r="F73" s="14" t="n"/>
    </row>
    <row r="74">
      <c r="A74" s="17" t="n"/>
      <c r="B74" s="14" t="n"/>
      <c r="C74" s="14" t="n"/>
      <c r="D74" s="15" t="n"/>
      <c r="E74" s="14" t="n"/>
      <c r="F74" s="14" t="n"/>
    </row>
    <row r="75">
      <c r="A75" s="17" t="n"/>
      <c r="B75" s="14" t="n"/>
      <c r="C75" s="14" t="n"/>
      <c r="D75" s="15" t="n"/>
      <c r="E75" s="14" t="n"/>
      <c r="F75" s="14" t="n"/>
    </row>
    <row r="76">
      <c r="A76" s="17" t="n"/>
      <c r="B76" s="14" t="n"/>
      <c r="C76" s="14" t="n"/>
      <c r="D76" s="15" t="n"/>
      <c r="E76" s="14" t="n"/>
      <c r="F76" s="14" t="n"/>
    </row>
    <row r="77">
      <c r="A77" s="17" t="n"/>
      <c r="B77" s="14" t="n"/>
      <c r="C77" s="14" t="n"/>
      <c r="D77" s="15" t="n"/>
      <c r="E77" s="14" t="n"/>
      <c r="F77" s="14" t="n"/>
    </row>
    <row r="78">
      <c r="A78" s="17" t="n"/>
      <c r="B78" s="14" t="n"/>
      <c r="C78" s="14" t="n"/>
      <c r="D78" s="15" t="n"/>
      <c r="E78" s="14" t="n"/>
      <c r="F78" s="14" t="n"/>
    </row>
    <row r="79">
      <c r="A79" s="17" t="n"/>
      <c r="B79" s="14" t="n"/>
      <c r="C79" s="14" t="n"/>
      <c r="D79" s="15" t="n"/>
      <c r="E79" s="14" t="n"/>
      <c r="F79" s="14" t="n"/>
    </row>
    <row r="80">
      <c r="A80" s="17" t="n"/>
      <c r="B80" s="14" t="n"/>
      <c r="C80" s="14" t="n"/>
      <c r="D80" s="15" t="n"/>
      <c r="E80" s="14" t="n"/>
      <c r="F80" s="14" t="n"/>
    </row>
    <row r="81">
      <c r="A81" s="17" t="n"/>
      <c r="B81" s="14" t="n"/>
      <c r="C81" s="14" t="n"/>
      <c r="D81" s="15" t="n"/>
      <c r="E81" s="14" t="n"/>
      <c r="F81" s="14" t="n"/>
    </row>
    <row r="82">
      <c r="A82" s="17" t="n"/>
      <c r="B82" s="14" t="n"/>
      <c r="C82" s="14" t="n"/>
      <c r="D82" s="15" t="n"/>
      <c r="E82" s="14" t="n"/>
      <c r="F82" s="14" t="n"/>
    </row>
    <row r="83">
      <c r="A83" s="17" t="n"/>
      <c r="B83" s="14" t="n"/>
      <c r="C83" s="14" t="n"/>
      <c r="D83" s="15" t="n"/>
      <c r="E83" s="14" t="n"/>
      <c r="F83" s="14" t="n"/>
    </row>
    <row r="84">
      <c r="A84" s="17" t="n"/>
      <c r="B84" s="14" t="n"/>
      <c r="C84" s="14" t="n"/>
      <c r="D84" s="15" t="n"/>
      <c r="E84" s="14" t="n"/>
      <c r="F84" s="14" t="n"/>
    </row>
    <row r="85">
      <c r="A85" s="17" t="n"/>
      <c r="B85" s="14" t="n"/>
      <c r="C85" s="14" t="n"/>
      <c r="D85" s="15" t="n"/>
      <c r="E85" s="14" t="n"/>
      <c r="F85" s="14" t="n"/>
    </row>
    <row r="86">
      <c r="A86" s="17" t="n"/>
      <c r="B86" s="14" t="n"/>
      <c r="C86" s="14" t="n"/>
      <c r="D86" s="15" t="n"/>
      <c r="E86" s="14" t="n"/>
      <c r="F86" s="14" t="n"/>
    </row>
    <row r="87">
      <c r="A87" s="17" t="n"/>
      <c r="B87" s="14" t="n"/>
      <c r="C87" s="14" t="n"/>
      <c r="D87" s="15" t="n"/>
      <c r="E87" s="14" t="n"/>
      <c r="F87" s="14" t="n"/>
    </row>
    <row r="88">
      <c r="A88" s="17" t="n"/>
      <c r="B88" s="14" t="n"/>
      <c r="C88" s="14" t="n"/>
      <c r="D88" s="15" t="n"/>
      <c r="E88" s="14" t="n"/>
      <c r="F88" s="14" t="n"/>
    </row>
    <row r="89">
      <c r="A89" s="17" t="n"/>
      <c r="B89" s="14" t="n"/>
      <c r="C89" s="14" t="n"/>
      <c r="D89" s="15" t="n"/>
      <c r="E89" s="14" t="n"/>
      <c r="F89" s="14" t="n"/>
    </row>
    <row r="90">
      <c r="A90" s="17" t="n"/>
      <c r="B90" s="14" t="n"/>
      <c r="C90" s="14" t="n"/>
      <c r="D90" s="15" t="n"/>
      <c r="E90" s="14" t="n"/>
      <c r="F90" s="14" t="n"/>
    </row>
    <row r="91">
      <c r="A91" s="17" t="n"/>
      <c r="B91" s="14" t="n"/>
      <c r="C91" s="14" t="n"/>
      <c r="D91" s="15" t="n"/>
      <c r="E91" s="14" t="n"/>
      <c r="F91" s="14" t="n"/>
    </row>
    <row r="92">
      <c r="A92" s="17" t="n"/>
      <c r="B92" s="14" t="n"/>
      <c r="C92" s="14" t="n"/>
      <c r="D92" s="15" t="n"/>
      <c r="E92" s="14" t="n"/>
      <c r="F92" s="14" t="n"/>
    </row>
    <row r="93">
      <c r="A93" s="17" t="n"/>
      <c r="B93" s="14" t="n"/>
      <c r="C93" s="14" t="n"/>
      <c r="D93" s="15" t="n"/>
      <c r="E93" s="14" t="n"/>
      <c r="F93" s="14" t="n"/>
    </row>
    <row r="94">
      <c r="A94" s="17" t="n"/>
      <c r="B94" s="14" t="n"/>
      <c r="C94" s="14" t="n"/>
      <c r="D94" s="15" t="n"/>
      <c r="E94" s="14" t="n"/>
      <c r="F94" s="14" t="n"/>
    </row>
    <row r="95">
      <c r="A95" s="17" t="n"/>
      <c r="B95" s="14" t="n"/>
      <c r="C95" s="14" t="n"/>
      <c r="D95" s="15" t="n"/>
      <c r="E95" s="14" t="n"/>
      <c r="F95" s="14" t="n"/>
    </row>
    <row r="96">
      <c r="A96" s="17" t="n"/>
      <c r="B96" s="14" t="n"/>
      <c r="C96" s="14" t="n"/>
      <c r="D96" s="15" t="n"/>
      <c r="E96" s="14" t="n"/>
      <c r="F96" s="14" t="n"/>
    </row>
    <row r="97">
      <c r="A97" s="17" t="n"/>
      <c r="B97" s="14" t="n"/>
      <c r="C97" s="14" t="n"/>
      <c r="D97" s="15" t="n"/>
      <c r="E97" s="14" t="n"/>
      <c r="F97" s="14" t="n"/>
    </row>
    <row r="98">
      <c r="A98" s="17" t="n"/>
      <c r="B98" s="14" t="n"/>
      <c r="C98" s="14" t="n"/>
      <c r="D98" s="15" t="n"/>
      <c r="E98" s="14" t="n"/>
      <c r="F98" s="14" t="n"/>
    </row>
    <row r="99">
      <c r="A99" s="17" t="n"/>
      <c r="B99" s="14" t="n"/>
      <c r="C99" s="14" t="n"/>
      <c r="D99" s="15" t="n"/>
      <c r="E99" s="14" t="n"/>
      <c r="F99" s="14" t="n"/>
    </row>
    <row r="100">
      <c r="A100" s="17" t="n"/>
      <c r="B100" s="14" t="n"/>
      <c r="C100" s="14" t="n"/>
      <c r="D100" s="15" t="n"/>
      <c r="E100" s="14" t="n"/>
      <c r="F100" s="14" t="n"/>
    </row>
    <row r="101">
      <c r="A101" s="17" t="n"/>
      <c r="B101" s="14" t="n"/>
      <c r="C101" s="14" t="n"/>
      <c r="D101" s="15" t="n"/>
      <c r="E101" s="14" t="n"/>
      <c r="F101" s="14" t="n"/>
    </row>
    <row r="102">
      <c r="A102" s="17" t="n"/>
      <c r="B102" s="14" t="n"/>
      <c r="C102" s="14" t="n"/>
      <c r="D102" s="15" t="n"/>
      <c r="E102" s="14" t="n"/>
      <c r="F102" s="14" t="n"/>
    </row>
    <row r="103">
      <c r="A103" s="17" t="n"/>
      <c r="B103" s="14" t="n"/>
      <c r="C103" s="14" t="n"/>
      <c r="D103" s="15" t="n"/>
      <c r="E103" s="14" t="n"/>
      <c r="F103" s="14" t="n"/>
    </row>
    <row r="104">
      <c r="A104" s="17" t="n"/>
      <c r="B104" s="14" t="n"/>
      <c r="C104" s="14" t="n"/>
      <c r="D104" s="15" t="n"/>
      <c r="E104" s="14" t="n"/>
      <c r="F104" s="14" t="n"/>
    </row>
    <row r="105">
      <c r="A105" s="17" t="n"/>
      <c r="B105" s="14" t="n"/>
      <c r="C105" s="14" t="n"/>
      <c r="D105" s="15" t="n"/>
      <c r="E105" s="14" t="n"/>
      <c r="F105" s="14" t="n"/>
    </row>
    <row r="106">
      <c r="A106" s="17" t="n"/>
      <c r="B106" s="14" t="n"/>
      <c r="C106" s="14" t="n"/>
      <c r="D106" s="15" t="n"/>
      <c r="E106" s="14" t="n"/>
      <c r="F106" s="14" t="n"/>
    </row>
    <row r="107">
      <c r="A107" s="17" t="n"/>
      <c r="B107" s="14" t="n"/>
      <c r="C107" s="14" t="n"/>
      <c r="D107" s="15" t="n"/>
      <c r="E107" s="14" t="n"/>
      <c r="F107" s="14" t="n"/>
    </row>
    <row r="108">
      <c r="A108" s="17" t="n"/>
      <c r="B108" s="14" t="n"/>
      <c r="C108" s="14" t="n"/>
      <c r="D108" s="15" t="n"/>
      <c r="E108" s="14" t="n"/>
      <c r="F108" s="14" t="n"/>
    </row>
    <row r="109">
      <c r="A109" s="17" t="n"/>
      <c r="B109" s="14" t="n"/>
      <c r="C109" s="14" t="n"/>
      <c r="D109" s="15" t="n"/>
      <c r="E109" s="14" t="n"/>
      <c r="F109" s="14" t="n"/>
    </row>
    <row r="110">
      <c r="A110" s="17" t="n"/>
      <c r="B110" s="14" t="n"/>
      <c r="C110" s="14" t="n"/>
      <c r="D110" s="15" t="n"/>
      <c r="E110" s="14" t="n"/>
      <c r="F110" s="14" t="n"/>
    </row>
    <row r="111">
      <c r="A111" s="17" t="n"/>
      <c r="B111" s="14" t="n"/>
      <c r="C111" s="14" t="n"/>
      <c r="D111" s="15" t="n"/>
      <c r="E111" s="14" t="n"/>
      <c r="F111" s="14" t="n"/>
    </row>
    <row r="112">
      <c r="A112" s="17" t="n"/>
      <c r="B112" s="14" t="n"/>
      <c r="C112" s="14" t="n"/>
      <c r="D112" s="15" t="n"/>
      <c r="E112" s="14" t="n"/>
      <c r="F112" s="14" t="n"/>
    </row>
    <row r="113">
      <c r="A113" s="17" t="n"/>
      <c r="B113" s="14" t="n"/>
      <c r="C113" s="14" t="n"/>
      <c r="D113" s="15" t="n"/>
      <c r="E113" s="14" t="n"/>
      <c r="F113" s="14" t="n"/>
    </row>
    <row r="114">
      <c r="A114" s="17" t="n"/>
      <c r="B114" s="14" t="n"/>
      <c r="C114" s="14" t="n"/>
      <c r="D114" s="15" t="n"/>
      <c r="E114" s="14" t="n"/>
      <c r="F114" s="14" t="n"/>
    </row>
    <row r="115">
      <c r="A115" s="17" t="n"/>
      <c r="B115" s="14" t="n"/>
      <c r="C115" s="14" t="n"/>
      <c r="D115" s="15" t="n"/>
      <c r="E115" s="14" t="n"/>
      <c r="F115" s="14" t="n"/>
    </row>
    <row r="116">
      <c r="A116" s="17" t="n"/>
      <c r="B116" s="14" t="n"/>
      <c r="C116" s="14" t="n"/>
      <c r="D116" s="15" t="n"/>
      <c r="E116" s="14" t="n"/>
      <c r="F116" s="14" t="n"/>
    </row>
    <row r="117">
      <c r="A117" s="17" t="n"/>
      <c r="B117" s="14" t="n"/>
      <c r="C117" s="14" t="n"/>
      <c r="D117" s="15" t="n"/>
      <c r="E117" s="14" t="n"/>
      <c r="F117" s="14" t="n"/>
    </row>
    <row r="118">
      <c r="A118" s="17" t="n"/>
      <c r="B118" s="14" t="n"/>
      <c r="C118" s="14" t="n"/>
      <c r="D118" s="15" t="n"/>
      <c r="E118" s="14" t="n"/>
      <c r="F118" s="14" t="n"/>
    </row>
    <row r="119">
      <c r="A119" s="17" t="n"/>
      <c r="B119" s="14" t="n"/>
      <c r="C119" s="14" t="n"/>
      <c r="D119" s="15" t="n"/>
      <c r="E119" s="14" t="n"/>
      <c r="F119" s="14" t="n"/>
    </row>
    <row r="120">
      <c r="A120" s="17" t="n"/>
      <c r="B120" s="14" t="n"/>
      <c r="C120" s="14" t="n"/>
      <c r="D120" s="15" t="n"/>
      <c r="E120" s="14" t="n"/>
      <c r="F120" s="14" t="n"/>
    </row>
    <row r="121">
      <c r="A121" s="17" t="n"/>
      <c r="B121" s="14" t="n"/>
      <c r="C121" s="14" t="n"/>
      <c r="D121" s="15" t="n"/>
      <c r="E121" s="14" t="n"/>
      <c r="F121" s="14" t="n"/>
    </row>
    <row r="122">
      <c r="A122" s="17" t="n"/>
      <c r="B122" s="14" t="n"/>
      <c r="C122" s="14" t="n"/>
      <c r="D122" s="15" t="n"/>
      <c r="E122" s="14" t="n"/>
      <c r="F122" s="14" t="n"/>
    </row>
    <row r="123">
      <c r="A123" s="17" t="n"/>
      <c r="B123" s="14" t="n"/>
      <c r="C123" s="14" t="n"/>
      <c r="D123" s="15" t="n"/>
      <c r="E123" s="14" t="n"/>
      <c r="F123" s="14" t="n"/>
    </row>
    <row r="124">
      <c r="A124" s="17" t="n"/>
      <c r="B124" s="14" t="n"/>
      <c r="C124" s="14" t="n"/>
      <c r="D124" s="15" t="n"/>
      <c r="E124" s="14" t="n"/>
      <c r="F124" s="14" t="n"/>
    </row>
    <row r="125">
      <c r="A125" s="17" t="n"/>
      <c r="B125" s="14" t="n"/>
      <c r="C125" s="14" t="n"/>
      <c r="D125" s="15" t="n"/>
      <c r="E125" s="14" t="n"/>
      <c r="F125" s="14" t="n"/>
    </row>
    <row r="126">
      <c r="A126" s="17" t="n"/>
      <c r="B126" s="14" t="n"/>
      <c r="C126" s="14" t="n"/>
      <c r="D126" s="15" t="n"/>
      <c r="E126" s="14" t="n"/>
      <c r="F126" s="14" t="n"/>
    </row>
    <row r="127">
      <c r="A127" s="17" t="n"/>
      <c r="B127" s="14" t="n"/>
      <c r="C127" s="14" t="n"/>
      <c r="D127" s="15" t="n"/>
      <c r="E127" s="14" t="n"/>
      <c r="F127" s="14" t="n"/>
    </row>
    <row r="128">
      <c r="A128" s="17" t="n"/>
      <c r="B128" s="14" t="n"/>
      <c r="C128" s="14" t="n"/>
      <c r="D128" s="15" t="n"/>
      <c r="E128" s="14" t="n"/>
      <c r="F128" s="14" t="n"/>
    </row>
    <row r="129">
      <c r="A129" s="17" t="n"/>
      <c r="B129" s="14" t="n"/>
      <c r="C129" s="14" t="n"/>
      <c r="D129" s="15" t="n"/>
      <c r="E129" s="14" t="n"/>
      <c r="F129" s="14" t="n"/>
    </row>
    <row r="130">
      <c r="A130" s="17" t="n"/>
      <c r="B130" s="14" t="n"/>
      <c r="C130" s="14" t="n"/>
      <c r="D130" s="15" t="n"/>
      <c r="E130" s="14" t="n"/>
      <c r="F130" s="14" t="n"/>
    </row>
    <row r="131">
      <c r="A131" s="17" t="n"/>
      <c r="B131" s="14" t="n"/>
      <c r="C131" s="14" t="n"/>
      <c r="D131" s="15" t="n"/>
      <c r="E131" s="14" t="n"/>
      <c r="F131" s="14" t="n"/>
    </row>
    <row r="132">
      <c r="A132" s="17" t="n"/>
      <c r="B132" s="14" t="n"/>
      <c r="C132" s="14" t="n"/>
      <c r="D132" s="15" t="n"/>
      <c r="E132" s="14" t="n"/>
      <c r="F132" s="14" t="n"/>
    </row>
    <row r="133">
      <c r="A133" s="17" t="n"/>
      <c r="B133" s="14" t="n"/>
      <c r="C133" s="14" t="n"/>
      <c r="D133" s="15" t="n"/>
      <c r="E133" s="14" t="n"/>
      <c r="F133" s="14" t="n"/>
    </row>
    <row r="134">
      <c r="A134" s="17" t="n"/>
      <c r="B134" s="14" t="n"/>
      <c r="C134" s="14" t="n"/>
      <c r="D134" s="15" t="n"/>
      <c r="E134" s="14" t="n"/>
      <c r="F134" s="14" t="n"/>
    </row>
    <row r="135">
      <c r="A135" s="17" t="n"/>
      <c r="B135" s="14" t="n"/>
      <c r="C135" s="14" t="n"/>
      <c r="D135" s="15" t="n"/>
      <c r="E135" s="14" t="n"/>
      <c r="F135" s="14" t="n"/>
    </row>
    <row r="136">
      <c r="A136" s="17" t="n"/>
      <c r="B136" s="14" t="n"/>
      <c r="C136" s="14" t="n"/>
      <c r="D136" s="15" t="n"/>
      <c r="E136" s="14" t="n"/>
      <c r="F136" s="14" t="n"/>
    </row>
    <row r="137">
      <c r="A137" s="17" t="n"/>
      <c r="B137" s="14" t="n"/>
      <c r="C137" s="14" t="n"/>
      <c r="D137" s="15" t="n"/>
      <c r="E137" s="14" t="n"/>
      <c r="F137" s="14" t="n"/>
    </row>
    <row r="138">
      <c r="A138" s="17" t="n"/>
      <c r="B138" s="14" t="n"/>
      <c r="C138" s="14" t="n"/>
      <c r="D138" s="15" t="n"/>
      <c r="E138" s="14" t="n"/>
      <c r="F138" s="14" t="n"/>
    </row>
    <row r="139">
      <c r="A139" s="17" t="n"/>
      <c r="B139" s="14" t="n"/>
      <c r="C139" s="14" t="n"/>
      <c r="D139" s="15" t="n"/>
      <c r="E139" s="14" t="n"/>
      <c r="F139" s="14" t="n"/>
    </row>
    <row r="140">
      <c r="A140" s="17" t="n"/>
      <c r="B140" s="14" t="n"/>
      <c r="C140" s="14" t="n"/>
      <c r="D140" s="15" t="n"/>
      <c r="E140" s="14" t="n"/>
      <c r="F140" s="14" t="n"/>
    </row>
    <row r="141">
      <c r="A141" s="17" t="n"/>
      <c r="B141" s="14" t="n"/>
      <c r="C141" s="14" t="n"/>
      <c r="D141" s="15" t="n"/>
      <c r="E141" s="14" t="n"/>
      <c r="F141" s="14" t="n"/>
    </row>
    <row r="142">
      <c r="A142" s="17" t="n"/>
      <c r="B142" s="14" t="n"/>
      <c r="C142" s="14" t="n"/>
      <c r="D142" s="15" t="n"/>
      <c r="E142" s="14" t="n"/>
      <c r="F142" s="14" t="n"/>
    </row>
    <row r="143">
      <c r="A143" s="17" t="n"/>
      <c r="B143" s="14" t="n"/>
      <c r="C143" s="14" t="n"/>
      <c r="D143" s="15" t="n"/>
      <c r="E143" s="14" t="n"/>
      <c r="F143" s="14" t="n"/>
    </row>
    <row r="144">
      <c r="A144" s="17" t="n"/>
      <c r="B144" s="14" t="n"/>
      <c r="C144" s="14" t="n"/>
      <c r="D144" s="15" t="n"/>
      <c r="E144" s="14" t="n"/>
      <c r="F144" s="14" t="n"/>
    </row>
    <row r="145">
      <c r="A145" s="17" t="n"/>
      <c r="B145" s="14" t="n"/>
      <c r="C145" s="14" t="n"/>
      <c r="D145" s="15" t="n"/>
      <c r="E145" s="14" t="n"/>
      <c r="F145" s="14" t="n"/>
    </row>
    <row r="146">
      <c r="A146" s="17" t="n"/>
      <c r="B146" s="14" t="n"/>
      <c r="C146" s="14" t="n"/>
      <c r="D146" s="15" t="n"/>
      <c r="E146" s="14" t="n"/>
      <c r="F146" s="14" t="n"/>
    </row>
    <row r="147">
      <c r="A147" s="17" t="n"/>
      <c r="B147" s="14" t="n"/>
      <c r="C147" s="14" t="n"/>
      <c r="D147" s="15" t="n"/>
      <c r="E147" s="14" t="n"/>
      <c r="F147" s="14" t="n"/>
    </row>
    <row r="148">
      <c r="A148" s="17" t="n"/>
      <c r="B148" s="14" t="n"/>
      <c r="C148" s="14" t="n"/>
      <c r="D148" s="15" t="n"/>
      <c r="E148" s="14" t="n"/>
      <c r="F148" s="14" t="n"/>
    </row>
    <row r="149">
      <c r="A149" s="17" t="n"/>
      <c r="B149" s="14" t="n"/>
      <c r="C149" s="14" t="n"/>
      <c r="D149" s="15" t="n"/>
      <c r="E149" s="14" t="n"/>
      <c r="F149" s="14" t="n"/>
    </row>
    <row r="150">
      <c r="A150" s="17" t="n"/>
      <c r="B150" s="14" t="n"/>
      <c r="C150" s="14" t="n"/>
      <c r="D150" s="15" t="n"/>
      <c r="E150" s="14" t="n"/>
      <c r="F150" s="14" t="n"/>
    </row>
    <row r="151">
      <c r="A151" s="17" t="n"/>
      <c r="B151" s="14" t="n"/>
      <c r="C151" s="14" t="n"/>
      <c r="D151" s="15" t="n"/>
      <c r="E151" s="14" t="n"/>
      <c r="F151" s="14" t="n"/>
    </row>
    <row r="152">
      <c r="A152" s="17" t="n"/>
      <c r="B152" s="14" t="n"/>
      <c r="C152" s="14" t="n"/>
      <c r="D152" s="15" t="n"/>
      <c r="E152" s="14" t="n"/>
      <c r="F152" s="14" t="n"/>
    </row>
    <row r="153">
      <c r="A153" s="17" t="n"/>
      <c r="B153" s="14" t="n"/>
      <c r="C153" s="14" t="n"/>
      <c r="D153" s="15" t="n"/>
      <c r="E153" s="14" t="n"/>
      <c r="F153" s="14" t="n"/>
    </row>
    <row r="154">
      <c r="A154" s="17" t="n"/>
      <c r="B154" s="14" t="n"/>
      <c r="C154" s="14" t="n"/>
      <c r="D154" s="15" t="n"/>
      <c r="E154" s="14" t="n"/>
      <c r="F154" s="14" t="n"/>
    </row>
    <row r="155">
      <c r="A155" s="17" t="n"/>
      <c r="B155" s="14" t="n"/>
      <c r="C155" s="14" t="n"/>
      <c r="D155" s="15" t="n"/>
      <c r="E155" s="14" t="n"/>
      <c r="F155" s="14" t="n"/>
    </row>
    <row r="156">
      <c r="A156" s="17" t="n"/>
      <c r="B156" s="14" t="n"/>
      <c r="C156" s="14" t="n"/>
      <c r="D156" s="15" t="n"/>
      <c r="E156" s="14" t="n"/>
      <c r="F156" s="14" t="n"/>
    </row>
    <row r="157">
      <c r="A157" s="17" t="n"/>
      <c r="B157" s="14" t="n"/>
      <c r="C157" s="14" t="n"/>
      <c r="D157" s="15" t="n"/>
      <c r="E157" s="14" t="n"/>
      <c r="F157" s="14" t="n"/>
    </row>
    <row r="158">
      <c r="A158" s="17" t="n"/>
      <c r="B158" s="14" t="n"/>
      <c r="C158" s="14" t="n"/>
      <c r="D158" s="15" t="n"/>
      <c r="E158" s="14" t="n"/>
      <c r="F158" s="14" t="n"/>
    </row>
    <row r="159">
      <c r="A159" s="17" t="n"/>
      <c r="B159" s="14" t="n"/>
      <c r="C159" s="14" t="n"/>
      <c r="D159" s="15" t="n"/>
      <c r="E159" s="14" t="n"/>
      <c r="F159" s="14" t="n"/>
    </row>
    <row r="160">
      <c r="A160" s="17" t="n"/>
      <c r="B160" s="14" t="n"/>
      <c r="C160" s="14" t="n"/>
      <c r="D160" s="15" t="n"/>
      <c r="E160" s="14" t="n"/>
      <c r="F160" s="14" t="n"/>
    </row>
    <row r="161">
      <c r="A161" s="17" t="n"/>
      <c r="B161" s="14" t="n"/>
      <c r="C161" s="14" t="n"/>
      <c r="D161" s="15" t="n"/>
      <c r="E161" s="14" t="n"/>
      <c r="F161" s="14" t="n"/>
    </row>
    <row r="162">
      <c r="A162" s="17" t="n"/>
      <c r="B162" s="14" t="n"/>
      <c r="C162" s="14" t="n"/>
      <c r="D162" s="15" t="n"/>
      <c r="E162" s="14" t="n"/>
      <c r="F162" s="14" t="n"/>
    </row>
    <row r="163">
      <c r="A163" s="17" t="n"/>
      <c r="B163" s="14" t="n"/>
      <c r="C163" s="14" t="n"/>
      <c r="D163" s="15" t="n"/>
      <c r="E163" s="14" t="n"/>
      <c r="F163" s="14" t="n"/>
    </row>
    <row r="164">
      <c r="A164" s="17" t="n"/>
      <c r="B164" s="14" t="n"/>
      <c r="C164" s="14" t="n"/>
      <c r="D164" s="15" t="n"/>
      <c r="E164" s="14" t="n"/>
      <c r="F164" s="14" t="n"/>
    </row>
    <row r="165">
      <c r="A165" s="17" t="n"/>
      <c r="B165" s="14" t="n"/>
      <c r="C165" s="14" t="n"/>
      <c r="D165" s="15" t="n"/>
      <c r="E165" s="14" t="n"/>
      <c r="F165" s="14" t="n"/>
    </row>
    <row r="166">
      <c r="A166" s="17" t="n"/>
      <c r="B166" s="14" t="n"/>
      <c r="C166" s="14" t="n"/>
      <c r="D166" s="15" t="n"/>
      <c r="E166" s="14" t="n"/>
      <c r="F166" s="14" t="n"/>
    </row>
    <row r="167">
      <c r="A167" s="17" t="n"/>
      <c r="B167" s="14" t="n"/>
      <c r="C167" s="14" t="n"/>
      <c r="D167" s="15" t="n"/>
      <c r="E167" s="14" t="n"/>
      <c r="F167" s="14" t="n"/>
    </row>
    <row r="168">
      <c r="A168" s="17" t="n"/>
      <c r="B168" s="14" t="n"/>
      <c r="C168" s="14" t="n"/>
      <c r="D168" s="15" t="n"/>
      <c r="E168" s="14" t="n"/>
      <c r="F168" s="14" t="n"/>
    </row>
    <row r="169">
      <c r="A169" s="17" t="n"/>
      <c r="B169" s="14" t="n"/>
      <c r="C169" s="14" t="n"/>
      <c r="D169" s="15" t="n"/>
      <c r="E169" s="14" t="n"/>
      <c r="F169" s="14" t="n"/>
    </row>
    <row r="170">
      <c r="A170" s="17" t="n"/>
      <c r="B170" s="14" t="n"/>
      <c r="C170" s="14" t="n"/>
      <c r="D170" s="15" t="n"/>
      <c r="E170" s="14" t="n"/>
      <c r="F170" s="14" t="n"/>
    </row>
    <row r="171">
      <c r="A171" s="17" t="n"/>
      <c r="B171" s="14" t="n"/>
      <c r="C171" s="14" t="n"/>
      <c r="D171" s="15" t="n"/>
      <c r="E171" s="14" t="n"/>
      <c r="F171" s="14" t="n"/>
    </row>
    <row r="172">
      <c r="A172" s="17" t="n"/>
      <c r="B172" s="14" t="n"/>
      <c r="C172" s="14" t="n"/>
      <c r="D172" s="15" t="n"/>
      <c r="E172" s="14" t="n"/>
      <c r="F172" s="14" t="n"/>
    </row>
  </sheetData>
  <mergeCells count="2">
    <mergeCell ref="A2:F2"/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6" customWidth="1" min="4" max="4"/>
    <col width="14" customWidth="1" min="5" max="5"/>
    <col width="16" customWidth="1" min="6" max="6"/>
    <col width="62" customWidth="1" min="7" max="7"/>
  </cols>
  <sheetData>
    <row r="1">
      <c r="A1" s="45" t="inlineStr">
        <is>
          <t>CIUDAD 1132 — Ingresos Sol</t>
        </is>
      </c>
    </row>
    <row r="2">
      <c r="A2" s="46" t="inlineStr">
        <is>
          <t>Ingreso bruto mensual de Sol (sueldo). No suma al total de gastos de la hoja 2026.</t>
        </is>
      </c>
    </row>
    <row r="4">
      <c r="A4" s="47" t="inlineStr">
        <is>
          <t>Parámetros</t>
        </is>
      </c>
    </row>
    <row r="5">
      <c r="A5" s="48" t="inlineStr">
        <is>
          <t>Concepto</t>
        </is>
      </c>
      <c r="B5" s="48" t="inlineStr">
        <is>
          <t>Valor</t>
        </is>
      </c>
      <c r="C5" s="48" t="inlineStr">
        <is>
          <t>Notas</t>
        </is>
      </c>
    </row>
    <row r="6">
      <c r="A6" s="49" t="inlineStr">
        <is>
          <t>Ingreso bruto mensual vigente</t>
        </is>
      </c>
      <c r="B6" s="50" t="n">
        <v>12662386</v>
      </c>
      <c r="C6" s="51" t="inlineStr">
        <is>
          <t>ARS · recibo MELI julio 2026 · vigente desde 01/07/2026</t>
        </is>
      </c>
    </row>
    <row r="7">
      <c r="A7" s="49" t="inlineStr">
        <is>
          <t>Incremento</t>
        </is>
      </c>
      <c r="B7" s="52" t="n">
        <v>0.12</v>
      </c>
      <c r="C7" s="51" t="inlineStr">
        <is>
          <t>12% sobre el bruto anterior</t>
        </is>
      </c>
    </row>
    <row r="8">
      <c r="A8" s="49" t="inlineStr">
        <is>
          <t>Vigencia desde (período)</t>
        </is>
      </c>
      <c r="B8" s="53" t="n">
        <v>46204</v>
      </c>
      <c r="C8" s="51" t="inlineStr">
        <is>
          <t>Devengado desde julio 2026</t>
        </is>
      </c>
    </row>
    <row r="9">
      <c r="A9" s="49" t="inlineStr">
        <is>
          <t>Día de cobro</t>
        </is>
      </c>
      <c r="B9" s="49" t="n">
        <v>1</v>
      </c>
      <c r="C9" s="51" t="inlineStr">
        <is>
          <t>Se cobra el día 1 del mes siguiente (julio → 01/08)</t>
        </is>
      </c>
    </row>
    <row r="10">
      <c r="A10" s="49" t="inlineStr">
        <is>
          <t>Bruto anterior confirmado</t>
        </is>
      </c>
      <c r="B10" s="50" t="n">
        <v>11305702</v>
      </c>
      <c r="C10" s="51" t="inlineStr">
        <is>
          <t>Recibos MELI marzo–junio 2026</t>
        </is>
      </c>
    </row>
    <row r="12">
      <c r="A12" s="47" t="inlineStr">
        <is>
          <t>Resumen por mes (período / devengado)</t>
        </is>
      </c>
    </row>
    <row r="13">
      <c r="A13" s="48" t="inlineStr">
        <is>
          <t>Mes período</t>
        </is>
      </c>
      <c r="B13" s="48" t="inlineStr">
        <is>
          <t>Bruto</t>
        </is>
      </c>
      <c r="C13" s="48" t="inlineStr">
        <is>
          <t>Incremento</t>
        </is>
      </c>
      <c r="D13" s="48" t="inlineStr">
        <is>
          <t>Fecha cobro</t>
        </is>
      </c>
      <c r="E13" s="48" t="inlineStr">
        <is>
          <t>Mes cobro</t>
        </is>
      </c>
      <c r="F13" s="48" t="inlineStr">
        <is>
          <t>Comentario</t>
        </is>
      </c>
    </row>
    <row r="14">
      <c r="A14" s="51" t="inlineStr">
        <is>
          <t>Enero</t>
        </is>
      </c>
      <c r="B14" s="54">
        <f>SUMIF($B$30:$B$41,A14,$D$30:$D$41)</f>
        <v/>
      </c>
      <c r="C14" s="55">
        <f>IFERROR(INDEX($E$30:$E$41,MATCH(A14,$B$30:$B$41,0)),"")</f>
        <v/>
      </c>
      <c r="D14" s="56">
        <f>IFERROR(INDEX($C$30:$C$41,MATCH(A14,$B$30:$B$41,0)),"")</f>
        <v/>
      </c>
      <c r="E14" s="55">
        <f>IFERROR(INDEX($F$30:$F$41,MATCH(A14,$B$30:$B$41,0)),"")</f>
        <v/>
      </c>
      <c r="F14" s="55">
        <f>IFERROR(INDEX($G$30:$G$41,MATCH(A14,$B$30:$B$41,0)),"")</f>
        <v/>
      </c>
    </row>
    <row r="15">
      <c r="A15" s="51" t="inlineStr">
        <is>
          <t>Febrero</t>
        </is>
      </c>
      <c r="B15" s="54">
        <f>SUMIF($B$30:$B$41,A15,$D$30:$D$41)</f>
        <v/>
      </c>
      <c r="C15" s="55">
        <f>IFERROR(INDEX($E$30:$E$41,MATCH(A15,$B$30:$B$41,0)),"")</f>
        <v/>
      </c>
      <c r="D15" s="56">
        <f>IFERROR(INDEX($C$30:$C$41,MATCH(A15,$B$30:$B$41,0)),"")</f>
        <v/>
      </c>
      <c r="E15" s="55">
        <f>IFERROR(INDEX($F$30:$F$41,MATCH(A15,$B$30:$B$41,0)),"")</f>
        <v/>
      </c>
      <c r="F15" s="55">
        <f>IFERROR(INDEX($G$30:$G$41,MATCH(A15,$B$30:$B$41,0)),"")</f>
        <v/>
      </c>
    </row>
    <row r="16">
      <c r="A16" s="51" t="inlineStr">
        <is>
          <t>Marzo</t>
        </is>
      </c>
      <c r="B16" s="54">
        <f>SUMIF($B$30:$B$41,A16,$D$30:$D$41)</f>
        <v/>
      </c>
      <c r="C16" s="55">
        <f>IFERROR(INDEX($E$30:$E$41,MATCH(A16,$B$30:$B$41,0)),"")</f>
        <v/>
      </c>
      <c r="D16" s="56">
        <f>IFERROR(INDEX($C$30:$C$41,MATCH(A16,$B$30:$B$41,0)),"")</f>
        <v/>
      </c>
      <c r="E16" s="55">
        <f>IFERROR(INDEX($F$30:$F$41,MATCH(A16,$B$30:$B$41,0)),"")</f>
        <v/>
      </c>
      <c r="F16" s="55">
        <f>IFERROR(INDEX($G$30:$G$41,MATCH(A16,$B$30:$B$41,0)),"")</f>
        <v/>
      </c>
    </row>
    <row r="17">
      <c r="A17" s="51" t="inlineStr">
        <is>
          <t>Abril</t>
        </is>
      </c>
      <c r="B17" s="54">
        <f>SUMIF($B$30:$B$41,A17,$D$30:$D$41)</f>
        <v/>
      </c>
      <c r="C17" s="55">
        <f>IFERROR(INDEX($E$30:$E$41,MATCH(A17,$B$30:$B$41,0)),"")</f>
        <v/>
      </c>
      <c r="D17" s="56">
        <f>IFERROR(INDEX($C$30:$C$41,MATCH(A17,$B$30:$B$41,0)),"")</f>
        <v/>
      </c>
      <c r="E17" s="55">
        <f>IFERROR(INDEX($F$30:$F$41,MATCH(A17,$B$30:$B$41,0)),"")</f>
        <v/>
      </c>
      <c r="F17" s="55">
        <f>IFERROR(INDEX($G$30:$G$41,MATCH(A17,$B$30:$B$41,0)),"")</f>
        <v/>
      </c>
    </row>
    <row r="18">
      <c r="A18" s="51" t="inlineStr">
        <is>
          <t>Mayo</t>
        </is>
      </c>
      <c r="B18" s="54">
        <f>SUMIF($B$30:$B$41,A18,$D$30:$D$41)</f>
        <v/>
      </c>
      <c r="C18" s="55">
        <f>IFERROR(INDEX($E$30:$E$41,MATCH(A18,$B$30:$B$41,0)),"")</f>
        <v/>
      </c>
      <c r="D18" s="56">
        <f>IFERROR(INDEX($C$30:$C$41,MATCH(A18,$B$30:$B$41,0)),"")</f>
        <v/>
      </c>
      <c r="E18" s="55">
        <f>IFERROR(INDEX($F$30:$F$41,MATCH(A18,$B$30:$B$41,0)),"")</f>
        <v/>
      </c>
      <c r="F18" s="55">
        <f>IFERROR(INDEX($G$30:$G$41,MATCH(A18,$B$30:$B$41,0)),"")</f>
        <v/>
      </c>
    </row>
    <row r="19">
      <c r="A19" s="51" t="inlineStr">
        <is>
          <t>Junio</t>
        </is>
      </c>
      <c r="B19" s="54">
        <f>SUMIF($B$30:$B$41,A19,$D$30:$D$41)</f>
        <v/>
      </c>
      <c r="C19" s="55">
        <f>IFERROR(INDEX($E$30:$E$41,MATCH(A19,$B$30:$B$41,0)),"")</f>
        <v/>
      </c>
      <c r="D19" s="56">
        <f>IFERROR(INDEX($C$30:$C$41,MATCH(A19,$B$30:$B$41,0)),"")</f>
        <v/>
      </c>
      <c r="E19" s="55">
        <f>IFERROR(INDEX($F$30:$F$41,MATCH(A19,$B$30:$B$41,0)),"")</f>
        <v/>
      </c>
      <c r="F19" s="55">
        <f>IFERROR(INDEX($G$30:$G$41,MATCH(A19,$B$30:$B$41,0)),"")</f>
        <v/>
      </c>
    </row>
    <row r="20">
      <c r="A20" s="51" t="inlineStr">
        <is>
          <t>Julio</t>
        </is>
      </c>
      <c r="B20" s="54">
        <f>SUMIF($B$30:$B$41,A20,$D$30:$D$41)</f>
        <v/>
      </c>
      <c r="C20" s="55">
        <f>IFERROR(INDEX($E$30:$E$41,MATCH(A20,$B$30:$B$41,0)),"")</f>
        <v/>
      </c>
      <c r="D20" s="56">
        <f>IFERROR(INDEX($C$30:$C$41,MATCH(A20,$B$30:$B$41,0)),"")</f>
        <v/>
      </c>
      <c r="E20" s="55">
        <f>IFERROR(INDEX($F$30:$F$41,MATCH(A20,$B$30:$B$41,0)),"")</f>
        <v/>
      </c>
      <c r="F20" s="55">
        <f>IFERROR(INDEX($G$30:$G$41,MATCH(A20,$B$30:$B$41,0)),"")</f>
        <v/>
      </c>
    </row>
    <row r="21">
      <c r="A21" s="51" t="inlineStr">
        <is>
          <t>Agosto</t>
        </is>
      </c>
      <c r="B21" s="54">
        <f>SUMIF($B$30:$B$41,A21,$D$30:$D$41)</f>
        <v/>
      </c>
      <c r="C21" s="55">
        <f>IFERROR(INDEX($E$30:$E$41,MATCH(A21,$B$30:$B$41,0)),"")</f>
        <v/>
      </c>
      <c r="D21" s="56">
        <f>IFERROR(INDEX($C$30:$C$41,MATCH(A21,$B$30:$B$41,0)),"")</f>
        <v/>
      </c>
      <c r="E21" s="55">
        <f>IFERROR(INDEX($F$30:$F$41,MATCH(A21,$B$30:$B$41,0)),"")</f>
        <v/>
      </c>
      <c r="F21" s="55">
        <f>IFERROR(INDEX($G$30:$G$41,MATCH(A21,$B$30:$B$41,0)),"")</f>
        <v/>
      </c>
    </row>
    <row r="22">
      <c r="A22" s="51" t="inlineStr">
        <is>
          <t>Septiembre</t>
        </is>
      </c>
      <c r="B22" s="54">
        <f>SUMIF($B$30:$B$41,A22,$D$30:$D$41)</f>
        <v/>
      </c>
      <c r="C22" s="55">
        <f>IFERROR(INDEX($E$30:$E$41,MATCH(A22,$B$30:$B$41,0)),"")</f>
        <v/>
      </c>
      <c r="D22" s="56">
        <f>IFERROR(INDEX($C$30:$C$41,MATCH(A22,$B$30:$B$41,0)),"")</f>
        <v/>
      </c>
      <c r="E22" s="55">
        <f>IFERROR(INDEX($F$30:$F$41,MATCH(A22,$B$30:$B$41,0)),"")</f>
        <v/>
      </c>
      <c r="F22" s="55">
        <f>IFERROR(INDEX($G$30:$G$41,MATCH(A22,$B$30:$B$41,0)),"")</f>
        <v/>
      </c>
    </row>
    <row r="23">
      <c r="A23" s="51" t="inlineStr">
        <is>
          <t>Octubre</t>
        </is>
      </c>
      <c r="B23" s="54">
        <f>SUMIF($B$30:$B$41,A23,$D$30:$D$41)</f>
        <v/>
      </c>
      <c r="C23" s="55">
        <f>IFERROR(INDEX($E$30:$E$41,MATCH(A23,$B$30:$B$41,0)),"")</f>
        <v/>
      </c>
      <c r="D23" s="56">
        <f>IFERROR(INDEX($C$30:$C$41,MATCH(A23,$B$30:$B$41,0)),"")</f>
        <v/>
      </c>
      <c r="E23" s="55">
        <f>IFERROR(INDEX($F$30:$F$41,MATCH(A23,$B$30:$B$41,0)),"")</f>
        <v/>
      </c>
      <c r="F23" s="55">
        <f>IFERROR(INDEX($G$30:$G$41,MATCH(A23,$B$30:$B$41,0)),"")</f>
        <v/>
      </c>
    </row>
    <row r="24">
      <c r="A24" s="51" t="inlineStr">
        <is>
          <t>Noviembre</t>
        </is>
      </c>
      <c r="B24" s="54">
        <f>SUMIF($B$30:$B$41,A24,$D$30:$D$41)</f>
        <v/>
      </c>
      <c r="C24" s="55">
        <f>IFERROR(INDEX($E$30:$E$41,MATCH(A24,$B$30:$B$41,0)),"")</f>
        <v/>
      </c>
      <c r="D24" s="56">
        <f>IFERROR(INDEX($C$30:$C$41,MATCH(A24,$B$30:$B$41,0)),"")</f>
        <v/>
      </c>
      <c r="E24" s="55">
        <f>IFERROR(INDEX($F$30:$F$41,MATCH(A24,$B$30:$B$41,0)),"")</f>
        <v/>
      </c>
      <c r="F24" s="55">
        <f>IFERROR(INDEX($G$30:$G$41,MATCH(A24,$B$30:$B$41,0)),"")</f>
        <v/>
      </c>
    </row>
    <row r="25">
      <c r="A25" s="51" t="inlineStr">
        <is>
          <t>Diciembre</t>
        </is>
      </c>
      <c r="B25" s="54">
        <f>SUMIF($B$30:$B$41,A25,$D$30:$D$41)</f>
        <v/>
      </c>
      <c r="C25" s="55">
        <f>IFERROR(INDEX($E$30:$E$41,MATCH(A25,$B$30:$B$41,0)),"")</f>
        <v/>
      </c>
      <c r="D25" s="56">
        <f>IFERROR(INDEX($C$30:$C$41,MATCH(A25,$B$30:$B$41,0)),"")</f>
        <v/>
      </c>
      <c r="E25" s="55">
        <f>IFERROR(INDEX($F$30:$F$41,MATCH(A25,$B$30:$B$41,0)),"")</f>
        <v/>
      </c>
      <c r="F25" s="55">
        <f>IFERROR(INDEX($G$30:$G$41,MATCH(A25,$B$30:$B$41,0)),"")</f>
        <v/>
      </c>
    </row>
    <row r="26">
      <c r="A26" s="57" t="inlineStr">
        <is>
          <t>TOTAL AÑO</t>
        </is>
      </c>
      <c r="B26" s="58">
        <f>SUM(B14:B25)</f>
        <v/>
      </c>
      <c r="C26" s="59" t="n"/>
      <c r="D26" s="59" t="n"/>
      <c r="E26" s="59" t="n"/>
      <c r="F26" s="59" t="n"/>
    </row>
    <row r="28">
      <c r="A28" s="47" t="inlineStr">
        <is>
          <t>Detalle</t>
        </is>
      </c>
    </row>
    <row r="29">
      <c r="A29" s="48" t="inlineStr">
        <is>
          <t>Fecha período</t>
        </is>
      </c>
      <c r="B29" s="48" t="inlineStr">
        <is>
          <t>Mes período</t>
        </is>
      </c>
      <c r="C29" s="48" t="inlineStr">
        <is>
          <t>Fecha cobro</t>
        </is>
      </c>
      <c r="D29" s="48" t="inlineStr">
        <is>
          <t>Monto bruto</t>
        </is>
      </c>
      <c r="E29" s="48" t="inlineStr">
        <is>
          <t>Incremento</t>
        </is>
      </c>
      <c r="F29" s="48" t="inlineStr">
        <is>
          <t>Mes cobro</t>
        </is>
      </c>
      <c r="G29" s="48" t="inlineStr">
        <is>
          <t>Comentario</t>
        </is>
      </c>
    </row>
    <row r="30">
      <c r="A30" s="60" t="n">
        <v>46204</v>
      </c>
      <c r="B30" s="51" t="inlineStr">
        <is>
          <t>Julio</t>
        </is>
      </c>
      <c r="C30" s="60" t="n">
        <v>46235</v>
      </c>
      <c r="D30" s="61" t="n">
        <v>12662386</v>
      </c>
      <c r="E30" s="51" t="inlineStr">
        <is>
          <t>12%</t>
        </is>
      </c>
      <c r="F30" s="51" t="inlineStr">
        <is>
          <t>Agosto</t>
        </is>
      </c>
      <c r="G30" s="51" t="inlineStr">
        <is>
          <t>Ingreso básico MELI julio · recibo real · cobrado 01/08/2026</t>
        </is>
      </c>
    </row>
    <row r="31">
      <c r="A31" s="60" t="n">
        <v>46235</v>
      </c>
      <c r="B31" s="51" t="inlineStr">
        <is>
          <t>Agosto</t>
        </is>
      </c>
      <c r="C31" s="60" t="n">
        <v>46266</v>
      </c>
      <c r="D31" s="61" t="n">
        <v>12662386</v>
      </c>
      <c r="E31" s="51" t="inlineStr">
        <is>
          <t>12%</t>
        </is>
      </c>
      <c r="F31" s="51" t="inlineStr">
        <is>
          <t>Septiembre</t>
        </is>
      </c>
      <c r="G31" s="51" t="inlineStr">
        <is>
          <t>Ingreso bruto básico MELI · valor real según recibo julio 2026 · cobro mes siguiente</t>
        </is>
      </c>
    </row>
    <row r="32">
      <c r="A32" s="60" t="n">
        <v>46266</v>
      </c>
      <c r="B32" s="51" t="inlineStr">
        <is>
          <t>Septiembre</t>
        </is>
      </c>
      <c r="C32" s="60" t="n">
        <v>46296</v>
      </c>
      <c r="D32" s="61" t="n">
        <v>12662386</v>
      </c>
      <c r="E32" s="51" t="inlineStr">
        <is>
          <t>12%</t>
        </is>
      </c>
      <c r="F32" s="51" t="inlineStr">
        <is>
          <t>Octubre</t>
        </is>
      </c>
      <c r="G32" s="51" t="inlineStr">
        <is>
          <t>Ingreso bruto básico MELI · valor real según recibo julio 2026 · cobro mes siguiente</t>
        </is>
      </c>
    </row>
    <row r="33">
      <c r="A33" s="60" t="n">
        <v>46296</v>
      </c>
      <c r="B33" s="51" t="inlineStr">
        <is>
          <t>Octubre</t>
        </is>
      </c>
      <c r="C33" s="60" t="n">
        <v>46327</v>
      </c>
      <c r="D33" s="61" t="n">
        <v>12662386</v>
      </c>
      <c r="E33" s="51" t="inlineStr">
        <is>
          <t>12%</t>
        </is>
      </c>
      <c r="F33" s="51" t="inlineStr">
        <is>
          <t>Noviembre</t>
        </is>
      </c>
      <c r="G33" s="51" t="inlineStr">
        <is>
          <t>Ingreso bruto básico MELI · valor real según recibo julio 2026 · cobro mes siguiente</t>
        </is>
      </c>
    </row>
    <row r="34">
      <c r="A34" s="60" t="n">
        <v>46327</v>
      </c>
      <c r="B34" s="51" t="inlineStr">
        <is>
          <t>Noviembre</t>
        </is>
      </c>
      <c r="C34" s="60" t="n">
        <v>46357</v>
      </c>
      <c r="D34" s="61" t="n">
        <v>12662386</v>
      </c>
      <c r="E34" s="51" t="inlineStr">
        <is>
          <t>12%</t>
        </is>
      </c>
      <c r="F34" s="51" t="inlineStr">
        <is>
          <t>Diciembre</t>
        </is>
      </c>
      <c r="G34" s="51" t="inlineStr">
        <is>
          <t>Ingreso bruto básico MELI · valor real según recibo julio 2026 · cobro mes siguiente</t>
        </is>
      </c>
    </row>
    <row r="35">
      <c r="A35" s="60" t="n">
        <v>46357</v>
      </c>
      <c r="B35" s="51" t="inlineStr">
        <is>
          <t>Diciembre</t>
        </is>
      </c>
      <c r="C35" s="60" t="n">
        <v>46388</v>
      </c>
      <c r="D35" s="61" t="n">
        <v>12662386</v>
      </c>
      <c r="E35" s="51" t="inlineStr">
        <is>
          <t>12%</t>
        </is>
      </c>
      <c r="F35" s="51" t="inlineStr">
        <is>
          <t>Enero 2027</t>
        </is>
      </c>
      <c r="G35" s="51" t="inlineStr">
        <is>
          <t>Ingreso bruto básico MELI · valor real según recibo julio 2026 · cobro mes siguiente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5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58" customWidth="1" min="3" max="3"/>
    <col width="18" customWidth="1" min="4" max="4"/>
    <col width="22" customWidth="1" min="5" max="5"/>
    <col width="20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20" customWidth="1" min="12" max="12"/>
    <col width="20" customWidth="1" min="13" max="13"/>
    <col width="20" customWidth="1" min="14" max="14"/>
    <col width="22" customWidth="1" min="15" max="15"/>
    <col width="18" customWidth="1" min="16" max="16"/>
  </cols>
  <sheetData>
    <row r="1" ht="20" customHeight="1">
      <c r="A1" s="64" t="inlineStr">
        <is>
          <t>MELI — Simulador de salario bruto, Ganancias y cargas sociales</t>
        </is>
      </c>
    </row>
    <row r="2" ht="20" customHeight="1">
      <c r="A2" s="65" t="inlineStr">
        <is>
          <t>Sol · período julio 2026 · cálculo orientativo, no reemplaza el recibo ni la liquidación de Payroll/contador.</t>
        </is>
      </c>
    </row>
    <row r="3" ht="20" customHeight="1"/>
    <row r="4" ht="20" customHeight="1">
      <c r="A4" s="66" t="inlineStr">
        <is>
          <t>DATOS EDITABLES</t>
        </is>
      </c>
    </row>
    <row r="5" ht="20" customHeight="1">
      <c r="A5" s="68" t="inlineStr">
        <is>
          <t>Salario bruto mensual</t>
        </is>
      </c>
      <c r="B5" s="69">
        <f>'Ingresos Sol'!B6</f>
        <v/>
      </c>
      <c r="C5" s="68" t="inlineStr">
        <is>
          <t>Básico: ARS 11.305.702 + 12% desde julio</t>
        </is>
      </c>
      <c r="D5" s="68" t="n"/>
    </row>
    <row r="6" ht="20" customHeight="1">
      <c r="A6" s="68" t="inlineStr">
        <is>
          <t>Car allowance mensual</t>
        </is>
      </c>
      <c r="B6" s="69" t="n">
        <v>360000</v>
      </c>
      <c r="C6" s="68" t="inlineStr">
        <is>
          <t>Beneficio Auto real según recibo julio 2026</t>
        </is>
      </c>
      <c r="D6" s="68" t="n"/>
    </row>
    <row r="7" ht="20" customHeight="1">
      <c r="A7" s="68" t="inlineStr">
        <is>
          <t>Bonus remunerativo anual</t>
        </is>
      </c>
      <c r="B7" s="69" t="n">
        <v>0</v>
      </c>
      <c r="C7" s="68" t="inlineStr">
        <is>
          <t>No incluye SAC; editar si aplica</t>
        </is>
      </c>
      <c r="D7" s="68" t="n"/>
    </row>
    <row r="8" ht="20" customHeight="1">
      <c r="A8" s="68" t="inlineStr">
        <is>
          <t>Cantidad de hijos deducibles</t>
        </is>
      </c>
      <c r="B8" s="70" t="n">
        <v>0</v>
      </c>
      <c r="C8" s="68" t="inlineStr">
        <is>
          <t>Supuesto inicial: sin hijos</t>
        </is>
      </c>
      <c r="D8" s="68" t="n"/>
    </row>
    <row r="9" ht="20" customHeight="1">
      <c r="A9" s="68" t="inlineStr">
        <is>
          <t>Cónyuge/conviviente deducible (0/1)</t>
        </is>
      </c>
      <c r="B9" s="70" t="n">
        <v>0</v>
      </c>
      <c r="C9" s="68" t="inlineStr">
        <is>
          <t>Supuesto inicial: no</t>
        </is>
      </c>
      <c r="D9" s="68" t="n"/>
    </row>
    <row r="10" ht="20" customHeight="1">
      <c r="A10" s="68" t="inlineStr">
        <is>
          <t>Otras deducciones SIRADIG anuales</t>
        </is>
      </c>
      <c r="B10" s="69" t="n">
        <v>0</v>
      </c>
      <c r="C10" s="68" t="inlineStr">
        <is>
          <t>Alquiler, servicio doméstico, medicina, etc.</t>
        </is>
      </c>
      <c r="D10" s="68" t="n"/>
    </row>
    <row r="11" ht="20" customHeight="1">
      <c r="A11" s="68" t="inlineStr">
        <is>
          <t>Cuota sindical / otros descuentos</t>
        </is>
      </c>
      <c r="B11" s="71" t="n">
        <v>0</v>
      </c>
      <c r="C11" s="68" t="inlineStr">
        <is>
          <t>Porcentaje mensual editable</t>
        </is>
      </c>
      <c r="D11" s="68" t="n"/>
    </row>
    <row r="12" ht="20" customHeight="1">
      <c r="A12" s="68" t="inlineStr">
        <is>
          <t>ART estimada (empleador)</t>
        </is>
      </c>
      <c r="B12" s="71" t="n">
        <v>0.01</v>
      </c>
      <c r="C12" s="68" t="inlineStr">
        <is>
          <t>Variable según contrato/riesgo; default 1%</t>
        </is>
      </c>
      <c r="D12" s="68" t="n"/>
    </row>
    <row r="13" ht="20" customHeight="1">
      <c r="A13" s="68" t="inlineStr">
        <is>
          <t>Fecha de vigencia</t>
        </is>
      </c>
      <c r="B13" s="72" t="n">
        <v>46204</v>
      </c>
      <c r="C13" s="68" t="inlineStr">
        <is>
          <t>Sueldo julio, cobro 01/08</t>
        </is>
      </c>
      <c r="D13" s="68" t="n"/>
    </row>
    <row r="14" ht="20" customHeight="1"/>
    <row r="15" ht="20" customHeight="1">
      <c r="A15" s="66" t="inlineStr">
        <is>
          <t>PARÁMETROS LEGALES / FISCALES EDITABLES</t>
        </is>
      </c>
    </row>
    <row r="16" ht="20" customHeight="1">
      <c r="A16" s="68" t="inlineStr">
        <is>
          <t>Base imponible máxima aportes</t>
        </is>
      </c>
      <c r="B16" s="69" t="n">
        <v>4509567.41</v>
      </c>
      <c r="C16" s="68" t="inlineStr">
        <is>
          <t>Res. ANSES 186/2026 · devengado julio 2026</t>
        </is>
      </c>
      <c r="D16" s="68" t="n"/>
    </row>
    <row r="17" ht="20" customHeight="1">
      <c r="A17" s="68" t="inlineStr">
        <is>
          <t>Jubilación SIPA</t>
        </is>
      </c>
      <c r="B17" s="71" t="n">
        <v>0.11</v>
      </c>
      <c r="C17" s="68" t="inlineStr">
        <is>
          <t>Aporte empleado</t>
        </is>
      </c>
      <c r="D17" s="68" t="n"/>
    </row>
    <row r="18" ht="20" customHeight="1">
      <c r="A18" s="68" t="inlineStr">
        <is>
          <t>INSSJP / PAMI</t>
        </is>
      </c>
      <c r="B18" s="71" t="n">
        <v>0.03</v>
      </c>
      <c r="C18" s="68" t="inlineStr">
        <is>
          <t>Aporte empleado</t>
        </is>
      </c>
      <c r="D18" s="68" t="n"/>
    </row>
    <row r="19" ht="20" customHeight="1">
      <c r="A19" s="68" t="inlineStr">
        <is>
          <t>Obra social</t>
        </is>
      </c>
      <c r="B19" s="71" t="n">
        <v>0.03</v>
      </c>
      <c r="C19" s="68" t="inlineStr">
        <is>
          <t>Aporte empleado</t>
        </is>
      </c>
      <c r="D19" s="68" t="n"/>
    </row>
    <row r="20" ht="20" customHeight="1">
      <c r="A20" s="68" t="inlineStr">
        <is>
          <t>Ganancia no imponible anual</t>
        </is>
      </c>
      <c r="B20" s="69" t="n">
        <v>6019671.36</v>
      </c>
      <c r="C20" s="68" t="inlineStr">
        <is>
          <t>Estimación 2° semestre 2026 (+16,8459%)</t>
        </is>
      </c>
      <c r="D20" s="68" t="n"/>
    </row>
    <row r="21" ht="20" customHeight="1">
      <c r="A21" s="68" t="inlineStr">
        <is>
          <t>Deducción especial empleado anual</t>
        </is>
      </c>
      <c r="B21" s="69" t="n">
        <v>28894422.56</v>
      </c>
      <c r="C21" s="68" t="inlineStr">
        <is>
          <t>Estimación Art. 30, inc. c), apartado 2</t>
        </is>
      </c>
      <c r="D21" s="68" t="n"/>
    </row>
    <row r="22" ht="20" customHeight="1">
      <c r="A22" s="68" t="inlineStr">
        <is>
          <t>Deducción anual por cónyuge</t>
        </is>
      </c>
      <c r="B22" s="69" t="n">
        <v>5669323.06</v>
      </c>
      <c r="C22" s="68" t="inlineStr">
        <is>
          <t>Estimación 2° semestre 2026</t>
        </is>
      </c>
      <c r="D22" s="68" t="n"/>
    </row>
    <row r="23" ht="20" customHeight="1">
      <c r="A23" s="68" t="inlineStr">
        <is>
          <t>Deducción anual por hijo</t>
        </is>
      </c>
      <c r="B23" s="69" t="n">
        <v>2859060.3</v>
      </c>
      <c r="C23" s="68" t="inlineStr">
        <is>
          <t>Estimación 2° semestre 2026</t>
        </is>
      </c>
      <c r="D23" s="68" t="n"/>
    </row>
    <row r="24" ht="20" customHeight="1">
      <c r="A24" s="68" t="inlineStr">
        <is>
          <t>Contribuciones patronales SUSS</t>
        </is>
      </c>
      <c r="B24" s="71" t="n">
        <v>0.204</v>
      </c>
      <c r="C24" s="68" t="inlineStr">
        <is>
          <t>Empresa grande de servicios/comercio</t>
        </is>
      </c>
      <c r="D24" s="68" t="n"/>
    </row>
    <row r="25" ht="20" customHeight="1">
      <c r="A25" s="68" t="inlineStr">
        <is>
          <t>Obra social patronal</t>
        </is>
      </c>
      <c r="B25" s="71" t="n">
        <v>0.06</v>
      </c>
      <c r="C25" s="68" t="inlineStr">
        <is>
          <t>Alícuota general</t>
        </is>
      </c>
      <c r="D25" s="68" t="n"/>
    </row>
    <row r="26" ht="20" customHeight="1"/>
    <row r="27" ht="20" customHeight="1">
      <c r="A27" s="66" t="inlineStr">
        <is>
          <t>RECIBO MENSUAL ESTIMADO</t>
        </is>
      </c>
    </row>
    <row r="28" ht="20" customHeight="1">
      <c r="A28" s="73" t="inlineStr">
        <is>
          <t>Bruto mensual total</t>
        </is>
      </c>
      <c r="B28" s="74">
        <f>B5+B6</f>
        <v/>
      </c>
      <c r="C28" s="73" t="inlineStr">
        <is>
          <t>Salario + remunerativos mensuales</t>
        </is>
      </c>
      <c r="D28" s="73" t="n"/>
    </row>
    <row r="29" ht="20" customHeight="1">
      <c r="A29" s="75" t="inlineStr">
        <is>
          <t>Base sujeta a aportes</t>
        </is>
      </c>
      <c r="B29" s="76">
        <f>MIN(B28,B16)</f>
        <v/>
      </c>
      <c r="C29" s="75" t="inlineStr">
        <is>
          <t>Tope julio 2026</t>
        </is>
      </c>
      <c r="D29" s="75" t="n"/>
    </row>
    <row r="30" ht="20" customHeight="1">
      <c r="A30" s="75" t="inlineStr">
        <is>
          <t>Jubilación (11%)</t>
        </is>
      </c>
      <c r="B30" s="76">
        <f>B29*B17</f>
        <v/>
      </c>
      <c r="C30" s="75" t="inlineStr">
        <is>
          <t>Descuento empleado</t>
        </is>
      </c>
      <c r="D30" s="75" t="n"/>
    </row>
    <row r="31" ht="20" customHeight="1">
      <c r="A31" s="75" t="inlineStr">
        <is>
          <t>PAMI (3%)</t>
        </is>
      </c>
      <c r="B31" s="76">
        <f>B29*B18</f>
        <v/>
      </c>
      <c r="C31" s="75" t="inlineStr">
        <is>
          <t>Descuento empleado</t>
        </is>
      </c>
      <c r="D31" s="75" t="n"/>
    </row>
    <row r="32" ht="20" customHeight="1">
      <c r="A32" s="75" t="inlineStr">
        <is>
          <t>Obra social (3%)</t>
        </is>
      </c>
      <c r="B32" s="76">
        <f>B29*B19</f>
        <v/>
      </c>
      <c r="C32" s="75" t="inlineStr">
        <is>
          <t>Descuento empleado</t>
        </is>
      </c>
      <c r="D32" s="75" t="n"/>
    </row>
    <row r="33" ht="20" customHeight="1">
      <c r="A33" s="75" t="inlineStr">
        <is>
          <t>Cuota sindical / otros</t>
        </is>
      </c>
      <c r="B33" s="76">
        <f>B28*B11</f>
        <v/>
      </c>
      <c r="C33" s="75" t="inlineStr">
        <is>
          <t>Editable</t>
        </is>
      </c>
      <c r="D33" s="75" t="n"/>
    </row>
    <row r="34" ht="20" customHeight="1">
      <c r="A34" s="77" t="inlineStr">
        <is>
          <t>Total aportes y otros</t>
        </is>
      </c>
      <c r="B34" s="78">
        <f>SUM(B30:B33)</f>
        <v/>
      </c>
      <c r="C34" s="77" t="inlineStr">
        <is>
          <t>Antes de Ganancias</t>
        </is>
      </c>
      <c r="D34" s="77" t="n"/>
    </row>
    <row r="35" ht="20" customHeight="1">
      <c r="A35" s="73" t="inlineStr">
        <is>
          <t>Neto antes de Ganancias</t>
        </is>
      </c>
      <c r="B35" s="74">
        <f>B28-B34</f>
        <v/>
      </c>
      <c r="C35" s="73" t="inlineStr"/>
      <c r="D35" s="73" t="n"/>
    </row>
    <row r="36" ht="20" customHeight="1"/>
    <row r="37" ht="20" customHeight="1">
      <c r="A37" s="66" t="inlineStr">
        <is>
          <t>GANANCIAS — PROYECCIÓN ANUALIZADA</t>
        </is>
      </c>
    </row>
    <row r="38" ht="20" customHeight="1">
      <c r="A38" s="75" t="inlineStr">
        <is>
          <t>Ingreso bruto anual proyectado</t>
        </is>
      </c>
      <c r="B38" s="76">
        <f>B28*12+B7</f>
        <v/>
      </c>
      <c r="C38" s="75" t="inlineStr">
        <is>
          <t>No incluye SAC ni equity/RSU</t>
        </is>
      </c>
      <c r="D38" s="75" t="n"/>
    </row>
    <row r="39" ht="20" customHeight="1">
      <c r="A39" s="75" t="inlineStr">
        <is>
          <t>Aportes anuales proyectados</t>
        </is>
      </c>
      <c r="B39" s="76">
        <f>SUM(B30:B32)*12</f>
        <v/>
      </c>
      <c r="C39" s="75" t="inlineStr">
        <is>
          <t>Bonus anual no aportado en esta simplificación</t>
        </is>
      </c>
      <c r="D39" s="75" t="n"/>
    </row>
    <row r="40" ht="20" customHeight="1">
      <c r="A40" s="75" t="inlineStr">
        <is>
          <t>Deducciones personales anuales</t>
        </is>
      </c>
      <c r="B40" s="76">
        <f>B20+B21+(B9*B22)+(B8*B23)+B10</f>
        <v/>
      </c>
      <c r="C40" s="75" t="inlineStr">
        <is>
          <t>MNI + especial + familia + SIRADIG</t>
        </is>
      </c>
      <c r="D40" s="75" t="n"/>
    </row>
    <row r="41" ht="20" customHeight="1">
      <c r="A41" s="75" t="inlineStr">
        <is>
          <t>Ganancia neta imponible anual</t>
        </is>
      </c>
      <c r="B41" s="76">
        <f>MAX(0,B38-B39-B40)</f>
        <v/>
      </c>
      <c r="C41" s="75" t="inlineStr">
        <is>
          <t>Base para escala Art. 94</t>
        </is>
      </c>
      <c r="D41" s="75" t="n"/>
    </row>
    <row r="42" ht="20" customHeight="1">
      <c r="A42" s="77" t="inlineStr">
        <is>
          <t>Ganancias anual estimada</t>
        </is>
      </c>
      <c r="B42" s="78">
        <f>IF(B41&lt;=2336953.69,B41*5%,IF(B41&lt;=4673907.37,116847.68+(B41-2336953.69)*9%,IF(B41&lt;=7010861.06,327173.51+(B41-4673907.37)*12%,IF(B41&lt;=10516291.59,607607.96+(B41-7010861.06)*15%,IF(B41&lt;=21032583.19,1133422.53+(B41-10516291.59)*19%,IF(B41&lt;=31548874.78,3131517.94+(B41-21032583.19)*23%,IF(B41&lt;=47323312.17,5550265.01+(B41-31548874.78)*27%,IF(B41&lt;=70984968.27,9809363.11+(B41-47323312.17)*31%,17144476.49+(B41-70984968.27)*35%))))))))</f>
        <v/>
      </c>
      <c r="C42" s="77" t="inlineStr">
        <is>
          <t>Escala anual estimada 2° semestre 2026</t>
        </is>
      </c>
      <c r="D42" s="77" t="n"/>
    </row>
    <row r="43" ht="20" customHeight="1">
      <c r="A43" s="77" t="inlineStr">
        <is>
          <t>Ganancias mensual promedio</t>
        </is>
      </c>
      <c r="B43" s="78">
        <f>B42/12</f>
        <v/>
      </c>
      <c r="C43" s="77" t="inlineStr">
        <is>
          <t>La retención real es acumulativa RG 4003</t>
        </is>
      </c>
      <c r="D43" s="77" t="n"/>
    </row>
    <row r="44" ht="20" customHeight="1">
      <c r="A44" s="73" t="inlineStr">
        <is>
          <t>NETO MENSUAL ESTIMADO</t>
        </is>
      </c>
      <c r="B44" s="74">
        <f>B35-B43</f>
        <v/>
      </c>
      <c r="C44" s="73" t="inlineStr">
        <is>
          <t>Sin SAC, bonus, RSU ni ajuste de retenciones previas</t>
        </is>
      </c>
      <c r="D44" s="73" t="n"/>
    </row>
    <row r="45" ht="20" customHeight="1">
      <c r="A45" s="73" t="inlineStr">
        <is>
          <t>Descuento efectivo total</t>
        </is>
      </c>
      <c r="B45" s="79">
        <f>IFERROR((B34+B43)/B28,0)</f>
        <v/>
      </c>
      <c r="C45" s="73" t="inlineStr">
        <is>
          <t>Aportes + Ganancias / bruto</t>
        </is>
      </c>
      <c r="D45" s="73" t="n"/>
    </row>
    <row r="46" ht="20" customHeight="1"/>
    <row r="47" ht="20" customHeight="1">
      <c r="A47" s="66" t="inlineStr">
        <is>
          <t>CARGAS SOCIALES Y COSTO MELI (EMPLEADOR)</t>
        </is>
      </c>
    </row>
    <row r="48" ht="20" customHeight="1">
      <c r="A48" s="75" t="inlineStr">
        <is>
          <t>Contribuciones SUSS (20,4%)</t>
        </is>
      </c>
      <c r="B48" s="76">
        <f>B28*B24</f>
        <v/>
      </c>
      <c r="C48" s="75" t="inlineStr">
        <is>
          <t>Estimación empresa grande servicios/comercio</t>
        </is>
      </c>
      <c r="D48" s="75" t="n"/>
    </row>
    <row r="49" ht="20" customHeight="1">
      <c r="A49" s="75" t="inlineStr">
        <is>
          <t>Obra social patronal (6%)</t>
        </is>
      </c>
      <c r="B49" s="76">
        <f>B28*B25</f>
        <v/>
      </c>
      <c r="C49" s="75" t="inlineStr"/>
      <c r="D49" s="75" t="n"/>
    </row>
    <row r="50" ht="20" customHeight="1">
      <c r="A50" s="75" t="inlineStr">
        <is>
          <t>ART estimada</t>
        </is>
      </c>
      <c r="B50" s="76">
        <f>B28*B12</f>
        <v/>
      </c>
      <c r="C50" s="75" t="inlineStr">
        <is>
          <t>No incluye suma fija FFEP</t>
        </is>
      </c>
      <c r="D50" s="75" t="n"/>
    </row>
    <row r="51" ht="20" customHeight="1">
      <c r="A51" s="77" t="inlineStr">
        <is>
          <t>Total cargas patronales</t>
        </is>
      </c>
      <c r="B51" s="78">
        <f>SUM(B48:B50)</f>
        <v/>
      </c>
      <c r="C51" s="77" t="inlineStr">
        <is>
          <t>No descuenta detracciones/beneficios</t>
        </is>
      </c>
      <c r="D51" s="77" t="n"/>
    </row>
    <row r="52" ht="20" customHeight="1">
      <c r="A52" s="73" t="inlineStr">
        <is>
          <t>COSTO MENSUAL MELI ESTIMADO</t>
        </is>
      </c>
      <c r="B52" s="74">
        <f>B28+B51</f>
        <v/>
      </c>
      <c r="C52" s="73" t="inlineStr">
        <is>
          <t>Bruto + cargas patronales</t>
        </is>
      </c>
      <c r="D52" s="73" t="n"/>
    </row>
    <row r="53" ht="20" customHeight="1">
      <c r="A53" s="73" t="inlineStr">
        <is>
          <t>Tasa patronal efectiva</t>
        </is>
      </c>
      <c r="B53" s="79">
        <f>IFERROR(B51/B28,0)</f>
        <v/>
      </c>
      <c r="C53" s="73" t="inlineStr"/>
      <c r="D53" s="73" t="n"/>
    </row>
    <row r="54" ht="20" customHeight="1"/>
    <row r="55" ht="20" customHeight="1">
      <c r="A55" s="66" t="inlineStr">
        <is>
          <t>ESCALA ART. 94 — ESTIMADA 2° SEMESTRE 2026</t>
        </is>
      </c>
    </row>
    <row r="56" ht="20" customHeight="1">
      <c r="A56" s="80" t="inlineStr">
        <is>
          <t>Más de</t>
        </is>
      </c>
      <c r="B56" s="80" t="inlineStr">
        <is>
          <t>Hasta</t>
        </is>
      </c>
      <c r="C56" s="80" t="inlineStr">
        <is>
          <t>Importe fijo</t>
        </is>
      </c>
      <c r="D56" s="80" t="inlineStr">
        <is>
          <t>Alícuota</t>
        </is>
      </c>
      <c r="E56" s="80" t="inlineStr">
        <is>
          <t>Sobre excedente de</t>
        </is>
      </c>
    </row>
    <row r="57" ht="20" customHeight="1">
      <c r="A57" s="81" t="n">
        <v>0</v>
      </c>
      <c r="B57" s="81" t="n">
        <v>2336953.69</v>
      </c>
      <c r="C57" s="81" t="n">
        <v>0</v>
      </c>
      <c r="D57" s="82" t="n">
        <v>0.05</v>
      </c>
      <c r="E57" s="81" t="n">
        <v>0</v>
      </c>
    </row>
    <row r="58" ht="20" customHeight="1">
      <c r="A58" s="81" t="n">
        <v>2336953.69</v>
      </c>
      <c r="B58" s="81" t="n">
        <v>4673907.37</v>
      </c>
      <c r="C58" s="81" t="n">
        <v>116847.68</v>
      </c>
      <c r="D58" s="82" t="n">
        <v>0.09</v>
      </c>
      <c r="E58" s="81" t="n">
        <v>2336953.69</v>
      </c>
    </row>
    <row r="59" ht="20" customHeight="1">
      <c r="A59" s="81" t="n">
        <v>4673907.37</v>
      </c>
      <c r="B59" s="81" t="n">
        <v>7010861.06</v>
      </c>
      <c r="C59" s="81" t="n">
        <v>327173.51</v>
      </c>
      <c r="D59" s="82" t="n">
        <v>0.12</v>
      </c>
      <c r="E59" s="81" t="n">
        <v>4673907.37</v>
      </c>
    </row>
    <row r="60" ht="20" customHeight="1">
      <c r="A60" s="81" t="n">
        <v>7010861.06</v>
      </c>
      <c r="B60" s="81" t="n">
        <v>10516291.59</v>
      </c>
      <c r="C60" s="81" t="n">
        <v>607607.96</v>
      </c>
      <c r="D60" s="82" t="n">
        <v>0.15</v>
      </c>
      <c r="E60" s="81" t="n">
        <v>7010861.06</v>
      </c>
    </row>
    <row r="61" ht="20" customHeight="1">
      <c r="A61" s="81" t="n">
        <v>10516291.59</v>
      </c>
      <c r="B61" s="81" t="n">
        <v>21032583.19</v>
      </c>
      <c r="C61" s="81" t="n">
        <v>1133422.53</v>
      </c>
      <c r="D61" s="82" t="n">
        <v>0.19</v>
      </c>
      <c r="E61" s="81" t="n">
        <v>10516291.59</v>
      </c>
    </row>
    <row r="62" ht="20" customHeight="1">
      <c r="A62" s="81" t="n">
        <v>21032583.19</v>
      </c>
      <c r="B62" s="81" t="n">
        <v>31548874.78</v>
      </c>
      <c r="C62" s="81" t="n">
        <v>3131517.94</v>
      </c>
      <c r="D62" s="82" t="n">
        <v>0.23</v>
      </c>
      <c r="E62" s="81" t="n">
        <v>21032583.19</v>
      </c>
    </row>
    <row r="63" ht="20" customHeight="1">
      <c r="A63" s="81" t="n">
        <v>31548874.78</v>
      </c>
      <c r="B63" s="81" t="n">
        <v>47323312.17</v>
      </c>
      <c r="C63" s="81" t="n">
        <v>5550265.01</v>
      </c>
      <c r="D63" s="82" t="n">
        <v>0.27</v>
      </c>
      <c r="E63" s="81" t="n">
        <v>31548874.78</v>
      </c>
    </row>
    <row r="64" ht="20" customHeight="1">
      <c r="A64" s="81" t="n">
        <v>47323312.17</v>
      </c>
      <c r="B64" s="81" t="n">
        <v>70984968.27</v>
      </c>
      <c r="C64" s="81" t="n">
        <v>9809363.109999999</v>
      </c>
      <c r="D64" s="82" t="n">
        <v>0.31</v>
      </c>
      <c r="E64" s="81" t="n">
        <v>47323312.17</v>
      </c>
    </row>
    <row r="65" ht="20" customHeight="1">
      <c r="A65" s="81" t="n">
        <v>70984968.27</v>
      </c>
      <c r="B65" s="81" t="n"/>
      <c r="C65" s="81" t="n">
        <v>17144476.49</v>
      </c>
      <c r="D65" s="82" t="n">
        <v>0.35</v>
      </c>
      <c r="E65" s="81" t="n">
        <v>70984968.27</v>
      </c>
    </row>
    <row r="66" ht="20" customHeight="1"/>
    <row r="67" ht="20" customHeight="1"/>
    <row r="68" ht="20" customHeight="1">
      <c r="A68" s="66" t="inlineStr">
        <is>
          <t>ALCANCE Y FUENTES</t>
        </is>
      </c>
    </row>
    <row r="69" ht="34" customHeight="1">
      <c r="A69" s="83" t="inlineStr">
        <is>
          <t>• Ganancias es una proyección anual promedio. Payroll retiene acumulativamente desde enero (RG 4003), por lo que el recibo real puede diferir.</t>
        </is>
      </c>
    </row>
    <row r="70" ht="34" customHeight="1">
      <c r="A70" s="83" t="inlineStr">
        <is>
          <t>• No incluye SAC, bonos no cargados, RSU/equity, remuneraciones no habituales, reintegros, deducciones SIRADIG ni retenciones previas.</t>
        </is>
      </c>
    </row>
    <row r="71" ht="34" customHeight="1">
      <c r="A71" s="83" t="inlineStr">
        <is>
          <t>• Tope de aportes julio 2026: Res. ANSES 186/2026, base máxima ARS 4.509.567,41.</t>
        </is>
      </c>
    </row>
    <row r="72" ht="34" customHeight="1">
      <c r="A72" s="83" t="inlineStr">
        <is>
          <t>• Deducciones y escala de Ganancias: actualización estimada por IPC 16,8459265%; validar contra tablas definitivas de ARCA.</t>
        </is>
      </c>
    </row>
    <row r="73" ht="34" customHeight="1">
      <c r="A73" s="83" t="inlineStr">
        <is>
          <t>• Cargas patronales: 20,4% SUSS + 6% obra social + ART editable. No incluye detracciones, FFEP ni beneficios particulares del empleador.</t>
        </is>
      </c>
    </row>
    <row r="74" ht="34" customHeight="1">
      <c r="A74" s="83" t="inlineStr">
        <is>
          <t>• Fuentes: ARCA (Art. 30 y Art. 94), ANSES Res. 186/2026, Ley 27.541 art. 19.</t>
        </is>
      </c>
    </row>
    <row r="75" ht="34" customHeight="1">
      <c r="A75" s="83" t="inlineStr">
        <is>
          <t>• Recibo julio 2026: básico ARS 12.662.386 + Beneficio Auto ARS 360.000 = bruto ARS 13.022.386; neto ARS 8.784.847,44; pago 01/08/2026.</t>
        </is>
      </c>
    </row>
    <row r="77">
      <c r="A77" s="84" t="inlineStr">
        <is>
          <t>RECIBOS MELI REALES 2026 — SUELDOS, BONO Y SAC</t>
        </is>
      </c>
    </row>
    <row r="78">
      <c r="A78" s="85" t="inlineStr">
        <is>
          <t>Período</t>
        </is>
      </c>
      <c r="B78" s="85" t="inlineStr">
        <is>
          <t>Tipo</t>
        </is>
      </c>
      <c r="C78" s="85" t="inlineStr">
        <is>
          <t>Fecha pago</t>
        </is>
      </c>
      <c r="D78" s="85" t="inlineStr">
        <is>
          <t>Básico</t>
        </is>
      </c>
      <c r="E78" s="85" t="inlineStr">
        <is>
          <t>Otros haberes netos</t>
        </is>
      </c>
      <c r="F78" s="85" t="inlineStr">
        <is>
          <t>Haberes totales</t>
        </is>
      </c>
      <c r="G78" s="85" t="inlineStr">
        <is>
          <t>SIJP</t>
        </is>
      </c>
      <c r="H78" s="85" t="inlineStr">
        <is>
          <t>PAMI</t>
        </is>
      </c>
      <c r="I78" s="85" t="inlineStr">
        <is>
          <t>Obra social</t>
        </is>
      </c>
      <c r="J78" s="85" t="inlineStr">
        <is>
          <t>Ganancias</t>
        </is>
      </c>
      <c r="K78" s="85" t="inlineStr">
        <is>
          <t>Otros descuentos</t>
        </is>
      </c>
      <c r="L78" s="85" t="inlineStr">
        <is>
          <t>Ajustes / devoluciones</t>
        </is>
      </c>
      <c r="M78" s="85" t="inlineStr">
        <is>
          <t>Descuentos netos</t>
        </is>
      </c>
      <c r="N78" s="85" t="inlineStr">
        <is>
          <t>Neto pagado</t>
        </is>
      </c>
      <c r="O78" s="85" t="inlineStr">
        <is>
          <t>Archivo fuente</t>
        </is>
      </c>
      <c r="P78" s="85" t="inlineStr">
        <is>
          <t>Conciliación</t>
        </is>
      </c>
    </row>
    <row r="79">
      <c r="A79" s="86" t="inlineStr">
        <is>
          <t>Enero</t>
        </is>
      </c>
      <c r="B79" s="75" t="inlineStr">
        <is>
          <t>Sueldo</t>
        </is>
      </c>
      <c r="C79" s="87" t="n">
        <v>46054</v>
      </c>
      <c r="D79" s="93" t="n">
        <v>7906085</v>
      </c>
      <c r="E79" s="93" t="n">
        <v>180000</v>
      </c>
      <c r="F79" s="93" t="n">
        <v>8086085</v>
      </c>
      <c r="G79" s="93" t="n">
        <v>420571.02</v>
      </c>
      <c r="H79" s="93" t="n">
        <v>114701.19</v>
      </c>
      <c r="I79" s="93" t="n">
        <v>114701.19</v>
      </c>
      <c r="J79" s="93" t="n">
        <v>1221703.83</v>
      </c>
      <c r="K79" s="93" t="n">
        <v>21900</v>
      </c>
      <c r="L79" s="93" t="n">
        <v>0</v>
      </c>
      <c r="M79" s="93" t="n">
        <v>1893577.23</v>
      </c>
      <c r="N79" s="94" t="n">
        <v>6192507.77</v>
      </c>
      <c r="O79" s="86" t="inlineStr">
        <is>
          <t>ENERO.pdf</t>
        </is>
      </c>
      <c r="P79" s="93">
        <f>ROUND(F79-M79-N79,2)</f>
        <v/>
      </c>
    </row>
    <row r="80">
      <c r="A80" s="86" t="inlineStr">
        <is>
          <t>Febrero</t>
        </is>
      </c>
      <c r="B80" s="75" t="inlineStr">
        <is>
          <t>Sueldo</t>
        </is>
      </c>
      <c r="C80" s="87" t="n">
        <v>46082</v>
      </c>
      <c r="D80" s="93" t="n">
        <v>7906085</v>
      </c>
      <c r="E80" s="93" t="n">
        <v>208000</v>
      </c>
      <c r="F80" s="93" t="n">
        <v>8114085</v>
      </c>
      <c r="G80" s="93" t="n">
        <v>432557.3</v>
      </c>
      <c r="H80" s="93" t="n">
        <v>117970.17</v>
      </c>
      <c r="I80" s="93" t="n">
        <v>117970.17</v>
      </c>
      <c r="J80" s="93" t="n">
        <v>1425004.25</v>
      </c>
      <c r="K80" s="93" t="n">
        <v>21900</v>
      </c>
      <c r="L80" s="93" t="n">
        <v>0</v>
      </c>
      <c r="M80" s="93" t="n">
        <v>2115401.89</v>
      </c>
      <c r="N80" s="94" t="n">
        <v>5998683.11</v>
      </c>
      <c r="O80" s="86" t="inlineStr">
        <is>
          <t>FEBRERO.pdf</t>
        </is>
      </c>
      <c r="P80" s="93">
        <f>ROUND(F80-M80-N80,2)</f>
        <v/>
      </c>
    </row>
    <row r="81">
      <c r="A81" s="86" t="inlineStr">
        <is>
          <t>Marzo</t>
        </is>
      </c>
      <c r="B81" s="75" t="inlineStr">
        <is>
          <t>Sueldo + retroactivo</t>
        </is>
      </c>
      <c r="C81" s="87" t="n">
        <v>46113</v>
      </c>
      <c r="D81" s="93" t="n">
        <v>11305702</v>
      </c>
      <c r="E81" s="93" t="n">
        <v>7007234</v>
      </c>
      <c r="F81" s="93" t="n">
        <v>18312936</v>
      </c>
      <c r="G81" s="93" t="n">
        <v>445014.95</v>
      </c>
      <c r="H81" s="93" t="n">
        <v>121367.71</v>
      </c>
      <c r="I81" s="93" t="n">
        <v>121367.71</v>
      </c>
      <c r="J81" s="93" t="n">
        <v>4658857.2</v>
      </c>
      <c r="K81" s="93" t="n">
        <v>21900</v>
      </c>
      <c r="L81" s="93" t="n">
        <v>0</v>
      </c>
      <c r="M81" s="93" t="n">
        <v>5368507.57</v>
      </c>
      <c r="N81" s="94" t="n">
        <v>12944428.43</v>
      </c>
      <c r="O81" s="86" t="inlineStr">
        <is>
          <t>MARZO.pdf</t>
        </is>
      </c>
      <c r="P81" s="93">
        <f>ROUND(F81-M81-N81,2)</f>
        <v/>
      </c>
    </row>
    <row r="82">
      <c r="A82" s="86" t="inlineStr">
        <is>
          <t>Abril</t>
        </is>
      </c>
      <c r="B82" s="75" t="inlineStr">
        <is>
          <t>Bono anual / transición</t>
        </is>
      </c>
      <c r="C82" s="87" t="n">
        <v>46118</v>
      </c>
      <c r="D82" s="93" t="n">
        <v>0</v>
      </c>
      <c r="E82" s="93" t="n">
        <v>23717162.5</v>
      </c>
      <c r="F82" s="93" t="n">
        <v>23717162.5</v>
      </c>
      <c r="G82" s="93" t="n">
        <v>445014.95</v>
      </c>
      <c r="H82" s="93" t="n">
        <v>121367.71</v>
      </c>
      <c r="I82" s="93" t="n">
        <v>121367.71</v>
      </c>
      <c r="J82" s="93" t="n">
        <v>3120893.08</v>
      </c>
      <c r="K82" s="93" t="n">
        <v>0</v>
      </c>
      <c r="L82" s="93" t="n">
        <v>0</v>
      </c>
      <c r="M82" s="93" t="n">
        <v>3808643.45</v>
      </c>
      <c r="N82" s="94" t="n">
        <v>19908519.05</v>
      </c>
      <c r="O82" s="86" t="inlineStr">
        <is>
          <t>ABRIL BONO.pdf</t>
        </is>
      </c>
      <c r="P82" s="93">
        <f>ROUND(F82-M82-N82,2)</f>
        <v/>
      </c>
    </row>
    <row r="83">
      <c r="A83" s="86" t="inlineStr">
        <is>
          <t>Abril</t>
        </is>
      </c>
      <c r="B83" s="75" t="inlineStr">
        <is>
          <t>Sueldo + vacaciones</t>
        </is>
      </c>
      <c r="C83" s="87" t="n">
        <v>46143</v>
      </c>
      <c r="D83" s="93" t="n">
        <v>11305702</v>
      </c>
      <c r="E83" s="93" t="n">
        <v>2168752.32</v>
      </c>
      <c r="F83" s="93" t="n">
        <v>13474454.32</v>
      </c>
      <c r="G83" s="93" t="n">
        <v>12905.43</v>
      </c>
      <c r="H83" s="93" t="n">
        <v>3519.66</v>
      </c>
      <c r="I83" s="93" t="n">
        <v>3519.66</v>
      </c>
      <c r="J83" s="93" t="n">
        <v>3813479.69</v>
      </c>
      <c r="K83" s="93" t="n">
        <v>23400</v>
      </c>
      <c r="L83" s="93" t="n">
        <v>-3564748.04</v>
      </c>
      <c r="M83" s="93" t="n">
        <v>292076.4</v>
      </c>
      <c r="N83" s="94" t="n">
        <v>13182377.92</v>
      </c>
      <c r="O83" s="86" t="inlineStr">
        <is>
          <t>ABRIL.pdf</t>
        </is>
      </c>
      <c r="P83" s="93">
        <f>ROUND(F83-M83-N83,2)</f>
        <v/>
      </c>
    </row>
    <row r="84">
      <c r="A84" s="86" t="inlineStr">
        <is>
          <t>Mayo</t>
        </is>
      </c>
      <c r="B84" s="75" t="inlineStr">
        <is>
          <t>Sueldo</t>
        </is>
      </c>
      <c r="C84" s="87" t="n">
        <v>46174</v>
      </c>
      <c r="D84" s="93" t="n">
        <v>11305702</v>
      </c>
      <c r="E84" s="93" t="n">
        <v>312000</v>
      </c>
      <c r="F84" s="93" t="n">
        <v>11617702</v>
      </c>
      <c r="G84" s="93" t="n">
        <v>473398.09</v>
      </c>
      <c r="H84" s="93" t="n">
        <v>129108.57</v>
      </c>
      <c r="I84" s="93" t="n">
        <v>129108.57</v>
      </c>
      <c r="J84" s="93" t="n">
        <v>3415603.09</v>
      </c>
      <c r="K84" s="93" t="n">
        <v>23400</v>
      </c>
      <c r="L84" s="93" t="n">
        <v>0</v>
      </c>
      <c r="M84" s="93" t="n">
        <v>4170618.32</v>
      </c>
      <c r="N84" s="94" t="n">
        <v>7447083.68</v>
      </c>
      <c r="O84" s="86" t="inlineStr">
        <is>
          <t>MAYO.pdf</t>
        </is>
      </c>
      <c r="P84" s="93">
        <f>ROUND(F84-M84-N84,2)</f>
        <v/>
      </c>
    </row>
    <row r="85">
      <c r="A85" s="86" t="inlineStr">
        <is>
          <t>Junio</t>
        </is>
      </c>
      <c r="B85" s="75" t="inlineStr">
        <is>
          <t>SAC 1° semestre</t>
        </is>
      </c>
      <c r="C85" s="87" t="n">
        <v>46196</v>
      </c>
      <c r="D85" s="93" t="n">
        <v>0</v>
      </c>
      <c r="E85" s="93" t="n">
        <v>6622090.14</v>
      </c>
      <c r="F85" s="93" t="n">
        <v>6622090.14</v>
      </c>
      <c r="G85" s="93" t="n">
        <v>242805.88</v>
      </c>
      <c r="H85" s="93" t="n">
        <v>66219.78999999999</v>
      </c>
      <c r="I85" s="93" t="n">
        <v>66219.78999999999</v>
      </c>
      <c r="J85" s="93" t="n">
        <v>536087.26</v>
      </c>
      <c r="K85" s="93" t="n">
        <v>0</v>
      </c>
      <c r="L85" s="93" t="n">
        <v>0</v>
      </c>
      <c r="M85" s="93" t="n">
        <v>911332.72</v>
      </c>
      <c r="N85" s="94" t="n">
        <v>5710757.42</v>
      </c>
      <c r="O85" s="86" t="inlineStr">
        <is>
          <t>SAC.pdf</t>
        </is>
      </c>
      <c r="P85" s="93">
        <f>ROUND(F85-M85-N85,2)</f>
        <v/>
      </c>
    </row>
    <row r="86">
      <c r="A86" s="86" t="inlineStr">
        <is>
          <t>Junio</t>
        </is>
      </c>
      <c r="B86" s="75" t="inlineStr">
        <is>
          <t>Sueldo</t>
        </is>
      </c>
      <c r="C86" s="87" t="n">
        <v>46204</v>
      </c>
      <c r="D86" s="93" t="n">
        <v>11305702</v>
      </c>
      <c r="E86" s="93" t="n">
        <v>312000</v>
      </c>
      <c r="F86" s="93" t="n">
        <v>11617702</v>
      </c>
      <c r="G86" s="93" t="n">
        <v>485611.76</v>
      </c>
      <c r="H86" s="93" t="n">
        <v>132439.57</v>
      </c>
      <c r="I86" s="93" t="n">
        <v>132439.57</v>
      </c>
      <c r="J86" s="93" t="n">
        <v>3408446.06</v>
      </c>
      <c r="K86" s="93" t="n">
        <v>23400</v>
      </c>
      <c r="L86" s="93" t="n">
        <v>0</v>
      </c>
      <c r="M86" s="93" t="n">
        <v>4182336.96</v>
      </c>
      <c r="N86" s="94" t="n">
        <v>7435365.04</v>
      </c>
      <c r="O86" s="86" t="inlineStr">
        <is>
          <t>JUNIO.pdf</t>
        </is>
      </c>
      <c r="P86" s="93">
        <f>ROUND(F86-M86-N86,2)</f>
        <v/>
      </c>
    </row>
    <row r="87">
      <c r="A87" s="86" t="inlineStr">
        <is>
          <t>Julio</t>
        </is>
      </c>
      <c r="B87" s="75" t="inlineStr">
        <is>
          <t>Sueldo</t>
        </is>
      </c>
      <c r="C87" s="87" t="n">
        <v>46235</v>
      </c>
      <c r="D87" s="93" t="n">
        <v>12662386</v>
      </c>
      <c r="E87" s="93" t="n">
        <v>360000</v>
      </c>
      <c r="F87" s="93" t="n">
        <v>13022386</v>
      </c>
      <c r="G87" s="93" t="n">
        <v>496052.42</v>
      </c>
      <c r="H87" s="93" t="n">
        <v>135287.02</v>
      </c>
      <c r="I87" s="93" t="n">
        <v>135287.02</v>
      </c>
      <c r="J87" s="93" t="n">
        <v>3445112.1</v>
      </c>
      <c r="K87" s="93" t="n">
        <v>25800</v>
      </c>
      <c r="L87" s="93" t="n">
        <v>0</v>
      </c>
      <c r="M87" s="93" t="n">
        <v>4237538.56</v>
      </c>
      <c r="N87" s="94" t="n">
        <v>8784847.439999999</v>
      </c>
      <c r="O87" s="86" t="inlineStr">
        <is>
          <t>Tu Recibo.pdf</t>
        </is>
      </c>
      <c r="P87" s="93">
        <f>ROUND(F87-M87-N87,2)</f>
        <v/>
      </c>
    </row>
    <row r="88">
      <c r="A88" s="90" t="inlineStr">
        <is>
          <t>TOTAL RECIBOS</t>
        </is>
      </c>
      <c r="B88" s="68" t="n"/>
      <c r="C88" s="68" t="n"/>
      <c r="D88" s="95">
        <f>SUM(D79:D87)</f>
        <v/>
      </c>
      <c r="E88" s="95">
        <f>SUM(E79:E87)</f>
        <v/>
      </c>
      <c r="F88" s="95">
        <f>SUM(F79:F87)</f>
        <v/>
      </c>
      <c r="G88" s="95">
        <f>SUM(G79:G87)</f>
        <v/>
      </c>
      <c r="H88" s="95">
        <f>SUM(H79:H87)</f>
        <v/>
      </c>
      <c r="I88" s="95">
        <f>SUM(I79:I87)</f>
        <v/>
      </c>
      <c r="J88" s="95">
        <f>SUM(J79:J87)</f>
        <v/>
      </c>
      <c r="K88" s="95">
        <f>SUM(K79:K87)</f>
        <v/>
      </c>
      <c r="L88" s="95">
        <f>SUM(L79:L87)</f>
        <v/>
      </c>
      <c r="M88" s="95">
        <f>SUM(M79:M87)</f>
        <v/>
      </c>
      <c r="N88" s="95">
        <f>SUM(N79:N87)</f>
        <v/>
      </c>
      <c r="O88" s="68" t="n"/>
      <c r="P88" s="96">
        <f>ROUND(F88-M88-N88,2)</f>
        <v/>
      </c>
    </row>
    <row r="89"/>
    <row r="90">
      <c r="A90" s="84" t="inlineStr">
        <is>
          <t>DETALLE EXTRAÍDO DE CONCEPTOS</t>
        </is>
      </c>
    </row>
    <row r="91">
      <c r="A91" s="80" t="inlineStr">
        <is>
          <t>Período</t>
        </is>
      </c>
      <c r="B91" s="80" t="inlineStr">
        <is>
          <t>Tipo recibo</t>
        </is>
      </c>
      <c r="C91" s="80" t="inlineStr">
        <is>
          <t>Fecha pago</t>
        </is>
      </c>
      <c r="D91" s="80" t="inlineStr">
        <is>
          <t>Concepto</t>
        </is>
      </c>
      <c r="E91" s="80" t="inlineStr">
        <is>
          <t>Clase</t>
        </is>
      </c>
      <c r="F91" s="80" t="inlineStr">
        <is>
          <t>Importe</t>
        </is>
      </c>
      <c r="G91" s="80" t="inlineStr">
        <is>
          <t>Archivo fuente</t>
        </is>
      </c>
    </row>
    <row r="92">
      <c r="A92" s="86" t="inlineStr">
        <is>
          <t>Enero</t>
        </is>
      </c>
      <c r="B92" s="86" t="inlineStr">
        <is>
          <t>Sueldo</t>
        </is>
      </c>
      <c r="C92" s="87" t="n">
        <v>46054</v>
      </c>
      <c r="D92" s="86" t="inlineStr">
        <is>
          <t>Sueldo Básico</t>
        </is>
      </c>
      <c r="E92" s="86" t="inlineStr">
        <is>
          <t>Haber</t>
        </is>
      </c>
      <c r="F92" s="93" t="n">
        <v>7906085</v>
      </c>
      <c r="G92" s="86" t="inlineStr">
        <is>
          <t>ENERO.pdf</t>
        </is>
      </c>
    </row>
    <row r="93">
      <c r="A93" s="86" t="inlineStr">
        <is>
          <t>Enero</t>
        </is>
      </c>
      <c r="B93" s="86" t="inlineStr">
        <is>
          <t>Sueldo</t>
        </is>
      </c>
      <c r="C93" s="87" t="n">
        <v>46054</v>
      </c>
      <c r="D93" s="86" t="inlineStr">
        <is>
          <t>Beneficio Auto</t>
        </is>
      </c>
      <c r="E93" s="86" t="inlineStr">
        <is>
          <t>Haber</t>
        </is>
      </c>
      <c r="F93" s="93" t="n">
        <v>180000</v>
      </c>
      <c r="G93" s="86" t="inlineStr">
        <is>
          <t>ENERO.pdf</t>
        </is>
      </c>
    </row>
    <row r="94">
      <c r="A94" s="86" t="inlineStr">
        <is>
          <t>Enero</t>
        </is>
      </c>
      <c r="B94" s="86" t="inlineStr">
        <is>
          <t>Sueldo</t>
        </is>
      </c>
      <c r="C94" s="87" t="n">
        <v>46054</v>
      </c>
      <c r="D94" s="86" t="inlineStr">
        <is>
          <t>Aporte SIJP sobre sueldo</t>
        </is>
      </c>
      <c r="E94" s="86" t="inlineStr">
        <is>
          <t>Descuento</t>
        </is>
      </c>
      <c r="F94" s="93" t="n">
        <v>420571.02</v>
      </c>
      <c r="G94" s="86" t="inlineStr">
        <is>
          <t>ENERO.pdf</t>
        </is>
      </c>
    </row>
    <row r="95">
      <c r="A95" s="86" t="inlineStr">
        <is>
          <t>Enero</t>
        </is>
      </c>
      <c r="B95" s="86" t="inlineStr">
        <is>
          <t>Sueldo</t>
        </is>
      </c>
      <c r="C95" s="87" t="n">
        <v>46054</v>
      </c>
      <c r="D95" s="86" t="inlineStr">
        <is>
          <t>Aporte INSSJP sobre sueldo</t>
        </is>
      </c>
      <c r="E95" s="86" t="inlineStr">
        <is>
          <t>Descuento</t>
        </is>
      </c>
      <c r="F95" s="93" t="n">
        <v>114701.19</v>
      </c>
      <c r="G95" s="86" t="inlineStr">
        <is>
          <t>ENERO.pdf</t>
        </is>
      </c>
    </row>
    <row r="96">
      <c r="A96" s="86" t="inlineStr">
        <is>
          <t>Enero</t>
        </is>
      </c>
      <c r="B96" s="86" t="inlineStr">
        <is>
          <t>Sueldo</t>
        </is>
      </c>
      <c r="C96" s="87" t="n">
        <v>46054</v>
      </c>
      <c r="D96" s="86" t="inlineStr">
        <is>
          <t>Aporte Obra Social sobre sueldo</t>
        </is>
      </c>
      <c r="E96" s="86" t="inlineStr">
        <is>
          <t>Descuento</t>
        </is>
      </c>
      <c r="F96" s="93" t="n">
        <v>114701.19</v>
      </c>
      <c r="G96" s="86" t="inlineStr">
        <is>
          <t>ENERO.pdf</t>
        </is>
      </c>
    </row>
    <row r="97">
      <c r="A97" s="86" t="inlineStr">
        <is>
          <t>Enero</t>
        </is>
      </c>
      <c r="B97" s="86" t="inlineStr">
        <is>
          <t>Sueldo</t>
        </is>
      </c>
      <c r="C97" s="87" t="n">
        <v>46054</v>
      </c>
      <c r="D97" s="86" t="inlineStr">
        <is>
          <t>Impuesto pagado/devuelto</t>
        </is>
      </c>
      <c r="E97" s="86" t="inlineStr">
        <is>
          <t>Descuento Ganancias</t>
        </is>
      </c>
      <c r="F97" s="93" t="n">
        <v>1221703.83</v>
      </c>
      <c r="G97" s="86" t="inlineStr">
        <is>
          <t>ENERO.pdf</t>
        </is>
      </c>
    </row>
    <row r="98">
      <c r="A98" s="86" t="inlineStr">
        <is>
          <t>Enero</t>
        </is>
      </c>
      <c r="B98" s="86" t="inlineStr">
        <is>
          <t>Sueldo</t>
        </is>
      </c>
      <c r="C98" s="87" t="n">
        <v>46054</v>
      </c>
      <c r="D98" s="86" t="inlineStr">
        <is>
          <t>Dto Gimnasio</t>
        </is>
      </c>
      <c r="E98" s="86" t="inlineStr">
        <is>
          <t>Descuento</t>
        </is>
      </c>
      <c r="F98" s="93" t="n">
        <v>21900</v>
      </c>
      <c r="G98" s="86" t="inlineStr">
        <is>
          <t>ENERO.pdf</t>
        </is>
      </c>
    </row>
    <row r="99">
      <c r="A99" s="86" t="inlineStr">
        <is>
          <t>Febrero</t>
        </is>
      </c>
      <c r="B99" s="86" t="inlineStr">
        <is>
          <t>Sueldo</t>
        </is>
      </c>
      <c r="C99" s="87" t="n">
        <v>46082</v>
      </c>
      <c r="D99" s="86" t="inlineStr">
        <is>
          <t>Sueldo Básico</t>
        </is>
      </c>
      <c r="E99" s="86" t="inlineStr">
        <is>
          <t>Haber</t>
        </is>
      </c>
      <c r="F99" s="93" t="n">
        <v>7906085</v>
      </c>
      <c r="G99" s="86" t="inlineStr">
        <is>
          <t>FEBRERO.pdf</t>
        </is>
      </c>
    </row>
    <row r="100">
      <c r="A100" s="86" t="inlineStr">
        <is>
          <t>Febrero</t>
        </is>
      </c>
      <c r="B100" s="86" t="inlineStr">
        <is>
          <t>Sueldo</t>
        </is>
      </c>
      <c r="C100" s="87" t="n">
        <v>46082</v>
      </c>
      <c r="D100" s="86" t="inlineStr">
        <is>
          <t>Beneficio Auto</t>
        </is>
      </c>
      <c r="E100" s="86" t="inlineStr">
        <is>
          <t>Haber</t>
        </is>
      </c>
      <c r="F100" s="93" t="n">
        <v>208000</v>
      </c>
      <c r="G100" s="86" t="inlineStr">
        <is>
          <t>FEBRERO.pdf</t>
        </is>
      </c>
    </row>
    <row r="101">
      <c r="A101" s="86" t="inlineStr">
        <is>
          <t>Febrero</t>
        </is>
      </c>
      <c r="B101" s="86" t="inlineStr">
        <is>
          <t>Sueldo</t>
        </is>
      </c>
      <c r="C101" s="87" t="n">
        <v>46082</v>
      </c>
      <c r="D101" s="86" t="inlineStr">
        <is>
          <t>Aporte SIJP sobre sueldo</t>
        </is>
      </c>
      <c r="E101" s="86" t="inlineStr">
        <is>
          <t>Descuento</t>
        </is>
      </c>
      <c r="F101" s="93" t="n">
        <v>432557.3</v>
      </c>
      <c r="G101" s="86" t="inlineStr">
        <is>
          <t>FEBRERO.pdf</t>
        </is>
      </c>
    </row>
    <row r="102">
      <c r="A102" s="86" t="inlineStr">
        <is>
          <t>Febrero</t>
        </is>
      </c>
      <c r="B102" s="86" t="inlineStr">
        <is>
          <t>Sueldo</t>
        </is>
      </c>
      <c r="C102" s="87" t="n">
        <v>46082</v>
      </c>
      <c r="D102" s="86" t="inlineStr">
        <is>
          <t>Aporte INSSJP sobre sueldo</t>
        </is>
      </c>
      <c r="E102" s="86" t="inlineStr">
        <is>
          <t>Descuento</t>
        </is>
      </c>
      <c r="F102" s="93" t="n">
        <v>117970.17</v>
      </c>
      <c r="G102" s="86" t="inlineStr">
        <is>
          <t>FEBRERO.pdf</t>
        </is>
      </c>
    </row>
    <row r="103">
      <c r="A103" s="86" t="inlineStr">
        <is>
          <t>Febrero</t>
        </is>
      </c>
      <c r="B103" s="86" t="inlineStr">
        <is>
          <t>Sueldo</t>
        </is>
      </c>
      <c r="C103" s="87" t="n">
        <v>46082</v>
      </c>
      <c r="D103" s="86" t="inlineStr">
        <is>
          <t>Aporte Obra Social sobre sueldo</t>
        </is>
      </c>
      <c r="E103" s="86" t="inlineStr">
        <is>
          <t>Descuento</t>
        </is>
      </c>
      <c r="F103" s="93" t="n">
        <v>117970.17</v>
      </c>
      <c r="G103" s="86" t="inlineStr">
        <is>
          <t>FEBRERO.pdf</t>
        </is>
      </c>
    </row>
    <row r="104">
      <c r="A104" s="86" t="inlineStr">
        <is>
          <t>Febrero</t>
        </is>
      </c>
      <c r="B104" s="86" t="inlineStr">
        <is>
          <t>Sueldo</t>
        </is>
      </c>
      <c r="C104" s="87" t="n">
        <v>46082</v>
      </c>
      <c r="D104" s="86" t="inlineStr">
        <is>
          <t>Impuesto pagado/devuelto</t>
        </is>
      </c>
      <c r="E104" s="86" t="inlineStr">
        <is>
          <t>Descuento Ganancias</t>
        </is>
      </c>
      <c r="F104" s="93" t="n">
        <v>1425004.25</v>
      </c>
      <c r="G104" s="86" t="inlineStr">
        <is>
          <t>FEBRERO.pdf</t>
        </is>
      </c>
    </row>
    <row r="105">
      <c r="A105" s="86" t="inlineStr">
        <is>
          <t>Febrero</t>
        </is>
      </c>
      <c r="B105" s="86" t="inlineStr">
        <is>
          <t>Sueldo</t>
        </is>
      </c>
      <c r="C105" s="87" t="n">
        <v>46082</v>
      </c>
      <c r="D105" s="86" t="inlineStr">
        <is>
          <t>Dto Gimnasio</t>
        </is>
      </c>
      <c r="E105" s="86" t="inlineStr">
        <is>
          <t>Descuento</t>
        </is>
      </c>
      <c r="F105" s="93" t="n">
        <v>21900</v>
      </c>
      <c r="G105" s="86" t="inlineStr">
        <is>
          <t>FEBRERO.pdf</t>
        </is>
      </c>
    </row>
    <row r="106">
      <c r="A106" s="86" t="inlineStr">
        <is>
          <t>Marzo</t>
        </is>
      </c>
      <c r="B106" s="86" t="inlineStr">
        <is>
          <t>Sueldo + retroactivo</t>
        </is>
      </c>
      <c r="C106" s="87" t="n">
        <v>46113</v>
      </c>
      <c r="D106" s="86" t="inlineStr">
        <is>
          <t>R-Sueldo Básico</t>
        </is>
      </c>
      <c r="E106" s="86" t="inlineStr">
        <is>
          <t>Haber</t>
        </is>
      </c>
      <c r="F106" s="93" t="n">
        <v>6799234</v>
      </c>
      <c r="G106" s="86" t="inlineStr">
        <is>
          <t>MARZO.pdf</t>
        </is>
      </c>
    </row>
    <row r="107">
      <c r="A107" s="86" t="inlineStr">
        <is>
          <t>Marzo</t>
        </is>
      </c>
      <c r="B107" s="86" t="inlineStr">
        <is>
          <t>Sueldo + retroactivo</t>
        </is>
      </c>
      <c r="C107" s="87" t="n">
        <v>46113</v>
      </c>
      <c r="D107" s="86" t="inlineStr">
        <is>
          <t>Sueldo Básico</t>
        </is>
      </c>
      <c r="E107" s="86" t="inlineStr">
        <is>
          <t>Haber</t>
        </is>
      </c>
      <c r="F107" s="93" t="n">
        <v>11305702</v>
      </c>
      <c r="G107" s="86" t="inlineStr">
        <is>
          <t>MARZO.pdf</t>
        </is>
      </c>
    </row>
    <row r="108">
      <c r="A108" s="86" t="inlineStr">
        <is>
          <t>Marzo</t>
        </is>
      </c>
      <c r="B108" s="86" t="inlineStr">
        <is>
          <t>Sueldo + retroactivo</t>
        </is>
      </c>
      <c r="C108" s="87" t="n">
        <v>46113</v>
      </c>
      <c r="D108" s="86" t="inlineStr">
        <is>
          <t>Beneficio Auto</t>
        </is>
      </c>
      <c r="E108" s="86" t="inlineStr">
        <is>
          <t>Haber</t>
        </is>
      </c>
      <c r="F108" s="93" t="n">
        <v>208000</v>
      </c>
      <c r="G108" s="86" t="inlineStr">
        <is>
          <t>MARZO.pdf</t>
        </is>
      </c>
    </row>
    <row r="109">
      <c r="A109" s="86" t="inlineStr">
        <is>
          <t>Marzo</t>
        </is>
      </c>
      <c r="B109" s="86" t="inlineStr">
        <is>
          <t>Sueldo + retroactivo</t>
        </is>
      </c>
      <c r="C109" s="87" t="n">
        <v>46113</v>
      </c>
      <c r="D109" s="86" t="inlineStr">
        <is>
          <t>Aporte SIJP sobre sueldo</t>
        </is>
      </c>
      <c r="E109" s="86" t="inlineStr">
        <is>
          <t>Descuento</t>
        </is>
      </c>
      <c r="F109" s="93" t="n">
        <v>445014.95</v>
      </c>
      <c r="G109" s="86" t="inlineStr">
        <is>
          <t>MARZO.pdf</t>
        </is>
      </c>
    </row>
    <row r="110">
      <c r="A110" s="86" t="inlineStr">
        <is>
          <t>Marzo</t>
        </is>
      </c>
      <c r="B110" s="86" t="inlineStr">
        <is>
          <t>Sueldo + retroactivo</t>
        </is>
      </c>
      <c r="C110" s="87" t="n">
        <v>46113</v>
      </c>
      <c r="D110" s="86" t="inlineStr">
        <is>
          <t>Aporte INSSJP sobre sueldo</t>
        </is>
      </c>
      <c r="E110" s="86" t="inlineStr">
        <is>
          <t>Descuento</t>
        </is>
      </c>
      <c r="F110" s="93" t="n">
        <v>121367.71</v>
      </c>
      <c r="G110" s="86" t="inlineStr">
        <is>
          <t>MARZO.pdf</t>
        </is>
      </c>
    </row>
    <row r="111">
      <c r="A111" s="86" t="inlineStr">
        <is>
          <t>Marzo</t>
        </is>
      </c>
      <c r="B111" s="86" t="inlineStr">
        <is>
          <t>Sueldo + retroactivo</t>
        </is>
      </c>
      <c r="C111" s="87" t="n">
        <v>46113</v>
      </c>
      <c r="D111" s="86" t="inlineStr">
        <is>
          <t>Aporte Obra Social sobre sueldo</t>
        </is>
      </c>
      <c r="E111" s="86" t="inlineStr">
        <is>
          <t>Descuento</t>
        </is>
      </c>
      <c r="F111" s="93" t="n">
        <v>121367.71</v>
      </c>
      <c r="G111" s="86" t="inlineStr">
        <is>
          <t>MARZO.pdf</t>
        </is>
      </c>
    </row>
    <row r="112">
      <c r="A112" s="86" t="inlineStr">
        <is>
          <t>Marzo</t>
        </is>
      </c>
      <c r="B112" s="86" t="inlineStr">
        <is>
          <t>Sueldo + retroactivo</t>
        </is>
      </c>
      <c r="C112" s="87" t="n">
        <v>46113</v>
      </c>
      <c r="D112" s="86" t="inlineStr">
        <is>
          <t>Impuesto pagado/devuelto</t>
        </is>
      </c>
      <c r="E112" s="86" t="inlineStr">
        <is>
          <t>Descuento Ganancias</t>
        </is>
      </c>
      <c r="F112" s="93" t="n">
        <v>4658857.2</v>
      </c>
      <c r="G112" s="86" t="inlineStr">
        <is>
          <t>MARZO.pdf</t>
        </is>
      </c>
    </row>
    <row r="113">
      <c r="A113" s="86" t="inlineStr">
        <is>
          <t>Marzo</t>
        </is>
      </c>
      <c r="B113" s="86" t="inlineStr">
        <is>
          <t>Sueldo + retroactivo</t>
        </is>
      </c>
      <c r="C113" s="87" t="n">
        <v>46113</v>
      </c>
      <c r="D113" s="86" t="inlineStr">
        <is>
          <t>Dto Gimnasio</t>
        </is>
      </c>
      <c r="E113" s="86" t="inlineStr">
        <is>
          <t>Descuento</t>
        </is>
      </c>
      <c r="F113" s="93" t="n">
        <v>21900</v>
      </c>
      <c r="G113" s="86" t="inlineStr">
        <is>
          <t>MARZO.pdf</t>
        </is>
      </c>
    </row>
    <row r="114">
      <c r="A114" s="86" t="inlineStr">
        <is>
          <t>Abril</t>
        </is>
      </c>
      <c r="B114" s="86" t="inlineStr">
        <is>
          <t>Bono anual / transición</t>
        </is>
      </c>
      <c r="C114" s="87" t="n">
        <v>46118</v>
      </c>
      <c r="D114" s="86" t="inlineStr">
        <is>
          <t>Bono de Transición</t>
        </is>
      </c>
      <c r="E114" s="86" t="inlineStr">
        <is>
          <t>Haber</t>
        </is>
      </c>
      <c r="F114" s="93" t="n">
        <v>7296916.15</v>
      </c>
      <c r="G114" s="86" t="inlineStr">
        <is>
          <t>ABRIL BONO.pdf</t>
        </is>
      </c>
    </row>
    <row r="115">
      <c r="A115" s="86" t="inlineStr">
        <is>
          <t>Abril</t>
        </is>
      </c>
      <c r="B115" s="86" t="inlineStr">
        <is>
          <t>Bono anual / transición</t>
        </is>
      </c>
      <c r="C115" s="87" t="n">
        <v>46118</v>
      </c>
      <c r="D115" s="86" t="inlineStr">
        <is>
          <t>Gratificación Extraordinaria Anual</t>
        </is>
      </c>
      <c r="E115" s="86" t="inlineStr">
        <is>
          <t>Haber</t>
        </is>
      </c>
      <c r="F115" s="93" t="n">
        <v>14596298</v>
      </c>
      <c r="G115" s="86" t="inlineStr">
        <is>
          <t>ABRIL BONO.pdf</t>
        </is>
      </c>
    </row>
    <row r="116">
      <c r="A116" s="86" t="inlineStr">
        <is>
          <t>Abril</t>
        </is>
      </c>
      <c r="B116" s="86" t="inlineStr">
        <is>
          <t>Bono anual / transición</t>
        </is>
      </c>
      <c r="C116" s="87" t="n">
        <v>46118</v>
      </c>
      <c r="D116" s="86" t="inlineStr">
        <is>
          <t>SAC Gratificación Extraordinaria</t>
        </is>
      </c>
      <c r="E116" s="86" t="inlineStr">
        <is>
          <t>Haber</t>
        </is>
      </c>
      <c r="F116" s="93" t="n">
        <v>1215872</v>
      </c>
      <c r="G116" s="86" t="inlineStr">
        <is>
          <t>ABRIL BONO.pdf</t>
        </is>
      </c>
    </row>
    <row r="117">
      <c r="A117" s="86" t="inlineStr">
        <is>
          <t>Abril</t>
        </is>
      </c>
      <c r="B117" s="86" t="inlineStr">
        <is>
          <t>Bono anual / transición</t>
        </is>
      </c>
      <c r="C117" s="87" t="n">
        <v>46118</v>
      </c>
      <c r="D117" s="86" t="inlineStr">
        <is>
          <t>SAC sobre Bono de Transición</t>
        </is>
      </c>
      <c r="E117" s="86" t="inlineStr">
        <is>
          <t>Haber</t>
        </is>
      </c>
      <c r="F117" s="93" t="n">
        <v>608076.35</v>
      </c>
      <c r="G117" s="86" t="inlineStr">
        <is>
          <t>ABRIL BONO.pdf</t>
        </is>
      </c>
    </row>
    <row r="118">
      <c r="A118" s="86" t="inlineStr">
        <is>
          <t>Abril</t>
        </is>
      </c>
      <c r="B118" s="86" t="inlineStr">
        <is>
          <t>Bono anual / transición</t>
        </is>
      </c>
      <c r="C118" s="87" t="n">
        <v>46118</v>
      </c>
      <c r="D118" s="86" t="inlineStr">
        <is>
          <t>Aporte SIJP sobre sueldo</t>
        </is>
      </c>
      <c r="E118" s="86" t="inlineStr">
        <is>
          <t>Descuento</t>
        </is>
      </c>
      <c r="F118" s="93" t="n">
        <v>445014.95</v>
      </c>
      <c r="G118" s="86" t="inlineStr">
        <is>
          <t>ABRIL BONO.pdf</t>
        </is>
      </c>
    </row>
    <row r="119">
      <c r="A119" s="86" t="inlineStr">
        <is>
          <t>Abril</t>
        </is>
      </c>
      <c r="B119" s="86" t="inlineStr">
        <is>
          <t>Bono anual / transición</t>
        </is>
      </c>
      <c r="C119" s="87" t="n">
        <v>46118</v>
      </c>
      <c r="D119" s="86" t="inlineStr">
        <is>
          <t>Aporte INSSJP sobre sueldo</t>
        </is>
      </c>
      <c r="E119" s="86" t="inlineStr">
        <is>
          <t>Descuento</t>
        </is>
      </c>
      <c r="F119" s="93" t="n">
        <v>121367.71</v>
      </c>
      <c r="G119" s="86" t="inlineStr">
        <is>
          <t>ABRIL BONO.pdf</t>
        </is>
      </c>
    </row>
    <row r="120">
      <c r="A120" s="86" t="inlineStr">
        <is>
          <t>Abril</t>
        </is>
      </c>
      <c r="B120" s="86" t="inlineStr">
        <is>
          <t>Bono anual / transición</t>
        </is>
      </c>
      <c r="C120" s="87" t="n">
        <v>46118</v>
      </c>
      <c r="D120" s="86" t="inlineStr">
        <is>
          <t>Aporte Obra Social sobre sueldo</t>
        </is>
      </c>
      <c r="E120" s="86" t="inlineStr">
        <is>
          <t>Descuento</t>
        </is>
      </c>
      <c r="F120" s="93" t="n">
        <v>121367.71</v>
      </c>
      <c r="G120" s="86" t="inlineStr">
        <is>
          <t>ABRIL BONO.pdf</t>
        </is>
      </c>
    </row>
    <row r="121">
      <c r="A121" s="86" t="inlineStr">
        <is>
          <t>Abril</t>
        </is>
      </c>
      <c r="B121" s="86" t="inlineStr">
        <is>
          <t>Bono anual / transición</t>
        </is>
      </c>
      <c r="C121" s="87" t="n">
        <v>46118</v>
      </c>
      <c r="D121" s="86" t="inlineStr">
        <is>
          <t>Impuesto pagado/devuelto</t>
        </is>
      </c>
      <c r="E121" s="86" t="inlineStr">
        <is>
          <t>Descuento Ganancias</t>
        </is>
      </c>
      <c r="F121" s="93" t="n">
        <v>3120893.08</v>
      </c>
      <c r="G121" s="86" t="inlineStr">
        <is>
          <t>ABRIL BONO.pdf</t>
        </is>
      </c>
    </row>
    <row r="122">
      <c r="A122" s="86" t="inlineStr">
        <is>
          <t>Abril</t>
        </is>
      </c>
      <c r="B122" s="86" t="inlineStr">
        <is>
          <t>Sueldo + vacaciones</t>
        </is>
      </c>
      <c r="C122" s="87" t="n">
        <v>46143</v>
      </c>
      <c r="D122" s="86" t="inlineStr">
        <is>
          <t>Sueldo Básico</t>
        </is>
      </c>
      <c r="E122" s="86" t="inlineStr">
        <is>
          <t>Haber</t>
        </is>
      </c>
      <c r="F122" s="93" t="n">
        <v>11305702</v>
      </c>
      <c r="G122" s="86" t="inlineStr">
        <is>
          <t>ABRIL.pdf</t>
        </is>
      </c>
    </row>
    <row r="123">
      <c r="A123" s="86" t="inlineStr">
        <is>
          <t>Abril</t>
        </is>
      </c>
      <c r="B123" s="86" t="inlineStr">
        <is>
          <t>Sueldo + vacaciones</t>
        </is>
      </c>
      <c r="C123" s="87" t="n">
        <v>46143</v>
      </c>
      <c r="D123" s="86" t="inlineStr">
        <is>
          <t>Beneficio Auto</t>
        </is>
      </c>
      <c r="E123" s="86" t="inlineStr">
        <is>
          <t>Haber</t>
        </is>
      </c>
      <c r="F123" s="93" t="n">
        <v>312000</v>
      </c>
      <c r="G123" s="86" t="inlineStr">
        <is>
          <t>ABRIL.pdf</t>
        </is>
      </c>
    </row>
    <row r="124">
      <c r="A124" s="86" t="inlineStr">
        <is>
          <t>Abril</t>
        </is>
      </c>
      <c r="B124" s="86" t="inlineStr">
        <is>
          <t>Sueldo + vacaciones</t>
        </is>
      </c>
      <c r="C124" s="87" t="n">
        <v>46143</v>
      </c>
      <c r="D124" s="86" t="inlineStr">
        <is>
          <t>Pago de Vacaciones</t>
        </is>
      </c>
      <c r="E124" s="86" t="inlineStr">
        <is>
          <t>Haber</t>
        </is>
      </c>
      <c r="F124" s="93" t="n">
        <v>9758869.68</v>
      </c>
      <c r="G124" s="86" t="inlineStr">
        <is>
          <t>ABRIL.pdf</t>
        </is>
      </c>
    </row>
    <row r="125">
      <c r="A125" s="86" t="inlineStr">
        <is>
          <t>Abril</t>
        </is>
      </c>
      <c r="B125" s="86" t="inlineStr">
        <is>
          <t>Sueldo + vacaciones</t>
        </is>
      </c>
      <c r="C125" s="87" t="n">
        <v>46143</v>
      </c>
      <c r="D125" s="86" t="inlineStr">
        <is>
          <t>Dto Días No Trabajados Vacaciones</t>
        </is>
      </c>
      <c r="E125" s="73" t="inlineStr">
        <is>
          <t>Haber negativo</t>
        </is>
      </c>
      <c r="F125" s="93" t="n">
        <v>-8132391.4</v>
      </c>
      <c r="G125" s="86" t="inlineStr">
        <is>
          <t>ABRIL.pdf</t>
        </is>
      </c>
    </row>
    <row r="126">
      <c r="A126" s="86" t="inlineStr">
        <is>
          <t>Abril</t>
        </is>
      </c>
      <c r="B126" s="86" t="inlineStr">
        <is>
          <t>Sueldo + vacaciones</t>
        </is>
      </c>
      <c r="C126" s="87" t="n">
        <v>46143</v>
      </c>
      <c r="D126" s="86" t="inlineStr">
        <is>
          <t>R-Dto Días No Trabajados</t>
        </is>
      </c>
      <c r="E126" s="73" t="inlineStr">
        <is>
          <t>Haber negativo</t>
        </is>
      </c>
      <c r="F126" s="93" t="n">
        <v>-1151370.2</v>
      </c>
      <c r="G126" s="86" t="inlineStr">
        <is>
          <t>ABRIL.pdf</t>
        </is>
      </c>
    </row>
    <row r="127">
      <c r="A127" s="86" t="inlineStr">
        <is>
          <t>Abril</t>
        </is>
      </c>
      <c r="B127" s="86" t="inlineStr">
        <is>
          <t>Sueldo + vacaciones</t>
        </is>
      </c>
      <c r="C127" s="87" t="n">
        <v>46143</v>
      </c>
      <c r="D127" s="86" t="inlineStr">
        <is>
          <t>R-Licencia Especial</t>
        </is>
      </c>
      <c r="E127" s="86" t="inlineStr">
        <is>
          <t>Haber</t>
        </is>
      </c>
      <c r="F127" s="93" t="n">
        <v>1381644.24</v>
      </c>
      <c r="G127" s="86" t="inlineStr">
        <is>
          <t>ABRIL.pdf</t>
        </is>
      </c>
    </row>
    <row r="128">
      <c r="A128" s="86" t="inlineStr">
        <is>
          <t>Abril</t>
        </is>
      </c>
      <c r="B128" s="86" t="inlineStr">
        <is>
          <t>Sueldo + vacaciones</t>
        </is>
      </c>
      <c r="C128" s="87" t="n">
        <v>46143</v>
      </c>
      <c r="D128" s="86" t="inlineStr">
        <is>
          <t>Aporte SIJP sobre sueldo</t>
        </is>
      </c>
      <c r="E128" s="86" t="inlineStr">
        <is>
          <t>Descuento</t>
        </is>
      </c>
      <c r="F128" s="93" t="n">
        <v>12905.43</v>
      </c>
      <c r="G128" s="86" t="inlineStr">
        <is>
          <t>ABRIL.pdf</t>
        </is>
      </c>
    </row>
    <row r="129">
      <c r="A129" s="86" t="inlineStr">
        <is>
          <t>Abril</t>
        </is>
      </c>
      <c r="B129" s="86" t="inlineStr">
        <is>
          <t>Sueldo + vacaciones</t>
        </is>
      </c>
      <c r="C129" s="87" t="n">
        <v>46143</v>
      </c>
      <c r="D129" s="86" t="inlineStr">
        <is>
          <t>Aporte INSSJP sobre sueldo</t>
        </is>
      </c>
      <c r="E129" s="86" t="inlineStr">
        <is>
          <t>Descuento</t>
        </is>
      </c>
      <c r="F129" s="93" t="n">
        <v>3519.66</v>
      </c>
      <c r="G129" s="86" t="inlineStr">
        <is>
          <t>ABRIL.pdf</t>
        </is>
      </c>
    </row>
    <row r="130">
      <c r="A130" s="86" t="inlineStr">
        <is>
          <t>Abril</t>
        </is>
      </c>
      <c r="B130" s="86" t="inlineStr">
        <is>
          <t>Sueldo + vacaciones</t>
        </is>
      </c>
      <c r="C130" s="87" t="n">
        <v>46143</v>
      </c>
      <c r="D130" s="86" t="inlineStr">
        <is>
          <t>Aporte Obra Social sobre sueldo</t>
        </is>
      </c>
      <c r="E130" s="86" t="inlineStr">
        <is>
          <t>Descuento</t>
        </is>
      </c>
      <c r="F130" s="93" t="n">
        <v>3519.66</v>
      </c>
      <c r="G130" s="86" t="inlineStr">
        <is>
          <t>ABRIL.pdf</t>
        </is>
      </c>
    </row>
    <row r="131">
      <c r="A131" s="86" t="inlineStr">
        <is>
          <t>Abril</t>
        </is>
      </c>
      <c r="B131" s="86" t="inlineStr">
        <is>
          <t>Sueldo + vacaciones</t>
        </is>
      </c>
      <c r="C131" s="87" t="n">
        <v>46143</v>
      </c>
      <c r="D131" s="86" t="inlineStr">
        <is>
          <t>Diferencia impuesto año anterior</t>
        </is>
      </c>
      <c r="E131" s="73" t="inlineStr">
        <is>
          <t>Devolución Ganancias</t>
        </is>
      </c>
      <c r="F131" s="93" t="n">
        <v>-3564748.04</v>
      </c>
      <c r="G131" s="86" t="inlineStr">
        <is>
          <t>ABRIL.pdf</t>
        </is>
      </c>
    </row>
    <row r="132">
      <c r="A132" s="86" t="inlineStr">
        <is>
          <t>Abril</t>
        </is>
      </c>
      <c r="B132" s="86" t="inlineStr">
        <is>
          <t>Sueldo + vacaciones</t>
        </is>
      </c>
      <c r="C132" s="87" t="n">
        <v>46143</v>
      </c>
      <c r="D132" s="86" t="inlineStr">
        <is>
          <t>Impuesto pagado/devuelto</t>
        </is>
      </c>
      <c r="E132" s="86" t="inlineStr">
        <is>
          <t>Descuento Ganancias</t>
        </is>
      </c>
      <c r="F132" s="93" t="n">
        <v>3813479.69</v>
      </c>
      <c r="G132" s="86" t="inlineStr">
        <is>
          <t>ABRIL.pdf</t>
        </is>
      </c>
    </row>
    <row r="133">
      <c r="A133" s="86" t="inlineStr">
        <is>
          <t>Abril</t>
        </is>
      </c>
      <c r="B133" s="86" t="inlineStr">
        <is>
          <t>Sueldo + vacaciones</t>
        </is>
      </c>
      <c r="C133" s="87" t="n">
        <v>46143</v>
      </c>
      <c r="D133" s="86" t="inlineStr">
        <is>
          <t>Dto Gimnasio</t>
        </is>
      </c>
      <c r="E133" s="86" t="inlineStr">
        <is>
          <t>Descuento</t>
        </is>
      </c>
      <c r="F133" s="93" t="n">
        <v>23400</v>
      </c>
      <c r="G133" s="86" t="inlineStr">
        <is>
          <t>ABRIL.pdf</t>
        </is>
      </c>
    </row>
    <row r="134">
      <c r="A134" s="86" t="inlineStr">
        <is>
          <t>Mayo</t>
        </is>
      </c>
      <c r="B134" s="86" t="inlineStr">
        <is>
          <t>Sueldo</t>
        </is>
      </c>
      <c r="C134" s="87" t="n">
        <v>46174</v>
      </c>
      <c r="D134" s="86" t="inlineStr">
        <is>
          <t>Sueldo Básico</t>
        </is>
      </c>
      <c r="E134" s="86" t="inlineStr">
        <is>
          <t>Haber</t>
        </is>
      </c>
      <c r="F134" s="93" t="n">
        <v>11305702</v>
      </c>
      <c r="G134" s="86" t="inlineStr">
        <is>
          <t>MAYO.pdf</t>
        </is>
      </c>
    </row>
    <row r="135">
      <c r="A135" s="86" t="inlineStr">
        <is>
          <t>Mayo</t>
        </is>
      </c>
      <c r="B135" s="86" t="inlineStr">
        <is>
          <t>Sueldo</t>
        </is>
      </c>
      <c r="C135" s="87" t="n">
        <v>46174</v>
      </c>
      <c r="D135" s="86" t="inlineStr">
        <is>
          <t>Beneficio Auto</t>
        </is>
      </c>
      <c r="E135" s="86" t="inlineStr">
        <is>
          <t>Haber</t>
        </is>
      </c>
      <c r="F135" s="93" t="n">
        <v>312000</v>
      </c>
      <c r="G135" s="86" t="inlineStr">
        <is>
          <t>MAYO.pdf</t>
        </is>
      </c>
    </row>
    <row r="136">
      <c r="A136" s="86" t="inlineStr">
        <is>
          <t>Mayo</t>
        </is>
      </c>
      <c r="B136" s="86" t="inlineStr">
        <is>
          <t>Sueldo</t>
        </is>
      </c>
      <c r="C136" s="87" t="n">
        <v>46174</v>
      </c>
      <c r="D136" s="86" t="inlineStr">
        <is>
          <t>Aporte SIJP sobre sueldo</t>
        </is>
      </c>
      <c r="E136" s="86" t="inlineStr">
        <is>
          <t>Descuento</t>
        </is>
      </c>
      <c r="F136" s="93" t="n">
        <v>473398.09</v>
      </c>
      <c r="G136" s="86" t="inlineStr">
        <is>
          <t>MAYO.pdf</t>
        </is>
      </c>
    </row>
    <row r="137">
      <c r="A137" s="86" t="inlineStr">
        <is>
          <t>Mayo</t>
        </is>
      </c>
      <c r="B137" s="86" t="inlineStr">
        <is>
          <t>Sueldo</t>
        </is>
      </c>
      <c r="C137" s="87" t="n">
        <v>46174</v>
      </c>
      <c r="D137" s="86" t="inlineStr">
        <is>
          <t>Aporte INSSJP sobre sueldo</t>
        </is>
      </c>
      <c r="E137" s="86" t="inlineStr">
        <is>
          <t>Descuento</t>
        </is>
      </c>
      <c r="F137" s="93" t="n">
        <v>129108.57</v>
      </c>
      <c r="G137" s="86" t="inlineStr">
        <is>
          <t>MAYO.pdf</t>
        </is>
      </c>
    </row>
    <row r="138">
      <c r="A138" s="86" t="inlineStr">
        <is>
          <t>Mayo</t>
        </is>
      </c>
      <c r="B138" s="86" t="inlineStr">
        <is>
          <t>Sueldo</t>
        </is>
      </c>
      <c r="C138" s="87" t="n">
        <v>46174</v>
      </c>
      <c r="D138" s="86" t="inlineStr">
        <is>
          <t>Aporte Obra Social sobre sueldo</t>
        </is>
      </c>
      <c r="E138" s="86" t="inlineStr">
        <is>
          <t>Descuento</t>
        </is>
      </c>
      <c r="F138" s="93" t="n">
        <v>129108.57</v>
      </c>
      <c r="G138" s="86" t="inlineStr">
        <is>
          <t>MAYO.pdf</t>
        </is>
      </c>
    </row>
    <row r="139">
      <c r="A139" s="86" t="inlineStr">
        <is>
          <t>Mayo</t>
        </is>
      </c>
      <c r="B139" s="86" t="inlineStr">
        <is>
          <t>Sueldo</t>
        </is>
      </c>
      <c r="C139" s="87" t="n">
        <v>46174</v>
      </c>
      <c r="D139" s="86" t="inlineStr">
        <is>
          <t>Impuesto pagado/devuelto</t>
        </is>
      </c>
      <c r="E139" s="86" t="inlineStr">
        <is>
          <t>Descuento Ganancias</t>
        </is>
      </c>
      <c r="F139" s="93" t="n">
        <v>3415603.09</v>
      </c>
      <c r="G139" s="86" t="inlineStr">
        <is>
          <t>MAYO.pdf</t>
        </is>
      </c>
    </row>
    <row r="140">
      <c r="A140" s="86" t="inlineStr">
        <is>
          <t>Mayo</t>
        </is>
      </c>
      <c r="B140" s="86" t="inlineStr">
        <is>
          <t>Sueldo</t>
        </is>
      </c>
      <c r="C140" s="87" t="n">
        <v>46174</v>
      </c>
      <c r="D140" s="86" t="inlineStr">
        <is>
          <t>Dto Gimnasio</t>
        </is>
      </c>
      <c r="E140" s="86" t="inlineStr">
        <is>
          <t>Descuento</t>
        </is>
      </c>
      <c r="F140" s="93" t="n">
        <v>23400</v>
      </c>
      <c r="G140" s="86" t="inlineStr">
        <is>
          <t>MAYO.pdf</t>
        </is>
      </c>
    </row>
    <row r="141">
      <c r="A141" s="86" t="inlineStr">
        <is>
          <t>Junio</t>
        </is>
      </c>
      <c r="B141" s="86" t="inlineStr">
        <is>
          <t>SAC 1° semestre</t>
        </is>
      </c>
      <c r="C141" s="87" t="n">
        <v>46196</v>
      </c>
      <c r="D141" s="86" t="inlineStr">
        <is>
          <t>S.A.C.</t>
        </is>
      </c>
      <c r="E141" s="86" t="inlineStr">
        <is>
          <t>Haber</t>
        </is>
      </c>
      <c r="F141" s="93" t="n">
        <v>6622090.14</v>
      </c>
      <c r="G141" s="86" t="inlineStr">
        <is>
          <t>SAC.pdf</t>
        </is>
      </c>
    </row>
    <row r="142">
      <c r="A142" s="86" t="inlineStr">
        <is>
          <t>Junio</t>
        </is>
      </c>
      <c r="B142" s="86" t="inlineStr">
        <is>
          <t>SAC 1° semestre</t>
        </is>
      </c>
      <c r="C142" s="87" t="n">
        <v>46196</v>
      </c>
      <c r="D142" s="86" t="inlineStr">
        <is>
          <t>Aporte SIJP sobre SAC</t>
        </is>
      </c>
      <c r="E142" s="86" t="inlineStr">
        <is>
          <t>Descuento</t>
        </is>
      </c>
      <c r="F142" s="93" t="n">
        <v>242805.88</v>
      </c>
      <c r="G142" s="86" t="inlineStr">
        <is>
          <t>SAC.pdf</t>
        </is>
      </c>
    </row>
    <row r="143">
      <c r="A143" s="86" t="inlineStr">
        <is>
          <t>Junio</t>
        </is>
      </c>
      <c r="B143" s="86" t="inlineStr">
        <is>
          <t>SAC 1° semestre</t>
        </is>
      </c>
      <c r="C143" s="87" t="n">
        <v>46196</v>
      </c>
      <c r="D143" s="86" t="inlineStr">
        <is>
          <t>Aporte INSSJP sobre SAC</t>
        </is>
      </c>
      <c r="E143" s="86" t="inlineStr">
        <is>
          <t>Descuento</t>
        </is>
      </c>
      <c r="F143" s="93" t="n">
        <v>66219.78999999999</v>
      </c>
      <c r="G143" s="86" t="inlineStr">
        <is>
          <t>SAC.pdf</t>
        </is>
      </c>
    </row>
    <row r="144">
      <c r="A144" s="86" t="inlineStr">
        <is>
          <t>Junio</t>
        </is>
      </c>
      <c r="B144" s="86" t="inlineStr">
        <is>
          <t>SAC 1° semestre</t>
        </is>
      </c>
      <c r="C144" s="87" t="n">
        <v>46196</v>
      </c>
      <c r="D144" s="86" t="inlineStr">
        <is>
          <t>Aporte Obra Social sobre SAC</t>
        </is>
      </c>
      <c r="E144" s="86" t="inlineStr">
        <is>
          <t>Descuento</t>
        </is>
      </c>
      <c r="F144" s="93" t="n">
        <v>66219.78999999999</v>
      </c>
      <c r="G144" s="86" t="inlineStr">
        <is>
          <t>SAC.pdf</t>
        </is>
      </c>
    </row>
    <row r="145">
      <c r="A145" s="86" t="inlineStr">
        <is>
          <t>Junio</t>
        </is>
      </c>
      <c r="B145" s="86" t="inlineStr">
        <is>
          <t>SAC 1° semestre</t>
        </is>
      </c>
      <c r="C145" s="87" t="n">
        <v>46196</v>
      </c>
      <c r="D145" s="86" t="inlineStr">
        <is>
          <t>Impuesto pagado/devuelto</t>
        </is>
      </c>
      <c r="E145" s="86" t="inlineStr">
        <is>
          <t>Descuento Ganancias</t>
        </is>
      </c>
      <c r="F145" s="93" t="n">
        <v>536087.26</v>
      </c>
      <c r="G145" s="86" t="inlineStr">
        <is>
          <t>SAC.pdf</t>
        </is>
      </c>
    </row>
    <row r="146">
      <c r="A146" s="86" t="inlineStr">
        <is>
          <t>Junio</t>
        </is>
      </c>
      <c r="B146" s="86" t="inlineStr">
        <is>
          <t>Sueldo</t>
        </is>
      </c>
      <c r="C146" s="87" t="n">
        <v>46204</v>
      </c>
      <c r="D146" s="86" t="inlineStr">
        <is>
          <t>Sueldo Básico</t>
        </is>
      </c>
      <c r="E146" s="86" t="inlineStr">
        <is>
          <t>Haber</t>
        </is>
      </c>
      <c r="F146" s="93" t="n">
        <v>11305702</v>
      </c>
      <c r="G146" s="86" t="inlineStr">
        <is>
          <t>JUNIO.pdf</t>
        </is>
      </c>
    </row>
    <row r="147">
      <c r="A147" s="86" t="inlineStr">
        <is>
          <t>Junio</t>
        </is>
      </c>
      <c r="B147" s="86" t="inlineStr">
        <is>
          <t>Sueldo</t>
        </is>
      </c>
      <c r="C147" s="87" t="n">
        <v>46204</v>
      </c>
      <c r="D147" s="86" t="inlineStr">
        <is>
          <t>Beneficio Auto</t>
        </is>
      </c>
      <c r="E147" s="86" t="inlineStr">
        <is>
          <t>Haber</t>
        </is>
      </c>
      <c r="F147" s="93" t="n">
        <v>312000</v>
      </c>
      <c r="G147" s="86" t="inlineStr">
        <is>
          <t>JUNIO.pdf</t>
        </is>
      </c>
    </row>
    <row r="148">
      <c r="A148" s="86" t="inlineStr">
        <is>
          <t>Junio</t>
        </is>
      </c>
      <c r="B148" s="86" t="inlineStr">
        <is>
          <t>Sueldo</t>
        </is>
      </c>
      <c r="C148" s="87" t="n">
        <v>46204</v>
      </c>
      <c r="D148" s="86" t="inlineStr">
        <is>
          <t>Aporte SIJP sobre sueldo</t>
        </is>
      </c>
      <c r="E148" s="86" t="inlineStr">
        <is>
          <t>Descuento</t>
        </is>
      </c>
      <c r="F148" s="93" t="n">
        <v>485611.76</v>
      </c>
      <c r="G148" s="86" t="inlineStr">
        <is>
          <t>JUNIO.pdf</t>
        </is>
      </c>
    </row>
    <row r="149">
      <c r="A149" s="86" t="inlineStr">
        <is>
          <t>Junio</t>
        </is>
      </c>
      <c r="B149" s="86" t="inlineStr">
        <is>
          <t>Sueldo</t>
        </is>
      </c>
      <c r="C149" s="87" t="n">
        <v>46204</v>
      </c>
      <c r="D149" s="86" t="inlineStr">
        <is>
          <t>Aporte INSSJP sobre sueldo</t>
        </is>
      </c>
      <c r="E149" s="86" t="inlineStr">
        <is>
          <t>Descuento</t>
        </is>
      </c>
      <c r="F149" s="93" t="n">
        <v>132439.57</v>
      </c>
      <c r="G149" s="86" t="inlineStr">
        <is>
          <t>JUNIO.pdf</t>
        </is>
      </c>
    </row>
    <row r="150">
      <c r="A150" s="86" t="inlineStr">
        <is>
          <t>Junio</t>
        </is>
      </c>
      <c r="B150" s="86" t="inlineStr">
        <is>
          <t>Sueldo</t>
        </is>
      </c>
      <c r="C150" s="87" t="n">
        <v>46204</v>
      </c>
      <c r="D150" s="86" t="inlineStr">
        <is>
          <t>Aporte Obra Social sobre sueldo</t>
        </is>
      </c>
      <c r="E150" s="86" t="inlineStr">
        <is>
          <t>Descuento</t>
        </is>
      </c>
      <c r="F150" s="93" t="n">
        <v>132439.57</v>
      </c>
      <c r="G150" s="86" t="inlineStr">
        <is>
          <t>JUNIO.pdf</t>
        </is>
      </c>
    </row>
    <row r="151">
      <c r="A151" s="86" t="inlineStr">
        <is>
          <t>Junio</t>
        </is>
      </c>
      <c r="B151" s="86" t="inlineStr">
        <is>
          <t>Sueldo</t>
        </is>
      </c>
      <c r="C151" s="87" t="n">
        <v>46204</v>
      </c>
      <c r="D151" s="86" t="inlineStr">
        <is>
          <t>Impuesto pagado/devuelto</t>
        </is>
      </c>
      <c r="E151" s="86" t="inlineStr">
        <is>
          <t>Descuento Ganancias</t>
        </is>
      </c>
      <c r="F151" s="93" t="n">
        <v>3408446.06</v>
      </c>
      <c r="G151" s="86" t="inlineStr">
        <is>
          <t>JUNIO.pdf</t>
        </is>
      </c>
    </row>
    <row r="152">
      <c r="A152" s="86" t="inlineStr">
        <is>
          <t>Junio</t>
        </is>
      </c>
      <c r="B152" s="86" t="inlineStr">
        <is>
          <t>Sueldo</t>
        </is>
      </c>
      <c r="C152" s="87" t="n">
        <v>46204</v>
      </c>
      <c r="D152" s="86" t="inlineStr">
        <is>
          <t>Dto Gimnasio</t>
        </is>
      </c>
      <c r="E152" s="86" t="inlineStr">
        <is>
          <t>Descuento</t>
        </is>
      </c>
      <c r="F152" s="93" t="n">
        <v>23400</v>
      </c>
      <c r="G152" s="86" t="inlineStr">
        <is>
          <t>JUNIO.pdf</t>
        </is>
      </c>
    </row>
    <row r="153">
      <c r="A153" s="86" t="inlineStr">
        <is>
          <t>Julio</t>
        </is>
      </c>
      <c r="B153" s="86" t="inlineStr">
        <is>
          <t>Sueldo</t>
        </is>
      </c>
      <c r="C153" s="87" t="n">
        <v>46235</v>
      </c>
      <c r="D153" s="86" t="inlineStr">
        <is>
          <t>Sueldo Básico</t>
        </is>
      </c>
      <c r="E153" s="86" t="inlineStr">
        <is>
          <t>Haber</t>
        </is>
      </c>
      <c r="F153" s="93" t="n">
        <v>12662386</v>
      </c>
      <c r="G153" s="86" t="inlineStr">
        <is>
          <t>Tu Recibo.pdf</t>
        </is>
      </c>
    </row>
    <row r="154">
      <c r="A154" s="86" t="inlineStr">
        <is>
          <t>Julio</t>
        </is>
      </c>
      <c r="B154" s="86" t="inlineStr">
        <is>
          <t>Sueldo</t>
        </is>
      </c>
      <c r="C154" s="87" t="n">
        <v>46235</v>
      </c>
      <c r="D154" s="86" t="inlineStr">
        <is>
          <t>Beneficio Auto</t>
        </is>
      </c>
      <c r="E154" s="86" t="inlineStr">
        <is>
          <t>Haber</t>
        </is>
      </c>
      <c r="F154" s="93" t="n">
        <v>360000</v>
      </c>
      <c r="G154" s="86" t="inlineStr">
        <is>
          <t>Tu Recibo.pdf</t>
        </is>
      </c>
    </row>
    <row r="155">
      <c r="A155" s="86" t="inlineStr">
        <is>
          <t>Julio</t>
        </is>
      </c>
      <c r="B155" s="86" t="inlineStr">
        <is>
          <t>Sueldo</t>
        </is>
      </c>
      <c r="C155" s="87" t="n">
        <v>46235</v>
      </c>
      <c r="D155" s="86" t="inlineStr">
        <is>
          <t>Aporte SIJP sobre sueldo</t>
        </is>
      </c>
      <c r="E155" s="86" t="inlineStr">
        <is>
          <t>Descuento</t>
        </is>
      </c>
      <c r="F155" s="93" t="n">
        <v>496052.42</v>
      </c>
      <c r="G155" s="86" t="inlineStr">
        <is>
          <t>Tu Recibo.pdf</t>
        </is>
      </c>
    </row>
    <row r="156">
      <c r="A156" s="86" t="inlineStr">
        <is>
          <t>Julio</t>
        </is>
      </c>
      <c r="B156" s="86" t="inlineStr">
        <is>
          <t>Sueldo</t>
        </is>
      </c>
      <c r="C156" s="87" t="n">
        <v>46235</v>
      </c>
      <c r="D156" s="86" t="inlineStr">
        <is>
          <t>Aporte INSSJP sobre sueldo</t>
        </is>
      </c>
      <c r="E156" s="86" t="inlineStr">
        <is>
          <t>Descuento</t>
        </is>
      </c>
      <c r="F156" s="93" t="n">
        <v>135287.02</v>
      </c>
      <c r="G156" s="86" t="inlineStr">
        <is>
          <t>Tu Recibo.pdf</t>
        </is>
      </c>
    </row>
    <row r="157">
      <c r="A157" s="86" t="inlineStr">
        <is>
          <t>Julio</t>
        </is>
      </c>
      <c r="B157" s="86" t="inlineStr">
        <is>
          <t>Sueldo</t>
        </is>
      </c>
      <c r="C157" s="87" t="n">
        <v>46235</v>
      </c>
      <c r="D157" s="86" t="inlineStr">
        <is>
          <t>Aporte Obra Social sobre sueldo</t>
        </is>
      </c>
      <c r="E157" s="86" t="inlineStr">
        <is>
          <t>Descuento</t>
        </is>
      </c>
      <c r="F157" s="93" t="n">
        <v>135287.02</v>
      </c>
      <c r="G157" s="86" t="inlineStr">
        <is>
          <t>Tu Recibo.pdf</t>
        </is>
      </c>
    </row>
    <row r="158">
      <c r="A158" s="86" t="inlineStr">
        <is>
          <t>Julio</t>
        </is>
      </c>
      <c r="B158" s="86" t="inlineStr">
        <is>
          <t>Sueldo</t>
        </is>
      </c>
      <c r="C158" s="87" t="n">
        <v>46235</v>
      </c>
      <c r="D158" s="86" t="inlineStr">
        <is>
          <t>Impuesto pagado/devuelto</t>
        </is>
      </c>
      <c r="E158" s="86" t="inlineStr">
        <is>
          <t>Descuento Ganancias</t>
        </is>
      </c>
      <c r="F158" s="93" t="n">
        <v>3445112.1</v>
      </c>
      <c r="G158" s="86" t="inlineStr">
        <is>
          <t>Tu Recibo.pdf</t>
        </is>
      </c>
    </row>
    <row r="159">
      <c r="A159" s="86" t="inlineStr">
        <is>
          <t>Julio</t>
        </is>
      </c>
      <c r="B159" s="86" t="inlineStr">
        <is>
          <t>Sueldo</t>
        </is>
      </c>
      <c r="C159" s="87" t="n">
        <v>46235</v>
      </c>
      <c r="D159" s="86" t="inlineStr">
        <is>
          <t>Dto Gimnasio</t>
        </is>
      </c>
      <c r="E159" s="86" t="inlineStr">
        <is>
          <t>Descuento</t>
        </is>
      </c>
      <c r="F159" s="93" t="n">
        <v>25800</v>
      </c>
      <c r="G159" s="86" t="inlineStr">
        <is>
          <t>Tu Recibo.pdf</t>
        </is>
      </c>
    </row>
  </sheetData>
  <autoFilter ref="A78:P86"/>
  <mergeCells count="18">
    <mergeCell ref="A1:D1"/>
    <mergeCell ref="A37:D37"/>
    <mergeCell ref="A70:D70"/>
    <mergeCell ref="A27:D27"/>
    <mergeCell ref="A55:E55"/>
    <mergeCell ref="A89:G89"/>
    <mergeCell ref="A75:D75"/>
    <mergeCell ref="A74:D74"/>
    <mergeCell ref="A69:D69"/>
    <mergeCell ref="A4:D4"/>
    <mergeCell ref="A72:D72"/>
    <mergeCell ref="A15:D15"/>
    <mergeCell ref="A77:P77"/>
    <mergeCell ref="A73:D73"/>
    <mergeCell ref="A2:D2"/>
    <mergeCell ref="A71:D71"/>
    <mergeCell ref="A47:D47"/>
    <mergeCell ref="A68:D68"/>
  </mergeCell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CIUDAD 1132 — Pago de tarjetas</t>
        </is>
      </c>
    </row>
    <row r="2">
      <c r="A2" t="inlineStr">
        <is>
          <t>Pagos de resumen de tarjeta de crédito (no es gasto nuevo de la hoja 2026; registro de egreso MP).</t>
        </is>
      </c>
    </row>
    <row r="4">
      <c r="A4" s="11" t="inlineStr">
        <is>
          <t>Resumen por mes</t>
        </is>
      </c>
    </row>
    <row r="5">
      <c r="A5" s="40" t="inlineStr">
        <is>
          <t>Mes</t>
        </is>
      </c>
      <c r="B5" s="40" t="inlineStr">
        <is>
          <t>Total</t>
        </is>
      </c>
    </row>
    <row r="6">
      <c r="A6" t="inlineStr">
        <is>
          <t>Enero</t>
        </is>
      </c>
      <c r="B6" s="26">
        <f>SUMIF($B$23:$B$200,A6,$D$23:$D$200)</f>
        <v/>
      </c>
    </row>
    <row r="7">
      <c r="A7" t="inlineStr">
        <is>
          <t>Febrero</t>
        </is>
      </c>
      <c r="B7" s="26">
        <f>SUMIF($B$23:$B$200,A7,$D$23:$D$200)</f>
        <v/>
      </c>
    </row>
    <row r="8">
      <c r="A8" t="inlineStr">
        <is>
          <t>Marzo</t>
        </is>
      </c>
      <c r="B8" s="26">
        <f>SUMIF($B$23:$B$200,A8,$D$23:$D$200)</f>
        <v/>
      </c>
    </row>
    <row r="9">
      <c r="A9" t="inlineStr">
        <is>
          <t>Abril</t>
        </is>
      </c>
      <c r="B9" s="26">
        <f>SUMIF($B$23:$B$200,A9,$D$23:$D$200)</f>
        <v/>
      </c>
    </row>
    <row r="10">
      <c r="A10" t="inlineStr">
        <is>
          <t>Mayo</t>
        </is>
      </c>
      <c r="B10" s="26">
        <f>SUMIF($B$23:$B$200,A10,$D$23:$D$200)</f>
        <v/>
      </c>
    </row>
    <row r="11">
      <c r="A11" t="inlineStr">
        <is>
          <t>Junio</t>
        </is>
      </c>
      <c r="B11" s="26">
        <f>SUMIF($B$23:$B$200,A11,$D$23:$D$200)</f>
        <v/>
      </c>
    </row>
    <row r="12">
      <c r="A12" t="inlineStr">
        <is>
          <t>Julio</t>
        </is>
      </c>
      <c r="B12" s="26">
        <f>SUMIF($B$23:$B$200,A12,$D$23:$D$200)</f>
        <v/>
      </c>
    </row>
    <row r="13">
      <c r="A13" t="inlineStr">
        <is>
          <t>Agosto</t>
        </is>
      </c>
      <c r="B13" s="26">
        <f>SUMIF($B$23:$B$200,A13,$D$23:$D$200)</f>
        <v/>
      </c>
    </row>
    <row r="14">
      <c r="A14" t="inlineStr">
        <is>
          <t>Septiembre</t>
        </is>
      </c>
      <c r="B14" s="26">
        <f>SUMIF($B$23:$B$200,A14,$D$23:$D$200)</f>
        <v/>
      </c>
    </row>
    <row r="15">
      <c r="A15" t="inlineStr">
        <is>
          <t>Octubre</t>
        </is>
      </c>
      <c r="B15" s="26">
        <f>SUMIF($B$23:$B$200,A15,$D$23:$D$200)</f>
        <v/>
      </c>
    </row>
    <row r="16">
      <c r="A16" t="inlineStr">
        <is>
          <t>Noviembre</t>
        </is>
      </c>
      <c r="B16" s="26">
        <f>SUMIF($B$23:$B$200,A16,$D$23:$D$200)</f>
        <v/>
      </c>
    </row>
    <row r="17">
      <c r="A17" t="inlineStr">
        <is>
          <t>Diciembre</t>
        </is>
      </c>
      <c r="B17" s="26">
        <f>SUMIF($B$23:$B$200,A17,$D$23:$D$200)</f>
        <v/>
      </c>
    </row>
    <row r="18">
      <c r="A18" s="11" t="inlineStr">
        <is>
          <t>TOTAL AÑO</t>
        </is>
      </c>
      <c r="B18" s="26">
        <f>SUM(B6:B17)</f>
        <v/>
      </c>
    </row>
    <row r="21">
      <c r="A21" s="11" t="inlineStr">
        <is>
          <t>Detalle</t>
        </is>
      </c>
    </row>
    <row r="22">
      <c r="A22" s="12" t="inlineStr">
        <is>
          <t>Fecha</t>
        </is>
      </c>
      <c r="B22" s="12" t="inlineStr">
        <is>
          <t>Mes</t>
        </is>
      </c>
      <c r="C22" s="12" t="inlineStr">
        <is>
          <t>Concepto</t>
        </is>
      </c>
      <c r="D22" s="12" t="inlineStr">
        <is>
          <t>Monto</t>
        </is>
      </c>
      <c r="E22" s="12" t="inlineStr">
        <is>
          <t>Medio</t>
        </is>
      </c>
      <c r="F22" s="12" t="inlineStr">
        <is>
          <t>Comentario</t>
        </is>
      </c>
    </row>
    <row r="23">
      <c r="A23" s="44" t="n">
        <v>46031</v>
      </c>
      <c r="B23" t="inlineStr">
        <is>
          <t>Enero</t>
        </is>
      </c>
      <c r="C23" t="inlineStr">
        <is>
          <t>Tarjeta de crédito</t>
        </is>
      </c>
      <c r="D23" s="26" t="n">
        <v>164709</v>
      </c>
      <c r="E23" t="inlineStr">
        <is>
          <t>Mercado Pago</t>
        </is>
      </c>
      <c r="F23" t="inlineStr">
        <is>
          <t>pago resumen TC · hoja Pago de Tarjetas</t>
        </is>
      </c>
    </row>
    <row r="24">
      <c r="A24" s="44" t="n">
        <v>46034</v>
      </c>
      <c r="B24" t="inlineStr">
        <is>
          <t>Enero</t>
        </is>
      </c>
      <c r="C24" t="inlineStr">
        <is>
          <t>Tarjeta de crédito</t>
        </is>
      </c>
      <c r="D24" s="26" t="n">
        <v>200000</v>
      </c>
      <c r="E24" t="inlineStr">
        <is>
          <t>Mercado Pago</t>
        </is>
      </c>
      <c r="F24" t="inlineStr">
        <is>
          <t>pago resumen TC · hoja Pago de Tarjetas</t>
        </is>
      </c>
    </row>
    <row r="25">
      <c r="A25" s="44" t="n">
        <v>46035</v>
      </c>
      <c r="B25" t="inlineStr">
        <is>
          <t>Enero</t>
        </is>
      </c>
      <c r="C25" t="inlineStr">
        <is>
          <t>Tarjeta de crédito</t>
        </is>
      </c>
      <c r="D25" s="26" t="n">
        <v>1282375</v>
      </c>
      <c r="E25" t="inlineStr">
        <is>
          <t>Mercado Pago</t>
        </is>
      </c>
      <c r="F25" t="inlineStr">
        <is>
          <t>pago resumen TC · hoja Pago de Tarjetas</t>
        </is>
      </c>
    </row>
    <row r="26">
      <c r="A26" s="44" t="n">
        <v>46190</v>
      </c>
      <c r="B26" t="inlineStr">
        <is>
          <t>Junio</t>
        </is>
      </c>
      <c r="C26" t="inlineStr">
        <is>
          <t>Tarjeta de crédito</t>
        </is>
      </c>
      <c r="D26" s="26" t="n">
        <v>1501833</v>
      </c>
      <c r="E26" t="inlineStr">
        <is>
          <t>Mercado Pago</t>
        </is>
      </c>
      <c r="F26" t="inlineStr">
        <is>
          <t>pago resumen · hoja Pago de Tarjetas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48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32" customWidth="1" min="3" max="3"/>
    <col width="16" customWidth="1" min="4" max="4"/>
    <col width="14" customWidth="1" min="5" max="5"/>
    <col width="28" customWidth="1" min="6" max="6"/>
    <col width="48" customWidth="1" min="7" max="7"/>
  </cols>
  <sheetData>
    <row r="1">
      <c r="A1" s="1" t="inlineStr">
        <is>
          <t>CIUDAD 1132 — Expensas Consorcios (Pago de Expensas)</t>
        </is>
      </c>
    </row>
    <row r="2">
      <c r="A2" s="30" t="inlineStr">
        <is>
          <t>Transferencias a consorcios. CIUDAD = Consorcio De Propietarios o destino Banco Patagonia CBU 0340116900116010765007 / CUIL 30714962473. No va a ALMACEN SOL.</t>
        </is>
      </c>
    </row>
    <row r="4">
      <c r="A4" s="31" t="inlineStr">
        <is>
          <t>Resumen por propiedad</t>
        </is>
      </c>
      <c r="D4" s="31" t="inlineStr">
        <is>
          <t>ID bancario CIUDAD</t>
        </is>
      </c>
    </row>
    <row r="5">
      <c r="A5" s="34" t="inlineStr">
        <is>
          <t>Propiedad</t>
        </is>
      </c>
      <c r="B5" s="34" t="inlineStr">
        <is>
          <t>Total</t>
        </is>
      </c>
      <c r="D5" t="inlineStr">
        <is>
          <t>Entidad</t>
        </is>
      </c>
      <c r="E5" t="inlineStr">
        <is>
          <t>Banco Patagonia</t>
        </is>
      </c>
    </row>
    <row r="6">
      <c r="A6" s="14" t="inlineStr">
        <is>
          <t>CIUDAD 1132</t>
        </is>
      </c>
      <c r="B6" s="15">
        <f>SUMIF($D$29:$D$200,A6,$E$29:$E$200)</f>
        <v/>
      </c>
      <c r="D6" t="inlineStr">
        <is>
          <t>CBU</t>
        </is>
      </c>
      <c r="E6" t="inlineStr">
        <is>
          <t>0340116900116010765007</t>
        </is>
      </c>
    </row>
    <row r="7">
      <c r="A7" s="14" t="inlineStr">
        <is>
          <t>BONORINO</t>
        </is>
      </c>
      <c r="B7" s="15">
        <f>SUMIF($D$29:$D$200,A7,$E$29:$E$200)</f>
        <v/>
      </c>
      <c r="D7" t="inlineStr">
        <is>
          <t>CUIL</t>
        </is>
      </c>
      <c r="E7" t="inlineStr">
        <is>
          <t>30714962473</t>
        </is>
      </c>
    </row>
    <row r="8">
      <c r="A8" s="14" t="inlineStr">
        <is>
          <t>AVA</t>
        </is>
      </c>
      <c r="B8" s="15">
        <f>SUMIF($D$29:$D$200,A8,$E$29:$E$200)</f>
        <v/>
      </c>
    </row>
    <row r="9">
      <c r="A9" s="14" t="inlineStr">
        <is>
          <t>OHIGGINS (ex A CONFIRMAR / Copropi)</t>
        </is>
      </c>
      <c r="B9" s="15">
        <f>SUMIF($D$29:$D$200,A9,$E$29:$E$200)</f>
        <v/>
      </c>
    </row>
    <row r="10">
      <c r="A10" s="31" t="inlineStr">
        <is>
          <t>Resumen por mes</t>
        </is>
      </c>
    </row>
    <row r="11">
      <c r="A11" s="34" t="inlineStr">
        <is>
          <t>Mes</t>
        </is>
      </c>
      <c r="B11" s="34" t="inlineStr">
        <is>
          <t>Total</t>
        </is>
      </c>
    </row>
    <row r="12">
      <c r="A12" s="14" t="inlineStr">
        <is>
          <t>Enero</t>
        </is>
      </c>
      <c r="B12" s="15">
        <f>SUMIF($B$29:$B$200,A12,$E$29:$E$200)</f>
        <v/>
      </c>
    </row>
    <row r="13">
      <c r="A13" s="14" t="inlineStr">
        <is>
          <t>Febrero</t>
        </is>
      </c>
      <c r="B13" s="15">
        <f>SUMIF($B$29:$B$200,A13,$E$29:$E$200)</f>
        <v/>
      </c>
    </row>
    <row r="14">
      <c r="A14" s="14" t="inlineStr">
        <is>
          <t>Marzo</t>
        </is>
      </c>
      <c r="B14" s="15">
        <f>SUMIF($B$29:$B$200,A14,$E$29:$E$200)</f>
        <v/>
      </c>
    </row>
    <row r="15">
      <c r="A15" s="14" t="inlineStr">
        <is>
          <t>Abril</t>
        </is>
      </c>
      <c r="B15" s="15">
        <f>SUMIF($B$29:$B$200,A15,$E$29:$E$200)</f>
        <v/>
      </c>
    </row>
    <row r="16">
      <c r="A16" s="14" t="inlineStr">
        <is>
          <t>Mayo</t>
        </is>
      </c>
      <c r="B16" s="15">
        <f>SUMIF($B$29:$B$200,A16,$E$29:$E$200)</f>
        <v/>
      </c>
    </row>
    <row r="17">
      <c r="A17" s="14" t="inlineStr">
        <is>
          <t>Junio</t>
        </is>
      </c>
      <c r="B17" s="15">
        <f>SUMIF($B$29:$B$200,A17,$E$29:$E$200)</f>
        <v/>
      </c>
    </row>
    <row r="18">
      <c r="A18" s="14" t="inlineStr">
        <is>
          <t>Julio</t>
        </is>
      </c>
      <c r="B18" s="15">
        <f>SUMIF($B$29:$B$200,A18,$E$29:$E$200)</f>
        <v/>
      </c>
    </row>
    <row r="19">
      <c r="A19" s="14" t="inlineStr">
        <is>
          <t>Agosto</t>
        </is>
      </c>
      <c r="B19" s="15">
        <f>SUMIF($B$29:$B$200,A19,$E$29:$E$200)</f>
        <v/>
      </c>
    </row>
    <row r="20">
      <c r="A20" s="14" t="inlineStr">
        <is>
          <t>Septiembre</t>
        </is>
      </c>
      <c r="B20" s="15">
        <f>SUMIF($B$29:$B$200,A20,$E$29:$E$200)</f>
        <v/>
      </c>
    </row>
    <row r="21">
      <c r="A21" s="14" t="inlineStr">
        <is>
          <t>Octubre</t>
        </is>
      </c>
      <c r="B21" s="15">
        <f>SUMIF($B$29:$B$200,A21,$E$29:$E$200)</f>
        <v/>
      </c>
    </row>
    <row r="22">
      <c r="A22" s="14" t="inlineStr">
        <is>
          <t>Noviembre</t>
        </is>
      </c>
      <c r="B22" s="15">
        <f>SUMIF($B$29:$B$200,A22,$E$29:$E$200)</f>
        <v/>
      </c>
    </row>
    <row r="23">
      <c r="A23" s="14" t="inlineStr">
        <is>
          <t>Diciembre</t>
        </is>
      </c>
      <c r="B23" s="15">
        <f>SUMIF($B$29:$B$200,A23,$E$29:$E$200)</f>
        <v/>
      </c>
    </row>
    <row r="24">
      <c r="A24" s="38" t="inlineStr">
        <is>
          <t>TOTAL AÑO</t>
        </is>
      </c>
      <c r="B24" s="39">
        <f>SUM(B12:B23)</f>
        <v/>
      </c>
    </row>
    <row r="27">
      <c r="A27" s="31" t="inlineStr">
        <is>
          <t>Detalle</t>
        </is>
      </c>
    </row>
    <row r="28">
      <c r="A28" s="34" t="inlineStr">
        <is>
          <t>Fecha</t>
        </is>
      </c>
      <c r="B28" s="34" t="inlineStr">
        <is>
          <t>Mes</t>
        </is>
      </c>
      <c r="C28" s="34" t="inlineStr">
        <is>
          <t>Consorcio</t>
        </is>
      </c>
      <c r="D28" s="34" t="inlineStr">
        <is>
          <t>Propiedad</t>
        </is>
      </c>
      <c r="E28" s="34" t="inlineStr">
        <is>
          <t>Monto</t>
        </is>
      </c>
      <c r="F28" s="34" t="inlineStr">
        <is>
          <t>Medio</t>
        </is>
      </c>
      <c r="G28" s="34" t="inlineStr">
        <is>
          <t>Comentario</t>
        </is>
      </c>
    </row>
    <row r="29">
      <c r="A29" s="17" t="n">
        <v>46029</v>
      </c>
      <c r="B29" s="14" t="inlineStr">
        <is>
          <t>Enero</t>
        </is>
      </c>
      <c r="C29" s="14" t="inlineStr">
        <is>
          <t>Consorcio De Propiet</t>
        </is>
      </c>
      <c r="D29" s="14" t="inlineStr">
        <is>
          <t>CIUDAD 1132</t>
        </is>
      </c>
      <c r="E29" s="15" t="n">
        <v>35260</v>
      </c>
      <c r="F29" s="14" t="inlineStr">
        <is>
          <t>Mercado Pago — Transferencia enviada</t>
        </is>
      </c>
      <c r="G29" s="14" t="inlineStr">
        <is>
          <t>Pago de Expensas · CIUDAD 1132 · Patagonia CBU 0340116900116010765007 / CUIL 30714962473</t>
        </is>
      </c>
    </row>
    <row r="30">
      <c r="A30" s="17" t="n">
        <v>46029</v>
      </c>
      <c r="B30" s="14" t="inlineStr">
        <is>
          <t>Enero</t>
        </is>
      </c>
      <c r="C30" s="14" t="inlineStr">
        <is>
          <t>Consorcio De Propiet</t>
        </is>
      </c>
      <c r="D30" s="14" t="inlineStr">
        <is>
          <t>CIUDAD 1132</t>
        </is>
      </c>
      <c r="E30" s="15" t="n">
        <v>238240</v>
      </c>
      <c r="F30" s="14" t="inlineStr">
        <is>
          <t>Mercado Pago — Transferencia enviada</t>
        </is>
      </c>
      <c r="G30" s="14" t="inlineStr">
        <is>
          <t>Pago de Expensas · CIUDAD 1132 · Patagonia CBU 0340116900116010765007 / CUIL 30714962473</t>
        </is>
      </c>
    </row>
    <row r="31">
      <c r="A31" s="17" t="n">
        <v>46031</v>
      </c>
      <c r="B31" s="14" t="inlineStr">
        <is>
          <t>Enero</t>
        </is>
      </c>
      <c r="C31" s="14" t="inlineStr">
        <is>
          <t>Consorcio De Copropi</t>
        </is>
      </c>
      <c r="D31" s="14" t="inlineStr">
        <is>
          <t>OHIGGINS</t>
        </is>
      </c>
      <c r="E31" s="15" t="n">
        <v>376564</v>
      </c>
      <c r="F31" s="14" t="inlineStr">
        <is>
          <t>Mercado Pago — Transferencia enviada</t>
        </is>
      </c>
      <c r="G31" s="14" t="inlineStr">
        <is>
          <t>Pago de Expensas · OHIGGINS 2219 piso 8 · Estudio Kalmus</t>
        </is>
      </c>
    </row>
    <row r="32">
      <c r="A32" s="17" t="n">
        <v>46059</v>
      </c>
      <c r="B32" s="14" t="inlineStr">
        <is>
          <t>Febrero</t>
        </is>
      </c>
      <c r="C32" s="14" t="inlineStr">
        <is>
          <t>Consorcio De Copropi</t>
        </is>
      </c>
      <c r="D32" s="14" t="inlineStr">
        <is>
          <t>OHIGGINS</t>
        </is>
      </c>
      <c r="E32" s="15" t="n">
        <v>395551</v>
      </c>
      <c r="F32" s="14" t="inlineStr">
        <is>
          <t>Mercado Pago — Transferencia enviada</t>
        </is>
      </c>
      <c r="G32" s="14" t="inlineStr">
        <is>
          <t>Pago de Expensas · OHIGGINS 2219 piso 8 · Estudio Kalmus</t>
        </is>
      </c>
    </row>
    <row r="33">
      <c r="A33" s="17" t="n">
        <v>46059</v>
      </c>
      <c r="B33" s="14" t="inlineStr">
        <is>
          <t>Febrero</t>
        </is>
      </c>
      <c r="C33" s="14" t="inlineStr">
        <is>
          <t>Consorcio De Propiet</t>
        </is>
      </c>
      <c r="D33" s="14" t="inlineStr">
        <is>
          <t>CIUDAD 1132</t>
        </is>
      </c>
      <c r="E33" s="15" t="n">
        <v>218800</v>
      </c>
      <c r="F33" s="14" t="inlineStr">
        <is>
          <t>Mercado Pago — Transferencia enviada</t>
        </is>
      </c>
      <c r="G33" s="14" t="inlineStr">
        <is>
          <t>Pago de Expensas · CIUDAD 1132 · Patagonia CBU 0340116900116010765007 / CUIL 30714962473</t>
        </is>
      </c>
    </row>
    <row r="34">
      <c r="A34" s="17" t="n">
        <v>46091</v>
      </c>
      <c r="B34" s="14" t="inlineStr">
        <is>
          <t>Marzo</t>
        </is>
      </c>
      <c r="C34" s="14" t="inlineStr">
        <is>
          <t>Consorcio De Copropi</t>
        </is>
      </c>
      <c r="D34" s="14" t="inlineStr">
        <is>
          <t>OHIGGINS</t>
        </is>
      </c>
      <c r="E34" s="15" t="n">
        <v>402934</v>
      </c>
      <c r="F34" s="14" t="inlineStr">
        <is>
          <t>Mercado Pago — Transferencia enviada</t>
        </is>
      </c>
      <c r="G34" s="14" t="inlineStr">
        <is>
          <t>Pago de Expensas · OHIGGINS 2219 piso 8 · Estudio Kalmus</t>
        </is>
      </c>
    </row>
    <row r="35">
      <c r="A35" s="17" t="n">
        <v>46091</v>
      </c>
      <c r="B35" s="14" t="inlineStr">
        <is>
          <t>Marzo</t>
        </is>
      </c>
      <c r="C35" s="14" t="inlineStr">
        <is>
          <t>Consorcio De Propiet</t>
        </is>
      </c>
      <c r="D35" s="14" t="inlineStr">
        <is>
          <t>CIUDAD 1132</t>
        </is>
      </c>
      <c r="E35" s="15" t="n">
        <v>218800</v>
      </c>
      <c r="F35" s="14" t="inlineStr">
        <is>
          <t>Mercado Pago — Transferencia enviada</t>
        </is>
      </c>
      <c r="G35" s="14" t="inlineStr">
        <is>
          <t>Pago de Expensas · CIUDAD 1132 · Patagonia CBU 0340116900116010765007 / CUIL 30714962473</t>
        </is>
      </c>
    </row>
    <row r="36">
      <c r="A36" s="17" t="n">
        <v>46154</v>
      </c>
      <c r="B36" s="14" t="inlineStr">
        <is>
          <t>Mayo</t>
        </is>
      </c>
      <c r="C36" s="14" t="inlineStr">
        <is>
          <t>Cons De Prop E Bonorino 82</t>
        </is>
      </c>
      <c r="D36" s="14" t="inlineStr">
        <is>
          <t>BONORINO</t>
        </is>
      </c>
      <c r="E36" s="15" t="n">
        <v>200340</v>
      </c>
      <c r="F36" s="14" t="inlineStr">
        <is>
          <t>Mercado Pago — Transferencia enviada</t>
        </is>
      </c>
      <c r="G36" s="14" t="inlineStr">
        <is>
          <t>Pago de Expensas · BONORINO</t>
        </is>
      </c>
    </row>
    <row r="37">
      <c r="A37" s="17" t="n">
        <v>46183</v>
      </c>
      <c r="B37" s="14" t="inlineStr">
        <is>
          <t>Junio</t>
        </is>
      </c>
      <c r="C37" s="14" t="inlineStr">
        <is>
          <t>Cons De Prop E Bonorino 82</t>
        </is>
      </c>
      <c r="D37" s="14" t="inlineStr">
        <is>
          <t>BONORINO</t>
        </is>
      </c>
      <c r="E37" s="15" t="n">
        <v>219145</v>
      </c>
      <c r="F37" s="14" t="inlineStr">
        <is>
          <t>Mercado Pago — Transferencia enviada</t>
        </is>
      </c>
      <c r="G37" s="14" t="inlineStr">
        <is>
          <t>Pago de Expensas · BONORINO</t>
        </is>
      </c>
    </row>
    <row r="38">
      <c r="A38" s="17" t="n">
        <v>46183</v>
      </c>
      <c r="B38" s="14" t="inlineStr">
        <is>
          <t>Mayo</t>
        </is>
      </c>
      <c r="C38" s="14" t="inlineStr">
        <is>
          <t>Consorcio De Copropi</t>
        </is>
      </c>
      <c r="D38" s="14" t="inlineStr">
        <is>
          <t>OHIGGINS</t>
        </is>
      </c>
      <c r="E38" s="15" t="n">
        <v>666347</v>
      </c>
      <c r="F38" s="14" t="inlineStr">
        <is>
          <t>Mercado Pago — Transferencia enviada</t>
        </is>
      </c>
      <c r="G38" s="14" t="inlineStr">
        <is>
          <t>Pago de Expensas · OHIGGINS 2219 piso 8 · Estudio Kalmus</t>
        </is>
      </c>
    </row>
    <row r="39">
      <c r="A39" s="17" t="n">
        <v>46183</v>
      </c>
      <c r="B39" s="14" t="inlineStr">
        <is>
          <t>Mayo</t>
        </is>
      </c>
      <c r="C39" s="14" t="inlineStr">
        <is>
          <t>Consorcio De Propiet</t>
        </is>
      </c>
      <c r="D39" s="14" t="inlineStr">
        <is>
          <t>CIUDAD 1132</t>
        </is>
      </c>
      <c r="E39" s="15" t="n">
        <v>246150</v>
      </c>
      <c r="F39" s="14" t="inlineStr">
        <is>
          <t>Mercado Pago — Transferencia enviada</t>
        </is>
      </c>
      <c r="G39" s="14" t="inlineStr">
        <is>
          <t>Pago de Expensas · CIUDAD 1132 · Patagonia CBU 0340116900116010765007 / CUIL 30714962473 · período mayo 2026 (Gmail Sent)</t>
        </is>
      </c>
    </row>
    <row r="40">
      <c r="A40" s="17" t="n">
        <v>46212</v>
      </c>
      <c r="B40" s="14" t="inlineStr">
        <is>
          <t>Julio</t>
        </is>
      </c>
      <c r="C40" s="14" t="inlineStr">
        <is>
          <t>Cons De Prop E Bonorino 82</t>
        </is>
      </c>
      <c r="D40" s="14" t="inlineStr">
        <is>
          <t>BONORINO</t>
        </is>
      </c>
      <c r="E40" s="15" t="n">
        <v>209393</v>
      </c>
      <c r="F40" s="14" t="inlineStr">
        <is>
          <t>Mercado Pago — Transferencia enviada</t>
        </is>
      </c>
      <c r="G40" s="14" t="inlineStr">
        <is>
          <t>Pago de Expensas · BONORINO</t>
        </is>
      </c>
    </row>
    <row r="41">
      <c r="A41" s="17" t="n">
        <v>46212</v>
      </c>
      <c r="B41" s="14" t="inlineStr">
        <is>
          <t>Junio</t>
        </is>
      </c>
      <c r="C41" s="14" t="inlineStr">
        <is>
          <t>Consorcio De Copropi</t>
        </is>
      </c>
      <c r="D41" s="14" t="inlineStr">
        <is>
          <t>OHIGGINS</t>
        </is>
      </c>
      <c r="E41" s="15" t="n">
        <v>829490</v>
      </c>
      <c r="F41" s="14" t="inlineStr">
        <is>
          <t>Mercado Pago — Transferencia enviada</t>
        </is>
      </c>
      <c r="G41" s="14" t="inlineStr">
        <is>
          <t>Pago de Expensas · OHIGGINS 2219 piso 8 · Estudio Kalmus</t>
        </is>
      </c>
    </row>
    <row r="42">
      <c r="A42" s="17" t="n">
        <v>46212</v>
      </c>
      <c r="B42" s="14" t="inlineStr">
        <is>
          <t>Junio</t>
        </is>
      </c>
      <c r="C42" s="14" t="inlineStr">
        <is>
          <t>Consorcio De Propiet</t>
        </is>
      </c>
      <c r="D42" s="14" t="inlineStr">
        <is>
          <t>CIUDAD 1132</t>
        </is>
      </c>
      <c r="E42" s="15" t="n">
        <v>273500</v>
      </c>
      <c r="F42" s="14" t="inlineStr">
        <is>
          <t>Mercado Pago — Transferencia enviada</t>
        </is>
      </c>
      <c r="G42" s="14" t="inlineStr">
        <is>
          <t>Pago de Expensas · CIUDAD 1132 · Patagonia CBU 0340116900116010765007 / CUIL 30714962473 · período junio 2026 (Gmail Sent)</t>
        </is>
      </c>
    </row>
    <row r="43">
      <c r="A43" s="17" t="n">
        <v>46119</v>
      </c>
      <c r="B43" s="14" t="inlineStr">
        <is>
          <t>Abril</t>
        </is>
      </c>
      <c r="C43" s="14" t="inlineStr">
        <is>
          <t>Consorcio De Propiet</t>
        </is>
      </c>
      <c r="D43" s="14" t="inlineStr">
        <is>
          <t>CIUDAD 1132</t>
        </is>
      </c>
      <c r="E43" s="15" t="n">
        <v>235210</v>
      </c>
      <c r="F43" s="14" t="inlineStr">
        <is>
          <t>Banco — Transferencia (cuenta PRINCIPAL)</t>
        </is>
      </c>
      <c r="G43" s="14" t="inlineStr">
        <is>
          <t>Pago de Expensas · CIUDAD 1132 · CBU Patagonia 0340116900116010765007 / CUIL 30714962473 · Gmail Sent 7-abr (comprobante)</t>
        </is>
      </c>
    </row>
    <row r="44">
      <c r="A44" s="17" t="n"/>
      <c r="B44" s="14" t="n"/>
      <c r="C44" s="14" t="n"/>
      <c r="D44" s="14" t="n"/>
      <c r="E44" s="15" t="n"/>
      <c r="F44" s="14" t="n"/>
      <c r="G44" s="14" t="n"/>
    </row>
    <row r="45">
      <c r="A45" s="17" t="n"/>
      <c r="B45" s="14" t="n"/>
      <c r="C45" s="14" t="n"/>
      <c r="D45" s="14" t="n"/>
      <c r="E45" s="15" t="n"/>
      <c r="F45" s="14" t="n"/>
      <c r="G45" s="14" t="n"/>
    </row>
    <row r="46">
      <c r="A46" s="17" t="n"/>
      <c r="B46" s="14" t="n"/>
      <c r="C46" s="14" t="n"/>
      <c r="D46" s="14" t="n"/>
      <c r="E46" s="15" t="n"/>
      <c r="F46" s="14" t="n"/>
      <c r="G46" s="14" t="n"/>
    </row>
    <row r="47">
      <c r="A47" s="17" t="n"/>
      <c r="B47" s="14" t="n"/>
      <c r="C47" s="14" t="n"/>
      <c r="D47" s="14" t="n"/>
      <c r="E47" s="15" t="n"/>
      <c r="F47" s="14" t="n"/>
      <c r="G47" s="14" t="n"/>
    </row>
    <row r="48">
      <c r="A48" s="17" t="n"/>
      <c r="B48" s="14" t="n"/>
      <c r="C48" s="14" t="n"/>
      <c r="D48" s="14" t="n"/>
      <c r="E48" s="15" t="n"/>
      <c r="F48" s="14" t="n"/>
      <c r="G48" s="14" t="n"/>
    </row>
    <row r="49">
      <c r="A49" s="17" t="n"/>
      <c r="B49" s="14" t="n"/>
      <c r="C49" s="14" t="n"/>
      <c r="D49" s="14" t="n"/>
      <c r="E49" s="15" t="n"/>
      <c r="F49" s="14" t="n"/>
      <c r="G49" s="14" t="n"/>
    </row>
    <row r="50">
      <c r="A50" s="17" t="n"/>
      <c r="B50" s="14" t="n"/>
      <c r="C50" s="14" t="n"/>
      <c r="D50" s="14" t="n"/>
      <c r="E50" s="15" t="n"/>
      <c r="F50" s="14" t="n"/>
      <c r="G50" s="14" t="n"/>
    </row>
    <row r="51">
      <c r="A51" s="17" t="n"/>
      <c r="B51" s="14" t="n"/>
      <c r="C51" s="14" t="n"/>
      <c r="D51" s="14" t="n"/>
      <c r="E51" s="15" t="n"/>
      <c r="F51" s="14" t="n"/>
      <c r="G51" s="14" t="n"/>
    </row>
    <row r="52">
      <c r="A52" s="17" t="n"/>
      <c r="B52" s="14" t="n"/>
      <c r="C52" s="14" t="n"/>
      <c r="D52" s="14" t="n"/>
      <c r="E52" s="15" t="n"/>
      <c r="F52" s="14" t="n"/>
      <c r="G52" s="14" t="n"/>
    </row>
    <row r="53">
      <c r="A53" s="17" t="n"/>
      <c r="B53" s="14" t="n"/>
      <c r="C53" s="14" t="n"/>
      <c r="D53" s="14" t="n"/>
      <c r="E53" s="15" t="n"/>
      <c r="F53" s="14" t="n"/>
      <c r="G53" s="14" t="n"/>
    </row>
    <row r="54">
      <c r="A54" s="17" t="n"/>
      <c r="B54" s="14" t="n"/>
      <c r="C54" s="14" t="n"/>
      <c r="D54" s="14" t="n"/>
      <c r="E54" s="15" t="n"/>
      <c r="F54" s="14" t="n"/>
      <c r="G54" s="14" t="n"/>
    </row>
    <row r="55">
      <c r="A55" s="17" t="n"/>
      <c r="B55" s="14" t="n"/>
      <c r="C55" s="14" t="n"/>
      <c r="D55" s="14" t="n"/>
      <c r="E55" s="15" t="n"/>
      <c r="F55" s="14" t="n"/>
      <c r="G55" s="14" t="n"/>
    </row>
    <row r="56">
      <c r="A56" s="17" t="n"/>
      <c r="B56" s="14" t="n"/>
      <c r="C56" s="14" t="n"/>
      <c r="D56" s="14" t="n"/>
      <c r="E56" s="15" t="n"/>
      <c r="F56" s="14" t="n"/>
      <c r="G56" s="14" t="n"/>
    </row>
    <row r="57">
      <c r="A57" s="17" t="n"/>
      <c r="B57" s="14" t="n"/>
      <c r="C57" s="14" t="n"/>
      <c r="D57" s="14" t="n"/>
      <c r="E57" s="15" t="n"/>
      <c r="F57" s="14" t="n"/>
      <c r="G57" s="14" t="n"/>
    </row>
    <row r="58">
      <c r="A58" s="17" t="n"/>
      <c r="B58" s="14" t="n"/>
      <c r="C58" s="14" t="n"/>
      <c r="D58" s="14" t="n"/>
      <c r="E58" s="15" t="n"/>
      <c r="F58" s="14" t="n"/>
      <c r="G58" s="14" t="n"/>
    </row>
    <row r="59">
      <c r="A59" s="17" t="n"/>
      <c r="B59" s="14" t="n"/>
      <c r="C59" s="14" t="n"/>
      <c r="D59" s="14" t="n"/>
      <c r="E59" s="15" t="n"/>
      <c r="F59" s="14" t="n"/>
      <c r="G59" s="14" t="n"/>
    </row>
    <row r="60">
      <c r="A60" s="17" t="n"/>
      <c r="B60" s="14" t="n"/>
      <c r="C60" s="14" t="n"/>
      <c r="D60" s="14" t="n"/>
      <c r="E60" s="15" t="n"/>
      <c r="F60" s="14" t="n"/>
      <c r="G60" s="14" t="n"/>
    </row>
    <row r="61">
      <c r="A61" s="17" t="n"/>
      <c r="B61" s="14" t="n"/>
      <c r="C61" s="14" t="n"/>
      <c r="D61" s="14" t="n"/>
      <c r="E61" s="15" t="n"/>
      <c r="F61" s="14" t="n"/>
      <c r="G61" s="14" t="n"/>
    </row>
    <row r="62">
      <c r="A62" s="17" t="n"/>
      <c r="B62" s="14" t="n"/>
      <c r="C62" s="14" t="n"/>
      <c r="D62" s="14" t="n"/>
      <c r="E62" s="15" t="n"/>
      <c r="F62" s="14" t="n"/>
      <c r="G62" s="14" t="n"/>
    </row>
    <row r="63">
      <c r="A63" s="17" t="n"/>
      <c r="B63" s="14" t="n"/>
      <c r="C63" s="14" t="n"/>
      <c r="D63" s="14" t="n"/>
      <c r="E63" s="15" t="n"/>
      <c r="F63" s="14" t="n"/>
      <c r="G63" s="14" t="n"/>
    </row>
    <row r="64">
      <c r="A64" s="17" t="n"/>
      <c r="B64" s="14" t="n"/>
      <c r="C64" s="14" t="n"/>
      <c r="D64" s="14" t="n"/>
      <c r="E64" s="15" t="n"/>
      <c r="F64" s="14" t="n"/>
      <c r="G64" s="14" t="n"/>
    </row>
    <row r="65">
      <c r="A65" s="17" t="n"/>
      <c r="B65" s="14" t="n"/>
      <c r="C65" s="14" t="n"/>
      <c r="D65" s="14" t="n"/>
      <c r="E65" s="15" t="n"/>
      <c r="F65" s="14" t="n"/>
      <c r="G65" s="14" t="n"/>
    </row>
    <row r="66">
      <c r="A66" s="17" t="n"/>
      <c r="B66" s="14" t="n"/>
      <c r="C66" s="14" t="n"/>
      <c r="D66" s="14" t="n"/>
      <c r="E66" s="15" t="n"/>
      <c r="F66" s="14" t="n"/>
      <c r="G66" s="14" t="n"/>
    </row>
    <row r="67">
      <c r="A67" s="17" t="n"/>
      <c r="B67" s="14" t="n"/>
      <c r="C67" s="14" t="n"/>
      <c r="D67" s="14" t="n"/>
      <c r="E67" s="15" t="n"/>
      <c r="F67" s="14" t="n"/>
      <c r="G67" s="14" t="n"/>
    </row>
    <row r="68">
      <c r="A68" s="17" t="n"/>
      <c r="B68" s="14" t="n"/>
      <c r="C68" s="14" t="n"/>
      <c r="D68" s="14" t="n"/>
      <c r="E68" s="15" t="n"/>
      <c r="F68" s="14" t="n"/>
      <c r="G68" s="14" t="n"/>
    </row>
    <row r="69">
      <c r="A69" s="17" t="n"/>
      <c r="B69" s="14" t="n"/>
      <c r="C69" s="14" t="n"/>
      <c r="D69" s="14" t="n"/>
      <c r="E69" s="15" t="n"/>
      <c r="F69" s="14" t="n"/>
      <c r="G69" s="14" t="n"/>
    </row>
    <row r="70">
      <c r="A70" s="17" t="n"/>
      <c r="B70" s="14" t="n"/>
      <c r="C70" s="14" t="n"/>
      <c r="D70" s="14" t="n"/>
      <c r="E70" s="15" t="n"/>
      <c r="F70" s="14" t="n"/>
      <c r="G70" s="14" t="n"/>
    </row>
    <row r="71">
      <c r="A71" s="17" t="n"/>
      <c r="B71" s="14" t="n"/>
      <c r="C71" s="14" t="n"/>
      <c r="D71" s="14" t="n"/>
      <c r="E71" s="15" t="n"/>
      <c r="F71" s="14" t="n"/>
      <c r="G71" s="14" t="n"/>
    </row>
    <row r="72">
      <c r="A72" s="17" t="n"/>
      <c r="B72" s="14" t="n"/>
      <c r="C72" s="14" t="n"/>
      <c r="D72" s="14" t="n"/>
      <c r="E72" s="15" t="n"/>
      <c r="F72" s="14" t="n"/>
      <c r="G72" s="14" t="n"/>
    </row>
    <row r="73">
      <c r="A73" s="17" t="n"/>
      <c r="B73" s="14" t="n"/>
      <c r="C73" s="14" t="n"/>
      <c r="D73" s="14" t="n"/>
      <c r="E73" s="15" t="n"/>
      <c r="F73" s="14" t="n"/>
      <c r="G73" s="14" t="n"/>
    </row>
    <row r="74">
      <c r="A74" s="17" t="n"/>
      <c r="B74" s="14" t="n"/>
      <c r="C74" s="14" t="n"/>
      <c r="D74" s="14" t="n"/>
      <c r="E74" s="15" t="n"/>
      <c r="F74" s="14" t="n"/>
      <c r="G74" s="14" t="n"/>
    </row>
    <row r="75">
      <c r="A75" s="17" t="n"/>
      <c r="B75" s="14" t="n"/>
      <c r="C75" s="14" t="n"/>
      <c r="D75" s="14" t="n"/>
      <c r="E75" s="15" t="n"/>
      <c r="F75" s="14" t="n"/>
      <c r="G75" s="14" t="n"/>
    </row>
    <row r="76">
      <c r="A76" s="17" t="n"/>
      <c r="B76" s="14" t="n"/>
      <c r="C76" s="14" t="n"/>
      <c r="D76" s="14" t="n"/>
      <c r="E76" s="15" t="n"/>
      <c r="F76" s="14" t="n"/>
      <c r="G76" s="14" t="n"/>
    </row>
    <row r="77">
      <c r="A77" s="17" t="n"/>
      <c r="B77" s="14" t="n"/>
      <c r="C77" s="14" t="n"/>
      <c r="D77" s="14" t="n"/>
      <c r="E77" s="15" t="n"/>
      <c r="F77" s="14" t="n"/>
      <c r="G77" s="14" t="n"/>
    </row>
    <row r="78">
      <c r="A78" s="17" t="n"/>
      <c r="B78" s="14" t="n"/>
      <c r="C78" s="14" t="n"/>
      <c r="D78" s="14" t="n"/>
      <c r="E78" s="15" t="n"/>
      <c r="F78" s="14" t="n"/>
      <c r="G78" s="14" t="n"/>
    </row>
    <row r="79">
      <c r="A79" s="17" t="n"/>
      <c r="B79" s="14" t="n"/>
      <c r="C79" s="14" t="n"/>
      <c r="D79" s="14" t="n"/>
      <c r="E79" s="15" t="n"/>
      <c r="F79" s="14" t="n"/>
      <c r="G79" s="14" t="n"/>
    </row>
    <row r="80">
      <c r="A80" s="17" t="n"/>
      <c r="B80" s="14" t="n"/>
      <c r="C80" s="14" t="n"/>
      <c r="D80" s="14" t="n"/>
      <c r="E80" s="15" t="n"/>
      <c r="F80" s="14" t="n"/>
      <c r="G80" s="14" t="n"/>
    </row>
    <row r="81">
      <c r="A81" s="17" t="n"/>
      <c r="B81" s="14" t="n"/>
      <c r="C81" s="14" t="n"/>
      <c r="D81" s="14" t="n"/>
      <c r="E81" s="15" t="n"/>
      <c r="F81" s="14" t="n"/>
      <c r="G81" s="14" t="n"/>
    </row>
    <row r="82">
      <c r="A82" s="17" t="n"/>
      <c r="B82" s="14" t="n"/>
      <c r="C82" s="14" t="n"/>
      <c r="D82" s="14" t="n"/>
      <c r="E82" s="15" t="n"/>
      <c r="F82" s="14" t="n"/>
      <c r="G82" s="14" t="n"/>
    </row>
    <row r="83">
      <c r="A83" s="17" t="n"/>
      <c r="B83" s="14" t="n"/>
      <c r="C83" s="14" t="n"/>
      <c r="D83" s="14" t="n"/>
      <c r="E83" s="15" t="n"/>
      <c r="F83" s="14" t="n"/>
      <c r="G83" s="14" t="n"/>
    </row>
    <row r="84">
      <c r="A84" s="17" t="n"/>
      <c r="B84" s="14" t="n"/>
      <c r="C84" s="14" t="n"/>
      <c r="D84" s="14" t="n"/>
      <c r="E84" s="15" t="n"/>
      <c r="F84" s="14" t="n"/>
      <c r="G84" s="14" t="n"/>
    </row>
    <row r="85">
      <c r="A85" s="17" t="n"/>
      <c r="B85" s="14" t="n"/>
      <c r="C85" s="14" t="n"/>
      <c r="D85" s="14" t="n"/>
      <c r="E85" s="15" t="n"/>
      <c r="F85" s="14" t="n"/>
      <c r="G85" s="14" t="n"/>
    </row>
    <row r="86">
      <c r="A86" s="17" t="n"/>
      <c r="B86" s="14" t="n"/>
      <c r="C86" s="14" t="n"/>
      <c r="D86" s="14" t="n"/>
      <c r="E86" s="15" t="n"/>
      <c r="F86" s="14" t="n"/>
      <c r="G86" s="14" t="n"/>
    </row>
    <row r="87">
      <c r="A87" s="17" t="n"/>
      <c r="B87" s="14" t="n"/>
      <c r="C87" s="14" t="n"/>
      <c r="D87" s="14" t="n"/>
      <c r="E87" s="15" t="n"/>
      <c r="F87" s="14" t="n"/>
      <c r="G87" s="14" t="n"/>
    </row>
    <row r="88">
      <c r="A88" s="17" t="n"/>
      <c r="B88" s="14" t="n"/>
      <c r="C88" s="14" t="n"/>
      <c r="D88" s="14" t="n"/>
      <c r="E88" s="15" t="n"/>
      <c r="F88" s="14" t="n"/>
      <c r="G88" s="14" t="n"/>
    </row>
    <row r="89">
      <c r="A89" s="17" t="n"/>
      <c r="B89" s="14" t="n"/>
      <c r="C89" s="14" t="n"/>
      <c r="D89" s="14" t="n"/>
      <c r="E89" s="15" t="n"/>
      <c r="F89" s="14" t="n"/>
      <c r="G89" s="14" t="n"/>
    </row>
    <row r="90">
      <c r="A90" s="17" t="n"/>
      <c r="B90" s="14" t="n"/>
      <c r="C90" s="14" t="n"/>
      <c r="D90" s="14" t="n"/>
      <c r="E90" s="15" t="n"/>
      <c r="F90" s="14" t="n"/>
      <c r="G90" s="14" t="n"/>
    </row>
    <row r="91">
      <c r="A91" s="17" t="n"/>
      <c r="B91" s="14" t="n"/>
      <c r="C91" s="14" t="n"/>
      <c r="D91" s="14" t="n"/>
      <c r="E91" s="15" t="n"/>
      <c r="F91" s="14" t="n"/>
      <c r="G91" s="14" t="n"/>
    </row>
    <row r="92">
      <c r="A92" s="17" t="n"/>
      <c r="B92" s="14" t="n"/>
      <c r="C92" s="14" t="n"/>
      <c r="D92" s="14" t="n"/>
      <c r="E92" s="15" t="n"/>
      <c r="F92" s="14" t="n"/>
      <c r="G92" s="14" t="n"/>
    </row>
    <row r="93">
      <c r="A93" s="17" t="n"/>
      <c r="B93" s="14" t="n"/>
      <c r="C93" s="14" t="n"/>
      <c r="D93" s="14" t="n"/>
      <c r="E93" s="15" t="n"/>
      <c r="F93" s="14" t="n"/>
      <c r="G93" s="14" t="n"/>
    </row>
    <row r="94">
      <c r="A94" s="17" t="n"/>
      <c r="B94" s="14" t="n"/>
      <c r="C94" s="14" t="n"/>
      <c r="D94" s="14" t="n"/>
      <c r="E94" s="15" t="n"/>
      <c r="F94" s="14" t="n"/>
      <c r="G94" s="14" t="n"/>
    </row>
    <row r="95">
      <c r="A95" s="17" t="n"/>
      <c r="B95" s="14" t="n"/>
      <c r="C95" s="14" t="n"/>
      <c r="D95" s="14" t="n"/>
      <c r="E95" s="15" t="n"/>
      <c r="F95" s="14" t="n"/>
      <c r="G95" s="14" t="n"/>
    </row>
    <row r="96">
      <c r="A96" s="17" t="n"/>
      <c r="B96" s="14" t="n"/>
      <c r="C96" s="14" t="n"/>
      <c r="D96" s="14" t="n"/>
      <c r="E96" s="15" t="n"/>
      <c r="F96" s="14" t="n"/>
      <c r="G96" s="14" t="n"/>
    </row>
    <row r="97">
      <c r="A97" s="17" t="n"/>
      <c r="B97" s="14" t="n"/>
      <c r="C97" s="14" t="n"/>
      <c r="D97" s="14" t="n"/>
      <c r="E97" s="15" t="n"/>
      <c r="F97" s="14" t="n"/>
      <c r="G97" s="14" t="n"/>
    </row>
    <row r="98">
      <c r="A98" s="17" t="n"/>
      <c r="B98" s="14" t="n"/>
      <c r="C98" s="14" t="n"/>
      <c r="D98" s="14" t="n"/>
      <c r="E98" s="15" t="n"/>
      <c r="F98" s="14" t="n"/>
      <c r="G98" s="14" t="n"/>
    </row>
    <row r="99">
      <c r="A99" s="17" t="n"/>
      <c r="B99" s="14" t="n"/>
      <c r="C99" s="14" t="n"/>
      <c r="D99" s="14" t="n"/>
      <c r="E99" s="15" t="n"/>
      <c r="F99" s="14" t="n"/>
      <c r="G99" s="14" t="n"/>
    </row>
    <row r="100">
      <c r="A100" s="17" t="n"/>
      <c r="B100" s="14" t="n"/>
      <c r="C100" s="14" t="n"/>
      <c r="D100" s="14" t="n"/>
      <c r="E100" s="15" t="n"/>
      <c r="F100" s="14" t="n"/>
      <c r="G100" s="14" t="n"/>
    </row>
    <row r="101">
      <c r="A101" s="17" t="n"/>
      <c r="B101" s="14" t="n"/>
      <c r="C101" s="14" t="n"/>
      <c r="D101" s="14" t="n"/>
      <c r="E101" s="15" t="n"/>
      <c r="F101" s="14" t="n"/>
      <c r="G101" s="14" t="n"/>
    </row>
    <row r="102">
      <c r="A102" s="17" t="n"/>
      <c r="B102" s="14" t="n"/>
      <c r="C102" s="14" t="n"/>
      <c r="D102" s="14" t="n"/>
      <c r="E102" s="15" t="n"/>
      <c r="F102" s="14" t="n"/>
      <c r="G102" s="14" t="n"/>
    </row>
    <row r="103">
      <c r="A103" s="17" t="n"/>
      <c r="B103" s="14" t="n"/>
      <c r="C103" s="14" t="n"/>
      <c r="D103" s="14" t="n"/>
      <c r="E103" s="15" t="n"/>
      <c r="F103" s="14" t="n"/>
      <c r="G103" s="14" t="n"/>
    </row>
    <row r="104">
      <c r="A104" s="17" t="n"/>
      <c r="B104" s="14" t="n"/>
      <c r="C104" s="14" t="n"/>
      <c r="D104" s="14" t="n"/>
      <c r="E104" s="15" t="n"/>
      <c r="F104" s="14" t="n"/>
      <c r="G104" s="14" t="n"/>
    </row>
    <row r="105">
      <c r="A105" s="17" t="n"/>
      <c r="B105" s="14" t="n"/>
      <c r="C105" s="14" t="n"/>
      <c r="D105" s="14" t="n"/>
      <c r="E105" s="15" t="n"/>
      <c r="F105" s="14" t="n"/>
      <c r="G105" s="14" t="n"/>
    </row>
    <row r="106">
      <c r="A106" s="17" t="n"/>
      <c r="B106" s="14" t="n"/>
      <c r="C106" s="14" t="n"/>
      <c r="D106" s="14" t="n"/>
      <c r="E106" s="15" t="n"/>
      <c r="F106" s="14" t="n"/>
      <c r="G106" s="14" t="n"/>
    </row>
    <row r="107">
      <c r="A107" s="17" t="n"/>
      <c r="B107" s="14" t="n"/>
      <c r="C107" s="14" t="n"/>
      <c r="D107" s="14" t="n"/>
      <c r="E107" s="15" t="n"/>
      <c r="F107" s="14" t="n"/>
      <c r="G107" s="14" t="n"/>
    </row>
    <row r="108">
      <c r="A108" s="17" t="n"/>
      <c r="B108" s="14" t="n"/>
      <c r="C108" s="14" t="n"/>
      <c r="D108" s="14" t="n"/>
      <c r="E108" s="15" t="n"/>
      <c r="F108" s="14" t="n"/>
      <c r="G108" s="14" t="n"/>
    </row>
    <row r="109">
      <c r="A109" s="17" t="n"/>
      <c r="B109" s="14" t="n"/>
      <c r="C109" s="14" t="n"/>
      <c r="D109" s="14" t="n"/>
      <c r="E109" s="15" t="n"/>
      <c r="F109" s="14" t="n"/>
      <c r="G109" s="14" t="n"/>
    </row>
    <row r="110">
      <c r="A110" s="17" t="n"/>
      <c r="B110" s="14" t="n"/>
      <c r="C110" s="14" t="n"/>
      <c r="D110" s="14" t="n"/>
      <c r="E110" s="15" t="n"/>
      <c r="F110" s="14" t="n"/>
      <c r="G110" s="14" t="n"/>
    </row>
    <row r="111">
      <c r="A111" s="17" t="n"/>
      <c r="B111" s="14" t="n"/>
      <c r="C111" s="14" t="n"/>
      <c r="D111" s="14" t="n"/>
      <c r="E111" s="15" t="n"/>
      <c r="F111" s="14" t="n"/>
      <c r="G111" s="14" t="n"/>
    </row>
    <row r="112">
      <c r="A112" s="17" t="n"/>
      <c r="B112" s="14" t="n"/>
      <c r="C112" s="14" t="n"/>
      <c r="D112" s="14" t="n"/>
      <c r="E112" s="15" t="n"/>
      <c r="F112" s="14" t="n"/>
      <c r="G112" s="14" t="n"/>
    </row>
    <row r="113">
      <c r="A113" s="17" t="n"/>
      <c r="B113" s="14" t="n"/>
      <c r="C113" s="14" t="n"/>
      <c r="D113" s="14" t="n"/>
      <c r="E113" s="15" t="n"/>
      <c r="F113" s="14" t="n"/>
      <c r="G113" s="14" t="n"/>
    </row>
    <row r="114">
      <c r="A114" s="17" t="n"/>
      <c r="B114" s="14" t="n"/>
      <c r="C114" s="14" t="n"/>
      <c r="D114" s="14" t="n"/>
      <c r="E114" s="15" t="n"/>
      <c r="F114" s="14" t="n"/>
      <c r="G114" s="14" t="n"/>
    </row>
    <row r="115">
      <c r="A115" s="17" t="n"/>
      <c r="B115" s="14" t="n"/>
      <c r="C115" s="14" t="n"/>
      <c r="D115" s="14" t="n"/>
      <c r="E115" s="15" t="n"/>
      <c r="F115" s="14" t="n"/>
      <c r="G115" s="14" t="n"/>
    </row>
    <row r="116">
      <c r="A116" s="17" t="n"/>
      <c r="B116" s="14" t="n"/>
      <c r="C116" s="14" t="n"/>
      <c r="D116" s="14" t="n"/>
      <c r="E116" s="15" t="n"/>
      <c r="F116" s="14" t="n"/>
      <c r="G116" s="14" t="n"/>
    </row>
    <row r="117">
      <c r="A117" s="17" t="n"/>
      <c r="B117" s="14" t="n"/>
      <c r="C117" s="14" t="n"/>
      <c r="D117" s="14" t="n"/>
      <c r="E117" s="15" t="n"/>
      <c r="F117" s="14" t="n"/>
      <c r="G117" s="14" t="n"/>
    </row>
    <row r="118">
      <c r="A118" s="17" t="n"/>
      <c r="B118" s="14" t="n"/>
      <c r="C118" s="14" t="n"/>
      <c r="D118" s="14" t="n"/>
      <c r="E118" s="15" t="n"/>
      <c r="F118" s="14" t="n"/>
      <c r="G118" s="14" t="n"/>
    </row>
    <row r="119">
      <c r="A119" s="17" t="n"/>
      <c r="B119" s="14" t="n"/>
      <c r="C119" s="14" t="n"/>
      <c r="D119" s="14" t="n"/>
      <c r="E119" s="15" t="n"/>
      <c r="F119" s="14" t="n"/>
      <c r="G119" s="14" t="n"/>
    </row>
    <row r="120">
      <c r="A120" s="17" t="n"/>
      <c r="B120" s="14" t="n"/>
      <c r="C120" s="14" t="n"/>
      <c r="D120" s="14" t="n"/>
      <c r="E120" s="15" t="n"/>
      <c r="F120" s="14" t="n"/>
      <c r="G120" s="14" t="n"/>
    </row>
    <row r="121">
      <c r="A121" s="17" t="n"/>
      <c r="B121" s="14" t="n"/>
      <c r="C121" s="14" t="n"/>
      <c r="D121" s="14" t="n"/>
      <c r="E121" s="15" t="n"/>
      <c r="F121" s="14" t="n"/>
      <c r="G121" s="14" t="n"/>
    </row>
    <row r="122">
      <c r="A122" s="17" t="n"/>
      <c r="B122" s="14" t="n"/>
      <c r="C122" s="14" t="n"/>
      <c r="D122" s="14" t="n"/>
      <c r="E122" s="15" t="n"/>
      <c r="F122" s="14" t="n"/>
      <c r="G122" s="14" t="n"/>
    </row>
    <row r="123">
      <c r="A123" s="17" t="n"/>
      <c r="B123" s="14" t="n"/>
      <c r="C123" s="14" t="n"/>
      <c r="D123" s="14" t="n"/>
      <c r="E123" s="15" t="n"/>
      <c r="F123" s="14" t="n"/>
      <c r="G123" s="14" t="n"/>
    </row>
    <row r="124">
      <c r="A124" s="17" t="n"/>
      <c r="B124" s="14" t="n"/>
      <c r="C124" s="14" t="n"/>
      <c r="D124" s="14" t="n"/>
      <c r="E124" s="15" t="n"/>
      <c r="F124" s="14" t="n"/>
      <c r="G124" s="14" t="n"/>
    </row>
    <row r="125">
      <c r="A125" s="17" t="n"/>
      <c r="B125" s="14" t="n"/>
      <c r="C125" s="14" t="n"/>
      <c r="D125" s="14" t="n"/>
      <c r="E125" s="15" t="n"/>
      <c r="F125" s="14" t="n"/>
      <c r="G125" s="14" t="n"/>
    </row>
    <row r="126">
      <c r="A126" s="17" t="n"/>
      <c r="B126" s="14" t="n"/>
      <c r="C126" s="14" t="n"/>
      <c r="D126" s="14" t="n"/>
      <c r="E126" s="15" t="n"/>
      <c r="F126" s="14" t="n"/>
      <c r="G126" s="14" t="n"/>
    </row>
    <row r="127">
      <c r="A127" s="17" t="n"/>
      <c r="B127" s="14" t="n"/>
      <c r="C127" s="14" t="n"/>
      <c r="D127" s="14" t="n"/>
      <c r="E127" s="15" t="n"/>
      <c r="F127" s="14" t="n"/>
      <c r="G127" s="14" t="n"/>
    </row>
    <row r="128">
      <c r="A128" s="17" t="n"/>
      <c r="B128" s="14" t="n"/>
      <c r="C128" s="14" t="n"/>
      <c r="D128" s="14" t="n"/>
      <c r="E128" s="15" t="n"/>
      <c r="F128" s="14" t="n"/>
      <c r="G128" s="14" t="n"/>
    </row>
    <row r="129">
      <c r="A129" s="17" t="n"/>
      <c r="B129" s="14" t="n"/>
      <c r="C129" s="14" t="n"/>
      <c r="D129" s="14" t="n"/>
      <c r="E129" s="15" t="n"/>
      <c r="F129" s="14" t="n"/>
      <c r="G129" s="14" t="n"/>
    </row>
    <row r="130">
      <c r="A130" s="17" t="n"/>
      <c r="B130" s="14" t="n"/>
      <c r="C130" s="14" t="n"/>
      <c r="D130" s="14" t="n"/>
      <c r="E130" s="15" t="n"/>
      <c r="F130" s="14" t="n"/>
      <c r="G130" s="14" t="n"/>
    </row>
    <row r="131">
      <c r="A131" s="17" t="n"/>
      <c r="B131" s="14" t="n"/>
      <c r="C131" s="14" t="n"/>
      <c r="D131" s="14" t="n"/>
      <c r="E131" s="15" t="n"/>
      <c r="F131" s="14" t="n"/>
      <c r="G131" s="14" t="n"/>
    </row>
    <row r="132">
      <c r="A132" s="17" t="n"/>
      <c r="B132" s="14" t="n"/>
      <c r="C132" s="14" t="n"/>
      <c r="D132" s="14" t="n"/>
      <c r="E132" s="15" t="n"/>
      <c r="F132" s="14" t="n"/>
      <c r="G132" s="14" t="n"/>
    </row>
    <row r="133">
      <c r="A133" s="17" t="n"/>
      <c r="B133" s="14" t="n"/>
      <c r="C133" s="14" t="n"/>
      <c r="D133" s="14" t="n"/>
      <c r="E133" s="15" t="n"/>
      <c r="F133" s="14" t="n"/>
      <c r="G133" s="14" t="n"/>
    </row>
    <row r="134">
      <c r="A134" s="17" t="n"/>
      <c r="B134" s="14" t="n"/>
      <c r="C134" s="14" t="n"/>
      <c r="D134" s="14" t="n"/>
      <c r="E134" s="15" t="n"/>
      <c r="F134" s="14" t="n"/>
      <c r="G134" s="14" t="n"/>
    </row>
    <row r="135">
      <c r="A135" s="17" t="n"/>
      <c r="B135" s="14" t="n"/>
      <c r="C135" s="14" t="n"/>
      <c r="D135" s="14" t="n"/>
      <c r="E135" s="15" t="n"/>
      <c r="F135" s="14" t="n"/>
      <c r="G135" s="14" t="n"/>
    </row>
    <row r="136">
      <c r="A136" s="17" t="n"/>
      <c r="B136" s="14" t="n"/>
      <c r="C136" s="14" t="n"/>
      <c r="D136" s="14" t="n"/>
      <c r="E136" s="15" t="n"/>
      <c r="F136" s="14" t="n"/>
      <c r="G136" s="14" t="n"/>
    </row>
    <row r="137">
      <c r="A137" s="17" t="n"/>
      <c r="B137" s="14" t="n"/>
      <c r="C137" s="14" t="n"/>
      <c r="D137" s="14" t="n"/>
      <c r="E137" s="15" t="n"/>
      <c r="F137" s="14" t="n"/>
      <c r="G137" s="14" t="n"/>
    </row>
    <row r="138">
      <c r="A138" s="17" t="n"/>
      <c r="B138" s="14" t="n"/>
      <c r="C138" s="14" t="n"/>
      <c r="D138" s="14" t="n"/>
      <c r="E138" s="15" t="n"/>
      <c r="F138" s="14" t="n"/>
      <c r="G138" s="14" t="n"/>
    </row>
    <row r="139">
      <c r="A139" s="17" t="n"/>
      <c r="B139" s="14" t="n"/>
      <c r="C139" s="14" t="n"/>
      <c r="D139" s="14" t="n"/>
      <c r="E139" s="15" t="n"/>
      <c r="F139" s="14" t="n"/>
      <c r="G139" s="14" t="n"/>
    </row>
    <row r="140">
      <c r="A140" s="17" t="n"/>
      <c r="B140" s="14" t="n"/>
      <c r="C140" s="14" t="n"/>
      <c r="D140" s="14" t="n"/>
      <c r="E140" s="15" t="n"/>
      <c r="F140" s="14" t="n"/>
      <c r="G140" s="14" t="n"/>
    </row>
    <row r="141">
      <c r="A141" s="17" t="n"/>
      <c r="B141" s="14" t="n"/>
      <c r="C141" s="14" t="n"/>
      <c r="D141" s="14" t="n"/>
      <c r="E141" s="15" t="n"/>
      <c r="F141" s="14" t="n"/>
      <c r="G141" s="14" t="n"/>
    </row>
    <row r="142">
      <c r="A142" s="17" t="n"/>
      <c r="B142" s="14" t="n"/>
      <c r="C142" s="14" t="n"/>
      <c r="D142" s="14" t="n"/>
      <c r="E142" s="15" t="n"/>
      <c r="F142" s="14" t="n"/>
      <c r="G142" s="14" t="n"/>
    </row>
    <row r="143">
      <c r="A143" s="17" t="n"/>
      <c r="B143" s="14" t="n"/>
      <c r="C143" s="14" t="n"/>
      <c r="D143" s="14" t="n"/>
      <c r="E143" s="15" t="n"/>
      <c r="F143" s="14" t="n"/>
      <c r="G143" s="14" t="n"/>
    </row>
    <row r="144">
      <c r="A144" s="17" t="n"/>
      <c r="B144" s="14" t="n"/>
      <c r="C144" s="14" t="n"/>
      <c r="D144" s="14" t="n"/>
      <c r="E144" s="15" t="n"/>
      <c r="F144" s="14" t="n"/>
      <c r="G144" s="14" t="n"/>
    </row>
    <row r="145">
      <c r="A145" s="17" t="n"/>
      <c r="B145" s="14" t="n"/>
      <c r="C145" s="14" t="n"/>
      <c r="D145" s="14" t="n"/>
      <c r="E145" s="15" t="n"/>
      <c r="F145" s="14" t="n"/>
      <c r="G145" s="14" t="n"/>
    </row>
    <row r="146">
      <c r="A146" s="17" t="n"/>
      <c r="B146" s="14" t="n"/>
      <c r="C146" s="14" t="n"/>
      <c r="D146" s="14" t="n"/>
      <c r="E146" s="15" t="n"/>
      <c r="F146" s="14" t="n"/>
      <c r="G146" s="14" t="n"/>
    </row>
    <row r="147">
      <c r="A147" s="17" t="n"/>
      <c r="B147" s="14" t="n"/>
      <c r="C147" s="14" t="n"/>
      <c r="D147" s="14" t="n"/>
      <c r="E147" s="15" t="n"/>
      <c r="F147" s="14" t="n"/>
      <c r="G147" s="14" t="n"/>
    </row>
    <row r="148">
      <c r="A148" s="17" t="n"/>
      <c r="B148" s="14" t="n"/>
      <c r="C148" s="14" t="n"/>
      <c r="D148" s="14" t="n"/>
      <c r="E148" s="15" t="n"/>
      <c r="F148" s="14" t="n"/>
      <c r="G148" s="14" t="n"/>
    </row>
  </sheetData>
  <mergeCells count="2">
    <mergeCell ref="A2:G2"/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2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4" customWidth="1" min="4" max="4"/>
    <col width="28" customWidth="1" min="5" max="5"/>
    <col width="36" customWidth="1" min="6" max="6"/>
  </cols>
  <sheetData>
    <row r="1">
      <c r="A1" s="1" t="inlineStr">
        <is>
          <t>CIUDAD 1132 — Gasto personal Sol</t>
        </is>
      </c>
    </row>
    <row r="2">
      <c r="A2" s="30" t="inlineStr">
        <is>
          <t>Gastos personales de Sol (Tuenti, Apple, ropa, ML, transferencias a terceros, extras, mascotas). NO es ALMACEN SOL. No suma al total de la hoja 2026.</t>
        </is>
      </c>
    </row>
    <row r="4">
      <c r="A4" s="31" t="inlineStr">
        <is>
          <t>Resumen por mes</t>
        </is>
      </c>
    </row>
    <row r="5">
      <c r="A5" s="34" t="inlineStr">
        <is>
          <t>Mes</t>
        </is>
      </c>
      <c r="B5" s="34" t="inlineStr">
        <is>
          <t>Total</t>
        </is>
      </c>
    </row>
    <row r="6">
      <c r="A6" s="14" t="inlineStr">
        <is>
          <t>Enero</t>
        </is>
      </c>
      <c r="B6" s="15">
        <f>SUMIF($B$23:$B$226,A6,$D$23:$D$226)</f>
        <v/>
      </c>
    </row>
    <row r="7">
      <c r="A7" s="14" t="inlineStr">
        <is>
          <t>Febrero</t>
        </is>
      </c>
      <c r="B7" s="15">
        <f>SUMIF($B$23:$B$226,A7,$D$23:$D$226)</f>
        <v/>
      </c>
    </row>
    <row r="8">
      <c r="A8" s="14" t="inlineStr">
        <is>
          <t>Marzo</t>
        </is>
      </c>
      <c r="B8" s="15">
        <f>SUMIF($B$23:$B$226,A8,$D$23:$D$226)</f>
        <v/>
      </c>
    </row>
    <row r="9">
      <c r="A9" s="14" t="inlineStr">
        <is>
          <t>Abril</t>
        </is>
      </c>
      <c r="B9" s="15">
        <f>SUMIF($B$23:$B$226,A9,$D$23:$D$226)</f>
        <v/>
      </c>
    </row>
    <row r="10">
      <c r="A10" s="14" t="inlineStr">
        <is>
          <t>Mayo</t>
        </is>
      </c>
      <c r="B10" s="15">
        <f>SUMIF($B$23:$B$226,A10,$D$23:$D$226)</f>
        <v/>
      </c>
    </row>
    <row r="11">
      <c r="A11" s="14" t="inlineStr">
        <is>
          <t>Junio</t>
        </is>
      </c>
      <c r="B11" s="15">
        <f>SUMIF($B$23:$B$226,A11,$D$23:$D$226)</f>
        <v/>
      </c>
    </row>
    <row r="12">
      <c r="A12" s="14" t="inlineStr">
        <is>
          <t>Julio</t>
        </is>
      </c>
      <c r="B12" s="15">
        <f>SUMIF($B$23:$B$226,A12,$D$23:$D$226)</f>
        <v/>
      </c>
    </row>
    <row r="13">
      <c r="A13" s="14" t="inlineStr">
        <is>
          <t>Agosto</t>
        </is>
      </c>
      <c r="B13" s="15">
        <f>SUMIF($B$23:$B$226,A13,$D$23:$D$226)</f>
        <v/>
      </c>
    </row>
    <row r="14">
      <c r="A14" s="14" t="inlineStr">
        <is>
          <t>Septiembre</t>
        </is>
      </c>
      <c r="B14" s="15">
        <f>SUMIF($B$23:$B$226,A14,$D$23:$D$226)</f>
        <v/>
      </c>
    </row>
    <row r="15">
      <c r="A15" s="14" t="inlineStr">
        <is>
          <t>Octubre</t>
        </is>
      </c>
      <c r="B15" s="15">
        <f>SUMIF($B$23:$B$226,A15,$D$23:$D$226)</f>
        <v/>
      </c>
    </row>
    <row r="16">
      <c r="A16" s="14" t="inlineStr">
        <is>
          <t>Noviembre</t>
        </is>
      </c>
      <c r="B16" s="15">
        <f>SUMIF($B$23:$B$226,A16,$D$23:$D$226)</f>
        <v/>
      </c>
    </row>
    <row r="17">
      <c r="A17" s="14" t="inlineStr">
        <is>
          <t>Diciembre</t>
        </is>
      </c>
      <c r="B17" s="15">
        <f>SUMIF($B$23:$B$226,A17,$D$23:$D$226)</f>
        <v/>
      </c>
    </row>
    <row r="18">
      <c r="A18" s="38" t="inlineStr">
        <is>
          <t>TOTAL AÑO</t>
        </is>
      </c>
      <c r="B18" s="39">
        <f>SUM(B6:B17)</f>
        <v/>
      </c>
    </row>
    <row r="21">
      <c r="A21" s="31" t="inlineStr">
        <is>
          <t>Detalle</t>
        </is>
      </c>
    </row>
    <row r="22">
      <c r="A22" s="34" t="inlineStr">
        <is>
          <t>Fecha</t>
        </is>
      </c>
      <c r="B22" s="34" t="inlineStr">
        <is>
          <t>Mes</t>
        </is>
      </c>
      <c r="C22" s="34" t="inlineStr">
        <is>
          <t>Concepto</t>
        </is>
      </c>
      <c r="D22" s="34" t="inlineStr">
        <is>
          <t>Monto</t>
        </is>
      </c>
      <c r="E22" s="34" t="inlineStr">
        <is>
          <t>Medio</t>
        </is>
      </c>
      <c r="F22" s="34" t="inlineStr">
        <is>
          <t>Comentario</t>
        </is>
      </c>
    </row>
    <row r="23">
      <c r="A23" s="43" t="n">
        <v>46024</v>
      </c>
      <c r="B23" s="14" t="inlineStr">
        <is>
          <t>Enero</t>
        </is>
      </c>
      <c r="C23" s="14" t="inlineStr">
        <is>
          <t>Apple</t>
        </is>
      </c>
      <c r="D23" s="15" t="n">
        <v>5621</v>
      </c>
      <c r="E23" s="14" t="inlineStr">
        <is>
          <t>Mercado Pago</t>
        </is>
      </c>
      <c r="F23" s="14" t="inlineStr">
        <is>
          <t>Apple · gasto personal Sol · hoja Gasto Personal Sol</t>
        </is>
      </c>
    </row>
    <row r="24">
      <c r="A24" s="43" t="n">
        <v>46024</v>
      </c>
      <c r="B24" s="14" t="inlineStr">
        <is>
          <t>Enero</t>
        </is>
      </c>
      <c r="C24" s="14" t="inlineStr">
        <is>
          <t>Mercado Libre</t>
        </is>
      </c>
      <c r="D24" s="15" t="n">
        <v>232640</v>
      </c>
      <c r="E24" s="14" t="inlineStr">
        <is>
          <t>Mercado Pago</t>
        </is>
      </c>
      <c r="F24" s="14" t="inlineStr">
        <is>
          <t>ML · ML · gasto personal Sol (revisar)</t>
        </is>
      </c>
    </row>
    <row r="25">
      <c r="A25" s="43" t="n">
        <v>46024</v>
      </c>
      <c r="B25" s="14" t="inlineStr">
        <is>
          <t>Enero</t>
        </is>
      </c>
      <c r="C25" s="14" t="inlineStr">
        <is>
          <t>Mercado Libre</t>
        </is>
      </c>
      <c r="D25" s="15" t="n">
        <v>50523</v>
      </c>
      <c r="E25" s="14" t="inlineStr">
        <is>
          <t>Mercado Pago</t>
        </is>
      </c>
      <c r="F25" s="14" t="inlineStr">
        <is>
          <t>ML · ML · gasto personal Sol (revisar)</t>
        </is>
      </c>
    </row>
    <row r="26">
      <c r="A26" s="43" t="n">
        <v>46026</v>
      </c>
      <c r="B26" s="14" t="inlineStr">
        <is>
          <t>Enero</t>
        </is>
      </c>
      <c r="C26" s="14" t="inlineStr">
        <is>
          <t>Ceferina</t>
        </is>
      </c>
      <c r="D26" s="15" t="n">
        <v>530000</v>
      </c>
      <c r="E26" s="14" t="inlineStr">
        <is>
          <t>Mercado Pago</t>
        </is>
      </c>
      <c r="F26" s="14" t="inlineStr">
        <is>
          <t>ROPA · Ceferina · hoja Gasto Personal Sol</t>
        </is>
      </c>
    </row>
    <row r="27">
      <c r="A27" s="43" t="n">
        <v>46026</v>
      </c>
      <c r="B27" s="14" t="inlineStr">
        <is>
          <t>Enero</t>
        </is>
      </c>
      <c r="C27" s="14" t="inlineStr">
        <is>
          <t>Gusmar Hnos Srl</t>
        </is>
      </c>
      <c r="D27" s="15" t="n">
        <v>4850</v>
      </c>
      <c r="E27" s="14" t="inlineStr">
        <is>
          <t>Mercado Pago</t>
        </is>
      </c>
      <c r="F27" s="14" t="inlineStr">
        <is>
          <t>tienda física · gasto personal Sol (ex-PENDIENTE)</t>
        </is>
      </c>
    </row>
    <row r="28">
      <c r="A28" s="43" t="n">
        <v>46026</v>
      </c>
      <c r="B28" s="14" t="inlineStr">
        <is>
          <t>Enero</t>
        </is>
      </c>
      <c r="C28" s="14" t="inlineStr">
        <is>
          <t>Tiempo Latino S.A</t>
        </is>
      </c>
      <c r="D28" s="15" t="n">
        <v>382500</v>
      </c>
      <c r="E28" s="14" t="inlineStr">
        <is>
          <t>Mercado Pago</t>
        </is>
      </c>
      <c r="F28" s="14" t="inlineStr">
        <is>
          <t>compra TC · gasto personal Sol (ex-PENDIENTE)</t>
        </is>
      </c>
    </row>
    <row r="29">
      <c r="A29" s="43" t="n">
        <v>46028</v>
      </c>
      <c r="B29" s="14" t="inlineStr">
        <is>
          <t>Enero</t>
        </is>
      </c>
      <c r="C29" s="14" t="inlineStr">
        <is>
          <t>Mercado Libre</t>
        </is>
      </c>
      <c r="D29" s="15" t="n">
        <v>43389</v>
      </c>
      <c r="E29" s="14" t="inlineStr">
        <is>
          <t>Mercado Pago</t>
        </is>
      </c>
      <c r="F29" s="14" t="inlineStr">
        <is>
          <t>ML · ML · gasto personal Sol (revisar)</t>
        </is>
      </c>
    </row>
    <row r="30">
      <c r="A30" s="43" t="n">
        <v>46030</v>
      </c>
      <c r="B30" s="14" t="inlineStr">
        <is>
          <t>Enero</t>
        </is>
      </c>
      <c r="C30" s="14" t="inlineStr">
        <is>
          <t>Andres Javier Di Pasqua</t>
        </is>
      </c>
      <c r="D30" s="15" t="n">
        <v>12426</v>
      </c>
      <c r="E30" s="14" t="inlineStr">
        <is>
          <t>Mercado Pago</t>
        </is>
      </c>
      <c r="F30" s="14" t="inlineStr">
        <is>
          <t>compra · gasto personal Sol (ex-PENDIENTE)</t>
        </is>
      </c>
    </row>
    <row r="31">
      <c r="A31" s="43" t="n">
        <v>46030</v>
      </c>
      <c r="B31" s="14" t="inlineStr">
        <is>
          <t>Enero</t>
        </is>
      </c>
      <c r="C31" s="14" t="inlineStr">
        <is>
          <t>Ceferina</t>
        </is>
      </c>
      <c r="D31" s="15" t="n">
        <v>395000</v>
      </c>
      <c r="E31" s="14" t="inlineStr">
        <is>
          <t>Mercado Pago</t>
        </is>
      </c>
      <c r="F31" s="14" t="inlineStr">
        <is>
          <t>ROPA · Ceferina · hoja Gasto Personal Sol</t>
        </is>
      </c>
    </row>
    <row r="32">
      <c r="A32" s="43" t="n">
        <v>46030</v>
      </c>
      <c r="B32" s="14" t="inlineStr">
        <is>
          <t>Enero</t>
        </is>
      </c>
      <c r="C32" s="14" t="inlineStr">
        <is>
          <t>Promarine Erisea</t>
        </is>
      </c>
      <c r="D32" s="15" t="n">
        <v>350000</v>
      </c>
      <c r="E32" s="14" t="inlineStr">
        <is>
          <t>Mercado Pago</t>
        </is>
      </c>
      <c r="F32" s="14" t="inlineStr">
        <is>
          <t>Promarine · gasto personal Sol · hoja Gasto Personal Sol</t>
        </is>
      </c>
    </row>
    <row r="33">
      <c r="A33" s="43" t="n">
        <v>46031</v>
      </c>
      <c r="B33" s="14" t="inlineStr">
        <is>
          <t>Enero</t>
        </is>
      </c>
      <c r="C33" s="14" t="inlineStr">
        <is>
          <t>Catore Srl</t>
        </is>
      </c>
      <c r="D33" s="15" t="n">
        <v>44000</v>
      </c>
      <c r="E33" s="14" t="inlineStr">
        <is>
          <t>Mercado Pago</t>
        </is>
      </c>
      <c r="F33" s="14" t="inlineStr">
        <is>
          <t>transferencia · gasto personal Sol (ex-PENDIENTE)</t>
        </is>
      </c>
    </row>
    <row r="34">
      <c r="A34" s="43" t="n">
        <v>46031</v>
      </c>
      <c r="B34" s="14" t="inlineStr">
        <is>
          <t>Enero</t>
        </is>
      </c>
      <c r="C34" s="14" t="inlineStr">
        <is>
          <t>Pedidosya Plus</t>
        </is>
      </c>
      <c r="D34" s="15" t="n">
        <v>5490</v>
      </c>
      <c r="E34" s="14" t="inlineStr">
        <is>
          <t>Mercado Pago</t>
        </is>
      </c>
      <c r="F34" s="14" t="inlineStr">
        <is>
          <t>PEDIDOS YA · suscripción Plus (no almacén) · gasto personal Sol</t>
        </is>
      </c>
    </row>
    <row r="35">
      <c r="A35" s="43" t="n">
        <v>46031</v>
      </c>
      <c r="B35" s="14" t="inlineStr">
        <is>
          <t>Enero</t>
        </is>
      </c>
      <c r="C35" s="14" t="inlineStr">
        <is>
          <t>Tuenti</t>
        </is>
      </c>
      <c r="D35" s="15" t="n">
        <v>14700</v>
      </c>
      <c r="E35" s="14" t="inlineStr">
        <is>
          <t>Mercado Pago</t>
        </is>
      </c>
      <c r="F35" s="14" t="inlineStr">
        <is>
          <t>Tuenti · gasto personal Sol · hoja Gasto Personal Sol</t>
        </is>
      </c>
    </row>
    <row r="36">
      <c r="A36" s="43" t="n">
        <v>46035</v>
      </c>
      <c r="B36" s="14" t="inlineStr">
        <is>
          <t>Enero</t>
        </is>
      </c>
      <c r="C36" s="14" t="inlineStr">
        <is>
          <t>Valeria Laura Mele</t>
        </is>
      </c>
      <c r="D36" s="15" t="n">
        <v>44100</v>
      </c>
      <c r="E36" s="14" t="inlineStr">
        <is>
          <t>Mercado Pago</t>
        </is>
      </c>
      <c r="F36" s="14" t="inlineStr">
        <is>
          <t>transferencia · gasto personal Sol (ex-PENDIENTE)</t>
        </is>
      </c>
    </row>
    <row r="37">
      <c r="A37" s="43" t="n">
        <v>46037</v>
      </c>
      <c r="B37" s="14" t="inlineStr">
        <is>
          <t>Enero</t>
        </is>
      </c>
      <c r="C37" s="14" t="inlineStr">
        <is>
          <t>Marcelo Alejandro Kattan</t>
        </is>
      </c>
      <c r="D37" s="15" t="n">
        <v>11000</v>
      </c>
      <c r="E37" s="14" t="inlineStr">
        <is>
          <t>Mercado Pago</t>
        </is>
      </c>
      <c r="F37" s="14" t="inlineStr">
        <is>
          <t>transferencia · gasto personal Sol (ex-PENDIENTE)</t>
        </is>
      </c>
    </row>
    <row r="38">
      <c r="A38" s="43" t="n">
        <v>46037</v>
      </c>
      <c r="B38" s="14" t="inlineStr">
        <is>
          <t>Enero</t>
        </is>
      </c>
      <c r="C38" s="14" t="inlineStr">
        <is>
          <t>Mercado Libre</t>
        </is>
      </c>
      <c r="D38" s="15" t="n">
        <v>95930</v>
      </c>
      <c r="E38" s="14" t="inlineStr">
        <is>
          <t>Mercado Pago</t>
        </is>
      </c>
      <c r="F38" s="14" t="inlineStr">
        <is>
          <t>ML · ML · gasto personal Sol (revisar)</t>
        </is>
      </c>
    </row>
    <row r="39">
      <c r="A39" s="43" t="n">
        <v>46039</v>
      </c>
      <c r="B39" s="14" t="inlineStr">
        <is>
          <t>Enero</t>
        </is>
      </c>
      <c r="C39" s="14" t="inlineStr">
        <is>
          <t>Veronica Alejandra Mendez</t>
        </is>
      </c>
      <c r="D39" s="15" t="n">
        <v>22000</v>
      </c>
      <c r="E39" s="14" t="inlineStr">
        <is>
          <t>Mercado Pago</t>
        </is>
      </c>
      <c r="F39" s="14" t="inlineStr">
        <is>
          <t>transferencia · gasto personal Sol (ex-PENDIENTE)</t>
        </is>
      </c>
    </row>
    <row r="40">
      <c r="A40" s="43" t="n">
        <v>46042</v>
      </c>
      <c r="B40" s="14" t="inlineStr">
        <is>
          <t>Enero</t>
        </is>
      </c>
      <c r="C40" s="14" t="inlineStr">
        <is>
          <t>Yenny Paola Calisaya Cquispe</t>
        </is>
      </c>
      <c r="D40" s="15" t="n">
        <v>6605</v>
      </c>
      <c r="E40" s="14" t="inlineStr">
        <is>
          <t>Mercado Pago</t>
        </is>
      </c>
      <c r="F40" s="14" t="inlineStr">
        <is>
          <t>transferencia · gasto personal Sol (ex-PENDIENTE)</t>
        </is>
      </c>
    </row>
    <row r="41">
      <c r="A41" s="43" t="n">
        <v>46044</v>
      </c>
      <c r="B41" s="14" t="inlineStr">
        <is>
          <t>Enero</t>
        </is>
      </c>
      <c r="C41" s="14" t="inlineStr">
        <is>
          <t>Mercurio Furchi</t>
        </is>
      </c>
      <c r="D41" s="15" t="n">
        <v>17000</v>
      </c>
      <c r="E41" s="14" t="inlineStr">
        <is>
          <t>Mercado Pago</t>
        </is>
      </c>
      <c r="F41" s="14" t="inlineStr">
        <is>
          <t>transferencia · gasto personal Sol (ex-PENDIENTE)</t>
        </is>
      </c>
    </row>
    <row r="42">
      <c r="A42" s="43" t="n">
        <v>46046</v>
      </c>
      <c r="B42" s="14" t="inlineStr">
        <is>
          <t>Enero</t>
        </is>
      </c>
      <c r="C42" s="14" t="inlineStr">
        <is>
          <t>Gabriel Anibal Fradkin</t>
        </is>
      </c>
      <c r="D42" s="15" t="n">
        <v>58000</v>
      </c>
      <c r="E42" s="14" t="inlineStr">
        <is>
          <t>Mercado Pago</t>
        </is>
      </c>
      <c r="F42" s="14" t="inlineStr">
        <is>
          <t>transferencia · gasto personal Sol (ex-PENDIENTE)</t>
        </is>
      </c>
    </row>
    <row r="43">
      <c r="A43" s="43" t="n">
        <v>46046</v>
      </c>
      <c r="B43" s="14" t="inlineStr">
        <is>
          <t>Enero</t>
        </is>
      </c>
      <c r="C43" s="14" t="inlineStr">
        <is>
          <t>Mercado Libre</t>
        </is>
      </c>
      <c r="D43" s="15" t="n">
        <v>243997</v>
      </c>
      <c r="E43" s="14" t="inlineStr">
        <is>
          <t>Mercado Pago</t>
        </is>
      </c>
      <c r="F43" s="14" t="inlineStr">
        <is>
          <t>ML · ML · gasto personal Sol (revisar)</t>
        </is>
      </c>
    </row>
    <row r="44">
      <c r="A44" s="43" t="n">
        <v>46046</v>
      </c>
      <c r="B44" s="14" t="inlineStr">
        <is>
          <t>Enero</t>
        </is>
      </c>
      <c r="C44" s="14" t="inlineStr">
        <is>
          <t>Valeria Laura Mele</t>
        </is>
      </c>
      <c r="D44" s="15" t="n">
        <v>16200</v>
      </c>
      <c r="E44" s="14" t="inlineStr">
        <is>
          <t>Mercado Pago</t>
        </is>
      </c>
      <c r="F44" s="14" t="inlineStr">
        <is>
          <t>transferencia · gasto personal Sol (ex-PENDIENTE)</t>
        </is>
      </c>
    </row>
    <row r="45">
      <c r="A45" s="43" t="n">
        <v>46047</v>
      </c>
      <c r="B45" s="14" t="inlineStr">
        <is>
          <t>Enero</t>
        </is>
      </c>
      <c r="C45" s="14" t="inlineStr">
        <is>
          <t>Mercado Libre</t>
        </is>
      </c>
      <c r="D45" s="15" t="n">
        <v>63647</v>
      </c>
      <c r="E45" s="14" t="inlineStr">
        <is>
          <t>Mercado Pago</t>
        </is>
      </c>
      <c r="F45" s="14" t="inlineStr">
        <is>
          <t>ML · ML · gasto personal Sol (revisar)</t>
        </is>
      </c>
    </row>
    <row r="46">
      <c r="A46" s="43" t="n">
        <v>46047</v>
      </c>
      <c r="B46" s="14" t="inlineStr">
        <is>
          <t>Enero</t>
        </is>
      </c>
      <c r="C46" s="14" t="inlineStr">
        <is>
          <t>Mercado Libre</t>
        </is>
      </c>
      <c r="D46" s="15" t="n">
        <v>43300</v>
      </c>
      <c r="E46" s="14" t="inlineStr">
        <is>
          <t>Mercado Pago</t>
        </is>
      </c>
      <c r="F46" s="14" t="inlineStr">
        <is>
          <t>ML · ML · gasto personal Sol (revisar)</t>
        </is>
      </c>
    </row>
    <row r="47">
      <c r="A47" s="43" t="n">
        <v>46047</v>
      </c>
      <c r="B47" s="14" t="inlineStr">
        <is>
          <t>Enero</t>
        </is>
      </c>
      <c r="C47" s="14" t="inlineStr">
        <is>
          <t>Mercado Libre</t>
        </is>
      </c>
      <c r="D47" s="15" t="n">
        <v>113472</v>
      </c>
      <c r="E47" s="14" t="inlineStr">
        <is>
          <t>Mercado Pago</t>
        </is>
      </c>
      <c r="F47" s="14" t="inlineStr">
        <is>
          <t>ML · ML · gasto personal Sol (revisar)</t>
        </is>
      </c>
    </row>
    <row r="48">
      <c r="A48" s="43" t="n">
        <v>46047</v>
      </c>
      <c r="B48" s="14" t="inlineStr">
        <is>
          <t>Enero</t>
        </is>
      </c>
      <c r="C48" s="14" t="inlineStr">
        <is>
          <t>Mercado Libre</t>
        </is>
      </c>
      <c r="D48" s="15" t="n">
        <v>24562</v>
      </c>
      <c r="E48" s="14" t="inlineStr">
        <is>
          <t>Mercado Pago</t>
        </is>
      </c>
      <c r="F48" s="14" t="inlineStr">
        <is>
          <t>ML · ML · gasto personal Sol (revisar)</t>
        </is>
      </c>
    </row>
    <row r="49">
      <c r="A49" s="43" t="n">
        <v>46050</v>
      </c>
      <c r="B49" s="14" t="inlineStr">
        <is>
          <t>Enero</t>
        </is>
      </c>
      <c r="C49" s="14" t="inlineStr">
        <is>
          <t>Luna Maria Laur</t>
        </is>
      </c>
      <c r="D49" s="15" t="n">
        <v>45000</v>
      </c>
      <c r="E49" s="14" t="inlineStr">
        <is>
          <t>Mercado Pago</t>
        </is>
      </c>
      <c r="F49" s="14" t="inlineStr">
        <is>
          <t>transferencia · gasto personal Sol (ex-PENDIENTE)</t>
        </is>
      </c>
    </row>
    <row r="50">
      <c r="A50" s="43" t="n">
        <v>46050</v>
      </c>
      <c r="B50" s="14" t="inlineStr">
        <is>
          <t>Enero</t>
        </is>
      </c>
      <c r="C50" s="14" t="inlineStr">
        <is>
          <t>Valeria Laura Mele</t>
        </is>
      </c>
      <c r="D50" s="15" t="n">
        <v>145400</v>
      </c>
      <c r="E50" s="14" t="inlineStr">
        <is>
          <t>Mercado Pago</t>
        </is>
      </c>
      <c r="F50" s="14" t="inlineStr">
        <is>
          <t>transferencia · gasto personal Sol (ex-PENDIENTE)</t>
        </is>
      </c>
    </row>
    <row r="51">
      <c r="A51" s="43" t="n">
        <v>46052</v>
      </c>
      <c r="B51" s="14" t="inlineStr">
        <is>
          <t>Enero</t>
        </is>
      </c>
      <c r="C51" s="14" t="inlineStr">
        <is>
          <t>Gabriela Reggio</t>
        </is>
      </c>
      <c r="D51" s="15" t="n">
        <v>4600</v>
      </c>
      <c r="E51" s="14" t="inlineStr">
        <is>
          <t>Mercado Pago</t>
        </is>
      </c>
      <c r="F51" s="14" t="inlineStr">
        <is>
          <t>transferencia · gasto personal Sol (ex-PENDIENTE)</t>
        </is>
      </c>
    </row>
    <row r="52">
      <c r="A52" s="43" t="n">
        <v>46052</v>
      </c>
      <c r="B52" s="14" t="inlineStr">
        <is>
          <t>Enero</t>
        </is>
      </c>
      <c r="C52" s="14" t="inlineStr">
        <is>
          <t>Mercedes Srl</t>
        </is>
      </c>
      <c r="D52" s="15" t="n">
        <v>47740</v>
      </c>
      <c r="E52" s="14" t="inlineStr">
        <is>
          <t>Mercado Pago</t>
        </is>
      </c>
      <c r="F52" s="14" t="inlineStr">
        <is>
          <t>Mercedes · AUTO/ACA · gasto personal Sol</t>
        </is>
      </c>
    </row>
    <row r="53">
      <c r="A53" s="43" t="n">
        <v>46054</v>
      </c>
      <c r="B53" s="14" t="inlineStr">
        <is>
          <t>Febrero</t>
        </is>
      </c>
      <c r="C53" s="14" t="inlineStr">
        <is>
          <t>Apple</t>
        </is>
      </c>
      <c r="D53" s="15" t="n">
        <v>45711</v>
      </c>
      <c r="E53" s="14" t="inlineStr">
        <is>
          <t>Mercado Pago</t>
        </is>
      </c>
      <c r="F53" s="14" t="inlineStr">
        <is>
          <t>Apple · gasto personal Sol · hoja Gasto Personal Sol</t>
        </is>
      </c>
    </row>
    <row r="54">
      <c r="A54" s="43" t="n">
        <v>46055</v>
      </c>
      <c r="B54" s="14" t="inlineStr">
        <is>
          <t>Febrero</t>
        </is>
      </c>
      <c r="C54" s="14" t="inlineStr">
        <is>
          <t>Apple</t>
        </is>
      </c>
      <c r="D54" s="15" t="n">
        <v>5553</v>
      </c>
      <c r="E54" s="14" t="inlineStr">
        <is>
          <t>Mercado Pago</t>
        </is>
      </c>
      <c r="F54" s="14" t="inlineStr">
        <is>
          <t>Apple · gasto personal Sol · hoja Gasto Personal Sol</t>
        </is>
      </c>
    </row>
    <row r="55">
      <c r="A55" s="43" t="n">
        <v>46055</v>
      </c>
      <c r="B55" s="14" t="inlineStr">
        <is>
          <t>Febrero</t>
        </is>
      </c>
      <c r="C55" s="14" t="inlineStr">
        <is>
          <t>Mercado Libre</t>
        </is>
      </c>
      <c r="D55" s="15" t="n">
        <v>19652</v>
      </c>
      <c r="E55" s="14" t="inlineStr">
        <is>
          <t>Mercado Pago</t>
        </is>
      </c>
      <c r="F55" s="14" t="inlineStr">
        <is>
          <t>ML · ML · gasto personal Sol (revisar)</t>
        </is>
      </c>
    </row>
    <row r="56">
      <c r="A56" s="43" t="n">
        <v>46059</v>
      </c>
      <c r="B56" s="14" t="inlineStr">
        <is>
          <t>Febrero</t>
        </is>
      </c>
      <c r="C56" s="14" t="inlineStr">
        <is>
          <t>Andres Javier Di Pasqua</t>
        </is>
      </c>
      <c r="D56" s="15" t="n">
        <v>24852</v>
      </c>
      <c r="E56" s="14" t="inlineStr">
        <is>
          <t>Mercado Pago</t>
        </is>
      </c>
      <c r="F56" s="14" t="inlineStr">
        <is>
          <t>compra · gasto personal Sol (ex-PENDIENTE)</t>
        </is>
      </c>
    </row>
    <row r="57">
      <c r="A57" s="43" t="n">
        <v>46061</v>
      </c>
      <c r="B57" s="14" t="inlineStr">
        <is>
          <t>Febrero</t>
        </is>
      </c>
      <c r="C57" s="14" t="inlineStr">
        <is>
          <t>Carlos Leonardo Farinella</t>
        </is>
      </c>
      <c r="D57" s="15" t="n">
        <v>70000</v>
      </c>
      <c r="E57" s="14" t="inlineStr">
        <is>
          <t>Mercado Pago</t>
        </is>
      </c>
      <c r="F57" s="14" t="inlineStr">
        <is>
          <t>transferencia · gasto personal Sol (ex-PENDIENTE)</t>
        </is>
      </c>
    </row>
    <row r="58">
      <c r="A58" s="43" t="n">
        <v>46061</v>
      </c>
      <c r="B58" s="14" t="inlineStr">
        <is>
          <t>Febrero</t>
        </is>
      </c>
      <c r="C58" s="14" t="inlineStr">
        <is>
          <t>Tuenti</t>
        </is>
      </c>
      <c r="D58" s="15" t="n">
        <v>14700</v>
      </c>
      <c r="E58" s="14" t="inlineStr">
        <is>
          <t>Mercado Pago</t>
        </is>
      </c>
      <c r="F58" s="14" t="inlineStr">
        <is>
          <t>Tuenti · gasto personal Sol · hoja Gasto Personal Sol</t>
        </is>
      </c>
    </row>
    <row r="59">
      <c r="A59" s="43" t="n">
        <v>46062</v>
      </c>
      <c r="B59" s="14" t="inlineStr">
        <is>
          <t>Febrero</t>
        </is>
      </c>
      <c r="C59" s="14" t="inlineStr">
        <is>
          <t>Pedidosya Plus</t>
        </is>
      </c>
      <c r="D59" s="15" t="n">
        <v>5990</v>
      </c>
      <c r="E59" s="14" t="inlineStr">
        <is>
          <t>Mercado Pago</t>
        </is>
      </c>
      <c r="F59" s="14" t="inlineStr">
        <is>
          <t>PEDIDOS YA · suscripción Plus (no almacén) · gasto personal Sol</t>
        </is>
      </c>
    </row>
    <row r="60">
      <c r="A60" s="43" t="n">
        <v>46065</v>
      </c>
      <c r="B60" s="14" t="inlineStr">
        <is>
          <t>Febrero</t>
        </is>
      </c>
      <c r="C60" s="14" t="inlineStr">
        <is>
          <t>Paws Pet Market</t>
        </is>
      </c>
      <c r="D60" s="15" t="n">
        <v>27200</v>
      </c>
      <c r="E60" s="14" t="inlineStr">
        <is>
          <t>Mercado Pago</t>
        </is>
      </c>
      <c r="F60" s="14" t="inlineStr">
        <is>
          <t>mascotas · gasto personal Sol</t>
        </is>
      </c>
    </row>
    <row r="61">
      <c r="A61" s="43" t="n">
        <v>46066</v>
      </c>
      <c r="B61" s="14" t="inlineStr">
        <is>
          <t>Febrero</t>
        </is>
      </c>
      <c r="C61" s="14" t="inlineStr">
        <is>
          <t>Pablo Ezequiel Alderetes</t>
        </is>
      </c>
      <c r="D61" s="15" t="n">
        <v>60000</v>
      </c>
      <c r="E61" s="14" t="inlineStr">
        <is>
          <t>Mercado Pago</t>
        </is>
      </c>
      <c r="F61" s="14" t="inlineStr">
        <is>
          <t>transferencia · gasto personal Sol (ex-PENDIENTE)</t>
        </is>
      </c>
    </row>
    <row r="62">
      <c r="A62" s="43" t="n">
        <v>46067</v>
      </c>
      <c r="B62" s="14" t="inlineStr">
        <is>
          <t>Febrero</t>
        </is>
      </c>
      <c r="C62" s="14" t="inlineStr">
        <is>
          <t>Tu Papelera</t>
        </is>
      </c>
      <c r="D62" s="15" t="n">
        <v>43100</v>
      </c>
      <c r="E62" s="14" t="inlineStr">
        <is>
          <t>Mercado Pago</t>
        </is>
      </c>
      <c r="F62" s="14" t="inlineStr">
        <is>
          <t>librería/papelera · gasto personal Sol</t>
        </is>
      </c>
    </row>
    <row r="63">
      <c r="A63" s="43" t="n">
        <v>46067</v>
      </c>
      <c r="B63" s="14" t="inlineStr">
        <is>
          <t>Febrero</t>
        </is>
      </c>
      <c r="C63" s="14" t="inlineStr">
        <is>
          <t>Veronica Alejandra Mendez</t>
        </is>
      </c>
      <c r="D63" s="15" t="n">
        <v>3500</v>
      </c>
      <c r="E63" s="14" t="inlineStr">
        <is>
          <t>Mercado Pago</t>
        </is>
      </c>
      <c r="F63" s="14" t="inlineStr">
        <is>
          <t>transferencia · gasto personal Sol (ex-PENDIENTE)</t>
        </is>
      </c>
    </row>
    <row r="64">
      <c r="A64" s="43" t="n">
        <v>46067</v>
      </c>
      <c r="B64" s="14" t="inlineStr">
        <is>
          <t>Febrero</t>
        </is>
      </c>
      <c r="C64" s="14" t="inlineStr">
        <is>
          <t>Veronica Alejandra Mendez</t>
        </is>
      </c>
      <c r="D64" s="15" t="n">
        <v>9500</v>
      </c>
      <c r="E64" s="14" t="inlineStr">
        <is>
          <t>Mercado Pago</t>
        </is>
      </c>
      <c r="F64" s="14" t="inlineStr">
        <is>
          <t>transferencia · gasto personal Sol (ex-PENDIENTE)</t>
        </is>
      </c>
    </row>
    <row r="65">
      <c r="A65" s="43" t="n">
        <v>46070</v>
      </c>
      <c r="B65" s="14" t="inlineStr">
        <is>
          <t>Febrero</t>
        </is>
      </c>
      <c r="C65" s="14" t="inlineStr">
        <is>
          <t>Alberto Roque Sachetti</t>
        </is>
      </c>
      <c r="D65" s="15" t="n">
        <v>30000</v>
      </c>
      <c r="E65" s="14" t="inlineStr">
        <is>
          <t>Mercado Pago</t>
        </is>
      </c>
      <c r="F65" s="14" t="inlineStr">
        <is>
          <t>transferencia · gasto personal Sol (ex-PENDIENTE)</t>
        </is>
      </c>
    </row>
    <row r="66">
      <c r="A66" s="43" t="n">
        <v>46072</v>
      </c>
      <c r="B66" s="14" t="inlineStr">
        <is>
          <t>Febrero</t>
        </is>
      </c>
      <c r="C66" s="14" t="inlineStr">
        <is>
          <t>Marcelo Fabian Ronzano</t>
        </is>
      </c>
      <c r="D66" s="15" t="n">
        <v>6500</v>
      </c>
      <c r="E66" s="14" t="inlineStr">
        <is>
          <t>Mercado Pago</t>
        </is>
      </c>
      <c r="F66" s="14" t="inlineStr">
        <is>
          <t>transferencia · gasto personal Sol (ex-PENDIENTE)</t>
        </is>
      </c>
    </row>
    <row r="67">
      <c r="A67" s="43" t="n">
        <v>46072</v>
      </c>
      <c r="B67" s="14" t="inlineStr">
        <is>
          <t>Febrero</t>
        </is>
      </c>
      <c r="C67" s="14" t="inlineStr">
        <is>
          <t>Quiche Sibulka Marcelo Gaston</t>
        </is>
      </c>
      <c r="D67" s="15" t="n">
        <v>30000</v>
      </c>
      <c r="E67" s="14" t="inlineStr">
        <is>
          <t>Mercado Pago</t>
        </is>
      </c>
      <c r="F67" s="14" t="inlineStr">
        <is>
          <t>transferencia · gasto personal Sol (ex-PENDIENTE)</t>
        </is>
      </c>
    </row>
    <row r="68">
      <c r="A68" s="43" t="n">
        <v>46073</v>
      </c>
      <c r="B68" s="14" t="inlineStr">
        <is>
          <t>Febrero</t>
        </is>
      </c>
      <c r="C68" s="14" t="inlineStr">
        <is>
          <t>Lourdes Elizabeth Tadeo Salvador</t>
        </is>
      </c>
      <c r="D68" s="15" t="n">
        <v>18500</v>
      </c>
      <c r="E68" s="14" t="inlineStr">
        <is>
          <t>Mercado Pago</t>
        </is>
      </c>
      <c r="F68" s="14" t="inlineStr">
        <is>
          <t>transferencia · gasto personal Sol (ex-PENDIENTE)</t>
        </is>
      </c>
    </row>
    <row r="69">
      <c r="A69" s="43" t="n">
        <v>46074</v>
      </c>
      <c r="B69" s="14" t="inlineStr">
        <is>
          <t>Febrero</t>
        </is>
      </c>
      <c r="C69" s="14" t="inlineStr">
        <is>
          <t>Clinicas Altamirao</t>
        </is>
      </c>
      <c r="D69" s="15" t="n">
        <v>40000</v>
      </c>
      <c r="E69" s="14" t="inlineStr">
        <is>
          <t>Mercado Pago</t>
        </is>
      </c>
      <c r="F69" s="14" t="inlineStr">
        <is>
          <t>salud · gasto personal Sol</t>
        </is>
      </c>
    </row>
    <row r="70">
      <c r="A70" s="43" t="n">
        <v>46076</v>
      </c>
      <c r="B70" s="14" t="inlineStr">
        <is>
          <t>Febrero</t>
        </is>
      </c>
      <c r="C70" s="14" t="inlineStr">
        <is>
          <t>Apple</t>
        </is>
      </c>
      <c r="D70" s="15" t="n">
        <v>17631</v>
      </c>
      <c r="E70" s="14" t="inlineStr">
        <is>
          <t>Mercado Pago</t>
        </is>
      </c>
      <c r="F70" s="14" t="inlineStr">
        <is>
          <t>Apple · gasto personal Sol · hoja Gasto Personal Sol</t>
        </is>
      </c>
    </row>
    <row r="71">
      <c r="A71" s="43" t="n">
        <v>46076</v>
      </c>
      <c r="B71" s="14" t="inlineStr">
        <is>
          <t>Febrero</t>
        </is>
      </c>
      <c r="C71" s="14" t="inlineStr">
        <is>
          <t>Valeria Laura Mele</t>
        </is>
      </c>
      <c r="D71" s="15" t="n">
        <v>72000</v>
      </c>
      <c r="E71" s="14" t="inlineStr">
        <is>
          <t>Mercado Pago</t>
        </is>
      </c>
      <c r="F71" s="14" t="inlineStr">
        <is>
          <t>transferencia · gasto personal Sol (ex-PENDIENTE)</t>
        </is>
      </c>
    </row>
    <row r="72">
      <c r="A72" s="43" t="n">
        <v>46077</v>
      </c>
      <c r="B72" s="14" t="inlineStr">
        <is>
          <t>Febrero</t>
        </is>
      </c>
      <c r="C72" s="14" t="inlineStr">
        <is>
          <t>Tuenti</t>
        </is>
      </c>
      <c r="D72" s="15" t="n">
        <v>4000</v>
      </c>
      <c r="E72" s="14" t="inlineStr">
        <is>
          <t>Mercado Pago</t>
        </is>
      </c>
      <c r="F72" s="14" t="inlineStr">
        <is>
          <t>Tuenti · gasto personal Sol · hoja Gasto Personal Sol</t>
        </is>
      </c>
    </row>
    <row r="73">
      <c r="A73" s="43" t="n">
        <v>46080</v>
      </c>
      <c r="B73" s="14" t="inlineStr">
        <is>
          <t>Febrero</t>
        </is>
      </c>
      <c r="C73" s="14" t="inlineStr">
        <is>
          <t>Cesar David Ledesma</t>
        </is>
      </c>
      <c r="D73" s="15" t="n">
        <v>310000</v>
      </c>
      <c r="E73" s="14" t="inlineStr">
        <is>
          <t>Mercado Pago</t>
        </is>
      </c>
      <c r="F73" s="14" t="inlineStr">
        <is>
          <t>transferencia · gasto personal Sol (ex-PENDIENTE)</t>
        </is>
      </c>
    </row>
    <row r="74">
      <c r="A74" s="43" t="n">
        <v>46080</v>
      </c>
      <c r="B74" s="14" t="inlineStr">
        <is>
          <t>Febrero</t>
        </is>
      </c>
      <c r="C74" s="14" t="inlineStr">
        <is>
          <t>Tuenti</t>
        </is>
      </c>
      <c r="D74" s="15" t="n">
        <v>4000</v>
      </c>
      <c r="E74" s="14" t="inlineStr">
        <is>
          <t>Mercado Pago</t>
        </is>
      </c>
      <c r="F74" s="14" t="inlineStr">
        <is>
          <t>Tuenti · gasto personal Sol · hoja Gasto Personal Sol</t>
        </is>
      </c>
    </row>
    <row r="75">
      <c r="A75" s="43" t="n">
        <v>46082</v>
      </c>
      <c r="B75" s="14" t="inlineStr">
        <is>
          <t>Marzo</t>
        </is>
      </c>
      <c r="C75" s="14" t="inlineStr">
        <is>
          <t>Christian Pablo Ventura</t>
        </is>
      </c>
      <c r="D75" s="15" t="n">
        <v>120000</v>
      </c>
      <c r="E75" s="14" t="inlineStr">
        <is>
          <t>Mercado Pago</t>
        </is>
      </c>
      <c r="F75" s="14" t="inlineStr">
        <is>
          <t>transferencia · gasto personal Sol (ex-PENDIENTE)</t>
        </is>
      </c>
    </row>
    <row r="76">
      <c r="A76" s="43" t="n">
        <v>46082</v>
      </c>
      <c r="B76" s="14" t="inlineStr">
        <is>
          <t>Marzo</t>
        </is>
      </c>
      <c r="C76" s="14" t="inlineStr">
        <is>
          <t>Evelyn Rosana Tolaba</t>
        </is>
      </c>
      <c r="D76" s="15" t="n">
        <v>2000</v>
      </c>
      <c r="E76" s="14" t="inlineStr">
        <is>
          <t>Mercado Pago</t>
        </is>
      </c>
      <c r="F76" s="14" t="inlineStr">
        <is>
          <t>transferencia · gasto personal Sol (ex-PENDIENTE)</t>
        </is>
      </c>
    </row>
    <row r="77">
      <c r="A77" s="43" t="n">
        <v>46082</v>
      </c>
      <c r="B77" s="14" t="inlineStr">
        <is>
          <t>Marzo</t>
        </is>
      </c>
      <c r="C77" s="14" t="inlineStr">
        <is>
          <t>Ricardo Rodriguez</t>
        </is>
      </c>
      <c r="D77" s="15" t="n">
        <v>25000</v>
      </c>
      <c r="E77" s="14" t="inlineStr">
        <is>
          <t>Mercado Pago</t>
        </is>
      </c>
      <c r="F77" s="14" t="inlineStr">
        <is>
          <t>tienda física · gasto personal Sol (ex-PENDIENTE)</t>
        </is>
      </c>
    </row>
    <row r="78">
      <c r="A78" s="43" t="n">
        <v>46083</v>
      </c>
      <c r="B78" s="14" t="inlineStr">
        <is>
          <t>Marzo</t>
        </is>
      </c>
      <c r="C78" s="14" t="inlineStr">
        <is>
          <t>Apple</t>
        </is>
      </c>
      <c r="D78" s="15" t="n">
        <v>5453</v>
      </c>
      <c r="E78" s="14" t="inlineStr">
        <is>
          <t>Mercado Pago</t>
        </is>
      </c>
      <c r="F78" s="14" t="inlineStr">
        <is>
          <t>Apple · gasto personal Sol · hoja Gasto Personal Sol</t>
        </is>
      </c>
    </row>
    <row r="79">
      <c r="A79" s="43" t="n">
        <v>46083</v>
      </c>
      <c r="B79" s="14" t="inlineStr">
        <is>
          <t>Marzo</t>
        </is>
      </c>
      <c r="C79" s="14" t="inlineStr">
        <is>
          <t>Lourdes Elizabeth Tadeo Salvador</t>
        </is>
      </c>
      <c r="D79" s="15" t="n">
        <v>400</v>
      </c>
      <c r="E79" s="14" t="inlineStr">
        <is>
          <t>Mercado Pago</t>
        </is>
      </c>
      <c r="F79" s="14" t="inlineStr">
        <is>
          <t>transferencia · gasto personal Sol (ex-PENDIENTE)</t>
        </is>
      </c>
    </row>
    <row r="80">
      <c r="A80" s="43" t="n">
        <v>46085</v>
      </c>
      <c r="B80" s="14" t="inlineStr">
        <is>
          <t>Marzo</t>
        </is>
      </c>
      <c r="C80" s="14" t="inlineStr">
        <is>
          <t>Jardin Del Pilar Sa-Norte</t>
        </is>
      </c>
      <c r="D80" s="15" t="n">
        <v>4000000</v>
      </c>
      <c r="E80" s="14" t="inlineStr">
        <is>
          <t>Mercado Pago</t>
        </is>
      </c>
      <c r="F80" s="14" t="inlineStr">
        <is>
          <t>transferencia grande · gasto personal Sol (ex-PENDIENTE)</t>
        </is>
      </c>
    </row>
    <row r="81">
      <c r="A81" s="43" t="n">
        <v>46086</v>
      </c>
      <c r="B81" s="14" t="inlineStr">
        <is>
          <t>Marzo</t>
        </is>
      </c>
      <c r="C81" s="14" t="inlineStr">
        <is>
          <t>Paws Pet Market</t>
        </is>
      </c>
      <c r="D81" s="15" t="n">
        <v>9000</v>
      </c>
      <c r="E81" s="14" t="inlineStr">
        <is>
          <t>Mercado Pago</t>
        </is>
      </c>
      <c r="F81" s="14" t="inlineStr">
        <is>
          <t>mascotas · gasto personal Sol</t>
        </is>
      </c>
    </row>
    <row r="82">
      <c r="A82" s="43" t="n">
        <v>46087</v>
      </c>
      <c r="B82" s="14" t="inlineStr">
        <is>
          <t>Marzo</t>
        </is>
      </c>
      <c r="C82" s="14" t="inlineStr">
        <is>
          <t>Tuenti</t>
        </is>
      </c>
      <c r="D82" s="15" t="n">
        <v>4000</v>
      </c>
      <c r="E82" s="14" t="inlineStr">
        <is>
          <t>Mercado Pago</t>
        </is>
      </c>
      <c r="F82" s="14" t="inlineStr">
        <is>
          <t>Tuenti · gasto personal Sol · hoja Gasto Personal Sol</t>
        </is>
      </c>
    </row>
    <row r="83">
      <c r="A83" s="43" t="n">
        <v>46090</v>
      </c>
      <c r="B83" s="14" t="inlineStr">
        <is>
          <t>Marzo</t>
        </is>
      </c>
      <c r="C83" s="14" t="inlineStr">
        <is>
          <t>Movistar Arena</t>
        </is>
      </c>
      <c r="D83" s="15" t="n">
        <v>33000</v>
      </c>
      <c r="E83" s="14" t="inlineStr">
        <is>
          <t>Mercado Pago</t>
        </is>
      </c>
      <c r="F83" s="14" t="inlineStr">
        <is>
          <t>evento · gasto personal Sol</t>
        </is>
      </c>
    </row>
    <row r="84">
      <c r="A84" s="43" t="n">
        <v>46090</v>
      </c>
      <c r="B84" s="14" t="inlineStr">
        <is>
          <t>Marzo</t>
        </is>
      </c>
      <c r="C84" s="14" t="inlineStr">
        <is>
          <t>Movistar Arena</t>
        </is>
      </c>
      <c r="D84" s="15" t="n">
        <v>220000</v>
      </c>
      <c r="E84" s="14" t="inlineStr">
        <is>
          <t>Mercado Pago</t>
        </is>
      </c>
      <c r="F84" s="14" t="inlineStr">
        <is>
          <t>evento · gasto personal Sol</t>
        </is>
      </c>
    </row>
    <row r="85">
      <c r="A85" s="43" t="n">
        <v>46091</v>
      </c>
      <c r="B85" s="14" t="inlineStr">
        <is>
          <t>Marzo</t>
        </is>
      </c>
      <c r="C85" s="14" t="inlineStr">
        <is>
          <t>Tuenti</t>
        </is>
      </c>
      <c r="D85" s="15" t="n">
        <v>16000</v>
      </c>
      <c r="E85" s="14" t="inlineStr">
        <is>
          <t>Mercado Pago</t>
        </is>
      </c>
      <c r="F85" s="14" t="inlineStr">
        <is>
          <t>Tuenti · gasto personal Sol · hoja Gasto Personal Sol</t>
        </is>
      </c>
    </row>
    <row r="86">
      <c r="A86" s="43" t="n">
        <v>46094</v>
      </c>
      <c r="B86" s="14" t="inlineStr">
        <is>
          <t>Marzo</t>
        </is>
      </c>
      <c r="C86" s="14" t="inlineStr">
        <is>
          <t>Fernando Paredes Aguilar</t>
        </is>
      </c>
      <c r="D86" s="15" t="n">
        <v>40000</v>
      </c>
      <c r="E86" s="14" t="inlineStr">
        <is>
          <t>Mercado Pago</t>
        </is>
      </c>
      <c r="F86" s="14" t="inlineStr">
        <is>
          <t>transferencia · gasto personal Sol (ex-PENDIENTE)</t>
        </is>
      </c>
    </row>
    <row r="87">
      <c r="A87" s="43" t="n">
        <v>46094</v>
      </c>
      <c r="B87" s="14" t="inlineStr">
        <is>
          <t>Marzo</t>
        </is>
      </c>
      <c r="C87" s="14" t="inlineStr">
        <is>
          <t>Maria Soledad Martinez</t>
        </is>
      </c>
      <c r="D87" s="15" t="n">
        <v>27500</v>
      </c>
      <c r="E87" s="14" t="inlineStr">
        <is>
          <t>Mercado Pago</t>
        </is>
      </c>
      <c r="F87" s="14" t="inlineStr">
        <is>
          <t>transferencia · gasto personal Sol (ex-PENDIENTE)</t>
        </is>
      </c>
    </row>
    <row r="88">
      <c r="A88" s="43" t="n">
        <v>46094</v>
      </c>
      <c r="B88" s="14" t="inlineStr">
        <is>
          <t>Marzo</t>
        </is>
      </c>
      <c r="C88" s="14" t="inlineStr">
        <is>
          <t>Ronda.</t>
        </is>
      </c>
      <c r="D88" s="15" t="n">
        <v>14000</v>
      </c>
      <c r="E88" s="14" t="inlineStr">
        <is>
          <t>Mercado Pago</t>
        </is>
      </c>
      <c r="F88" s="14" t="inlineStr">
        <is>
          <t>ALMUERZOS · Ronda · gasto personal Sol</t>
        </is>
      </c>
    </row>
    <row r="89">
      <c r="A89" s="43" t="n">
        <v>46096</v>
      </c>
      <c r="B89" s="14" t="inlineStr">
        <is>
          <t>Marzo</t>
        </is>
      </c>
      <c r="C89" s="14" t="inlineStr">
        <is>
          <t>Jorge Celso Doben</t>
        </is>
      </c>
      <c r="D89" s="15" t="n">
        <v>100000</v>
      </c>
      <c r="E89" s="14" t="inlineStr">
        <is>
          <t>Mercado Pago</t>
        </is>
      </c>
      <c r="F89" s="14" t="inlineStr">
        <is>
          <t>transferencia · gasto personal Sol (ex-PENDIENTE)</t>
        </is>
      </c>
    </row>
    <row r="90">
      <c r="A90" s="43" t="n">
        <v>46096</v>
      </c>
      <c r="B90" s="14" t="inlineStr">
        <is>
          <t>Marzo</t>
        </is>
      </c>
      <c r="C90" s="14" t="inlineStr">
        <is>
          <t>Madmuscles</t>
        </is>
      </c>
      <c r="D90" s="15" t="n">
        <v>26489</v>
      </c>
      <c r="E90" s="14" t="inlineStr">
        <is>
          <t>Mercado Pago</t>
        </is>
      </c>
      <c r="F90" s="14" t="inlineStr">
        <is>
          <t>fitness · gasto personal Sol</t>
        </is>
      </c>
    </row>
    <row r="91">
      <c r="A91" s="43" t="n">
        <v>46097</v>
      </c>
      <c r="B91" s="14" t="inlineStr">
        <is>
          <t>Marzo</t>
        </is>
      </c>
      <c r="C91" s="14" t="inlineStr">
        <is>
          <t>ACA</t>
        </is>
      </c>
      <c r="D91" s="15" t="n">
        <v>661</v>
      </c>
      <c r="E91" s="14" t="inlineStr">
        <is>
          <t>Mercado Pago</t>
        </is>
      </c>
      <c r="F91" s="14" t="inlineStr">
        <is>
          <t>ACA · AUTO/ACA · gasto personal Sol</t>
        </is>
      </c>
    </row>
    <row r="92">
      <c r="A92" s="43" t="n">
        <v>46097</v>
      </c>
      <c r="B92" s="14" t="inlineStr">
        <is>
          <t>Marzo</t>
        </is>
      </c>
      <c r="C92" s="14" t="inlineStr">
        <is>
          <t>Andrea Palacios</t>
        </is>
      </c>
      <c r="D92" s="15" t="n">
        <v>50000</v>
      </c>
      <c r="E92" s="14" t="inlineStr">
        <is>
          <t>Mercado Pago</t>
        </is>
      </c>
      <c r="F92" s="14" t="inlineStr">
        <is>
          <t>transferencia · gasto personal Sol (ex-PENDIENTE)</t>
        </is>
      </c>
    </row>
    <row r="93">
      <c r="A93" s="43" t="n">
        <v>46097</v>
      </c>
      <c r="B93" s="14" t="inlineStr">
        <is>
          <t>Marzo</t>
        </is>
      </c>
      <c r="C93" s="14" t="inlineStr">
        <is>
          <t>Locky Plantas</t>
        </is>
      </c>
      <c r="D93" s="15" t="n">
        <v>40000</v>
      </c>
      <c r="E93" s="14" t="inlineStr">
        <is>
          <t>Mercado Pago</t>
        </is>
      </c>
      <c r="F93" s="14" t="inlineStr">
        <is>
          <t>plantas · gasto personal Sol</t>
        </is>
      </c>
    </row>
    <row r="94">
      <c r="A94" s="43" t="n">
        <v>46097</v>
      </c>
      <c r="B94" s="14" t="inlineStr">
        <is>
          <t>Marzo</t>
        </is>
      </c>
      <c r="C94" s="14" t="inlineStr">
        <is>
          <t>Mesarina Castro Kimberly Juliet</t>
        </is>
      </c>
      <c r="D94" s="15" t="n">
        <v>10000</v>
      </c>
      <c r="E94" s="14" t="inlineStr">
        <is>
          <t>Mercado Pago</t>
        </is>
      </c>
      <c r="F94" s="14" t="inlineStr">
        <is>
          <t>transferencia · gasto personal Sol (ex-PENDIENTE)</t>
        </is>
      </c>
    </row>
    <row r="95">
      <c r="A95" s="43" t="n">
        <v>46097</v>
      </c>
      <c r="B95" s="14" t="inlineStr">
        <is>
          <t>Marzo</t>
        </is>
      </c>
      <c r="C95" s="14" t="inlineStr">
        <is>
          <t>Telepase</t>
        </is>
      </c>
      <c r="D95" s="15" t="n">
        <v>8700</v>
      </c>
      <c r="E95" s="14" t="inlineStr">
        <is>
          <t>Mercado Pago</t>
        </is>
      </c>
      <c r="F95" s="14" t="inlineStr">
        <is>
          <t>peaje · AUTO/ACA · gasto personal Sol</t>
        </is>
      </c>
    </row>
    <row r="96">
      <c r="A96" s="43" t="n">
        <v>46098</v>
      </c>
      <c r="B96" s="14" t="inlineStr">
        <is>
          <t>Marzo</t>
        </is>
      </c>
      <c r="C96" s="14" t="inlineStr">
        <is>
          <t>Bin Chen</t>
        </is>
      </c>
      <c r="D96" s="15" t="n">
        <v>8900</v>
      </c>
      <c r="E96" s="14" t="inlineStr">
        <is>
          <t>Mercado Pago</t>
        </is>
      </c>
      <c r="F96" s="14" t="inlineStr">
        <is>
          <t>transferencia · gasto personal Sol (ex-PENDIENTE)</t>
        </is>
      </c>
    </row>
    <row r="97">
      <c r="A97" s="43" t="n">
        <v>46099</v>
      </c>
      <c r="B97" s="14" t="inlineStr">
        <is>
          <t>Marzo</t>
        </is>
      </c>
      <c r="C97" s="14" t="inlineStr">
        <is>
          <t>Cecilia Pons</t>
        </is>
      </c>
      <c r="D97" s="15" t="n">
        <v>89261</v>
      </c>
      <c r="E97" s="14" t="inlineStr">
        <is>
          <t>Mercado Pago</t>
        </is>
      </c>
      <c r="F97" s="14" t="inlineStr">
        <is>
          <t>transferencia · gasto personal Sol (ex-PENDIENTE)</t>
        </is>
      </c>
    </row>
    <row r="98">
      <c r="A98" s="43" t="n">
        <v>46099</v>
      </c>
      <c r="B98" s="14" t="inlineStr">
        <is>
          <t>Marzo</t>
        </is>
      </c>
      <c r="C98" s="14" t="inlineStr">
        <is>
          <t>Sofía Entivero</t>
        </is>
      </c>
      <c r="D98" s="15" t="n">
        <v>528698</v>
      </c>
      <c r="E98" s="14" t="inlineStr">
        <is>
          <t>Mercado Pago</t>
        </is>
      </c>
      <c r="F98" s="14" t="inlineStr">
        <is>
          <t>compra · gasto personal Sol (ex-PENDIENTE)</t>
        </is>
      </c>
    </row>
    <row r="99">
      <c r="A99" s="43" t="n">
        <v>46103</v>
      </c>
      <c r="B99" s="14" t="inlineStr">
        <is>
          <t>Marzo</t>
        </is>
      </c>
      <c r="C99" s="14" t="inlineStr">
        <is>
          <t>Adidas</t>
        </is>
      </c>
      <c r="D99" s="15" t="n">
        <v>137998</v>
      </c>
      <c r="E99" s="14" t="inlineStr">
        <is>
          <t>Mercado Pago</t>
        </is>
      </c>
      <c r="F99" s="14" t="inlineStr">
        <is>
          <t>ropa · gasto personal Sol</t>
        </is>
      </c>
    </row>
    <row r="100">
      <c r="A100" s="43" t="n">
        <v>46103</v>
      </c>
      <c r="B100" s="14" t="inlineStr">
        <is>
          <t>Marzo</t>
        </is>
      </c>
      <c r="C100" s="14" t="inlineStr">
        <is>
          <t>Apple</t>
        </is>
      </c>
      <c r="D100" s="15" t="n">
        <v>29810</v>
      </c>
      <c r="E100" s="14" t="inlineStr">
        <is>
          <t>Mercado Pago</t>
        </is>
      </c>
      <c r="F100" s="14" t="inlineStr">
        <is>
          <t>Apple · gasto personal Sol · hoja Gasto Personal Sol</t>
        </is>
      </c>
    </row>
    <row r="101">
      <c r="A101" s="43" t="n">
        <v>46104</v>
      </c>
      <c r="B101" s="14" t="inlineStr">
        <is>
          <t>Marzo</t>
        </is>
      </c>
      <c r="C101" s="14" t="inlineStr">
        <is>
          <t>Awada</t>
        </is>
      </c>
      <c r="D101" s="15" t="n">
        <v>604001</v>
      </c>
      <c r="E101" s="14" t="inlineStr">
        <is>
          <t>Mercado Pago</t>
        </is>
      </c>
      <c r="F101" s="14" t="inlineStr">
        <is>
          <t>ropa · gasto personal Sol</t>
        </is>
      </c>
    </row>
    <row r="102">
      <c r="A102" s="43" t="n">
        <v>46104</v>
      </c>
      <c r="B102" s="14" t="inlineStr">
        <is>
          <t>Marzo</t>
        </is>
      </c>
      <c r="C102" s="14" t="inlineStr">
        <is>
          <t>Carcasa</t>
        </is>
      </c>
      <c r="D102" s="15" t="n">
        <v>9900</v>
      </c>
      <c r="E102" s="14" t="inlineStr">
        <is>
          <t>Mercado Pago</t>
        </is>
      </c>
      <c r="F102" s="14" t="inlineStr">
        <is>
          <t>accesorio · gasto personal Sol</t>
        </is>
      </c>
    </row>
    <row r="103">
      <c r="A103" s="43" t="n">
        <v>46105</v>
      </c>
      <c r="B103" s="14" t="inlineStr">
        <is>
          <t>Marzo</t>
        </is>
      </c>
      <c r="C103" s="14" t="inlineStr">
        <is>
          <t>Mercado Libre</t>
        </is>
      </c>
      <c r="D103" s="15" t="n">
        <v>60193</v>
      </c>
      <c r="E103" s="14" t="inlineStr">
        <is>
          <t>Mercado Pago</t>
        </is>
      </c>
      <c r="F103" s="14" t="inlineStr">
        <is>
          <t>ML · ML · gasto personal Sol (revisar)</t>
        </is>
      </c>
    </row>
    <row r="104">
      <c r="A104" s="43" t="n">
        <v>46105</v>
      </c>
      <c r="B104" s="14" t="inlineStr">
        <is>
          <t>Marzo</t>
        </is>
      </c>
      <c r="C104" s="14" t="inlineStr">
        <is>
          <t>Mercado Libre</t>
        </is>
      </c>
      <c r="D104" s="15" t="n">
        <v>377337</v>
      </c>
      <c r="E104" s="14" t="inlineStr">
        <is>
          <t>Mercado Pago</t>
        </is>
      </c>
      <c r="F104" s="14" t="inlineStr">
        <is>
          <t>ML · ML · gasto personal Sol (revisar)</t>
        </is>
      </c>
    </row>
    <row r="105">
      <c r="A105" s="43" t="n">
        <v>46105</v>
      </c>
      <c r="B105" s="14" t="inlineStr">
        <is>
          <t>Marzo</t>
        </is>
      </c>
      <c r="C105" s="14" t="inlineStr">
        <is>
          <t>Mercado Libre</t>
        </is>
      </c>
      <c r="D105" s="15" t="n">
        <v>101899</v>
      </c>
      <c r="E105" s="14" t="inlineStr">
        <is>
          <t>Mercado Pago</t>
        </is>
      </c>
      <c r="F105" s="14" t="inlineStr">
        <is>
          <t>ML · ML · gasto personal Sol (revisar)</t>
        </is>
      </c>
    </row>
    <row r="106">
      <c r="A106" s="43" t="n">
        <v>46106</v>
      </c>
      <c r="B106" s="14" t="inlineStr">
        <is>
          <t>Marzo</t>
        </is>
      </c>
      <c r="C106" s="14" t="inlineStr">
        <is>
          <t>Paws Pet Market</t>
        </is>
      </c>
      <c r="D106" s="15" t="n">
        <v>35700</v>
      </c>
      <c r="E106" s="14" t="inlineStr">
        <is>
          <t>Mercado Pago</t>
        </is>
      </c>
      <c r="F106" s="14" t="inlineStr">
        <is>
          <t>mascotas · gasto personal Sol</t>
        </is>
      </c>
    </row>
    <row r="107">
      <c r="A107" s="43" t="n">
        <v>46108</v>
      </c>
      <c r="B107" s="14" t="inlineStr">
        <is>
          <t>Marzo</t>
        </is>
      </c>
      <c r="C107" s="14" t="inlineStr">
        <is>
          <t>Tuenti</t>
        </is>
      </c>
      <c r="D107" s="15" t="n">
        <v>4000</v>
      </c>
      <c r="E107" s="14" t="inlineStr">
        <is>
          <t>Mercado Pago</t>
        </is>
      </c>
      <c r="F107" s="14" t="inlineStr">
        <is>
          <t>Tuenti · gasto personal Sol · hoja Gasto Personal Sol</t>
        </is>
      </c>
    </row>
    <row r="108">
      <c r="A108" s="43" t="n">
        <v>46111</v>
      </c>
      <c r="B108" s="14" t="inlineStr">
        <is>
          <t>Marzo</t>
        </is>
      </c>
      <c r="C108" s="14" t="inlineStr">
        <is>
          <t>Cuota Social Carp</t>
        </is>
      </c>
      <c r="D108" s="15" t="n">
        <v>30560</v>
      </c>
      <c r="E108" s="14" t="inlineStr">
        <is>
          <t>Mercado Pago</t>
        </is>
      </c>
      <c r="F108" s="14" t="inlineStr">
        <is>
          <t>cuota social · gasto personal Sol</t>
        </is>
      </c>
    </row>
    <row r="109">
      <c r="A109" s="43" t="n">
        <v>46111</v>
      </c>
      <c r="B109" s="14" t="inlineStr">
        <is>
          <t>Marzo</t>
        </is>
      </c>
      <c r="C109" s="14" t="inlineStr">
        <is>
          <t>Mercado Libre</t>
        </is>
      </c>
      <c r="D109" s="15" t="n">
        <v>248070</v>
      </c>
      <c r="E109" s="14" t="inlineStr">
        <is>
          <t>Mercado Pago</t>
        </is>
      </c>
      <c r="F109" s="14" t="inlineStr">
        <is>
          <t>ML · ML · gasto personal Sol (revisar)</t>
        </is>
      </c>
    </row>
    <row r="110">
      <c r="A110" s="43" t="n">
        <v>46113</v>
      </c>
      <c r="B110" s="14" t="inlineStr">
        <is>
          <t>Abril</t>
        </is>
      </c>
      <c r="C110" s="14" t="inlineStr">
        <is>
          <t>Libreria Marin</t>
        </is>
      </c>
      <c r="D110" s="15" t="n">
        <v>1500</v>
      </c>
      <c r="E110" s="14" t="inlineStr">
        <is>
          <t>Mercado Pago</t>
        </is>
      </c>
      <c r="F110" s="14" t="inlineStr">
        <is>
          <t>librería · gasto personal Sol</t>
        </is>
      </c>
    </row>
    <row r="111">
      <c r="A111" s="43" t="n">
        <v>46113</v>
      </c>
      <c r="B111" s="14" t="inlineStr">
        <is>
          <t>Abril</t>
        </is>
      </c>
      <c r="C111" s="14" t="inlineStr">
        <is>
          <t>Mercado Libre</t>
        </is>
      </c>
      <c r="D111" s="15" t="n">
        <v>427718</v>
      </c>
      <c r="E111" s="14" t="inlineStr">
        <is>
          <t>Mercado Pago</t>
        </is>
      </c>
      <c r="F111" s="14" t="inlineStr">
        <is>
          <t>ML · ML · gasto personal Sol (revisar)</t>
        </is>
      </c>
    </row>
    <row r="112">
      <c r="A112" s="43" t="n">
        <v>46114</v>
      </c>
      <c r="B112" s="14" t="inlineStr">
        <is>
          <t>Abril</t>
        </is>
      </c>
      <c r="C112" s="14" t="inlineStr">
        <is>
          <t>Apple</t>
        </is>
      </c>
      <c r="D112" s="15" t="n">
        <v>5448</v>
      </c>
      <c r="E112" s="14" t="inlineStr">
        <is>
          <t>Mercado Pago</t>
        </is>
      </c>
      <c r="F112" s="14" t="inlineStr">
        <is>
          <t>Apple · gasto personal Sol · hoja Gasto Personal Sol</t>
        </is>
      </c>
    </row>
    <row r="113">
      <c r="A113" s="43" t="n">
        <v>46115</v>
      </c>
      <c r="B113" s="14" t="inlineStr">
        <is>
          <t>Abril</t>
        </is>
      </c>
      <c r="C113" s="14" t="inlineStr">
        <is>
          <t>ACA</t>
        </is>
      </c>
      <c r="D113" s="15" t="n">
        <v>881</v>
      </c>
      <c r="E113" s="14" t="inlineStr">
        <is>
          <t>Mercado Pago</t>
        </is>
      </c>
      <c r="F113" s="14" t="inlineStr">
        <is>
          <t>ACA · AUTO/ACA · gasto personal Sol</t>
        </is>
      </c>
    </row>
    <row r="114">
      <c r="A114" s="43" t="n">
        <v>46116</v>
      </c>
      <c r="B114" s="14" t="inlineStr">
        <is>
          <t>Abril</t>
        </is>
      </c>
      <c r="C114" s="14" t="inlineStr">
        <is>
          <t>Sofía Entivero</t>
        </is>
      </c>
      <c r="D114" s="15" t="n">
        <v>519441</v>
      </c>
      <c r="E114" s="14" t="inlineStr">
        <is>
          <t>Mercado Pago</t>
        </is>
      </c>
      <c r="F114" s="14" t="inlineStr">
        <is>
          <t>compra · gasto personal Sol (ex-PENDIENTE)</t>
        </is>
      </c>
    </row>
    <row r="115">
      <c r="A115" s="43" t="n">
        <v>46117</v>
      </c>
      <c r="B115" s="14" t="inlineStr">
        <is>
          <t>Abril</t>
        </is>
      </c>
      <c r="C115" s="14" t="inlineStr">
        <is>
          <t>Ema Maldonado</t>
        </is>
      </c>
      <c r="D115" s="15" t="n">
        <v>7000</v>
      </c>
      <c r="E115" s="14" t="inlineStr">
        <is>
          <t>Mercado Pago</t>
        </is>
      </c>
      <c r="F115" s="14" t="inlineStr">
        <is>
          <t>transferencia · gasto personal Sol (ex-PENDIENTE)</t>
        </is>
      </c>
    </row>
    <row r="116">
      <c r="A116" s="43" t="n">
        <v>46119</v>
      </c>
      <c r="B116" s="14" t="inlineStr">
        <is>
          <t>Abril</t>
        </is>
      </c>
      <c r="C116" s="14" t="inlineStr">
        <is>
          <t>Ana Silvia Castillo</t>
        </is>
      </c>
      <c r="D116" s="15" t="n">
        <v>79000</v>
      </c>
      <c r="E116" s="14" t="inlineStr">
        <is>
          <t>Mercado Pago</t>
        </is>
      </c>
      <c r="F116" s="14" t="inlineStr">
        <is>
          <t>transferencia · gasto personal Sol (ex-PENDIENTE)</t>
        </is>
      </c>
    </row>
    <row r="117">
      <c r="A117" s="43" t="n">
        <v>46119</v>
      </c>
      <c r="B117" s="14" t="inlineStr">
        <is>
          <t>Abril</t>
        </is>
      </c>
      <c r="C117" s="14" t="inlineStr">
        <is>
          <t>Gabriel Fradkin</t>
        </is>
      </c>
      <c r="D117" s="15" t="n">
        <v>110000</v>
      </c>
      <c r="E117" s="14" t="inlineStr">
        <is>
          <t>Mercado Pago</t>
        </is>
      </c>
      <c r="F117" s="14" t="inlineStr">
        <is>
          <t>transferencia · gasto personal Sol (ex-PENDIENTE)</t>
        </is>
      </c>
    </row>
    <row r="118">
      <c r="A118" s="43" t="n">
        <v>46119</v>
      </c>
      <c r="B118" s="14" t="inlineStr">
        <is>
          <t>Abril</t>
        </is>
      </c>
      <c r="C118" s="14" t="inlineStr">
        <is>
          <t>Mercado Libre</t>
        </is>
      </c>
      <c r="D118" s="15" t="n">
        <v>29725</v>
      </c>
      <c r="E118" s="14" t="inlineStr">
        <is>
          <t>Mercado Pago</t>
        </is>
      </c>
      <c r="F118" s="14" t="inlineStr">
        <is>
          <t>ML · ML · gasto personal Sol (revisar)</t>
        </is>
      </c>
    </row>
    <row r="119">
      <c r="A119" s="43" t="n">
        <v>46119</v>
      </c>
      <c r="B119" s="14" t="inlineStr">
        <is>
          <t>Abril</t>
        </is>
      </c>
      <c r="C119" s="14" t="inlineStr">
        <is>
          <t>Smartcell Lacroze</t>
        </is>
      </c>
      <c r="D119" s="15" t="n">
        <v>16500</v>
      </c>
      <c r="E119" s="14" t="inlineStr">
        <is>
          <t>Mercado Pago</t>
        </is>
      </c>
      <c r="F119" s="14" t="inlineStr">
        <is>
          <t>celular tienda · celular · gasto personal Sol</t>
        </is>
      </c>
    </row>
    <row r="120">
      <c r="A120" s="43" t="n">
        <v>46120</v>
      </c>
      <c r="B120" s="14" t="inlineStr">
        <is>
          <t>Abril</t>
        </is>
      </c>
      <c r="C120" s="14" t="inlineStr">
        <is>
          <t>Yenny Paola Calisaya</t>
        </is>
      </c>
      <c r="D120" s="15" t="n">
        <v>15120</v>
      </c>
      <c r="E120" s="14" t="inlineStr">
        <is>
          <t>Mercado Pago</t>
        </is>
      </c>
      <c r="F120" s="14" t="inlineStr">
        <is>
          <t>transferencia · gasto personal Sol (ex-PENDIENTE)</t>
        </is>
      </c>
    </row>
    <row r="121">
      <c r="A121" s="43" t="n">
        <v>46121</v>
      </c>
      <c r="B121" s="14" t="inlineStr">
        <is>
          <t>Abril</t>
        </is>
      </c>
      <c r="C121" s="14" t="inlineStr">
        <is>
          <t>Tuenti</t>
        </is>
      </c>
      <c r="D121" s="15" t="n">
        <v>16650</v>
      </c>
      <c r="E121" s="14" t="inlineStr">
        <is>
          <t>Mercado Pago</t>
        </is>
      </c>
      <c r="F121" s="14" t="inlineStr">
        <is>
          <t>Tuenti · gasto personal Sol · hoja Gasto Personal Sol</t>
        </is>
      </c>
    </row>
    <row r="122">
      <c r="A122" s="43" t="n">
        <v>46122</v>
      </c>
      <c r="B122" s="14" t="inlineStr">
        <is>
          <t>Abril</t>
        </is>
      </c>
      <c r="C122" s="14" t="inlineStr">
        <is>
          <t>Apple</t>
        </is>
      </c>
      <c r="D122" s="15" t="n">
        <v>359951</v>
      </c>
      <c r="E122" s="14" t="inlineStr">
        <is>
          <t>Mercado Pago</t>
        </is>
      </c>
      <c r="F122" s="14" t="inlineStr">
        <is>
          <t>Apple · gasto personal Sol · hoja Gasto Personal Sol</t>
        </is>
      </c>
    </row>
    <row r="123">
      <c r="A123" s="43" t="n"/>
      <c r="B123" s="14" t="n"/>
      <c r="C123" s="14" t="n"/>
      <c r="D123" s="15" t="n"/>
      <c r="E123" s="14" t="n"/>
      <c r="F123" s="14" t="n"/>
    </row>
    <row r="124">
      <c r="A124" s="43" t="n">
        <v>46122</v>
      </c>
      <c r="B124" s="14" t="inlineStr">
        <is>
          <t>Abril</t>
        </is>
      </c>
      <c r="C124" s="14" t="inlineStr">
        <is>
          <t>Mercado Libre</t>
        </is>
      </c>
      <c r="D124" s="15" t="n">
        <v>126540</v>
      </c>
      <c r="E124" s="14" t="inlineStr">
        <is>
          <t>Mercado Pago</t>
        </is>
      </c>
      <c r="F124" s="14" t="inlineStr">
        <is>
          <t>ML · ML · gasto personal Sol (revisar)</t>
        </is>
      </c>
    </row>
    <row r="125">
      <c r="A125" s="43" t="n">
        <v>46122</v>
      </c>
      <c r="B125" s="14" t="inlineStr">
        <is>
          <t>Abril</t>
        </is>
      </c>
      <c r="C125" s="14" t="inlineStr">
        <is>
          <t>Mercado Libre</t>
        </is>
      </c>
      <c r="D125" s="15" t="n">
        <v>129200</v>
      </c>
      <c r="E125" s="14" t="inlineStr">
        <is>
          <t>Mercado Pago</t>
        </is>
      </c>
      <c r="F125" s="14" t="inlineStr">
        <is>
          <t>ML · ML · gasto personal Sol (revisar)</t>
        </is>
      </c>
    </row>
    <row r="126">
      <c r="A126" s="43" t="n">
        <v>46122</v>
      </c>
      <c r="B126" s="14" t="inlineStr">
        <is>
          <t>Abril</t>
        </is>
      </c>
      <c r="C126" s="14" t="inlineStr">
        <is>
          <t>Paws Pet Market</t>
        </is>
      </c>
      <c r="D126" s="15" t="n">
        <v>71400</v>
      </c>
      <c r="E126" s="14" t="inlineStr">
        <is>
          <t>Mercado Pago</t>
        </is>
      </c>
      <c r="F126" s="14" t="inlineStr">
        <is>
          <t>mascotas · gasto personal Sol</t>
        </is>
      </c>
    </row>
    <row r="127">
      <c r="A127" s="43" t="n">
        <v>46124</v>
      </c>
      <c r="B127" s="14" t="inlineStr">
        <is>
          <t>Abril</t>
        </is>
      </c>
      <c r="C127" s="14" t="inlineStr">
        <is>
          <t>Apple</t>
        </is>
      </c>
      <c r="D127" s="15" t="n">
        <v>14520</v>
      </c>
      <c r="E127" s="14" t="inlineStr">
        <is>
          <t>Mercado Pago</t>
        </is>
      </c>
      <c r="F127" s="14" t="inlineStr">
        <is>
          <t>Apple · gasto personal Sol · hoja Gasto Personal Sol</t>
        </is>
      </c>
    </row>
    <row r="128">
      <c r="A128" s="43" t="n"/>
      <c r="B128" s="14" t="n"/>
      <c r="C128" s="14" t="n"/>
      <c r="D128" s="15" t="n"/>
      <c r="E128" s="14" t="n"/>
      <c r="F128" s="14" t="n"/>
    </row>
    <row r="129">
      <c r="A129" s="43" t="n"/>
      <c r="B129" s="14" t="n"/>
      <c r="C129" s="14" t="n"/>
      <c r="D129" s="15" t="n"/>
      <c r="E129" s="14" t="n"/>
      <c r="F129" s="14" t="n"/>
    </row>
    <row r="130">
      <c r="A130" s="43" t="n">
        <v>46127</v>
      </c>
      <c r="B130" s="14" t="inlineStr">
        <is>
          <t>Abril</t>
        </is>
      </c>
      <c r="C130" s="14" t="inlineStr">
        <is>
          <t>Fundacion Soplo De Vida</t>
        </is>
      </c>
      <c r="D130" s="15" t="n">
        <v>100000</v>
      </c>
      <c r="E130" s="14" t="inlineStr">
        <is>
          <t>Mercado Pago</t>
        </is>
      </c>
      <c r="F130" s="14" t="inlineStr">
        <is>
          <t>donación · gasto personal Sol</t>
        </is>
      </c>
    </row>
    <row r="131">
      <c r="A131" s="43" t="n">
        <v>46130</v>
      </c>
      <c r="B131" s="14" t="inlineStr">
        <is>
          <t>Abril</t>
        </is>
      </c>
      <c r="C131" s="14" t="inlineStr">
        <is>
          <t>Cosi Mi Piace</t>
        </is>
      </c>
      <c r="D131" s="15" t="n">
        <v>177300</v>
      </c>
      <c r="E131" s="14" t="inlineStr">
        <is>
          <t>Mercado Pago</t>
        </is>
      </c>
      <c r="F131" s="14" t="inlineStr">
        <is>
          <t>evento · gasto personal Sol</t>
        </is>
      </c>
    </row>
    <row r="132">
      <c r="A132" s="43" t="n">
        <v>46130</v>
      </c>
      <c r="B132" s="14" t="inlineStr">
        <is>
          <t>Abril</t>
        </is>
      </c>
      <c r="C132" s="14" t="inlineStr">
        <is>
          <t>Cosi Mi Piace propina</t>
        </is>
      </c>
      <c r="D132" s="15" t="n">
        <v>21276</v>
      </c>
      <c r="E132" s="14" t="inlineStr">
        <is>
          <t>Mercado Pago</t>
        </is>
      </c>
      <c r="F132" s="14" t="inlineStr">
        <is>
          <t>evento · gasto personal Sol</t>
        </is>
      </c>
    </row>
    <row r="133">
      <c r="A133" s="43" t="n">
        <v>46131</v>
      </c>
      <c r="B133" s="14" t="inlineStr">
        <is>
          <t>Abril</t>
        </is>
      </c>
      <c r="C133" s="14" t="inlineStr">
        <is>
          <t>Negri Telma</t>
        </is>
      </c>
      <c r="D133" s="15" t="n">
        <v>50000</v>
      </c>
      <c r="E133" s="14" t="inlineStr">
        <is>
          <t>Mercado Pago</t>
        </is>
      </c>
      <c r="F133" s="14" t="inlineStr">
        <is>
          <t>transferencia · gasto personal Sol (ex-PENDIENTE)</t>
        </is>
      </c>
    </row>
    <row r="134">
      <c r="A134" s="43" t="n">
        <v>46131</v>
      </c>
      <c r="B134" s="14" t="inlineStr">
        <is>
          <t>Abril</t>
        </is>
      </c>
      <c r="C134" s="14" t="inlineStr">
        <is>
          <t>SUBE</t>
        </is>
      </c>
      <c r="D134" s="15" t="n">
        <v>795</v>
      </c>
      <c r="E134" s="14" t="inlineStr">
        <is>
          <t>Mercado Pago</t>
        </is>
      </c>
      <c r="F134" s="14" t="inlineStr">
        <is>
          <t>transporte SUBE · gasto personal Sol</t>
        </is>
      </c>
    </row>
    <row r="135">
      <c r="A135" s="43" t="n">
        <v>46132</v>
      </c>
      <c r="B135" s="14" t="inlineStr">
        <is>
          <t>Abril</t>
        </is>
      </c>
      <c r="C135" s="14" t="inlineStr">
        <is>
          <t>Mercado Libre</t>
        </is>
      </c>
      <c r="D135" s="15" t="n">
        <v>156237</v>
      </c>
      <c r="E135" s="14" t="inlineStr">
        <is>
          <t>Mercado Pago</t>
        </is>
      </c>
      <c r="F135" s="14" t="inlineStr">
        <is>
          <t>ML · ML · gasto personal Sol (revisar)</t>
        </is>
      </c>
    </row>
    <row r="136">
      <c r="A136" s="43" t="n">
        <v>46132</v>
      </c>
      <c r="B136" s="14" t="inlineStr">
        <is>
          <t>Abril</t>
        </is>
      </c>
      <c r="C136" s="14" t="inlineStr">
        <is>
          <t>Mercado Libre</t>
        </is>
      </c>
      <c r="D136" s="15" t="n">
        <v>185340</v>
      </c>
      <c r="E136" s="14" t="inlineStr">
        <is>
          <t>Mercado Pago</t>
        </is>
      </c>
      <c r="F136" s="14" t="inlineStr">
        <is>
          <t>ML · ML · gasto personal Sol (revisar)</t>
        </is>
      </c>
    </row>
    <row r="137">
      <c r="A137" s="43" t="n">
        <v>46133</v>
      </c>
      <c r="B137" s="14" t="inlineStr">
        <is>
          <t>Abril</t>
        </is>
      </c>
      <c r="C137" s="14" t="inlineStr">
        <is>
          <t>Negri Telma</t>
        </is>
      </c>
      <c r="D137" s="15" t="n">
        <v>200000</v>
      </c>
      <c r="E137" s="14" t="inlineStr">
        <is>
          <t>Mercado Pago</t>
        </is>
      </c>
      <c r="F137" s="14" t="inlineStr">
        <is>
          <t>transferencia · gasto personal Sol (ex-PENDIENTE)</t>
        </is>
      </c>
    </row>
    <row r="138">
      <c r="A138" s="43" t="n">
        <v>46134</v>
      </c>
      <c r="B138" s="14" t="inlineStr">
        <is>
          <t>Abril</t>
        </is>
      </c>
      <c r="C138" s="14" t="inlineStr">
        <is>
          <t>Martina Chippano</t>
        </is>
      </c>
      <c r="D138" s="15" t="n">
        <v>153480</v>
      </c>
      <c r="E138" s="14" t="inlineStr">
        <is>
          <t>Mercado Pago</t>
        </is>
      </c>
      <c r="F138" s="14" t="inlineStr">
        <is>
          <t>compra · gasto personal Sol (ex-PENDIENTE)</t>
        </is>
      </c>
    </row>
    <row r="139">
      <c r="A139" s="43" t="n">
        <v>46136</v>
      </c>
      <c r="B139" s="14" t="inlineStr">
        <is>
          <t>Abril</t>
        </is>
      </c>
      <c r="C139" s="14" t="inlineStr">
        <is>
          <t>Fundacion Soplo De Vida</t>
        </is>
      </c>
      <c r="D139" s="15" t="n">
        <v>40000</v>
      </c>
      <c r="E139" s="14" t="inlineStr">
        <is>
          <t>Mercado Pago</t>
        </is>
      </c>
      <c r="F139" s="14" t="inlineStr">
        <is>
          <t>donación · gasto personal Sol</t>
        </is>
      </c>
    </row>
    <row r="140">
      <c r="A140" s="43" t="n">
        <v>46137</v>
      </c>
      <c r="B140" s="14" t="inlineStr">
        <is>
          <t>Abril</t>
        </is>
      </c>
      <c r="C140" s="14" t="inlineStr">
        <is>
          <t>Tuenti</t>
        </is>
      </c>
      <c r="D140" s="15" t="n">
        <v>4200</v>
      </c>
      <c r="E140" s="14" t="inlineStr">
        <is>
          <t>Mercado Pago</t>
        </is>
      </c>
      <c r="F140" s="14" t="inlineStr">
        <is>
          <t>Tuenti · gasto personal Sol · hoja Gasto Personal Sol</t>
        </is>
      </c>
    </row>
    <row r="141">
      <c r="A141" s="43" t="n">
        <v>46138</v>
      </c>
      <c r="B141" s="14" t="inlineStr">
        <is>
          <t>Abril</t>
        </is>
      </c>
      <c r="C141" s="14" t="inlineStr">
        <is>
          <t>Mauro Ascunce</t>
        </is>
      </c>
      <c r="D141" s="15" t="n">
        <v>2100</v>
      </c>
      <c r="E141" s="14" t="inlineStr">
        <is>
          <t>Mercado Pago</t>
        </is>
      </c>
      <c r="F141" s="14" t="inlineStr">
        <is>
          <t>transferencia · gasto personal Sol (ex-PENDIENTE)</t>
        </is>
      </c>
    </row>
    <row r="142">
      <c r="A142" s="43" t="n">
        <v>46140</v>
      </c>
      <c r="B142" s="14" t="inlineStr">
        <is>
          <t>Abril</t>
        </is>
      </c>
      <c r="C142" s="14" t="inlineStr">
        <is>
          <t>Cosi Mi Piace</t>
        </is>
      </c>
      <c r="D142" s="15" t="n">
        <v>277360</v>
      </c>
      <c r="E142" s="14" t="inlineStr">
        <is>
          <t>Mercado Pago</t>
        </is>
      </c>
      <c r="F142" s="14" t="inlineStr">
        <is>
          <t>evento · gasto personal Sol</t>
        </is>
      </c>
    </row>
    <row r="143">
      <c r="A143" s="44" t="n">
        <v>46140</v>
      </c>
      <c r="B143" t="inlineStr">
        <is>
          <t>Abril</t>
        </is>
      </c>
      <c r="C143" t="inlineStr">
        <is>
          <t>Cosi Mi Piace propina</t>
        </is>
      </c>
      <c r="D143" s="26" t="n">
        <v>33283</v>
      </c>
      <c r="E143" t="inlineStr">
        <is>
          <t>Mercado Pago</t>
        </is>
      </c>
      <c r="F143" t="inlineStr">
        <is>
          <t>evento · gasto personal Sol</t>
        </is>
      </c>
    </row>
    <row r="144">
      <c r="A144" s="44" t="n">
        <v>46144</v>
      </c>
      <c r="B144" t="inlineStr">
        <is>
          <t>Mayo</t>
        </is>
      </c>
      <c r="C144" t="inlineStr">
        <is>
          <t>ACA</t>
        </is>
      </c>
      <c r="D144" s="26" t="n">
        <v>751</v>
      </c>
      <c r="E144" t="inlineStr">
        <is>
          <t>Mercado Pago</t>
        </is>
      </c>
      <c r="F144" t="inlineStr">
        <is>
          <t>ACA · AUTO/ACA · gasto personal Sol</t>
        </is>
      </c>
    </row>
    <row r="145">
      <c r="A145" s="44" t="n">
        <v>46144</v>
      </c>
      <c r="B145" t="inlineStr">
        <is>
          <t>Mayo</t>
        </is>
      </c>
      <c r="C145" t="inlineStr">
        <is>
          <t>Cosi Mi Piace</t>
        </is>
      </c>
      <c r="D145" s="26" t="n">
        <v>30133</v>
      </c>
      <c r="E145" t="inlineStr">
        <is>
          <t>Mercado Pago</t>
        </is>
      </c>
      <c r="F145" t="inlineStr">
        <is>
          <t>restaurante · gasto personal Sol</t>
        </is>
      </c>
    </row>
    <row r="146">
      <c r="A146" s="44" t="n">
        <v>46144</v>
      </c>
      <c r="B146" t="inlineStr">
        <is>
          <t>Mayo</t>
        </is>
      </c>
      <c r="C146" t="inlineStr">
        <is>
          <t>Profesional Belgrano</t>
        </is>
      </c>
      <c r="D146" s="26" t="n">
        <v>72249</v>
      </c>
      <c r="E146" t="inlineStr">
        <is>
          <t>Mercado Pago</t>
        </is>
      </c>
      <c r="F146" t="inlineStr">
        <is>
          <t>¿farmacia? · gasto personal Sol</t>
        </is>
      </c>
    </row>
    <row r="147">
      <c r="A147" s="44" t="n">
        <v>46144</v>
      </c>
      <c r="B147" t="inlineStr">
        <is>
          <t>Mayo</t>
        </is>
      </c>
      <c r="C147" t="inlineStr">
        <is>
          <t>Tuenti</t>
        </is>
      </c>
      <c r="D147" s="26" t="n">
        <v>4200</v>
      </c>
      <c r="E147" t="inlineStr">
        <is>
          <t>Mercado Pago</t>
        </is>
      </c>
      <c r="F147" t="inlineStr">
        <is>
          <t>Tuenti · gasto personal Sol · hoja Gasto Personal Sol</t>
        </is>
      </c>
    </row>
    <row r="148">
      <c r="A148" s="44" t="n">
        <v>46146</v>
      </c>
      <c r="B148" t="inlineStr">
        <is>
          <t>Mayo</t>
        </is>
      </c>
      <c r="C148" t="inlineStr">
        <is>
          <t>Clinicas Altamirao</t>
        </is>
      </c>
      <c r="D148" s="26" t="n">
        <v>40000</v>
      </c>
      <c r="E148" t="inlineStr">
        <is>
          <t>Mercado Pago</t>
        </is>
      </c>
      <c r="F148" t="inlineStr">
        <is>
          <t>salud · gasto personal Sol</t>
        </is>
      </c>
    </row>
    <row r="149">
      <c r="A149" s="44" t="n">
        <v>46147</v>
      </c>
      <c r="B149" t="inlineStr">
        <is>
          <t>Mayo</t>
        </is>
      </c>
      <c r="C149" t="inlineStr">
        <is>
          <t>Eva Zarate</t>
        </is>
      </c>
      <c r="D149" s="26" t="n">
        <v>95000</v>
      </c>
      <c r="E149" t="inlineStr">
        <is>
          <t>Mercado Pago</t>
        </is>
      </c>
      <c r="F149" t="inlineStr">
        <is>
          <t>transferencia · gasto personal Sol (ex-PENDIENTE)</t>
        </is>
      </c>
    </row>
    <row r="150">
      <c r="A150" s="44" t="n">
        <v>46149</v>
      </c>
      <c r="B150" t="inlineStr">
        <is>
          <t>Mayo</t>
        </is>
      </c>
      <c r="C150" t="inlineStr">
        <is>
          <t>Tuenti</t>
        </is>
      </c>
      <c r="D150" s="26" t="n">
        <v>16650</v>
      </c>
      <c r="E150" t="inlineStr">
        <is>
          <t>Mercado Pago</t>
        </is>
      </c>
      <c r="F150" t="inlineStr">
        <is>
          <t>Tuenti · gasto personal Sol · hoja Gasto Personal Sol</t>
        </is>
      </c>
    </row>
    <row r="151">
      <c r="A151" s="44" t="n">
        <v>46150</v>
      </c>
      <c r="B151" t="inlineStr">
        <is>
          <t>Mayo</t>
        </is>
      </c>
      <c r="C151" t="inlineStr">
        <is>
          <t>Florencia Risi</t>
        </is>
      </c>
      <c r="D151" s="26" t="n">
        <v>60900</v>
      </c>
      <c r="E151" t="inlineStr">
        <is>
          <t>Mercado Pago</t>
        </is>
      </c>
      <c r="F151" t="inlineStr">
        <is>
          <t>transferencia · gasto personal Sol (ex-PENDIENTE)</t>
        </is>
      </c>
    </row>
    <row r="152">
      <c r="A152" s="44" t="n">
        <v>46150</v>
      </c>
      <c r="B152" t="inlineStr">
        <is>
          <t>Mayo</t>
        </is>
      </c>
      <c r="C152" t="inlineStr">
        <is>
          <t>Ruth Calvetti</t>
        </is>
      </c>
      <c r="D152" s="26" t="n">
        <v>266443</v>
      </c>
      <c r="E152" t="inlineStr">
        <is>
          <t>Mercado Pago</t>
        </is>
      </c>
      <c r="F152" t="inlineStr">
        <is>
          <t>compra · gasto personal Sol (ex-PENDIENTE)</t>
        </is>
      </c>
    </row>
    <row r="153">
      <c r="A153" s="44" t="n">
        <v>46151</v>
      </c>
      <c r="B153" t="inlineStr">
        <is>
          <t>Mayo</t>
        </is>
      </c>
      <c r="C153" t="inlineStr">
        <is>
          <t>Mercado Libre</t>
        </is>
      </c>
      <c r="D153" s="26" t="n">
        <v>38637</v>
      </c>
      <c r="E153" t="inlineStr">
        <is>
          <t>Mercado Pago</t>
        </is>
      </c>
      <c r="F153" t="inlineStr">
        <is>
          <t>ML · ML · gasto personal Sol (revisar)</t>
        </is>
      </c>
    </row>
    <row r="154">
      <c r="A154" s="44" t="n">
        <v>46151</v>
      </c>
      <c r="B154" t="inlineStr">
        <is>
          <t>Mayo</t>
        </is>
      </c>
      <c r="C154" t="inlineStr">
        <is>
          <t>Tuenti</t>
        </is>
      </c>
      <c r="D154" s="26" t="n">
        <v>16650</v>
      </c>
      <c r="E154" t="inlineStr">
        <is>
          <t>Mercado Pago</t>
        </is>
      </c>
      <c r="F154" t="inlineStr">
        <is>
          <t>Tuenti · gasto personal Sol · hoja Gasto Personal Sol</t>
        </is>
      </c>
    </row>
    <row r="155">
      <c r="A155" s="44" t="n">
        <v>46152</v>
      </c>
      <c r="B155" t="inlineStr">
        <is>
          <t>Mayo</t>
        </is>
      </c>
      <c r="C155" t="inlineStr">
        <is>
          <t>Ramira</t>
        </is>
      </c>
      <c r="D155" s="26" t="n">
        <v>117000</v>
      </c>
      <c r="E155" t="inlineStr">
        <is>
          <t>Mercado Pago</t>
        </is>
      </c>
      <c r="F155" t="inlineStr">
        <is>
          <t>salida/evento · gasto personal Sol</t>
        </is>
      </c>
    </row>
    <row r="156">
      <c r="A156" s="44" t="n">
        <v>46153</v>
      </c>
      <c r="B156" t="inlineStr">
        <is>
          <t>Mayo</t>
        </is>
      </c>
      <c r="C156" t="inlineStr">
        <is>
          <t>Andres Di Pasqua</t>
        </is>
      </c>
      <c r="D156" s="26" t="n">
        <v>24852</v>
      </c>
      <c r="E156" t="inlineStr">
        <is>
          <t>Mercado Pago</t>
        </is>
      </c>
      <c r="F156" t="inlineStr">
        <is>
          <t>compra · gasto personal Sol (ex-PENDIENTE)</t>
        </is>
      </c>
    </row>
    <row r="157">
      <c r="A157" s="44" t="n">
        <v>46153</v>
      </c>
      <c r="B157" t="inlineStr">
        <is>
          <t>Mayo</t>
        </is>
      </c>
      <c r="C157" t="inlineStr">
        <is>
          <t>Valeria Mele</t>
        </is>
      </c>
      <c r="D157" s="26" t="n">
        <v>65700</v>
      </c>
      <c r="E157" t="inlineStr">
        <is>
          <t>Mercado Pago</t>
        </is>
      </c>
      <c r="F157" t="inlineStr">
        <is>
          <t>transferencia · gasto personal Sol (ex-PENDIENTE)</t>
        </is>
      </c>
    </row>
    <row r="158">
      <c r="A158" s="44" t="n">
        <v>46154</v>
      </c>
      <c r="B158" t="inlineStr">
        <is>
          <t>Mayo</t>
        </is>
      </c>
      <c r="C158" t="inlineStr">
        <is>
          <t>Apple</t>
        </is>
      </c>
      <c r="D158" s="26" t="n">
        <v>18353</v>
      </c>
      <c r="E158" t="inlineStr">
        <is>
          <t>Mercado Pago</t>
        </is>
      </c>
      <c r="F158" t="inlineStr">
        <is>
          <t>Apple · gasto personal Sol · hoja Gasto Personal Sol</t>
        </is>
      </c>
    </row>
    <row r="159">
      <c r="A159" s="44" t="n">
        <v>46155</v>
      </c>
      <c r="B159" t="inlineStr">
        <is>
          <t>Mayo</t>
        </is>
      </c>
      <c r="C159" t="inlineStr">
        <is>
          <t>Daniela Lopez</t>
        </is>
      </c>
      <c r="D159" s="26" t="n">
        <v>3100</v>
      </c>
      <c r="E159" t="inlineStr">
        <is>
          <t>Mercado Pago</t>
        </is>
      </c>
      <c r="F159" t="inlineStr">
        <is>
          <t>transferencia · gasto personal Sol (ex-PENDIENTE)</t>
        </is>
      </c>
    </row>
    <row r="160">
      <c r="A160" s="44" t="n">
        <v>46155</v>
      </c>
      <c r="B160" t="inlineStr">
        <is>
          <t>Mayo</t>
        </is>
      </c>
      <c r="C160" t="inlineStr">
        <is>
          <t>Mercado Libre</t>
        </is>
      </c>
      <c r="D160" s="26" t="n">
        <v>132299</v>
      </c>
      <c r="E160" t="inlineStr">
        <is>
          <t>Mercado Pago</t>
        </is>
      </c>
      <c r="F160" t="inlineStr">
        <is>
          <t>ML · ML · gasto personal Sol (revisar)</t>
        </is>
      </c>
    </row>
    <row r="161">
      <c r="A161" s="44" t="n">
        <v>46155</v>
      </c>
      <c r="B161" t="inlineStr">
        <is>
          <t>Mayo</t>
        </is>
      </c>
      <c r="C161" t="inlineStr">
        <is>
          <t>Valeria Mele</t>
        </is>
      </c>
      <c r="D161" s="26" t="n">
        <v>21600</v>
      </c>
      <c r="E161" t="inlineStr">
        <is>
          <t>Mercado Pago</t>
        </is>
      </c>
      <c r="F161" t="inlineStr">
        <is>
          <t>transferencia · gasto personal Sol (ex-PENDIENTE)</t>
        </is>
      </c>
    </row>
    <row r="162">
      <c r="A162" s="44" t="n">
        <v>46157</v>
      </c>
      <c r="B162" t="inlineStr">
        <is>
          <t>Mayo</t>
        </is>
      </c>
      <c r="C162" t="inlineStr">
        <is>
          <t>General Collect</t>
        </is>
      </c>
      <c r="D162" s="26" t="n">
        <v>2496700</v>
      </c>
      <c r="E162" t="inlineStr">
        <is>
          <t>Mercado Pago</t>
        </is>
      </c>
      <c r="F162" t="inlineStr">
        <is>
          <t>cobranza · gasto personal Sol (ex-PENDIENTE)</t>
        </is>
      </c>
    </row>
    <row r="163">
      <c r="A163" s="44" t="n">
        <v>46158</v>
      </c>
      <c r="B163" t="inlineStr">
        <is>
          <t>Mayo</t>
        </is>
      </c>
      <c r="C163" t="inlineStr">
        <is>
          <t>Valeria Mele</t>
        </is>
      </c>
      <c r="D163" s="26" t="n">
        <v>90000</v>
      </c>
      <c r="E163" t="inlineStr">
        <is>
          <t>Mercado Pago</t>
        </is>
      </c>
      <c r="F163" t="inlineStr">
        <is>
          <t>transferencia · gasto personal Sol (ex-PENDIENTE)</t>
        </is>
      </c>
    </row>
    <row r="164">
      <c r="A164" s="44" t="n">
        <v>46160</v>
      </c>
      <c r="B164" t="inlineStr">
        <is>
          <t>Mayo</t>
        </is>
      </c>
      <c r="C164" t="inlineStr">
        <is>
          <t>Leocan</t>
        </is>
      </c>
      <c r="D164" s="26" t="n">
        <v>79924</v>
      </c>
      <c r="E164" t="inlineStr">
        <is>
          <t>Mercado Pago</t>
        </is>
      </c>
      <c r="F164" t="inlineStr">
        <is>
          <t>mascotas · gasto personal Sol</t>
        </is>
      </c>
    </row>
    <row r="165">
      <c r="A165" s="44" t="n">
        <v>46163</v>
      </c>
      <c r="B165" t="inlineStr">
        <is>
          <t>Mayo</t>
        </is>
      </c>
      <c r="C165" t="inlineStr">
        <is>
          <t>Federico Cabral</t>
        </is>
      </c>
      <c r="D165" s="26" t="n">
        <v>755800</v>
      </c>
      <c r="E165" t="inlineStr">
        <is>
          <t>Mercado Pago</t>
        </is>
      </c>
      <c r="F165" t="inlineStr">
        <is>
          <t>transferencia · gasto personal Sol (ex-PENDIENTE)</t>
        </is>
      </c>
    </row>
    <row r="166">
      <c r="A166" s="44" t="n">
        <v>46165</v>
      </c>
      <c r="B166" t="inlineStr">
        <is>
          <t>Mayo</t>
        </is>
      </c>
      <c r="C166" t="inlineStr">
        <is>
          <t>Bimba Y Lola</t>
        </is>
      </c>
      <c r="D166" s="26" t="n">
        <v>748000</v>
      </c>
      <c r="E166" t="inlineStr">
        <is>
          <t>Mercado Pago</t>
        </is>
      </c>
      <c r="F166" t="inlineStr">
        <is>
          <t>ropa · gasto personal Sol</t>
        </is>
      </c>
    </row>
    <row r="167">
      <c r="A167" s="44" t="n">
        <v>46165</v>
      </c>
      <c r="B167" t="inlineStr">
        <is>
          <t>Mayo</t>
        </is>
      </c>
      <c r="C167" t="inlineStr">
        <is>
          <t>Christian Ventura</t>
        </is>
      </c>
      <c r="D167" s="26" t="n">
        <v>300000</v>
      </c>
      <c r="E167" t="inlineStr">
        <is>
          <t>Mercado Pago</t>
        </is>
      </c>
      <c r="F167" t="inlineStr">
        <is>
          <t>transferencia · gasto personal Sol (ex-PENDIENTE)</t>
        </is>
      </c>
    </row>
    <row r="168">
      <c r="A168" s="44" t="n">
        <v>46165</v>
      </c>
      <c r="B168" t="inlineStr">
        <is>
          <t>Mayo</t>
        </is>
      </c>
      <c r="C168" t="inlineStr">
        <is>
          <t>Mercado Libre</t>
        </is>
      </c>
      <c r="D168" s="26" t="n">
        <v>35544</v>
      </c>
      <c r="E168" t="inlineStr">
        <is>
          <t>Mercado Pago</t>
        </is>
      </c>
      <c r="F168" t="inlineStr">
        <is>
          <t>ML · ML · gasto personal Sol (revisar)</t>
        </is>
      </c>
    </row>
    <row r="169">
      <c r="A169" s="44" t="n">
        <v>46165</v>
      </c>
      <c r="B169" t="inlineStr">
        <is>
          <t>Mayo</t>
        </is>
      </c>
      <c r="C169" t="inlineStr">
        <is>
          <t>Valeria Mele</t>
        </is>
      </c>
      <c r="D169" s="26" t="n">
        <v>112500</v>
      </c>
      <c r="E169" t="inlineStr">
        <is>
          <t>Mercado Pago</t>
        </is>
      </c>
      <c r="F169" t="inlineStr">
        <is>
          <t>transferencia · gasto personal Sol (ex-PENDIENTE)</t>
        </is>
      </c>
    </row>
    <row r="170">
      <c r="A170" s="44" t="n">
        <v>46168</v>
      </c>
      <c r="B170" t="inlineStr">
        <is>
          <t>Mayo</t>
        </is>
      </c>
      <c r="C170" t="inlineStr">
        <is>
          <t>Movistar Arena</t>
        </is>
      </c>
      <c r="D170" s="26" t="n">
        <v>19000</v>
      </c>
      <c r="E170" t="inlineStr">
        <is>
          <t>Mercado Pago</t>
        </is>
      </c>
      <c r="F170" t="inlineStr">
        <is>
          <t>evento · gasto personal Sol</t>
        </is>
      </c>
    </row>
    <row r="171">
      <c r="A171" s="44" t="n">
        <v>46169</v>
      </c>
      <c r="B171" t="inlineStr">
        <is>
          <t>Mayo</t>
        </is>
      </c>
      <c r="C171" t="inlineStr">
        <is>
          <t>Magic Dragon</t>
        </is>
      </c>
      <c r="D171" s="26" t="n">
        <v>5790</v>
      </c>
      <c r="E171" t="inlineStr">
        <is>
          <t>Mercado Pago</t>
        </is>
      </c>
      <c r="F171" t="inlineStr">
        <is>
          <t>comida/salida · gasto personal Sol</t>
        </is>
      </c>
    </row>
    <row r="172">
      <c r="A172" s="44" t="n">
        <v>46169</v>
      </c>
      <c r="B172" t="inlineStr">
        <is>
          <t>Mayo</t>
        </is>
      </c>
      <c r="C172" t="inlineStr">
        <is>
          <t>Paws Pet Market</t>
        </is>
      </c>
      <c r="D172" s="26" t="n">
        <v>11100</v>
      </c>
      <c r="E172" t="inlineStr">
        <is>
          <t>Mercado Pago</t>
        </is>
      </c>
      <c r="F172" t="inlineStr">
        <is>
          <t>mascotas · gasto personal Sol</t>
        </is>
      </c>
    </row>
    <row r="173">
      <c r="A173" s="44" t="n">
        <v>46170</v>
      </c>
      <c r="B173" t="inlineStr">
        <is>
          <t>Mayo</t>
        </is>
      </c>
      <c r="C173" t="inlineStr">
        <is>
          <t>Zilver Sa</t>
        </is>
      </c>
      <c r="D173" s="26" t="n">
        <v>25971</v>
      </c>
      <c r="E173" t="inlineStr">
        <is>
          <t>Mercado Pago</t>
        </is>
      </c>
      <c r="F173" t="inlineStr">
        <is>
          <t>personal · gasto personal Sol</t>
        </is>
      </c>
    </row>
    <row r="174">
      <c r="A174" s="44" t="n">
        <v>46171</v>
      </c>
      <c r="B174" t="inlineStr">
        <is>
          <t>Mayo</t>
        </is>
      </c>
      <c r="C174" t="inlineStr">
        <is>
          <t>Servicios De Pagos Virtuales</t>
        </is>
      </c>
      <c r="D174" s="26" t="n">
        <v>630000</v>
      </c>
      <c r="E174" t="inlineStr">
        <is>
          <t>Mercado Pago</t>
        </is>
      </c>
      <c r="F174" t="inlineStr">
        <is>
          <t>¿qué es? · gasto personal Sol (ex-PENDIENTE)</t>
        </is>
      </c>
    </row>
    <row r="175">
      <c r="A175" s="44" t="n">
        <v>46175</v>
      </c>
      <c r="B175" t="inlineStr">
        <is>
          <t>Junio</t>
        </is>
      </c>
      <c r="C175" t="inlineStr">
        <is>
          <t>Andres Di Pasqua</t>
        </is>
      </c>
      <c r="D175" s="26" t="n">
        <v>32046</v>
      </c>
      <c r="E175" t="inlineStr">
        <is>
          <t>Mercado Pago</t>
        </is>
      </c>
      <c r="F175" t="inlineStr">
        <is>
          <t>compra · gasto personal Sol (ex-PENDIENTE)</t>
        </is>
      </c>
    </row>
    <row r="176">
      <c r="A176" s="44" t="n">
        <v>46175</v>
      </c>
      <c r="B176" t="inlineStr">
        <is>
          <t>Junio</t>
        </is>
      </c>
      <c r="C176" t="inlineStr">
        <is>
          <t>Correo Argentino</t>
        </is>
      </c>
      <c r="D176" s="26" t="n">
        <v>22500</v>
      </c>
      <c r="E176" t="inlineStr">
        <is>
          <t>Mercado Pago</t>
        </is>
      </c>
      <c r="F176" t="inlineStr">
        <is>
          <t>envíos · gasto personal Sol</t>
        </is>
      </c>
    </row>
    <row r="177">
      <c r="A177" s="44" t="n">
        <v>46179</v>
      </c>
      <c r="B177" t="inlineStr">
        <is>
          <t>Junio</t>
        </is>
      </c>
      <c r="C177" t="inlineStr">
        <is>
          <t>Fundacion Soplo De Vida</t>
        </is>
      </c>
      <c r="D177" s="26" t="n">
        <v>100000</v>
      </c>
      <c r="E177" t="inlineStr">
        <is>
          <t>Mercado Pago</t>
        </is>
      </c>
      <c r="F177" t="inlineStr">
        <is>
          <t>donación · gasto personal Sol</t>
        </is>
      </c>
    </row>
    <row r="178">
      <c r="A178" s="44" t="n">
        <v>46179</v>
      </c>
      <c r="B178" t="inlineStr">
        <is>
          <t>Junio</t>
        </is>
      </c>
      <c r="C178" t="inlineStr">
        <is>
          <t>Guillermo Galarraga</t>
        </is>
      </c>
      <c r="D178" s="26" t="n">
        <v>14500</v>
      </c>
      <c r="E178" t="inlineStr">
        <is>
          <t>Mercado Pago</t>
        </is>
      </c>
      <c r="F178" t="inlineStr">
        <is>
          <t>transferencia · gasto personal Sol (ex-PENDIENTE)</t>
        </is>
      </c>
    </row>
    <row r="179">
      <c r="A179" s="44" t="n">
        <v>46180</v>
      </c>
      <c r="B179" t="inlineStr">
        <is>
          <t>Junio</t>
        </is>
      </c>
      <c r="C179" t="inlineStr">
        <is>
          <t>ACA</t>
        </is>
      </c>
      <c r="D179" s="26" t="n">
        <v>711</v>
      </c>
      <c r="E179" t="inlineStr">
        <is>
          <t>Mercado Pago</t>
        </is>
      </c>
      <c r="F179" t="inlineStr">
        <is>
          <t>ACA · AUTO/ACA · gasto personal Sol</t>
        </is>
      </c>
    </row>
    <row r="180">
      <c r="A180" s="44" t="n">
        <v>46181</v>
      </c>
      <c r="B180" t="inlineStr">
        <is>
          <t>Junio</t>
        </is>
      </c>
      <c r="C180" t="inlineStr">
        <is>
          <t>Tuenti</t>
        </is>
      </c>
      <c r="D180" s="26" t="n">
        <v>17400</v>
      </c>
      <c r="E180" t="inlineStr">
        <is>
          <t>Mercado Pago</t>
        </is>
      </c>
      <c r="F180" t="inlineStr">
        <is>
          <t>Tuenti · gasto personal Sol · hoja Gasto Personal Sol</t>
        </is>
      </c>
    </row>
    <row r="181">
      <c r="A181" s="44" t="n">
        <v>46183</v>
      </c>
      <c r="B181" t="inlineStr">
        <is>
          <t>Junio</t>
        </is>
      </c>
      <c r="C181" t="inlineStr">
        <is>
          <t>Casa Godoy</t>
        </is>
      </c>
      <c r="D181" s="26" t="n">
        <v>806000</v>
      </c>
      <c r="E181" t="inlineStr">
        <is>
          <t>Mercado Pago</t>
        </is>
      </c>
      <c r="F181" t="inlineStr">
        <is>
          <t>¿obra/casa? · gasto personal Sol (ex-PENDIENTE)</t>
        </is>
      </c>
    </row>
    <row r="182">
      <c r="A182" s="44" t="n">
        <v>46183</v>
      </c>
      <c r="B182" t="inlineStr">
        <is>
          <t>Junio</t>
        </is>
      </c>
      <c r="C182" t="inlineStr">
        <is>
          <t>Karina Venturo</t>
        </is>
      </c>
      <c r="D182" s="26" t="n">
        <v>8293</v>
      </c>
      <c r="E182" t="inlineStr">
        <is>
          <t>Mercado Pago</t>
        </is>
      </c>
      <c r="F182" t="inlineStr">
        <is>
          <t>transferencia · gasto personal Sol (ex-PENDIENTE)</t>
        </is>
      </c>
    </row>
    <row r="183">
      <c r="A183" s="44" t="n">
        <v>46184</v>
      </c>
      <c r="B183" t="inlineStr">
        <is>
          <t>Junio</t>
        </is>
      </c>
      <c r="C183" t="inlineStr">
        <is>
          <t>Apple</t>
        </is>
      </c>
      <c r="D183" s="26" t="n">
        <v>331291</v>
      </c>
      <c r="E183" t="inlineStr">
        <is>
          <t>Mercado Pago</t>
        </is>
      </c>
      <c r="F183" t="inlineStr">
        <is>
          <t>Apple · gasto personal Sol · hoja Gasto Personal Sol</t>
        </is>
      </c>
    </row>
    <row r="184">
      <c r="A184" s="44" t="n">
        <v>46185</v>
      </c>
      <c r="B184" t="inlineStr">
        <is>
          <t>Junio</t>
        </is>
      </c>
      <c r="C184" t="inlineStr">
        <is>
          <t>Correo Argentino</t>
        </is>
      </c>
      <c r="D184" s="26" t="n">
        <v>48000</v>
      </c>
      <c r="E184" t="inlineStr">
        <is>
          <t>Mercado Pago</t>
        </is>
      </c>
      <c r="F184" t="inlineStr">
        <is>
          <t>envíos · gasto personal Sol</t>
        </is>
      </c>
    </row>
    <row r="185">
      <c r="A185" s="44" t="n">
        <v>46186</v>
      </c>
      <c r="B185" t="inlineStr">
        <is>
          <t>Junio</t>
        </is>
      </c>
      <c r="C185" t="inlineStr">
        <is>
          <t>Apple</t>
        </is>
      </c>
      <c r="D185" s="26" t="n">
        <v>18558</v>
      </c>
      <c r="E185" t="inlineStr">
        <is>
          <t>Mercado Pago</t>
        </is>
      </c>
      <c r="F185" t="inlineStr">
        <is>
          <t>Apple · gasto personal Sol · hoja Gasto Personal Sol</t>
        </is>
      </c>
    </row>
    <row r="186">
      <c r="A186" s="44" t="n"/>
      <c r="D186" s="26" t="n"/>
    </row>
    <row r="187">
      <c r="A187" s="44" t="n">
        <v>46188</v>
      </c>
      <c r="B187" t="inlineStr">
        <is>
          <t>Junio</t>
        </is>
      </c>
      <c r="C187" t="inlineStr">
        <is>
          <t>Madmuscles</t>
        </is>
      </c>
      <c r="D187" s="26" t="n">
        <v>99727</v>
      </c>
      <c r="E187" t="inlineStr">
        <is>
          <t>Mercado Pago</t>
        </is>
      </c>
      <c r="F187" t="inlineStr">
        <is>
          <t>fitness · gasto personal Sol</t>
        </is>
      </c>
    </row>
    <row r="188">
      <c r="A188" s="44" t="n">
        <v>46189</v>
      </c>
      <c r="B188" t="inlineStr">
        <is>
          <t>Junio</t>
        </is>
      </c>
      <c r="C188" t="inlineStr">
        <is>
          <t>Damaris Oliveira</t>
        </is>
      </c>
      <c r="D188" s="26" t="n">
        <v>2542970</v>
      </c>
      <c r="E188" t="inlineStr">
        <is>
          <t>Mercado Pago</t>
        </is>
      </c>
      <c r="F188" t="inlineStr">
        <is>
          <t>compra grande · gasto personal Sol (ex-PENDIENTE)</t>
        </is>
      </c>
    </row>
    <row r="189">
      <c r="A189" s="44" t="n">
        <v>46189</v>
      </c>
      <c r="B189" t="inlineStr">
        <is>
          <t>Junio</t>
        </is>
      </c>
      <c r="C189" t="inlineStr">
        <is>
          <t>Dermacycle</t>
        </is>
      </c>
      <c r="D189" s="26" t="n">
        <v>150000</v>
      </c>
      <c r="E189" t="inlineStr">
        <is>
          <t>Mercado Pago</t>
        </is>
      </c>
      <c r="F189" t="inlineStr">
        <is>
          <t>estética · gasto personal Sol</t>
        </is>
      </c>
    </row>
    <row r="190">
      <c r="A190" s="44" t="n">
        <v>46191</v>
      </c>
      <c r="B190" t="inlineStr">
        <is>
          <t>Junio</t>
        </is>
      </c>
      <c r="C190" t="inlineStr">
        <is>
          <t>Mercado Libre</t>
        </is>
      </c>
      <c r="D190" s="26" t="n">
        <v>67000</v>
      </c>
      <c r="E190" t="inlineStr">
        <is>
          <t>Mercado Pago</t>
        </is>
      </c>
      <c r="F190" t="inlineStr">
        <is>
          <t>ML · ML · gasto personal Sol (revisar)</t>
        </is>
      </c>
    </row>
    <row r="191">
      <c r="A191" s="44" t="n">
        <v>46193</v>
      </c>
      <c r="B191" t="inlineStr">
        <is>
          <t>Junio</t>
        </is>
      </c>
      <c r="C191" t="inlineStr">
        <is>
          <t>Christian Ventura</t>
        </is>
      </c>
      <c r="D191" s="26" t="n">
        <v>20000</v>
      </c>
      <c r="E191" t="inlineStr">
        <is>
          <t>Mercado Pago</t>
        </is>
      </c>
      <c r="F191" t="inlineStr">
        <is>
          <t>transferencia · gasto personal Sol (ex-PENDIENTE)</t>
        </is>
      </c>
    </row>
    <row r="192">
      <c r="A192" s="44" t="n">
        <v>46196</v>
      </c>
      <c r="B192" t="inlineStr">
        <is>
          <t>Junio</t>
        </is>
      </c>
      <c r="C192" t="inlineStr">
        <is>
          <t>Christian Ventura</t>
        </is>
      </c>
      <c r="D192" s="26" t="n">
        <v>150000</v>
      </c>
      <c r="E192" t="inlineStr">
        <is>
          <t>Mercado Pago</t>
        </is>
      </c>
      <c r="F192" t="inlineStr">
        <is>
          <t>transferencia · gasto personal Sol (ex-PENDIENTE)</t>
        </is>
      </c>
    </row>
    <row r="193">
      <c r="A193" s="44" t="n">
        <v>46196</v>
      </c>
      <c r="B193" t="inlineStr">
        <is>
          <t>Junio</t>
        </is>
      </c>
      <c r="C193" t="inlineStr">
        <is>
          <t>Karina Venturo</t>
        </is>
      </c>
      <c r="D193" s="26" t="n">
        <v>6030</v>
      </c>
      <c r="E193" t="inlineStr">
        <is>
          <t>Mercado Pago</t>
        </is>
      </c>
      <c r="F193" t="inlineStr">
        <is>
          <t>transferencia · gasto personal Sol (ex-PENDIENTE)</t>
        </is>
      </c>
    </row>
    <row r="194">
      <c r="A194" s="44" t="n">
        <v>46196</v>
      </c>
      <c r="B194" t="inlineStr">
        <is>
          <t>Junio</t>
        </is>
      </c>
      <c r="C194" t="inlineStr">
        <is>
          <t>Mazzeo Jose</t>
        </is>
      </c>
      <c r="D194" s="26" t="n">
        <v>6400</v>
      </c>
      <c r="E194" t="inlineStr">
        <is>
          <t>Mercado Pago</t>
        </is>
      </c>
      <c r="F194" t="inlineStr">
        <is>
          <t>transferencia · gasto personal Sol (ex-PENDIENTE)</t>
        </is>
      </c>
    </row>
    <row r="195">
      <c r="A195" s="44" t="n">
        <v>46196</v>
      </c>
      <c r="B195" t="inlineStr">
        <is>
          <t>Junio</t>
        </is>
      </c>
      <c r="C195" t="inlineStr">
        <is>
          <t>Omar Pastran</t>
        </is>
      </c>
      <c r="D195" s="26" t="n">
        <v>7000</v>
      </c>
      <c r="E195" t="inlineStr">
        <is>
          <t>Mercado Pago</t>
        </is>
      </c>
      <c r="F195" t="inlineStr">
        <is>
          <t>transferencia · gasto personal Sol (ex-PENDIENTE)</t>
        </is>
      </c>
    </row>
    <row r="196">
      <c r="A196" s="44" t="n">
        <v>46197</v>
      </c>
      <c r="B196" t="inlineStr">
        <is>
          <t>Junio</t>
        </is>
      </c>
      <c r="C196" t="inlineStr">
        <is>
          <t>Aylen Difeo</t>
        </is>
      </c>
      <c r="D196" s="26" t="n">
        <v>350000</v>
      </c>
      <c r="E196" t="inlineStr">
        <is>
          <t>Mercado Pago</t>
        </is>
      </c>
      <c r="F196" t="inlineStr">
        <is>
          <t>transferencia · gasto personal Sol (ex-PENDIENTE)</t>
        </is>
      </c>
    </row>
    <row r="197">
      <c r="A197" s="44" t="n">
        <v>46197</v>
      </c>
      <c r="B197" t="inlineStr">
        <is>
          <t>Junio</t>
        </is>
      </c>
      <c r="C197" t="inlineStr">
        <is>
          <t>Mercado Libre</t>
        </is>
      </c>
      <c r="D197" s="26" t="n">
        <v>175000</v>
      </c>
      <c r="E197" t="inlineStr">
        <is>
          <t>Mercado Pago</t>
        </is>
      </c>
      <c r="F197" t="inlineStr">
        <is>
          <t>ML · ML · gasto personal Sol (revisar)</t>
        </is>
      </c>
    </row>
    <row r="198">
      <c r="A198" s="44" t="n">
        <v>46198</v>
      </c>
      <c r="B198" t="inlineStr">
        <is>
          <t>Junio</t>
        </is>
      </c>
      <c r="C198" t="inlineStr">
        <is>
          <t>Fundacion Soplo De Vida</t>
        </is>
      </c>
      <c r="D198" s="26" t="n">
        <v>243000</v>
      </c>
      <c r="E198" t="inlineStr">
        <is>
          <t>Mercado Pago</t>
        </is>
      </c>
      <c r="F198" t="inlineStr">
        <is>
          <t>donación · gasto personal Sol</t>
        </is>
      </c>
    </row>
    <row r="199">
      <c r="A199" s="44" t="n">
        <v>46199</v>
      </c>
      <c r="B199" t="inlineStr">
        <is>
          <t>Junio</t>
        </is>
      </c>
      <c r="C199" t="inlineStr">
        <is>
          <t>Valeria Mele</t>
        </is>
      </c>
      <c r="D199" s="26" t="n">
        <v>48600</v>
      </c>
      <c r="E199" t="inlineStr">
        <is>
          <t>Mercado Pago</t>
        </is>
      </c>
      <c r="F199" t="inlineStr">
        <is>
          <t>transferencia · gasto personal Sol (ex-PENDIENTE)</t>
        </is>
      </c>
    </row>
    <row r="200">
      <c r="A200" s="44" t="n">
        <v>46200</v>
      </c>
      <c r="B200" t="inlineStr">
        <is>
          <t>Junio</t>
        </is>
      </c>
      <c r="C200" t="inlineStr">
        <is>
          <t>Belisario Roldán</t>
        </is>
      </c>
      <c r="D200" s="26" t="n">
        <v>206700</v>
      </c>
      <c r="E200" t="inlineStr">
        <is>
          <t>Mercado Pago</t>
        </is>
      </c>
      <c r="F200" t="inlineStr">
        <is>
          <t>salida/evento · gasto personal Sol</t>
        </is>
      </c>
    </row>
    <row r="201">
      <c r="A201" s="44" t="n">
        <v>46200</v>
      </c>
      <c r="B201" t="inlineStr">
        <is>
          <t>Junio</t>
        </is>
      </c>
      <c r="C201" t="inlineStr">
        <is>
          <t>Florencia De La Torre</t>
        </is>
      </c>
      <c r="D201" s="26" t="n">
        <v>20000</v>
      </c>
      <c r="E201" t="inlineStr">
        <is>
          <t>Mercado Pago</t>
        </is>
      </c>
      <c r="F201" t="inlineStr">
        <is>
          <t>transferencia · gasto personal Sol (ex-PENDIENTE)</t>
        </is>
      </c>
    </row>
    <row r="202">
      <c r="A202" s="44" t="n">
        <v>46203</v>
      </c>
      <c r="B202" t="inlineStr">
        <is>
          <t>Junio</t>
        </is>
      </c>
      <c r="C202" t="inlineStr">
        <is>
          <t>ACA</t>
        </is>
      </c>
      <c r="D202" s="26" t="n">
        <v>330</v>
      </c>
      <c r="E202" t="inlineStr">
        <is>
          <t>Mercado Pago</t>
        </is>
      </c>
      <c r="F202" t="inlineStr">
        <is>
          <t>ACA · AUTO/ACA · gasto personal Sol</t>
        </is>
      </c>
    </row>
    <row r="203">
      <c r="A203" s="44" t="n">
        <v>46205</v>
      </c>
      <c r="B203" t="inlineStr">
        <is>
          <t>Julio</t>
        </is>
      </c>
      <c r="C203" t="inlineStr">
        <is>
          <t>Veterinaria</t>
        </is>
      </c>
      <c r="D203" s="26" t="n">
        <v>107000</v>
      </c>
      <c r="E203" t="inlineStr">
        <is>
          <t>Mercado Pago</t>
        </is>
      </c>
      <c r="F203" t="inlineStr">
        <is>
          <t>veterinaria · gasto personal Sol</t>
        </is>
      </c>
    </row>
    <row r="204">
      <c r="A204" s="44" t="n">
        <v>46208</v>
      </c>
      <c r="B204" t="inlineStr">
        <is>
          <t>Julio</t>
        </is>
      </c>
      <c r="C204" t="inlineStr">
        <is>
          <t>Analia Veronica Roay</t>
        </is>
      </c>
      <c r="D204" s="26" t="n">
        <v>49000</v>
      </c>
      <c r="E204" t="inlineStr">
        <is>
          <t>Mercado Pago</t>
        </is>
      </c>
      <c r="F204" t="inlineStr">
        <is>
          <t>transferencia · gasto personal Sol (ex-PENDIENTE)</t>
        </is>
      </c>
    </row>
    <row r="205">
      <c r="A205" s="44" t="n">
        <v>46208</v>
      </c>
      <c r="B205" t="inlineStr">
        <is>
          <t>Julio</t>
        </is>
      </c>
      <c r="C205" t="inlineStr">
        <is>
          <t>Antonela Guidobono</t>
        </is>
      </c>
      <c r="D205" s="26" t="n">
        <v>38700</v>
      </c>
      <c r="E205" t="inlineStr">
        <is>
          <t>Mercado Pago</t>
        </is>
      </c>
      <c r="F205" t="inlineStr">
        <is>
          <t>transferencia · gasto personal Sol (ex-PENDIENTE)</t>
        </is>
      </c>
    </row>
    <row r="206">
      <c r="A206" s="44" t="n">
        <v>46209</v>
      </c>
      <c r="B206" t="inlineStr">
        <is>
          <t>Julio</t>
        </is>
      </c>
      <c r="C206" t="inlineStr">
        <is>
          <t>Analia Veronica Roay</t>
        </is>
      </c>
      <c r="D206" s="26" t="n">
        <v>8002</v>
      </c>
      <c r="E206" t="inlineStr">
        <is>
          <t>Mercado Pago</t>
        </is>
      </c>
      <c r="F206" t="inlineStr">
        <is>
          <t>transferencia · gasto personal Sol (ex-PENDIENTE)</t>
        </is>
      </c>
    </row>
    <row r="207">
      <c r="A207" s="44" t="n">
        <v>46209</v>
      </c>
      <c r="B207" t="inlineStr">
        <is>
          <t>Julio</t>
        </is>
      </c>
      <c r="C207" t="inlineStr">
        <is>
          <t>Federico Martinez Escariz</t>
        </is>
      </c>
      <c r="D207" s="26" t="n">
        <v>572005</v>
      </c>
      <c r="E207" t="inlineStr">
        <is>
          <t>Mercado Pago</t>
        </is>
      </c>
      <c r="F207" t="inlineStr">
        <is>
          <t>transferencia · gasto personal Sol (ex-PENDIENTE)</t>
        </is>
      </c>
    </row>
    <row r="208">
      <c r="A208" s="44" t="n">
        <v>46209</v>
      </c>
      <c r="B208" t="inlineStr">
        <is>
          <t>Julio</t>
        </is>
      </c>
      <c r="C208" t="inlineStr">
        <is>
          <t>Jose Cristian Montaño</t>
        </is>
      </c>
      <c r="D208" s="26" t="n">
        <v>2500</v>
      </c>
      <c r="E208" t="inlineStr">
        <is>
          <t>Mercado Pago</t>
        </is>
      </c>
      <c r="F208" t="inlineStr">
        <is>
          <t>transferencia · gasto personal Sol (ex-PENDIENTE)</t>
        </is>
      </c>
    </row>
    <row r="209">
      <c r="A209" s="44" t="n">
        <v>46211</v>
      </c>
      <c r="B209" t="inlineStr">
        <is>
          <t>Julio</t>
        </is>
      </c>
      <c r="C209" t="inlineStr">
        <is>
          <t>Mara Sikorski</t>
        </is>
      </c>
      <c r="D209" s="26" t="n">
        <v>159000</v>
      </c>
      <c r="E209" t="inlineStr">
        <is>
          <t>Mercado Pago</t>
        </is>
      </c>
      <c r="F209" t="inlineStr">
        <is>
          <t>personal · gasto personal Sol</t>
        </is>
      </c>
    </row>
    <row r="210">
      <c r="A210" s="44" t="n">
        <v>46211</v>
      </c>
      <c r="B210" t="inlineStr">
        <is>
          <t>Julio</t>
        </is>
      </c>
      <c r="C210" t="inlineStr">
        <is>
          <t>Tuenti</t>
        </is>
      </c>
      <c r="D210" s="26" t="n">
        <v>18000</v>
      </c>
      <c r="E210" t="inlineStr">
        <is>
          <t>Mercado Pago</t>
        </is>
      </c>
      <c r="F210" t="inlineStr">
        <is>
          <t>Tuenti · gasto personal Sol · hoja Gasto Personal Sol</t>
        </is>
      </c>
    </row>
    <row r="211">
      <c r="A211" s="44" t="n">
        <v>46213</v>
      </c>
      <c r="B211" t="inlineStr">
        <is>
          <t>Julio</t>
        </is>
      </c>
      <c r="C211" t="inlineStr">
        <is>
          <t>Sikorski Mara</t>
        </is>
      </c>
      <c r="D211" s="26" t="n">
        <v>5000</v>
      </c>
      <c r="E211" t="inlineStr">
        <is>
          <t>Mercado Pago</t>
        </is>
      </c>
      <c r="F211" t="inlineStr">
        <is>
          <t>transferencia · gasto personal Sol (ex-PENDIENTE)</t>
        </is>
      </c>
    </row>
    <row r="212">
      <c r="A212" s="44" t="n">
        <v>46214</v>
      </c>
      <c r="B212" t="inlineStr">
        <is>
          <t>Julio</t>
        </is>
      </c>
      <c r="C212" t="inlineStr">
        <is>
          <t>Comercio</t>
        </is>
      </c>
      <c r="D212" s="26" t="n">
        <v>18300</v>
      </c>
      <c r="E212" t="inlineStr">
        <is>
          <t>Mercado Pago</t>
        </is>
      </c>
      <c r="F212" t="inlineStr">
        <is>
          <t>tienda física · gasto personal Sol (ex-PENDIENTE)</t>
        </is>
      </c>
    </row>
    <row r="213">
      <c r="A213" s="44" t="n">
        <v>46214</v>
      </c>
      <c r="B213" t="inlineStr">
        <is>
          <t>Julio</t>
        </is>
      </c>
      <c r="C213" t="inlineStr">
        <is>
          <t>Franco Yonatan Britez</t>
        </is>
      </c>
      <c r="D213" s="26" t="n">
        <v>1500</v>
      </c>
      <c r="E213" t="inlineStr">
        <is>
          <t>Mercado Pago</t>
        </is>
      </c>
      <c r="F213" t="inlineStr">
        <is>
          <t>transferencia · gasto personal Sol (ex-PENDIENTE)</t>
        </is>
      </c>
    </row>
    <row r="214">
      <c r="A214" s="44" t="n">
        <v>46215</v>
      </c>
      <c r="B214" t="inlineStr">
        <is>
          <t>Julio</t>
        </is>
      </c>
      <c r="C214" t="inlineStr">
        <is>
          <t>Apple</t>
        </is>
      </c>
      <c r="D214" s="26" t="n">
        <v>19481</v>
      </c>
      <c r="E214" t="inlineStr">
        <is>
          <t>Mercado Pago</t>
        </is>
      </c>
      <c r="F214" t="inlineStr">
        <is>
          <t>Apple · gasto personal Sol · hoja Gasto Personal Sol</t>
        </is>
      </c>
    </row>
    <row r="215">
      <c r="A215" s="44" t="n">
        <v>46215</v>
      </c>
      <c r="B215" t="inlineStr">
        <is>
          <t>Julio</t>
        </is>
      </c>
      <c r="C215" t="inlineStr">
        <is>
          <t>Klash Pro</t>
        </is>
      </c>
      <c r="D215" s="26" t="n">
        <v>27000</v>
      </c>
      <c r="E215" t="inlineStr">
        <is>
          <t>Mercado Pago</t>
        </is>
      </c>
      <c r="F215" t="inlineStr">
        <is>
          <t>compra · gasto personal Sol (ex-PENDIENTE)</t>
        </is>
      </c>
    </row>
    <row r="216">
      <c r="A216" s="44" t="n">
        <v>46215</v>
      </c>
      <c r="B216" t="inlineStr">
        <is>
          <t>Julio</t>
        </is>
      </c>
      <c r="C216" t="inlineStr">
        <is>
          <t>Mercado Libre</t>
        </is>
      </c>
      <c r="D216" s="26" t="n">
        <v>24499</v>
      </c>
      <c r="E216" t="inlineStr">
        <is>
          <t>Mercado Pago</t>
        </is>
      </c>
      <c r="F216" t="inlineStr">
        <is>
          <t>ML · ML · gasto personal Sol (revisar)</t>
        </is>
      </c>
    </row>
    <row r="217">
      <c r="A217" s="44" t="n">
        <v>46217</v>
      </c>
      <c r="B217" t="inlineStr">
        <is>
          <t>Julio</t>
        </is>
      </c>
      <c r="C217" t="inlineStr">
        <is>
          <t>Carenzo Santiago P</t>
        </is>
      </c>
      <c r="D217" s="26" t="n">
        <v>398240</v>
      </c>
      <c r="E217" t="inlineStr">
        <is>
          <t>Mercado Pago</t>
        </is>
      </c>
      <c r="F217" t="inlineStr">
        <is>
          <t>transferencia · gasto personal Sol (ex-PENDIENTE)</t>
        </is>
      </c>
    </row>
    <row r="218">
      <c r="A218" s="44" t="n">
        <v>46218</v>
      </c>
      <c r="B218" t="inlineStr">
        <is>
          <t>Julio</t>
        </is>
      </c>
      <c r="C218" t="inlineStr">
        <is>
          <t>Mercado Libre</t>
        </is>
      </c>
      <c r="D218" s="26" t="n">
        <v>30318</v>
      </c>
      <c r="E218" t="inlineStr">
        <is>
          <t>Mercado Pago</t>
        </is>
      </c>
      <c r="F218" t="inlineStr">
        <is>
          <t>ML · ML · gasto personal Sol (revisar)</t>
        </is>
      </c>
    </row>
    <row r="219">
      <c r="A219" s="44" t="n">
        <v>46218</v>
      </c>
      <c r="B219" t="inlineStr">
        <is>
          <t>Julio</t>
        </is>
      </c>
      <c r="C219" t="inlineStr">
        <is>
          <t>Mercado Libre</t>
        </is>
      </c>
      <c r="D219" s="26" t="n">
        <v>18525</v>
      </c>
      <c r="E219" t="inlineStr">
        <is>
          <t>Mercado Pago</t>
        </is>
      </c>
      <c r="F219" t="inlineStr">
        <is>
          <t>ML · ML · gasto personal Sol (revisar)</t>
        </is>
      </c>
    </row>
    <row r="220">
      <c r="A220" s="44" t="n">
        <v>46219</v>
      </c>
      <c r="B220" t="inlineStr">
        <is>
          <t>Julio</t>
        </is>
      </c>
      <c r="C220" t="inlineStr">
        <is>
          <t>Mercado Libre</t>
        </is>
      </c>
      <c r="D220" s="26" t="n">
        <v>62900</v>
      </c>
      <c r="E220" t="inlineStr">
        <is>
          <t>Mercado Pago</t>
        </is>
      </c>
      <c r="F220" t="inlineStr">
        <is>
          <t>ML · ML · gasto personal Sol (revisar)</t>
        </is>
      </c>
    </row>
    <row r="221">
      <c r="A221" s="44" t="n">
        <v>46220</v>
      </c>
      <c r="B221" t="inlineStr">
        <is>
          <t>Julio</t>
        </is>
      </c>
      <c r="C221" t="inlineStr">
        <is>
          <t>Mercado Libre</t>
        </is>
      </c>
      <c r="D221" s="26" t="n">
        <v>11747</v>
      </c>
      <c r="E221" t="inlineStr">
        <is>
          <t>Mercado Pago</t>
        </is>
      </c>
      <c r="F221" t="inlineStr">
        <is>
          <t>ML · ML · gasto personal Sol (revisar)</t>
        </is>
      </c>
    </row>
    <row r="222">
      <c r="A222" s="44" t="n">
        <v>46220</v>
      </c>
      <c r="B222" t="inlineStr">
        <is>
          <t>Julio</t>
        </is>
      </c>
      <c r="C222" t="inlineStr">
        <is>
          <t>Mercado Libre</t>
        </is>
      </c>
      <c r="D222" s="26" t="n">
        <v>26311</v>
      </c>
      <c r="E222" t="inlineStr">
        <is>
          <t>Mercado Pago</t>
        </is>
      </c>
      <c r="F222" t="inlineStr">
        <is>
          <t>ML · ML · gasto personal Sol (revisar)</t>
        </is>
      </c>
    </row>
    <row r="223">
      <c r="A223" s="44" t="n">
        <v>46107</v>
      </c>
      <c r="B223" t="inlineStr">
        <is>
          <t>Marzo</t>
        </is>
      </c>
      <c r="C223" t="inlineStr">
        <is>
          <t>Agustina Vissani</t>
        </is>
      </c>
      <c r="D223" s="26" t="n">
        <v>75000</v>
      </c>
      <c r="E223" t="inlineStr">
        <is>
          <t>Mercado Pago</t>
        </is>
      </c>
      <c r="F223" t="inlineStr">
        <is>
          <t>PELUQUERÍA · Agustina Vissani · gasto personal Sol</t>
        </is>
      </c>
    </row>
    <row r="224">
      <c r="A224" s="44" t="n">
        <v>46157</v>
      </c>
      <c r="B224" t="inlineStr">
        <is>
          <t>Mayo</t>
        </is>
      </c>
      <c r="C224" t="inlineStr">
        <is>
          <t>Agustina Vissani</t>
        </is>
      </c>
      <c r="D224" s="26" t="n">
        <v>125000</v>
      </c>
      <c r="E224" t="inlineStr">
        <is>
          <t>Mercado Pago</t>
        </is>
      </c>
      <c r="F224" t="inlineStr">
        <is>
          <t>PELUQUERÍA · Agustina Vissani · gasto personal Sol</t>
        </is>
      </c>
    </row>
    <row r="225">
      <c r="A225" s="44" t="n">
        <v>46185</v>
      </c>
      <c r="B225" t="inlineStr">
        <is>
          <t>Junio</t>
        </is>
      </c>
      <c r="C225" t="inlineStr">
        <is>
          <t>Agustina Vissani</t>
        </is>
      </c>
      <c r="D225" s="26" t="n">
        <v>135000</v>
      </c>
      <c r="E225" t="inlineStr">
        <is>
          <t>Mercado Pago</t>
        </is>
      </c>
      <c r="F225" t="inlineStr">
        <is>
          <t>PELUQUERÍA · Agustina Vissani · gasto personal Sol</t>
        </is>
      </c>
    </row>
    <row r="226">
      <c r="A226" s="44" t="n"/>
      <c r="D226" s="26" t="n"/>
    </row>
    <row r="227">
      <c r="A227" s="44" t="n"/>
      <c r="D227" s="26" t="n"/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2026-07-18T16:07:49Z</dcterms:created>
  <dcterms:modified xsi:type="dcterms:W3CDTF">2026-08-06T15:59:39Z</dcterms:modified>
</cp:coreProperties>
</file>
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 name="Sol Dollar Mdp" sheetId="13" state="visible" r:id="rId13"/>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5">
    <numFmt numFmtId="164" formatCode="dd/mm/yyyy"/>
    <numFmt numFmtId="165" formatCode="DD/MM/YYYY"/>
    <numFmt numFmtId="166" formatCode="yyyy-mm-dd h:mm:ss"/>
    <numFmt numFmtId="167" formatCode="YYYY-MM-DD"/>
    <numFmt numFmtId="168" formatCode="yyyy-mm-dd"/>
  </numFmts>
  <fonts count="17">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
      <b val="1"/>
      <color rgb="00FFFFFF"/>
      <sz val="16"/>
    </font>
  </fonts>
  <fills count="12">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
      <patternFill patternType="solid">
        <fgColor rgb="00E2F0D9"/>
      </patternFill>
    </fill>
    <fill>
      <patternFill patternType="solid">
        <fgColor rgb="005B9BD5"/>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7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xf numFmtId="168" fontId="0" fillId="0" borderId="0" pivotButton="0" quotePrefix="0" xfId="0"/>
    <xf numFmtId="0" fontId="16" fillId="9" borderId="0" applyAlignment="1" pivotButton="0" quotePrefix="0" xfId="0">
      <alignment vertical="center"/>
    </xf>
    <xf numFmtId="4" fontId="0" fillId="10" borderId="0" pivotButton="0" quotePrefix="0" xfId="0"/>
    <xf numFmtId="0" fontId="7" fillId="9" borderId="6" applyAlignment="1" pivotButton="0" quotePrefix="0" xfId="0">
      <alignment horizontal="center" wrapText="1"/>
    </xf>
    <xf numFmtId="167" fontId="0" fillId="10" borderId="6" pivotButton="0" quotePrefix="0" xfId="0"/>
    <xf numFmtId="0" fontId="0" fillId="10" borderId="6" pivotButton="0" quotePrefix="0" xfId="0"/>
    <xf numFmtId="4" fontId="0" fillId="10" borderId="6" pivotButton="0" quotePrefix="0" xfId="0"/>
    <xf numFmtId="0" fontId="7" fillId="11" borderId="6" pivotButton="0" quotePrefix="0" xfId="0"/>
    <xf numFmtId="167" fontId="0" fillId="0" borderId="6" pivotButton="0" quotePrefix="0" xfId="0"/>
    <xf numFmtId="0" fontId="0" fillId="0" borderId="6" pivotButton="0" quotePrefix="0" xfId="0"/>
    <xf numFmtId="4" fontId="0" fillId="0" borderId="6" pivotButton="0" quotePrefix="0" xfId="0"/>
    <xf numFmtId="3" fontId="0" fillId="0" borderId="6"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v>300850</v>
      </c>
      <c r="K5" s="5" t="n">
        <v>300850</v>
      </c>
      <c r="L5" s="5" t="n">
        <v>328200</v>
      </c>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46909</v>
      </c>
      <c r="H6" s="9" t="n">
        <v>47939</v>
      </c>
      <c r="I6" s="9" t="n">
        <v>48420</v>
      </c>
      <c r="J6" s="9" t="n">
        <v>31999</v>
      </c>
      <c r="K6" s="9" t="n">
        <v>31999</v>
      </c>
      <c r="L6" s="9" t="n">
        <v>82364</v>
      </c>
      <c r="M6" s="9" t="n">
        <v>69659</v>
      </c>
      <c r="N6" s="9" t="n"/>
      <c r="O6" s="9" t="n"/>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v>73187</v>
      </c>
      <c r="L7" s="5" t="n">
        <v>105839</v>
      </c>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v>63980</v>
      </c>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v>41344</v>
      </c>
      <c r="L9" s="5" t="n">
        <v>27635</v>
      </c>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653120</v>
      </c>
      <c r="K10" s="9" t="n">
        <v>567080</v>
      </c>
      <c r="L10" s="9" t="n">
        <v>835200</v>
      </c>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v>5999</v>
      </c>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Detalle'!D426</f>
        <v/>
      </c>
      <c r="M13" s="5">
        <f>'Almacen Detalle'!D468</f>
        <v/>
      </c>
      <c r="N13" s="5">
        <f>'Almacen Detalle'!D510</f>
        <v/>
      </c>
      <c r="O13" s="5">
        <f>'Almacen Detalle'!D552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Detalle'!E426</f>
        <v/>
      </c>
      <c r="M14" s="9">
        <f>'Almacen Detalle'!E468</f>
        <v/>
      </c>
      <c r="N14" s="9">
        <f>'Almacen Detalle'!E510</f>
        <v/>
      </c>
      <c r="O14" s="9">
        <f>'Almacen Detalle'!E552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montos desde facturas Gmail (facturadigital@factura.telecentro.com.ar); mes = período de factura. Cliente 3491192. Nov/Dic sin factura aún.</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5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SUMIFS($D$4:$D$800,$A$4:$A$800,"Enero")</f>
        <v/>
      </c>
      <c r="E47" s="7">
        <f>SUMIFS($E$4:$E$800,$A$4:$A$800,"Enero")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SUMIFS($D$4:$D$800,$A$4:$A$800,"Febrero")</f>
        <v/>
      </c>
      <c r="E87" s="7">
        <f>SUMIFS($E$4:$E$800,$A$4:$A$800,"Febrero")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SUMIFS($D$4:$D$800,$A$4:$A$800,"Marzo")</f>
        <v/>
      </c>
      <c r="E131" s="7">
        <f>SUMIFS($E$4:$E$800,$A$4:$A$800,"Marzo")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SUMIFS($D$4:$D$800,$A$4:$A$800,"Abril")</f>
        <v/>
      </c>
      <c r="E176" s="7">
        <f>SUMIFS($E$4:$E$800,$A$4:$A$800,"Abril")</f>
        <v/>
      </c>
      <c r="F176" s="7">
        <f>D176+E176</f>
        <v/>
      </c>
      <c r="G176" s="22" t="n"/>
    </row>
    <row r="177"/>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IF(OR(D205&lt;&gt;"",E205&lt;&gt;""),IF(D205="",0,D205)+IF(E205="",0,E205),"")</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SUMIFS($D$4:$D$800,$A$4:$A$800,"Mayo")</f>
        <v/>
      </c>
      <c r="E228" s="7">
        <f>SUMIFS($E$4:$E$800,$A$4:$A$800,"Mayo")</f>
        <v/>
      </c>
      <c r="F228" s="7">
        <f>D228+E228</f>
        <v/>
      </c>
      <c r="G228" s="22" t="n"/>
    </row>
    <row r="229"/>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IF(OR(D253&lt;&gt;"",E253&lt;&gt;""),IF(D253="",0,D253)+IF(E253="",0,E253),"")</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SUMIFS($D$4:$D$800,$A$4:$A$800,"Junio")</f>
        <v/>
      </c>
      <c r="E273" s="7">
        <f>SUMIFS($E$4:$E$800,$A$4:$A$800,"Junio")</f>
        <v/>
      </c>
      <c r="F273" s="7">
        <f>D273+E273</f>
        <v/>
      </c>
      <c r="G273" s="22" t="n"/>
    </row>
    <row r="274"/>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v>46234</v>
      </c>
      <c r="C288" s="14" t="inlineStr">
        <is>
          <t>Almacén</t>
        </is>
      </c>
      <c r="D288" s="27" t="n"/>
      <c r="E288" s="28" t="n">
        <v>155800</v>
      </c>
      <c r="F288" s="15">
        <f>IF(OR(D288&lt;&gt;"",E288&lt;&gt;""),IF(D288="",0,D288)+IF(E288="",0,E288),"")</f>
        <v/>
      </c>
      <c r="G288" s="14" t="inlineStr">
        <is>
          <t>ALMACEN CHRIS · total julio (sin desglose) · REVISAR</t>
        </is>
      </c>
    </row>
    <row r="289">
      <c r="A289" s="14" t="inlineStr">
        <is>
          <t>Julio</t>
        </is>
      </c>
      <c r="B289" s="17" t="n">
        <v>46224</v>
      </c>
      <c r="C289" s="14" t="inlineStr">
        <is>
          <t>COMIDA · Todo Tartas</t>
        </is>
      </c>
      <c r="D289" s="27" t="n">
        <v>57600</v>
      </c>
      <c r="E289" s="28" t="n"/>
      <c r="F289" s="15">
        <f>IF(OR(D289&lt;&gt;"",E289&lt;&gt;""),IF(D289="",0,D289)+IF(E289="",0,E289),"")</f>
        <v/>
      </c>
      <c r="G289" s="14" t="inlineStr">
        <is>
          <t>MP · panadería · ex `Todo Tartas`</t>
        </is>
      </c>
    </row>
    <row r="290">
      <c r="A290" s="14" t="inlineStr">
        <is>
          <t>Julio</t>
        </is>
      </c>
      <c r="B290" s="17" t="n"/>
      <c r="C290" s="14" t="n"/>
      <c r="D290" s="27" t="n"/>
      <c r="E290" s="28" t="n"/>
      <c r="F290" s="15">
        <f>IF(OR(D290&lt;&gt;"",E290&lt;&gt;""),IF(D290="",0,D290)+IF(E290="",0,E290),"")</f>
        <v/>
      </c>
      <c r="G290" s="14" t="n"/>
    </row>
    <row r="291">
      <c r="A291" s="14" t="inlineStr">
        <is>
          <t>Julio</t>
        </is>
      </c>
      <c r="B291" s="17" t="n"/>
      <c r="C291" s="14" t="n"/>
      <c r="D291" s="27" t="n"/>
      <c r="E291" s="28" t="n"/>
      <c r="F291" s="15">
        <f>IF(OR(D291&lt;&gt;"",E291&lt;&gt;""),IF(D291="",0,D291)+IF(E291="",0,E291),"")</f>
        <v/>
      </c>
      <c r="G291" s="14" t="n"/>
    </row>
    <row r="292">
      <c r="A292" s="14" t="inlineStr">
        <is>
          <t>Julio</t>
        </is>
      </c>
      <c r="B292" s="17" t="n"/>
      <c r="C292" s="14" t="n"/>
      <c r="D292" s="27" t="n"/>
      <c r="E292" s="28" t="n"/>
      <c r="F292" s="15">
        <f>IF(OR(D292&lt;&gt;"",E292&lt;&gt;""),IF(D292="",0,D292)+IF(E292="",0,E292),"")</f>
        <v/>
      </c>
      <c r="G292" s="14" t="n"/>
    </row>
    <row r="293">
      <c r="A293" s="14" t="inlineStr">
        <is>
          <t>Julio</t>
        </is>
      </c>
      <c r="B293" s="17" t="n"/>
      <c r="C293" s="14" t="n"/>
      <c r="D293" s="27" t="n"/>
      <c r="E293" s="28" t="n"/>
      <c r="F293" s="15">
        <f>IF(OR(D293&lt;&gt;"",E293&lt;&gt;""),IF(D293="",0,D293)+IF(E293="",0,E293),"")</f>
        <v/>
      </c>
      <c r="G293" s="14" t="n"/>
    </row>
    <row r="294">
      <c r="A294" s="14" t="inlineStr">
        <is>
          <t>Julio</t>
        </is>
      </c>
      <c r="B294" s="17" t="n"/>
      <c r="C294" s="14" t="n"/>
      <c r="D294" s="27" t="n"/>
      <c r="E294" s="28" t="n"/>
      <c r="F294" s="15">
        <f>IF(OR(D294&lt;&gt;"",E294&lt;&gt;""),IF(D294="",0,D294)+IF(E294="",0,E294),"")</f>
        <v/>
      </c>
      <c r="G294" s="14" t="n"/>
    </row>
    <row r="295">
      <c r="A295" s="14" t="inlineStr">
        <is>
          <t>Julio</t>
        </is>
      </c>
      <c r="B295" s="17" t="n"/>
      <c r="C295" s="14" t="n"/>
      <c r="D295" s="27" t="n"/>
      <c r="E295" s="28" t="n"/>
      <c r="F295" s="15">
        <f>IF(OR(D295&lt;&gt;"",E295&lt;&gt;""),IF(D295="",0,D295)+IF(E295="",0,E295),"")</f>
        <v/>
      </c>
      <c r="G295" s="14" t="n"/>
    </row>
    <row r="296">
      <c r="A296" s="14" t="inlineStr">
        <is>
          <t>Julio</t>
        </is>
      </c>
      <c r="B296" s="17" t="n"/>
      <c r="C296" s="14" t="n"/>
      <c r="D296" s="27" t="n"/>
      <c r="E296" s="28" t="n"/>
      <c r="F296" s="15">
        <f>IF(OR(D296&lt;&gt;"",E296&lt;&gt;""),IF(D296="",0,D296)+IF(E296="",0,E296),"")</f>
        <v/>
      </c>
      <c r="G296" s="14" t="n"/>
    </row>
    <row r="297">
      <c r="A297" s="14" t="inlineStr">
        <is>
          <t>Julio</t>
        </is>
      </c>
      <c r="B297" s="17" t="n"/>
      <c r="C297" s="14" t="n"/>
      <c r="D297" s="27" t="n"/>
      <c r="E297" s="28" t="n"/>
      <c r="F297" s="15">
        <f>IF(OR(D297&lt;&gt;"",E297&lt;&gt;""),IF(D297="",0,D297)+IF(E297="",0,E297),"")</f>
        <v/>
      </c>
      <c r="G297" s="14" t="n"/>
    </row>
    <row r="298">
      <c r="A298" s="14" t="inlineStr">
        <is>
          <t>Julio</t>
        </is>
      </c>
      <c r="B298" s="17" t="n"/>
      <c r="C298" s="14" t="n"/>
      <c r="D298" s="27" t="n"/>
      <c r="E298" s="28" t="n"/>
      <c r="F298" s="15">
        <f>IF(OR(D298&lt;&gt;"",E298&lt;&gt;""),IF(D298="",0,D298)+IF(E298="",0,E298),"")</f>
        <v/>
      </c>
      <c r="G298" s="14" t="n"/>
    </row>
    <row r="299">
      <c r="A299" s="14" t="inlineStr">
        <is>
          <t>Julio</t>
        </is>
      </c>
      <c r="B299" s="17" t="n"/>
      <c r="C299" s="14" t="n"/>
      <c r="D299" s="27" t="n"/>
      <c r="E299" s="28" t="n"/>
      <c r="F299" s="15">
        <f>IF(OR(D299&lt;&gt;"",E299&lt;&gt;""),IF(D299="",0,D299)+IF(E299="",0,E299),"")</f>
        <v/>
      </c>
      <c r="G299" s="14" t="n"/>
    </row>
    <row r="300">
      <c r="A300" s="14" t="inlineStr">
        <is>
          <t>Julio</t>
        </is>
      </c>
      <c r="B300" s="17" t="n"/>
      <c r="C300" s="14" t="n"/>
      <c r="D300" s="27" t="n"/>
      <c r="E300" s="28" t="n"/>
      <c r="F300" s="15">
        <f>IF(OR(D300&lt;&gt;"",E300&lt;&gt;""),IF(D300="",0,D300)+IF(E300="",0,E300),"")</f>
        <v/>
      </c>
      <c r="G300" s="14" t="n"/>
    </row>
    <row r="301">
      <c r="A301" s="14" t="inlineStr">
        <is>
          <t>Julio</t>
        </is>
      </c>
      <c r="B301" s="17" t="n"/>
      <c r="C301" s="14" t="n"/>
      <c r="D301" s="27" t="n"/>
      <c r="E301" s="28" t="n"/>
      <c r="F301" s="15">
        <f>IF(OR(D301&lt;&gt;"",E301&lt;&gt;""),IF(D301="",0,D301)+IF(E301="",0,E301),"")</f>
        <v/>
      </c>
      <c r="G301" s="14" t="n"/>
    </row>
    <row r="302">
      <c r="A302" s="14" t="inlineStr">
        <is>
          <t>Julio</t>
        </is>
      </c>
      <c r="B302" s="17" t="n"/>
      <c r="C302" s="14" t="n"/>
      <c r="D302" s="27" t="n"/>
      <c r="E302" s="28" t="n"/>
      <c r="F302" s="15">
        <f>IF(OR(D302&lt;&gt;"",E302&lt;&gt;""),IF(D302="",0,D302)+IF(E302="",0,E302),"")</f>
        <v/>
      </c>
      <c r="G302" s="14" t="n"/>
    </row>
    <row r="303">
      <c r="A303" s="14" t="inlineStr">
        <is>
          <t>Julio</t>
        </is>
      </c>
      <c r="B303" s="17" t="n"/>
      <c r="C303" s="14" t="n"/>
      <c r="D303" s="27" t="n"/>
      <c r="E303" s="28" t="n"/>
      <c r="F303" s="15">
        <f>IF(OR(D303&lt;&gt;"",E303&lt;&gt;""),IF(D303="",0,D303)+IF(E303="",0,E303),"")</f>
        <v/>
      </c>
      <c r="G303" s="14" t="n"/>
    </row>
    <row r="304">
      <c r="A304" s="14" t="inlineStr">
        <is>
          <t>Julio</t>
        </is>
      </c>
      <c r="B304" s="17" t="n"/>
      <c r="C304" s="14" t="n"/>
      <c r="D304" s="27" t="n"/>
      <c r="E304" s="28" t="n"/>
      <c r="F304" s="15">
        <f>IF(OR(D304&lt;&gt;"",E304&lt;&gt;""),IF(D304="",0,D304)+IF(E304="",0,E304),"")</f>
        <v/>
      </c>
      <c r="G304" s="14" t="n"/>
    </row>
    <row r="305">
      <c r="A305" s="14" t="inlineStr">
        <is>
          <t>Julio</t>
        </is>
      </c>
      <c r="B305" s="17" t="n"/>
      <c r="C305" s="14" t="n"/>
      <c r="D305" s="27" t="n"/>
      <c r="E305" s="28" t="n"/>
      <c r="F305" s="15">
        <f>IF(OR(D305&lt;&gt;"",E305&lt;&gt;""),IF(D305="",0,D305)+IF(E305="",0,E305),"")</f>
        <v/>
      </c>
      <c r="G305" s="14" t="n"/>
    </row>
    <row r="306">
      <c r="A306" s="14" t="inlineStr">
        <is>
          <t>Julio</t>
        </is>
      </c>
      <c r="B306" s="17" t="n"/>
      <c r="C306" s="14" t="n"/>
      <c r="D306" s="27" t="n"/>
      <c r="E306" s="28" t="n"/>
      <c r="F306" s="15">
        <f>IF(OR(D306&lt;&gt;"",E306&lt;&gt;""),IF(D306="",0,D306)+IF(E306="",0,E306),"")</f>
        <v/>
      </c>
      <c r="G306" s="14" t="n"/>
    </row>
    <row r="307">
      <c r="A307" s="14" t="inlineStr">
        <is>
          <t>Julio</t>
        </is>
      </c>
      <c r="B307" s="17" t="n"/>
      <c r="C307" s="14" t="n"/>
      <c r="D307" s="27" t="n"/>
      <c r="E307" s="28" t="n"/>
      <c r="F307" s="15">
        <f>IF(OR(D307&lt;&gt;"",E307&lt;&gt;""),IF(D307="",0,D307)+IF(E307="",0,E307),"")</f>
        <v/>
      </c>
      <c r="G307" s="14" t="n"/>
    </row>
    <row r="308">
      <c r="A308" s="14" t="inlineStr">
        <is>
          <t>Julio</t>
        </is>
      </c>
      <c r="B308" s="17" t="n"/>
      <c r="C308" s="14" t="n"/>
      <c r="D308" s="27" t="n"/>
      <c r="E308" s="28" t="n"/>
      <c r="F308" s="15">
        <f>IF(OR(D308&lt;&gt;"",E308&lt;&gt;""),IF(D308="",0,D308)+IF(E308="",0,E308),"")</f>
        <v/>
      </c>
      <c r="G308" s="14" t="n"/>
    </row>
    <row r="309">
      <c r="A309" s="14" t="inlineStr">
        <is>
          <t>Julio</t>
        </is>
      </c>
      <c r="B309" s="17" t="n"/>
      <c r="C309" s="14" t="n"/>
      <c r="D309" s="27" t="n"/>
      <c r="E309" s="28" t="n"/>
      <c r="F309" s="15">
        <f>IF(OR(D309&lt;&gt;"",E309&lt;&gt;""),IF(D309="",0,D309)+IF(E309="",0,E309),"")</f>
        <v/>
      </c>
      <c r="G309" s="14" t="n"/>
    </row>
    <row r="310">
      <c r="A310" s="14" t="inlineStr">
        <is>
          <t>Julio</t>
        </is>
      </c>
      <c r="B310" s="17" t="n"/>
      <c r="C310" s="14" t="n"/>
      <c r="D310" s="27" t="n"/>
      <c r="E310" s="28" t="n"/>
      <c r="F310" s="15">
        <f>IF(OR(D310&lt;&gt;"",E310&lt;&gt;""),IF(D310="",0,D310)+IF(E310="",0,E310),"")</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SUMIFS($D$4:$D$800,$A$4:$A$800,"Julio")</f>
        <v/>
      </c>
      <c r="E312" s="7">
        <f>SUMIFS($E$4:$E$800,$A$4:$A$800,"Julio")</f>
        <v/>
      </c>
      <c r="F312" s="7">
        <f>D312+E312</f>
        <v/>
      </c>
      <c r="G312" s="22" t="n"/>
    </row>
    <row r="313"/>
    <row r="314">
      <c r="A314" s="14" t="inlineStr">
        <is>
          <t>Agosto</t>
        </is>
      </c>
      <c r="B314" s="17" t="n">
        <v>46245</v>
      </c>
      <c r="C314" s="14" t="inlineStr">
        <is>
          <t>COMIDA · VERDULERÍA</t>
        </is>
      </c>
      <c r="D314" s="27" t="n">
        <v>8900</v>
      </c>
      <c r="E314" s="28" t="n"/>
      <c r="F314" s="15">
        <f>IF(OR(D314&lt;&gt;"",E314&lt;&gt;""),IF(D314="",0,D314)+IF(E314="",0,E314),"")</f>
        <v/>
      </c>
      <c r="G314" s="14" t="inlineStr">
        <is>
          <t>COMIDA · VERDULERÍA · Agosto</t>
        </is>
      </c>
    </row>
    <row r="315">
      <c r="A315" s="14" t="inlineStr">
        <is>
          <t>Agosto</t>
        </is>
      </c>
      <c r="B315" s="17" t="n">
        <v>46265</v>
      </c>
      <c r="C315" s="14" t="inlineStr">
        <is>
          <t>Almacén</t>
        </is>
      </c>
      <c r="D315" s="27" t="n"/>
      <c r="E315" s="28" t="n">
        <v>80000</v>
      </c>
      <c r="F315" s="15">
        <f>IF(OR(D315&lt;&gt;"",E315&lt;&gt;""),IF(D315="",0,D315)+IF(E315="",0,E315),"")</f>
        <v/>
      </c>
      <c r="G315" s="14" t="inlineStr">
        <is>
          <t>ALMACEN CHRIS · total agosto (sin desglose) · REVISAR</t>
        </is>
      </c>
    </row>
    <row r="316">
      <c r="A316" s="14" t="inlineStr">
        <is>
          <t>Agosto</t>
        </is>
      </c>
      <c r="B316" s="17" t="n"/>
      <c r="C316" s="14" t="n"/>
      <c r="D316" s="27" t="n"/>
      <c r="E316" s="28" t="n"/>
      <c r="F316" s="15">
        <f>IF(OR(D316&lt;&gt;"",E316&lt;&gt;""),IF(D316="",0,D316)+IF(E316="",0,E316),"")</f>
        <v/>
      </c>
      <c r="G316" s="14" t="n"/>
    </row>
    <row r="317">
      <c r="A317" s="14" t="inlineStr">
        <is>
          <t>Agosto</t>
        </is>
      </c>
      <c r="B317" s="17" t="n"/>
      <c r="C317" s="14" t="n"/>
      <c r="D317" s="27" t="n"/>
      <c r="E317" s="28" t="n"/>
      <c r="F317" s="15">
        <f>IF(OR(D317&lt;&gt;"",E317&lt;&gt;""),IF(D317="",0,D317)+IF(E317="",0,E317),"")</f>
        <v/>
      </c>
      <c r="G317" s="14" t="n"/>
    </row>
    <row r="318">
      <c r="A318" s="14" t="inlineStr">
        <is>
          <t>Agosto</t>
        </is>
      </c>
      <c r="B318" s="17" t="n"/>
      <c r="C318" s="14" t="n"/>
      <c r="D318" s="27" t="n"/>
      <c r="E318" s="28" t="n"/>
      <c r="F318" s="15">
        <f>IF(OR(D318&lt;&gt;"",E318&lt;&gt;""),IF(D318="",0,D318)+IF(E318="",0,E318),"")</f>
        <v/>
      </c>
      <c r="G318" s="14" t="n"/>
    </row>
    <row r="319">
      <c r="A319" s="14" t="inlineStr">
        <is>
          <t>Agosto</t>
        </is>
      </c>
      <c r="B319" s="17" t="n"/>
      <c r="C319" s="14" t="n"/>
      <c r="D319" s="27" t="n"/>
      <c r="E319" s="28" t="n"/>
      <c r="F319" s="15">
        <f>IF(OR(D319&lt;&gt;"",E319&lt;&gt;""),IF(D319="",0,D319)+IF(E319="",0,E319),"")</f>
        <v/>
      </c>
      <c r="G319" s="14" t="n"/>
    </row>
    <row r="320">
      <c r="A320" s="14" t="inlineStr">
        <is>
          <t>Agosto</t>
        </is>
      </c>
      <c r="B320" s="17" t="n"/>
      <c r="C320" s="14" t="n"/>
      <c r="D320" s="27" t="n"/>
      <c r="E320" s="28" t="n"/>
      <c r="F320" s="15">
        <f>IF(OR(D320&lt;&gt;"",E320&lt;&gt;""),IF(D320="",0,D320)+IF(E320="",0,E320),"")</f>
        <v/>
      </c>
      <c r="G320" s="14" t="n"/>
    </row>
    <row r="321">
      <c r="A321" s="14" t="inlineStr">
        <is>
          <t>Agosto</t>
        </is>
      </c>
      <c r="B321" s="17" t="n"/>
      <c r="C321" s="14" t="n"/>
      <c r="D321" s="27" t="n"/>
      <c r="E321" s="28" t="n"/>
      <c r="F321" s="15">
        <f>IF(OR(D321&lt;&gt;"",E321&lt;&gt;""),IF(D321="",0,D321)+IF(E321="",0,E321),"")</f>
        <v/>
      </c>
      <c r="G321" s="14" t="n"/>
    </row>
    <row r="322">
      <c r="A322" s="14" t="inlineStr">
        <is>
          <t>Agosto</t>
        </is>
      </c>
      <c r="B322" s="17" t="n"/>
      <c r="C322" s="14" t="n"/>
      <c r="D322" s="27" t="n"/>
      <c r="E322" s="28" t="n"/>
      <c r="F322" s="15">
        <f>IF(OR(D322&lt;&gt;"",E322&lt;&gt;""),IF(D322="",0,D322)+IF(E322="",0,E322),"")</f>
        <v/>
      </c>
      <c r="G322" s="14" t="n"/>
    </row>
    <row r="323">
      <c r="A323" s="14" t="inlineStr">
        <is>
          <t>Agosto</t>
        </is>
      </c>
      <c r="B323" s="17" t="n"/>
      <c r="C323" s="14" t="n"/>
      <c r="D323" s="27" t="n"/>
      <c r="E323" s="28" t="n"/>
      <c r="F323" s="15">
        <f>IF(OR(D323&lt;&gt;"",E323&lt;&gt;""),IF(D323="",0,D323)+IF(E323="",0,E323),"")</f>
        <v/>
      </c>
      <c r="G323" s="14" t="n"/>
    </row>
    <row r="324">
      <c r="A324" s="14" t="inlineStr">
        <is>
          <t>Agosto</t>
        </is>
      </c>
      <c r="B324" s="17" t="n"/>
      <c r="C324" s="14" t="n"/>
      <c r="D324" s="27" t="n"/>
      <c r="E324" s="28" t="n"/>
      <c r="F324" s="15">
        <f>IF(OR(D324&lt;&gt;"",E324&lt;&gt;""),IF(D324="",0,D324)+IF(E324="",0,E324),"")</f>
        <v/>
      </c>
      <c r="G324" s="14" t="n"/>
    </row>
    <row r="325">
      <c r="A325" s="14" t="inlineStr">
        <is>
          <t>Agosto</t>
        </is>
      </c>
      <c r="B325" s="17" t="n"/>
      <c r="C325" s="14" t="n"/>
      <c r="D325" s="27" t="n"/>
      <c r="E325" s="28" t="n"/>
      <c r="F325" s="15">
        <f>IF(OR(D325&lt;&gt;"",E325&lt;&gt;""),IF(D325="",0,D325)+IF(E325="",0,E325),"")</f>
        <v/>
      </c>
      <c r="G325" s="14" t="n"/>
    </row>
    <row r="326">
      <c r="A326" s="14" t="inlineStr">
        <is>
          <t>Agosto</t>
        </is>
      </c>
      <c r="B326" s="17" t="n"/>
      <c r="C326" s="14" t="n"/>
      <c r="D326" s="27" t="n"/>
      <c r="E326" s="28" t="n"/>
      <c r="F326" s="15">
        <f>IF(OR(D326&lt;&gt;"",E326&lt;&gt;""),IF(D326="",0,D326)+IF(E326="",0,E326),"")</f>
        <v/>
      </c>
      <c r="G326" s="14" t="n"/>
    </row>
    <row r="327">
      <c r="A327" s="14" t="inlineStr">
        <is>
          <t>Agosto</t>
        </is>
      </c>
      <c r="B327" s="17" t="n"/>
      <c r="C327" s="14" t="n"/>
      <c r="D327" s="27" t="n"/>
      <c r="E327" s="28" t="n"/>
      <c r="F327" s="15">
        <f>IF(OR(D327&lt;&gt;"",E327&lt;&gt;""),IF(D327="",0,D327)+IF(E327="",0,E327),"")</f>
        <v/>
      </c>
      <c r="G327" s="14" t="n"/>
    </row>
    <row r="328">
      <c r="A328" s="14" t="inlineStr">
        <is>
          <t>Agosto</t>
        </is>
      </c>
      <c r="B328" s="17" t="n"/>
      <c r="C328" s="14" t="n"/>
      <c r="D328" s="27" t="n"/>
      <c r="E328" s="28" t="n"/>
      <c r="F328" s="15">
        <f>IF(OR(D328&lt;&gt;"",E328&lt;&gt;""),IF(D328="",0,D328)+IF(E328="",0,E328),"")</f>
        <v/>
      </c>
      <c r="G328" s="14" t="n"/>
    </row>
    <row r="329">
      <c r="A329" s="14" t="inlineStr">
        <is>
          <t>Agosto</t>
        </is>
      </c>
      <c r="B329" s="17" t="n"/>
      <c r="C329" s="14" t="n"/>
      <c r="D329" s="27" t="n"/>
      <c r="E329" s="28" t="n"/>
      <c r="F329" s="15">
        <f>IF(OR(D329&lt;&gt;"",E329&lt;&gt;""),IF(D329="",0,D329)+IF(E329="",0,E329),"")</f>
        <v/>
      </c>
      <c r="G329" s="14" t="n"/>
    </row>
    <row r="330">
      <c r="A330" s="14" t="inlineStr">
        <is>
          <t>Agosto</t>
        </is>
      </c>
      <c r="B330" s="17" t="n"/>
      <c r="C330" s="14" t="n"/>
      <c r="D330" s="27" t="n"/>
      <c r="E330" s="28" t="n"/>
      <c r="F330" s="15">
        <f>IF(OR(D330&lt;&gt;"",E330&lt;&gt;""),IF(D330="",0,D330)+IF(E330="",0,E330),"")</f>
        <v/>
      </c>
      <c r="G330" s="14" t="n"/>
    </row>
    <row r="331">
      <c r="A331" s="14" t="inlineStr">
        <is>
          <t>Agosto</t>
        </is>
      </c>
      <c r="B331" s="17" t="n"/>
      <c r="C331" s="14" t="n"/>
      <c r="D331" s="27" t="n"/>
      <c r="E331" s="28" t="n"/>
      <c r="F331" s="15">
        <f>IF(OR(D331&lt;&gt;"",E331&lt;&gt;""),IF(D331="",0,D331)+IF(E331="",0,E331),"")</f>
        <v/>
      </c>
      <c r="G331" s="14" t="n"/>
    </row>
    <row r="332">
      <c r="A332" s="14" t="inlineStr">
        <is>
          <t>Agosto</t>
        </is>
      </c>
      <c r="B332" s="17" t="n"/>
      <c r="C332" s="14" t="n"/>
      <c r="D332" s="27" t="n"/>
      <c r="E332" s="28" t="n"/>
      <c r="F332" s="15">
        <f>IF(OR(D332&lt;&gt;"",E332&lt;&gt;""),IF(D332="",0,D332)+IF(E332="",0,E332),"")</f>
        <v/>
      </c>
      <c r="G332" s="14" t="n"/>
    </row>
    <row r="333">
      <c r="A333" s="14" t="inlineStr">
        <is>
          <t>Agosto</t>
        </is>
      </c>
      <c r="B333" s="17" t="n"/>
      <c r="C333" s="14" t="n"/>
      <c r="D333" s="27" t="n"/>
      <c r="E333" s="28" t="n"/>
      <c r="F333" s="15">
        <f>IF(OR(D333&lt;&gt;"",E333&lt;&gt;""),IF(D333="",0,D333)+IF(E333="",0,E333),"")</f>
        <v/>
      </c>
      <c r="G333" s="14" t="n"/>
    </row>
    <row r="334">
      <c r="A334" s="14" t="inlineStr">
        <is>
          <t>Agosto</t>
        </is>
      </c>
      <c r="B334" s="17" t="n"/>
      <c r="C334" s="14" t="n"/>
      <c r="D334" s="27" t="n"/>
      <c r="E334" s="28" t="n"/>
      <c r="F334" s="15">
        <f>IF(OR(D334&lt;&gt;"",E334&lt;&gt;""),IF(D334="",0,D334)+IF(E334="",0,E334),"")</f>
        <v/>
      </c>
      <c r="G334" s="14" t="n"/>
    </row>
    <row r="335">
      <c r="A335" s="14" t="inlineStr">
        <is>
          <t>Agosto</t>
        </is>
      </c>
      <c r="B335" s="17" t="n"/>
      <c r="C335" s="14" t="n"/>
      <c r="D335" s="27" t="n"/>
      <c r="E335" s="28" t="n"/>
      <c r="F335" s="15">
        <f>IF(OR(D335&lt;&gt;"",E335&lt;&gt;""),IF(D335="",0,D335)+IF(E335="",0,E335),"")</f>
        <v/>
      </c>
      <c r="G335" s="14" t="n"/>
    </row>
    <row r="336">
      <c r="A336" s="14" t="inlineStr">
        <is>
          <t>Agosto</t>
        </is>
      </c>
      <c r="B336" s="17" t="n"/>
      <c r="C336" s="14" t="n"/>
      <c r="D336" s="27" t="n"/>
      <c r="E336" s="28" t="n"/>
      <c r="F336" s="15">
        <f>IF(OR(D336&lt;&gt;"",E336&lt;&gt;""),IF(D336="",0,D336)+IF(E336="",0,E336),"")</f>
        <v/>
      </c>
      <c r="G336" s="14" t="n"/>
    </row>
    <row r="337">
      <c r="A337" s="14" t="inlineStr">
        <is>
          <t>Agosto</t>
        </is>
      </c>
      <c r="B337" s="17" t="n"/>
      <c r="C337" s="14" t="n"/>
      <c r="D337" s="27" t="n"/>
      <c r="E337" s="28" t="n"/>
      <c r="F337" s="15">
        <f>IF(OR(D337&lt;&gt;"",E337&lt;&gt;""),IF(D337="",0,D337)+IF(E337="",0,E337),"")</f>
        <v/>
      </c>
      <c r="G337" s="14" t="n"/>
    </row>
    <row r="338">
      <c r="A338" s="14" t="inlineStr">
        <is>
          <t>Agosto</t>
        </is>
      </c>
      <c r="B338" s="17" t="n"/>
      <c r="C338" s="14" t="n"/>
      <c r="D338" s="27" t="n"/>
      <c r="E338" s="28" t="n"/>
      <c r="F338" s="15">
        <f>IF(OR(D338&lt;&gt;"",E338&lt;&gt;""),IF(D338="",0,D338)+IF(E338="",0,E338),"")</f>
        <v/>
      </c>
      <c r="G338" s="14" t="n"/>
    </row>
    <row r="339">
      <c r="A339" s="14" t="inlineStr">
        <is>
          <t>Agosto</t>
        </is>
      </c>
      <c r="B339" s="17" t="n"/>
      <c r="C339" s="14" t="n"/>
      <c r="D339" s="27" t="n"/>
      <c r="E339" s="28" t="n"/>
      <c r="F339" s="15">
        <f>IF(OR(D339&lt;&gt;"",E339&lt;&gt;""),IF(D339="",0,D339)+IF(E339="",0,E339),"")</f>
        <v/>
      </c>
      <c r="G339" s="14" t="n"/>
    </row>
    <row r="340">
      <c r="A340" s="14" t="inlineStr">
        <is>
          <t>Agosto</t>
        </is>
      </c>
      <c r="B340" s="17" t="n"/>
      <c r="C340" s="14" t="n"/>
      <c r="D340" s="27" t="n"/>
      <c r="E340" s="28" t="n"/>
      <c r="F340" s="15">
        <f>IF(OR(D340&lt;&gt;"",E340&lt;&gt;""),IF(D340="",0,D340)+IF(E340="",0,E340),"")</f>
        <v/>
      </c>
      <c r="G340" s="14" t="n"/>
    </row>
    <row r="341">
      <c r="A341" s="14" t="inlineStr">
        <is>
          <t>Agosto</t>
        </is>
      </c>
      <c r="B341" s="17" t="n"/>
      <c r="C341" s="14" t="n"/>
      <c r="D341" s="27" t="n"/>
      <c r="E341" s="28" t="n"/>
      <c r="F341" s="15">
        <f>IF(OR(D341&lt;&gt;"",E341&lt;&gt;""),IF(D341="",0,D341)+IF(E341="",0,E341),"")</f>
        <v/>
      </c>
      <c r="G341" s="14" t="n"/>
    </row>
    <row r="342">
      <c r="A342" s="14" t="inlineStr">
        <is>
          <t>Agosto</t>
        </is>
      </c>
      <c r="B342" s="17" t="n"/>
      <c r="C342" s="14" t="n"/>
      <c r="D342" s="27" t="n"/>
      <c r="E342" s="28" t="n"/>
      <c r="F342" s="15">
        <f>IF(OR(D342&lt;&gt;"",E342&lt;&gt;""),IF(D342="",0,D342)+IF(E342="",0,E342),"")</f>
        <v/>
      </c>
      <c r="G342" s="14" t="n"/>
    </row>
    <row r="343">
      <c r="A343" s="14" t="inlineStr">
        <is>
          <t>Agosto</t>
        </is>
      </c>
      <c r="B343" s="17" t="n"/>
      <c r="C343" s="14" t="n"/>
      <c r="D343" s="27" t="n"/>
      <c r="E343" s="28" t="n"/>
      <c r="F343" s="15">
        <f>IF(OR(D343&lt;&gt;"",E343&lt;&gt;""),IF(D343="",0,D343)+IF(E343="",0,E343),"")</f>
        <v/>
      </c>
      <c r="G343" s="14" t="n"/>
    </row>
    <row r="344">
      <c r="A344" s="14" t="inlineStr">
        <is>
          <t>Agosto</t>
        </is>
      </c>
      <c r="B344" s="17" t="n"/>
      <c r="C344" s="14" t="n"/>
      <c r="D344" s="27" t="n"/>
      <c r="E344" s="28" t="n"/>
      <c r="F344" s="15">
        <f>IF(OR(D344&lt;&gt;"",E344&lt;&gt;""),IF(D344="",0,D344)+IF(E344="",0,E344),"")</f>
        <v/>
      </c>
      <c r="G344" s="14" t="n"/>
    </row>
    <row r="345">
      <c r="A345" s="14" t="inlineStr">
        <is>
          <t>Agosto</t>
        </is>
      </c>
      <c r="B345" s="17" t="n"/>
      <c r="C345" s="14" t="n"/>
      <c r="D345" s="27" t="n"/>
      <c r="E345" s="28" t="n"/>
      <c r="F345" s="15">
        <f>IF(OR(D345&lt;&gt;"",E345&lt;&gt;""),IF(D345="",0,D345)+IF(E345="",0,E345),"")</f>
        <v/>
      </c>
      <c r="G345" s="14" t="n"/>
    </row>
    <row r="346">
      <c r="A346" s="14" t="inlineStr">
        <is>
          <t>Agosto</t>
        </is>
      </c>
      <c r="B346" s="17" t="n"/>
      <c r="C346" s="14" t="n"/>
      <c r="D346" s="27" t="n"/>
      <c r="E346" s="28" t="n"/>
      <c r="F346" s="15">
        <f>IF(OR(D346&lt;&gt;"",E346&lt;&gt;""),IF(D346="",0,D346)+IF(E346="",0,E346),"")</f>
        <v/>
      </c>
      <c r="G346" s="14" t="n"/>
    </row>
    <row r="347">
      <c r="A347" s="14" t="inlineStr">
        <is>
          <t>Agosto</t>
        </is>
      </c>
      <c r="B347" s="17" t="n"/>
      <c r="C347" s="14" t="n"/>
      <c r="D347" s="27" t="n"/>
      <c r="E347" s="28" t="n"/>
      <c r="F347" s="15">
        <f>IF(OR(D347&lt;&gt;"",E347&lt;&gt;""),IF(D347="",0,D347)+IF(E347="",0,E347),"")</f>
        <v/>
      </c>
      <c r="G347" s="14" t="n"/>
    </row>
    <row r="348">
      <c r="A348" s="14" t="inlineStr">
        <is>
          <t>Agosto</t>
        </is>
      </c>
      <c r="B348" s="17" t="n"/>
      <c r="C348" s="14" t="n"/>
      <c r="D348" s="27" t="n"/>
      <c r="E348" s="28" t="n"/>
      <c r="F348" s="15">
        <f>IF(OR(D348&lt;&gt;"",E348&lt;&gt;""),IF(D348="",0,D348)+IF(E348="",0,E348),"")</f>
        <v/>
      </c>
      <c r="G348" s="14" t="n"/>
    </row>
    <row r="349">
      <c r="A349" s="14" t="inlineStr">
        <is>
          <t>Agosto</t>
        </is>
      </c>
      <c r="B349" s="17" t="n"/>
      <c r="C349" s="14" t="n"/>
      <c r="D349" s="27" t="n"/>
      <c r="E349" s="28" t="n"/>
      <c r="F349" s="15">
        <f>IF(OR(D349&lt;&gt;"",E349&lt;&gt;""),IF(D349="",0,D349)+IF(E349="",0,E349),"")</f>
        <v/>
      </c>
      <c r="G349" s="14" t="n"/>
    </row>
    <row r="350">
      <c r="A350" s="14" t="inlineStr">
        <is>
          <t>Agosto</t>
        </is>
      </c>
      <c r="B350" s="17" t="n"/>
      <c r="C350" s="14" t="n"/>
      <c r="D350" s="27" t="n"/>
      <c r="E350" s="28" t="n"/>
      <c r="F350" s="15">
        <f>IF(OR(D350&lt;&gt;"",E350&lt;&gt;""),IF(D350="",0,D350)+IF(E350="",0,E350),"")</f>
        <v/>
      </c>
      <c r="G350" s="14" t="n"/>
    </row>
    <row r="351">
      <c r="A351" s="14" t="inlineStr">
        <is>
          <t>Agosto</t>
        </is>
      </c>
      <c r="B351" s="17" t="n"/>
      <c r="C351" s="14" t="n"/>
      <c r="D351" s="27" t="n"/>
      <c r="E351" s="28" t="n"/>
      <c r="F351" s="15">
        <f>IF(OR(D351&lt;&gt;"",E351&lt;&gt;""),IF(D351="",0,D351)+IF(E351="",0,E351),"")</f>
        <v/>
      </c>
      <c r="G351" s="14" t="n"/>
    </row>
    <row r="352">
      <c r="A352" s="14" t="inlineStr">
        <is>
          <t>Agosto</t>
        </is>
      </c>
      <c r="B352" s="17" t="n"/>
      <c r="C352" s="14" t="n"/>
      <c r="D352" s="27" t="n"/>
      <c r="E352" s="28" t="n"/>
      <c r="F352" s="15">
        <f>IF(OR(D352&lt;&gt;"",E352&lt;&gt;""),IF(D352="",0,D352)+IF(E352="",0,E352),"")</f>
        <v/>
      </c>
      <c r="G352" s="14" t="n"/>
    </row>
    <row r="353">
      <c r="A353" s="14" t="inlineStr">
        <is>
          <t>Agosto</t>
        </is>
      </c>
      <c r="B353" s="17" t="n"/>
      <c r="C353" s="14" t="n"/>
      <c r="D353" s="27" t="n"/>
      <c r="E353" s="28" t="n"/>
      <c r="F353" s="15">
        <f>IF(OR(D353&lt;&gt;"",E353&lt;&gt;""),IF(D353="",0,D353)+IF(E353="",0,E353),"")</f>
        <v/>
      </c>
      <c r="G353" s="14" t="n"/>
    </row>
    <row r="354">
      <c r="A354" s="10" t="inlineStr">
        <is>
          <t>TOTAL AGOSTO</t>
        </is>
      </c>
      <c r="B354" s="22" t="n"/>
      <c r="C354" s="29" t="inlineStr">
        <is>
          <t>Totales mes →</t>
        </is>
      </c>
      <c r="D354" s="7">
        <f>SUMIFS($D$4:$D$800,$A$4:$A$800,"Agosto")</f>
        <v/>
      </c>
      <c r="E354" s="7">
        <f>SUMIFS($E$4:$E$800,$A$4:$A$800,"Agosto")</f>
        <v/>
      </c>
      <c r="F354" s="7">
        <f>D354+E354</f>
        <v/>
      </c>
      <c r="G354" s="22" t="n"/>
    </row>
    <row r="355"/>
    <row r="356">
      <c r="A356" s="14" t="inlineStr">
        <is>
          <t>Septiembre</t>
        </is>
      </c>
      <c r="B356" s="17" t="n">
        <v>46268</v>
      </c>
      <c r="C356" s="14" t="inlineStr">
        <is>
          <t>SUPERMERCADO · Día</t>
        </is>
      </c>
      <c r="D356" s="27" t="n">
        <v>41139</v>
      </c>
      <c r="E356" s="28" t="n"/>
      <c r="F356" s="15">
        <f>IF(OR(D356&lt;&gt;"",E356&lt;&gt;""),IF(D356="",0,D356)+IF(E356="",0,E356),"")</f>
        <v/>
      </c>
      <c r="G356" s="14" t="inlineStr">
        <is>
          <t>SUPERMERCADO · Día · BBVA VISA · MERPAGO*SUPERDIA · Gmail Compra aprobada · REVISAR vs settlement</t>
        </is>
      </c>
    </row>
    <row r="357">
      <c r="A357" s="14" t="inlineStr">
        <is>
          <t>Septiembre</t>
        </is>
      </c>
      <c r="B357" s="17" t="n">
        <v>46273</v>
      </c>
      <c r="C357" s="14" t="inlineStr">
        <is>
          <t>REPUESTOS · Sodastream</t>
        </is>
      </c>
      <c r="D357" s="27" t="n">
        <v>88659</v>
      </c>
      <c r="E357" s="28" t="n"/>
      <c r="F357" s="15">
        <f>IF(OR(D357&lt;&gt;"",E357&lt;&gt;""),IF(D357="",0,D357)+IF(E357="",0,E357),"")</f>
        <v/>
      </c>
      <c r="G357" s="14" t="inlineStr">
        <is>
          <t>REPUESTOS · Sodastream · Mercado Pago · Gmail Pago aprobado · REVISAR vs settlement</t>
        </is>
      </c>
    </row>
    <row r="358">
      <c r="A358" s="14" t="inlineStr">
        <is>
          <t>Septiembre</t>
        </is>
      </c>
      <c r="B358" s="17" t="n">
        <v>46269</v>
      </c>
      <c r="C358" s="14" t="inlineStr">
        <is>
          <t>COMIDA · Pescadería Belgrano</t>
        </is>
      </c>
      <c r="D358" s="27" t="n">
        <v>6213</v>
      </c>
      <c r="E358" s="28" t="n"/>
      <c r="F358" s="15">
        <f>IF(OR(D358&lt;&gt;"",E358&lt;&gt;""),IF(D358="",0,D358)+IF(E358="",0,E358),"")</f>
        <v/>
      </c>
      <c r="G358" s="14" t="inlineStr">
        <is>
          <t>COMIDA · Pescadería Belgrano · Mercado Pago · Gmail Pago aprobado · ALMACEN SOL (pescadería siempre Almacén CIUDAD)</t>
        </is>
      </c>
    </row>
    <row r="359">
      <c r="A359" s="14" t="inlineStr">
        <is>
          <t>Septiembre</t>
        </is>
      </c>
      <c r="B359" s="17" t="n">
        <v>46268</v>
      </c>
      <c r="C359" s="14" t="inlineStr">
        <is>
          <t>PEDIDOS YA · COMIDA</t>
        </is>
      </c>
      <c r="D359" s="27" t="n">
        <v>16149</v>
      </c>
      <c r="E359" s="28" t="n"/>
      <c r="F359" s="15">
        <f>IF(OR(D359&lt;&gt;"",E359&lt;&gt;""),IF(D359="",0,D359)+IF(E359="",0,E359),"")</f>
        <v/>
      </c>
      <c r="G359" s="14" t="inlineStr">
        <is>
          <t>PEDIDOS YA · COMIDA · screenshot · dinero en cuenta MP screenshot</t>
        </is>
      </c>
    </row>
    <row r="360">
      <c r="A360" s="14" t="inlineStr">
        <is>
          <t>Septiembre</t>
        </is>
      </c>
      <c r="B360" s="17" t="n">
        <v>46268</v>
      </c>
      <c r="C360" s="14" t="inlineStr">
        <is>
          <t>PEDIDOS YA · COMIDA · propina</t>
        </is>
      </c>
      <c r="D360" s="27" t="n">
        <v>800</v>
      </c>
      <c r="E360" s="28" t="n"/>
      <c r="F360" s="15">
        <f>IF(OR(D360&lt;&gt;"",E360&lt;&gt;""),IF(D360="",0,D360)+IF(E360="",0,E360),"")</f>
        <v/>
      </c>
      <c r="G360" s="14" t="inlineStr">
        <is>
          <t>PEDIDOS YA · COMIDA · propina · screenshot · dinero en cuenta MP screenshot</t>
        </is>
      </c>
    </row>
    <row r="361">
      <c r="A361" s="14" t="inlineStr">
        <is>
          <t>Septiembre</t>
        </is>
      </c>
      <c r="B361" s="17" t="n">
        <v>46271</v>
      </c>
      <c r="C361" s="14" t="inlineStr">
        <is>
          <t>COMIDA · AL PASO</t>
        </is>
      </c>
      <c r="D361" s="27" t="n">
        <v>8700</v>
      </c>
      <c r="E361" s="28" t="n"/>
      <c r="F361" s="15">
        <f>IF(OR(D361&lt;&gt;"",E361&lt;&gt;""),IF(D361="",0,D361)+IF(E361="",0,E361),"")</f>
        <v/>
      </c>
      <c r="G361" s="14" t="inlineStr">
        <is>
          <t>COMIDA · AL PASO · Mercado Pago · dinero en cuenta MP screenshot</t>
        </is>
      </c>
    </row>
    <row r="362">
      <c r="A362" s="14" t="inlineStr">
        <is>
          <t>Septiembre</t>
        </is>
      </c>
      <c r="B362" s="17" t="n">
        <v>46272</v>
      </c>
      <c r="C362" s="14" t="inlineStr">
        <is>
          <t>COMIDA · McDonald's</t>
        </is>
      </c>
      <c r="D362" s="27" t="n">
        <v>2040</v>
      </c>
      <c r="E362" s="28" t="n"/>
      <c r="F362" s="15">
        <f>IF(OR(D362&lt;&gt;"",E362&lt;&gt;""),IF(D362="",0,D362)+IF(E362="",0,E362),"")</f>
        <v/>
      </c>
      <c r="G362" s="14" t="inlineStr">
        <is>
          <t>COMIDA · McDonald's · Mercado Pago · dinero en cuenta MP screenshot</t>
        </is>
      </c>
    </row>
    <row r="363">
      <c r="A363" s="14" t="inlineStr">
        <is>
          <t>Septiembre</t>
        </is>
      </c>
      <c r="B363" s="17" t="n">
        <v>46273</v>
      </c>
      <c r="C363" s="14" t="inlineStr">
        <is>
          <t>ENTRETENIMIENTO · Social</t>
        </is>
      </c>
      <c r="D363" s="27" t="n">
        <v>8248</v>
      </c>
      <c r="E363" s="28" t="n"/>
      <c r="F363" s="15">
        <f>IF(OR(D363&lt;&gt;"",E363&lt;&gt;""),IF(D363="",0,D363)+IF(E363="",0,E363),"")</f>
        <v/>
      </c>
      <c r="G363" s="14" t="inlineStr">
        <is>
          <t>ENTRETENIMIENTO · Social · la monumental · Mercado Pago · dinero en cuenta MP screenshot</t>
        </is>
      </c>
    </row>
    <row r="364">
      <c r="A364" s="14" t="inlineStr">
        <is>
          <t>Septiembre</t>
        </is>
      </c>
      <c r="B364" s="17" t="n">
        <v>46274</v>
      </c>
      <c r="C364" s="14" t="inlineStr">
        <is>
          <t>PEDIDOS YA · COMIDA</t>
        </is>
      </c>
      <c r="D364" s="27" t="n">
        <v>39819</v>
      </c>
      <c r="E364" s="28" t="n"/>
      <c r="F364" s="15">
        <f>IF(OR(D364&lt;&gt;"",E364&lt;&gt;""),IF(D364="",0,D364)+IF(E364="",0,E364),"")</f>
        <v/>
      </c>
      <c r="G364" s="14" t="inlineStr">
        <is>
          <t>PEDIDOS YA · COMIDA · screenshot · dinero en cuenta MP screenshot</t>
        </is>
      </c>
    </row>
    <row r="365">
      <c r="A365" s="14" t="inlineStr">
        <is>
          <t>Septiembre</t>
        </is>
      </c>
      <c r="B365" s="17" t="n">
        <v>46274</v>
      </c>
      <c r="C365" s="14" t="inlineStr">
        <is>
          <t>PEDIDOS YA · COMIDA · propina</t>
        </is>
      </c>
      <c r="D365" s="27" t="n">
        <v>900</v>
      </c>
      <c r="E365" s="28" t="n"/>
      <c r="F365" s="15">
        <f>IF(OR(D365&lt;&gt;"",E365&lt;&gt;""),IF(D365="",0,D365)+IF(E365="",0,E365),"")</f>
        <v/>
      </c>
      <c r="G365" s="14" t="inlineStr">
        <is>
          <t>PEDIDOS YA · COMIDA · propina · screenshot · dinero en cuenta MP screenshot</t>
        </is>
      </c>
    </row>
    <row r="366">
      <c r="A366" s="14" t="n"/>
      <c r="B366" s="17" t="n"/>
      <c r="C366" s="14" t="n"/>
      <c r="D366" s="27" t="n"/>
      <c r="E366" s="28" t="n"/>
      <c r="F366" s="15" t="n"/>
      <c r="G366" s="14" t="n"/>
    </row>
    <row r="367">
      <c r="A367" s="14" t="inlineStr">
        <is>
          <t>Septiembre</t>
        </is>
      </c>
      <c r="B367" s="17" t="n">
        <v>46277</v>
      </c>
      <c r="C367" s="14" t="inlineStr">
        <is>
          <t>COMIDA · McDonald's</t>
        </is>
      </c>
      <c r="D367" s="27" t="n">
        <v>8010</v>
      </c>
      <c r="E367" s="28" t="n"/>
      <c r="F367" s="15">
        <f>IF(OR(D367&lt;&gt;"",E367&lt;&gt;""),IF(D367="",0,D367)+IF(E367="",0,E367),"")</f>
        <v/>
      </c>
      <c r="G367" s="14" t="inlineStr">
        <is>
          <t>COMIDA · McDonald's · Mercado Pago · dinero en cuenta MP screenshot</t>
        </is>
      </c>
    </row>
    <row r="368">
      <c r="A368" s="14" t="inlineStr">
        <is>
          <t>Septiembre</t>
        </is>
      </c>
      <c r="B368" s="17" t="n">
        <v>46278</v>
      </c>
      <c r="C368" s="14" t="inlineStr">
        <is>
          <t>COMIDA · VERDULERÍA</t>
        </is>
      </c>
      <c r="D368" s="27" t="n">
        <v>5900</v>
      </c>
      <c r="E368" s="28" t="n"/>
      <c r="F368" s="15">
        <f>IF(OR(D368&lt;&gt;"",E368&lt;&gt;""),IF(D368="",0,D368)+IF(E368="",0,E368),"")</f>
        <v/>
      </c>
      <c r="G368" s="14" t="inlineStr">
        <is>
          <t>COMIDA · VERDULERÍA · Noelia Caballero · Mercado Pago · dinero en cuenta MP screenshot</t>
        </is>
      </c>
    </row>
    <row r="369">
      <c r="A369" s="14" t="inlineStr">
        <is>
          <t>Septiembre</t>
        </is>
      </c>
      <c r="B369" s="17" t="n">
        <v>46280</v>
      </c>
      <c r="C369" s="14" t="inlineStr">
        <is>
          <t>PEDIDOS YA · COMIDA</t>
        </is>
      </c>
      <c r="D369" s="27" t="n">
        <v>26019</v>
      </c>
      <c r="E369" s="28" t="n"/>
      <c r="F369" s="15">
        <f>IF(OR(D369&lt;&gt;"",E369&lt;&gt;""),IF(D369="",0,D369)+IF(E369="",0,E369),"")</f>
        <v/>
      </c>
      <c r="G369" s="14" t="inlineStr">
        <is>
          <t>PEDIDOS YA · COMIDA · screenshot · dinero en cuenta MP screenshot</t>
        </is>
      </c>
    </row>
    <row r="370">
      <c r="A370" s="14" t="inlineStr">
        <is>
          <t>Septiembre</t>
        </is>
      </c>
      <c r="B370" s="17" t="n">
        <v>46280</v>
      </c>
      <c r="C370" s="14" t="inlineStr">
        <is>
          <t>PEDIDOS YA · COMIDA · propina</t>
        </is>
      </c>
      <c r="D370" s="27" t="n">
        <v>1050</v>
      </c>
      <c r="E370" s="28" t="n"/>
      <c r="F370" s="15">
        <f>IF(OR(D370&lt;&gt;"",E370&lt;&gt;""),IF(D370="",0,D370)+IF(E370="",0,E370),"")</f>
        <v/>
      </c>
      <c r="G370" s="14" t="inlineStr">
        <is>
          <t>PEDIDOS YA · COMIDA · propina · screenshot · dinero en cuenta MP screenshot</t>
        </is>
      </c>
    </row>
    <row r="371">
      <c r="A371" s="14" t="inlineStr">
        <is>
          <t>Septiembre</t>
        </is>
      </c>
      <c r="B371" s="17" t="n">
        <v>46280</v>
      </c>
      <c r="C371" s="14" t="inlineStr">
        <is>
          <t>COMIDA · CASAARISTOBULO017</t>
        </is>
      </c>
      <c r="D371" s="27" t="n">
        <v>43667</v>
      </c>
      <c r="E371" s="28" t="n"/>
      <c r="F371" s="15">
        <f>IF(OR(D371&lt;&gt;"",E371&lt;&gt;""),IF(D371="",0,D371)+IF(E371="",0,E371),"")</f>
        <v/>
      </c>
      <c r="G371" s="14" t="inlineStr">
        <is>
          <t>COMIDA · CASAARISTOBULO017 · QR · Mercado Pago · dinero en cuenta MP screenshot</t>
        </is>
      </c>
    </row>
    <row r="372">
      <c r="A372" s="14" t="inlineStr">
        <is>
          <t>Septiembre</t>
        </is>
      </c>
      <c r="B372" s="17" t="n">
        <v>46282</v>
      </c>
      <c r="C372" s="14" t="inlineStr">
        <is>
          <t>COMIDA · McDonald's</t>
        </is>
      </c>
      <c r="D372" s="27" t="n">
        <v>1900</v>
      </c>
      <c r="E372" s="28" t="n"/>
      <c r="F372" s="15">
        <f>IF(OR(D372&lt;&gt;"",E372&lt;&gt;""),IF(D372="",0,D372)+IF(E372="",0,E372),"")</f>
        <v/>
      </c>
      <c r="G372" s="14" t="inlineStr">
        <is>
          <t>COMIDA · McDonald's · Mercado Pago · dinero en cuenta MP screenshot</t>
        </is>
      </c>
    </row>
    <row r="373">
      <c r="A373" s="14" t="inlineStr">
        <is>
          <t>Septiembre</t>
        </is>
      </c>
      <c r="B373" s="17" t="n">
        <v>46284</v>
      </c>
      <c r="C373" s="14" t="inlineStr">
        <is>
          <t>ENTRETENIMIENTO · Social</t>
        </is>
      </c>
      <c r="D373" s="27" t="n">
        <v>33359</v>
      </c>
      <c r="E373" s="28" t="n"/>
      <c r="F373" s="15">
        <f>IF(OR(D373&lt;&gt;"",E373&lt;&gt;""),IF(D373="",0,D373)+IF(E373="",0,E373),"")</f>
        <v/>
      </c>
      <c r="G373" s="14" t="inlineStr">
        <is>
          <t>ENTRETENIMIENTO · Social · la monumental · Mercado Pago · dinero en cuenta MP screenshot</t>
        </is>
      </c>
    </row>
    <row r="374">
      <c r="A374" s="14" t="inlineStr">
        <is>
          <t>Septiembre</t>
        </is>
      </c>
      <c r="B374" s="17" t="n">
        <v>46288</v>
      </c>
      <c r="C374" s="14" t="inlineStr">
        <is>
          <t>PEDIDOS YA · COMIDA</t>
        </is>
      </c>
      <c r="D374" s="27" t="n">
        <v>23964</v>
      </c>
      <c r="E374" s="28" t="n"/>
      <c r="F374" s="15">
        <f>IF(OR(D374&lt;&gt;"",E374&lt;&gt;""),IF(D374="",0,D374)+IF(E374="",0,E374),"")</f>
        <v/>
      </c>
      <c r="G374" s="14" t="inlineStr">
        <is>
          <t>PEDIDOS YA · COMIDA · screenshot · dinero en cuenta MP screenshot</t>
        </is>
      </c>
    </row>
    <row r="375">
      <c r="A375" s="14" t="inlineStr">
        <is>
          <t>Septiembre</t>
        </is>
      </c>
      <c r="B375" s="17" t="n">
        <v>46288</v>
      </c>
      <c r="C375" s="14" t="inlineStr">
        <is>
          <t>PEDIDOS YA · COMIDA · propina</t>
        </is>
      </c>
      <c r="D375" s="27" t="n">
        <v>850</v>
      </c>
      <c r="E375" s="28" t="n"/>
      <c r="F375" s="15">
        <f>IF(OR(D375&lt;&gt;"",E375&lt;&gt;""),IF(D375="",0,D375)+IF(E375="",0,E375),"")</f>
        <v/>
      </c>
      <c r="G375" s="14" t="inlineStr">
        <is>
          <t>PEDIDOS YA · COMIDA · propina · screenshot · dinero en cuenta MP screenshot</t>
        </is>
      </c>
    </row>
    <row r="376">
      <c r="A376" s="14" t="inlineStr">
        <is>
          <t>Septiembre</t>
        </is>
      </c>
      <c r="B376" s="17" t="n">
        <v>46288</v>
      </c>
      <c r="C376" s="14" t="inlineStr">
        <is>
          <t>ENTRETENIMIENTO · Salidas comida</t>
        </is>
      </c>
      <c r="D376" s="27" t="n">
        <v>16598</v>
      </c>
      <c r="E376" s="28" t="n"/>
      <c r="F376" s="15">
        <f>IF(OR(D376&lt;&gt;"",E376&lt;&gt;""),IF(D376="",0,D376)+IF(E376="",0,E376),"")</f>
        <v/>
      </c>
      <c r="G376" s="14" t="inlineStr">
        <is>
          <t>ENTRETENIMIENTO · Salidas comida · Estancia San Francisco Devoto · Mercado Pago · dinero en cuenta MP screenshot</t>
        </is>
      </c>
    </row>
    <row r="377">
      <c r="A377" s="14" t="inlineStr">
        <is>
          <t>Septiembre</t>
        </is>
      </c>
      <c r="B377" s="17" t="n">
        <v>46290</v>
      </c>
      <c r="C377" s="14" t="inlineStr">
        <is>
          <t>RAMON · Otros</t>
        </is>
      </c>
      <c r="D377" s="27" t="n">
        <v>47900</v>
      </c>
      <c r="E377" s="28" t="n"/>
      <c r="F377" s="15">
        <f>IF(OR(D377&lt;&gt;"",E377&lt;&gt;""),IF(D377="",0,D377)+IF(E377="",0,E377),"")</f>
        <v/>
      </c>
      <c r="G377" s="14" t="inlineStr">
        <is>
          <t>RAMON · Otros · Paws Pet Market · Mercado Pago · dinero en cuenta MP screenshot</t>
        </is>
      </c>
    </row>
    <row r="378">
      <c r="A378" s="14" t="inlineStr">
        <is>
          <t>Septiembre</t>
        </is>
      </c>
      <c r="B378" s="17" t="n">
        <v>46292</v>
      </c>
      <c r="C378" s="14" t="inlineStr">
        <is>
          <t>COMIDA · Open 25</t>
        </is>
      </c>
      <c r="D378" s="27" t="n">
        <v>6700</v>
      </c>
      <c r="E378" s="28" t="n"/>
      <c r="F378" s="15">
        <f>IF(OR(D378&lt;&gt;"",E378&lt;&gt;""),IF(D378="",0,D378)+IF(E378="",0,E378),"")</f>
        <v/>
      </c>
      <c r="G378" s="14" t="inlineStr">
        <is>
          <t>COMIDA · Open 25 · Mercado Pago · dinero en cuenta MP screenshot</t>
        </is>
      </c>
    </row>
    <row r="379">
      <c r="A379" s="14" t="inlineStr">
        <is>
          <t>Septiembre</t>
        </is>
      </c>
      <c r="B379" s="17" t="n">
        <v>46277</v>
      </c>
      <c r="C379" s="14" t="inlineStr">
        <is>
          <t>COMIDA · Barritas proteicas</t>
        </is>
      </c>
      <c r="D379" s="27" t="n">
        <v>66527</v>
      </c>
      <c r="E379" s="28" t="n"/>
      <c r="F379" s="15">
        <f>IF(OR(D379&lt;&gt;"",E379&lt;&gt;""),IF(D379="",0,D379)+IF(E379="",0,E379),"")</f>
        <v/>
      </c>
      <c r="G379" s="14" t="inlineStr">
        <is>
          <t>COMIDA · Barritas proteicas · Enerfit · TC Mercado Pago · C.10/12 · compra 2025-11-26 · cierre 2026-09-12</t>
        </is>
      </c>
    </row>
    <row r="380">
      <c r="A380" s="14" t="inlineStr">
        <is>
          <t>Septiembre</t>
        </is>
      </c>
      <c r="B380" s="17" t="n">
        <v>46277</v>
      </c>
      <c r="C380" s="14" t="inlineStr">
        <is>
          <t>STREAMING TV</t>
        </is>
      </c>
      <c r="D380" s="27" t="n">
        <v>97393</v>
      </c>
      <c r="E380" s="28" t="n"/>
      <c r="F380" s="15">
        <f>IF(OR(D380&lt;&gt;"",E380&lt;&gt;""),IF(D380="",0,D380)+IF(E380="",0,E380),"")</f>
        <v/>
      </c>
      <c r="G380" s="14" t="inlineStr">
        <is>
          <t>STREAMING TV · HBO Max · TC Mercado Pago · compra 2026-09-05 · cierre 2026-09-12</t>
        </is>
      </c>
    </row>
    <row r="381">
      <c r="A381" s="14" t="inlineStr">
        <is>
          <t>Septiembre</t>
        </is>
      </c>
      <c r="B381" s="17" t="n">
        <v>46293</v>
      </c>
      <c r="C381" s="14" t="inlineStr">
        <is>
          <t>COMIDA · pollo</t>
        </is>
      </c>
      <c r="D381" s="27" t="n">
        <v>10900</v>
      </c>
      <c r="E381" s="28" t="n"/>
      <c r="F381" s="15">
        <f>IF(OR(D381&lt;&gt;"",E381&lt;&gt;""),IF(D381="",0,D381)+IF(E381="",0,E381),"")</f>
        <v/>
      </c>
      <c r="G381" s="14" t="inlineStr">
        <is>
          <t>COMIDA · pollo · Súper Pollo · QR · resumen oficial cuenta MP 1–30 sep 2026</t>
        </is>
      </c>
    </row>
    <row r="382">
      <c r="A382" s="14" t="inlineStr">
        <is>
          <t>Septiembre</t>
        </is>
      </c>
      <c r="B382" s="17" t="n">
        <v>46295</v>
      </c>
      <c r="C382" s="14" t="inlineStr">
        <is>
          <t>Combustible — Shell</t>
        </is>
      </c>
      <c r="D382" s="27" t="n">
        <v>1039</v>
      </c>
      <c r="E382" s="28" t="n"/>
      <c r="F382" s="15">
        <f>IF(OR(D382&lt;&gt;"",E382&lt;&gt;""),IF(D382="",0,D382)+IF(E382="",0,E382),"")</f>
        <v/>
      </c>
      <c r="G382" s="14" t="inlineStr">
        <is>
          <t>Combustible — Shell · QR · resumen oficial cuenta MP 1–30 sep 2026</t>
        </is>
      </c>
    </row>
    <row r="383">
      <c r="A383" s="14" t="inlineStr">
        <is>
          <t>Septiembre</t>
        </is>
      </c>
      <c r="B383" s="17" t="n">
        <v>46295</v>
      </c>
      <c r="C383" s="14" t="inlineStr">
        <is>
          <t>Combustible — Shell</t>
        </is>
      </c>
      <c r="D383" s="27" t="n">
        <v>288</v>
      </c>
      <c r="E383" s="28" t="n"/>
      <c r="F383" s="15">
        <f>IF(OR(D383&lt;&gt;"",E383&lt;&gt;""),IF(D383="",0,D383)+IF(E383="",0,E383),"")</f>
        <v/>
      </c>
      <c r="G383" s="14" t="inlineStr">
        <is>
          <t>Combustible — Shell · QR · ceil 287.50 · resumen oficial cuenta MP 1–30 sep 2026</t>
        </is>
      </c>
    </row>
    <row r="384">
      <c r="A384" s="14" t="inlineStr">
        <is>
          <t>Septiembre</t>
        </is>
      </c>
      <c r="B384" s="17" t="n">
        <v>46295</v>
      </c>
      <c r="C384" s="14" t="inlineStr">
        <is>
          <t>Combustible — Shell</t>
        </is>
      </c>
      <c r="D384" s="27" t="n">
        <v>1126</v>
      </c>
      <c r="E384" s="28" t="n"/>
      <c r="F384" s="15">
        <f>IF(OR(D384&lt;&gt;"",E384&lt;&gt;""),IF(D384="",0,D384)+IF(E384="",0,E384),"")</f>
        <v/>
      </c>
      <c r="G384" s="14" t="inlineStr">
        <is>
          <t>Combustible — Shell · QR · resumen oficial cuenta MP 1–30 sep 2026</t>
        </is>
      </c>
    </row>
    <row r="385">
      <c r="A385" s="14" t="inlineStr">
        <is>
          <t>Septiembre</t>
        </is>
      </c>
      <c r="B385" s="17" t="n">
        <v>46295</v>
      </c>
      <c r="C385" s="14" t="inlineStr">
        <is>
          <t>Combustible — Shell</t>
        </is>
      </c>
      <c r="D385" s="27" t="n">
        <v>62548</v>
      </c>
      <c r="E385" s="28" t="n"/>
      <c r="F385" s="15">
        <f>IF(OR(D385&lt;&gt;"",E385&lt;&gt;""),IF(D385="",0,D385)+IF(E385="",0,E385),"")</f>
        <v/>
      </c>
      <c r="G385" s="14" t="inlineStr">
        <is>
          <t>Combustible — Shell · QR · ceil 62547.50 · resumen oficial cuenta MP 1–30 sep 2026</t>
        </is>
      </c>
    </row>
    <row r="386">
      <c r="A386" s="14" t="inlineStr">
        <is>
          <t>Septiembre</t>
        </is>
      </c>
      <c r="B386" s="17" t="n">
        <v>46295</v>
      </c>
      <c r="C386" s="14" t="inlineStr">
        <is>
          <t>SUPERMERCADO · Coto</t>
        </is>
      </c>
      <c r="D386" s="27" t="n"/>
      <c r="E386" s="28" t="n">
        <v>11436</v>
      </c>
      <c r="F386" s="15">
        <f>IF(OR(D386&lt;&gt;"",E386&lt;&gt;""),IF(D386="",0,D386)+IF(E386="",0,E386),"")</f>
        <v/>
      </c>
      <c r="G386" s="14" t="inlineStr">
        <is>
          <t>Chris · SUPERMERCADO · Coto · sin fecha día · REVISAR</t>
        </is>
      </c>
    </row>
    <row r="387">
      <c r="A387" s="14" t="inlineStr">
        <is>
          <t>Septiembre</t>
        </is>
      </c>
      <c r="B387" s="17" t="n">
        <v>46295</v>
      </c>
      <c r="C387" s="14" t="inlineStr">
        <is>
          <t>SUPERMERCADO · Día</t>
        </is>
      </c>
      <c r="D387" s="27" t="n"/>
      <c r="E387" s="28" t="n">
        <v>7264</v>
      </c>
      <c r="F387" s="15">
        <f>IF(OR(D387&lt;&gt;"",E387&lt;&gt;""),IF(D387="",0,D387)+IF(E387="",0,E387),"")</f>
        <v/>
      </c>
      <c r="G387" s="14" t="inlineStr">
        <is>
          <t>Chris · SUPERMERCADO · Día · SUPERDIA · sin fecha día · REVISAR</t>
        </is>
      </c>
    </row>
    <row r="388">
      <c r="A388" s="14" t="inlineStr">
        <is>
          <t>Septiembre</t>
        </is>
      </c>
      <c r="B388" s="17" t="n">
        <v>46295</v>
      </c>
      <c r="C388" s="14" t="inlineStr">
        <is>
          <t>SUPERMERCADO · Coto</t>
        </is>
      </c>
      <c r="D388" s="27" t="n"/>
      <c r="E388" s="28" t="n">
        <v>10000</v>
      </c>
      <c r="F388" s="15">
        <f>IF(OR(D388&lt;&gt;"",E388&lt;&gt;""),IF(D388="",0,D388)+IF(E388="",0,E388),"")</f>
        <v/>
      </c>
      <c r="G388" s="14" t="inlineStr">
        <is>
          <t>Chris · SUPERMERCADO · Coto · sin fecha día · REVISAR</t>
        </is>
      </c>
    </row>
    <row r="389">
      <c r="A389" s="14" t="inlineStr">
        <is>
          <t>Septiembre</t>
        </is>
      </c>
      <c r="B389" s="17" t="n">
        <v>46295</v>
      </c>
      <c r="C389" s="14" t="inlineStr">
        <is>
          <t>SUPERMERCADO · Coto</t>
        </is>
      </c>
      <c r="D389" s="27" t="n"/>
      <c r="E389" s="28" t="n">
        <v>11993</v>
      </c>
      <c r="F389" s="15">
        <f>IF(OR(D389&lt;&gt;"",E389&lt;&gt;""),IF(D389="",0,D389)+IF(E389="",0,E389),"")</f>
        <v/>
      </c>
      <c r="G389" s="14" t="inlineStr">
        <is>
          <t>Chris · SUPERMERCADO · Coto · sin fecha día · REVISAR</t>
        </is>
      </c>
    </row>
    <row r="390">
      <c r="A390" s="14" t="inlineStr">
        <is>
          <t>Septiembre</t>
        </is>
      </c>
      <c r="B390" s="17" t="n">
        <v>46295</v>
      </c>
      <c r="C390" s="14" t="inlineStr">
        <is>
          <t>SUPERMERCADO · Día</t>
        </is>
      </c>
      <c r="D390" s="27" t="n"/>
      <c r="E390" s="28" t="n">
        <v>9980</v>
      </c>
      <c r="F390" s="15">
        <f>IF(OR(D390&lt;&gt;"",E390&lt;&gt;""),IF(D390="",0,D390)+IF(E390="",0,E390),"")</f>
        <v/>
      </c>
      <c r="G390" s="14" t="inlineStr">
        <is>
          <t>Chris · SUPERMERCADO · Día · SUPERDIA · sin fecha día · REVISAR</t>
        </is>
      </c>
    </row>
    <row r="391">
      <c r="A391" s="14" t="inlineStr">
        <is>
          <t>Septiembre</t>
        </is>
      </c>
      <c r="B391" s="17" t="n">
        <v>46295</v>
      </c>
      <c r="C391" s="14" t="inlineStr">
        <is>
          <t>SUPERMERCADO · Día</t>
        </is>
      </c>
      <c r="D391" s="27" t="n"/>
      <c r="E391" s="28" t="n">
        <v>4152</v>
      </c>
      <c r="F391" s="15">
        <f>IF(OR(D391&lt;&gt;"",E391&lt;&gt;""),IF(D391="",0,D391)+IF(E391="",0,E391),"")</f>
        <v/>
      </c>
      <c r="G391" s="14" t="inlineStr">
        <is>
          <t>Chris · SUPERMERCADO · Día · SUPERDIA · sin fecha día · REVISAR</t>
        </is>
      </c>
    </row>
    <row r="392">
      <c r="A392" s="14" t="inlineStr">
        <is>
          <t>Septiembre</t>
        </is>
      </c>
      <c r="B392" s="17" t="n">
        <v>46295</v>
      </c>
      <c r="C392" s="14" t="inlineStr">
        <is>
          <t>SUPERMERCADO · Día</t>
        </is>
      </c>
      <c r="D392" s="27" t="n"/>
      <c r="E392" s="28" t="n">
        <v>7488</v>
      </c>
      <c r="F392" s="15">
        <f>IF(OR(D392&lt;&gt;"",E392&lt;&gt;""),IF(D392="",0,D392)+IF(E392="",0,E392),"")</f>
        <v/>
      </c>
      <c r="G392" s="14" t="inlineStr">
        <is>
          <t>Chris · SUPERMERCADO · Día · sin fecha día · REVISAR</t>
        </is>
      </c>
    </row>
    <row r="393">
      <c r="A393" s="14" t="inlineStr">
        <is>
          <t>Septiembre</t>
        </is>
      </c>
      <c r="B393" s="17" t="n">
        <v>46295</v>
      </c>
      <c r="C393" s="14" t="inlineStr">
        <is>
          <t>SUPERMERCADO · Coto</t>
        </is>
      </c>
      <c r="D393" s="27" t="n"/>
      <c r="E393" s="28" t="n">
        <v>1999</v>
      </c>
      <c r="F393" s="15">
        <f>IF(OR(D393&lt;&gt;"",E393&lt;&gt;""),IF(D393="",0,D393)+IF(E393="",0,E393),"")</f>
        <v/>
      </c>
      <c r="G393" s="14" t="inlineStr">
        <is>
          <t>Chris · SUPERMERCADO · Coto · sin fecha día · REVISAR</t>
        </is>
      </c>
    </row>
    <row r="394">
      <c r="A394" s="14" t="inlineStr">
        <is>
          <t>Septiembre</t>
        </is>
      </c>
      <c r="B394" s="17" t="n">
        <v>46295</v>
      </c>
      <c r="C394" s="14" t="inlineStr">
        <is>
          <t>SUPERMERCADO · Día</t>
        </is>
      </c>
      <c r="D394" s="27" t="n"/>
      <c r="E394" s="28" t="n">
        <v>5680</v>
      </c>
      <c r="F394" s="15">
        <f>IF(OR(D394&lt;&gt;"",E394&lt;&gt;""),IF(D394="",0,D394)+IF(E394="",0,E394),"")</f>
        <v/>
      </c>
      <c r="G394" s="14" t="inlineStr">
        <is>
          <t>Chris · SUPERMERCADO · Día · sin fecha día · REVISAR</t>
        </is>
      </c>
    </row>
    <row r="395">
      <c r="A395" s="14" t="inlineStr">
        <is>
          <t>Septiembre</t>
        </is>
      </c>
      <c r="B395" s="17" t="n">
        <v>46295</v>
      </c>
      <c r="C395" s="14" t="inlineStr">
        <is>
          <t>COMIDA · VERDULERÍA</t>
        </is>
      </c>
      <c r="D395" s="27" t="n"/>
      <c r="E395" s="28" t="n">
        <v>4101</v>
      </c>
      <c r="F395" s="15">
        <f>IF(OR(D395&lt;&gt;"",E395&lt;&gt;""),IF(D395="",0,D395)+IF(E395="",0,E395),"")</f>
        <v/>
      </c>
      <c r="G395" s="14" t="inlineStr">
        <is>
          <t>Chris · COMIDA · VERDULERÍA · sin fecha día · REVISAR</t>
        </is>
      </c>
    </row>
    <row r="396">
      <c r="A396" t="inlineStr">
        <is>
          <t>Septiembre</t>
        </is>
      </c>
      <c r="B396" s="52" t="n">
        <v>46295</v>
      </c>
      <c r="C396" t="inlineStr">
        <is>
          <t>SUPERMERCADO · Coto</t>
        </is>
      </c>
      <c r="E396" t="n">
        <v>7610</v>
      </c>
      <c r="F396">
        <f>IF(OR(D396&lt;&gt;"",E396&lt;&gt;""),IF(D396="",0,D396)+IF(E396="",0,E396),"")</f>
        <v/>
      </c>
      <c r="G396" t="inlineStr">
        <is>
          <t>Chris · SUPERMERCADO · Coto · sin fecha día · REVISAR</t>
        </is>
      </c>
    </row>
    <row r="397">
      <c r="A397" t="inlineStr">
        <is>
          <t>Septiembre</t>
        </is>
      </c>
      <c r="B397" s="52" t="n">
        <v>46295</v>
      </c>
      <c r="C397" t="inlineStr">
        <is>
          <t>SUPERMERCADO · Día</t>
        </is>
      </c>
      <c r="E397" t="n">
        <v>4796</v>
      </c>
      <c r="F397">
        <f>IF(OR(D397&lt;&gt;"",E397&lt;&gt;""),IF(D397="",0,D397)+IF(E397="",0,E397),"")</f>
        <v/>
      </c>
      <c r="G397" t="inlineStr">
        <is>
          <t>Chris · SUPERMERCADO · Día · sin fecha día · REVISAR</t>
        </is>
      </c>
    </row>
    <row r="398">
      <c r="A398" t="inlineStr">
        <is>
          <t>Septiembre</t>
        </is>
      </c>
      <c r="B398" s="52" t="n">
        <v>46295</v>
      </c>
      <c r="C398" t="inlineStr">
        <is>
          <t>SUPERMERCADO · Día</t>
        </is>
      </c>
      <c r="E398" t="n">
        <v>3952</v>
      </c>
      <c r="F398">
        <f>IF(OR(D398&lt;&gt;"",E398&lt;&gt;""),IF(D398="",0,D398)+IF(E398="",0,E398),"")</f>
        <v/>
      </c>
      <c r="G398" t="inlineStr">
        <is>
          <t>Chris · SUPERMERCADO · Día · sin fecha día · REVISAR</t>
        </is>
      </c>
    </row>
    <row r="399">
      <c r="A399" t="inlineStr">
        <is>
          <t>Septiembre</t>
        </is>
      </c>
      <c r="B399" s="52" t="n">
        <v>46295</v>
      </c>
      <c r="C399" t="inlineStr">
        <is>
          <t>COMIDA · pollo</t>
        </is>
      </c>
      <c r="E399" t="n">
        <v>10295</v>
      </c>
      <c r="F399">
        <f>IF(OR(D399&lt;&gt;"",E399&lt;&gt;""),IF(D399="",0,D399)+IF(E399="",0,E399),"")</f>
        <v/>
      </c>
      <c r="G399" t="inlineStr">
        <is>
          <t>Chris · COMIDA · pollo · sin fecha día · REVISAR</t>
        </is>
      </c>
    </row>
    <row r="400">
      <c r="A400" t="inlineStr">
        <is>
          <t>Septiembre</t>
        </is>
      </c>
      <c r="B400" s="52" t="n">
        <v>46295</v>
      </c>
      <c r="C400" t="inlineStr">
        <is>
          <t>SUPERMERCADO · Día</t>
        </is>
      </c>
      <c r="E400" t="n">
        <v>6480</v>
      </c>
      <c r="F400">
        <f>IF(OR(D400&lt;&gt;"",E400&lt;&gt;""),IF(D400="",0,D400)+IF(E400="",0,E400),"")</f>
        <v/>
      </c>
      <c r="G400" t="inlineStr">
        <is>
          <t>Chris · SUPERMERCADO · Día · sin fecha día · REVISAR</t>
        </is>
      </c>
    </row>
    <row r="401">
      <c r="A401" t="inlineStr">
        <is>
          <t>Septiembre</t>
        </is>
      </c>
      <c r="B401" s="52" t="n">
        <v>46295</v>
      </c>
      <c r="C401" t="inlineStr">
        <is>
          <t>SUPERMERCADO · Día</t>
        </is>
      </c>
      <c r="E401" t="n">
        <v>4739</v>
      </c>
      <c r="F401">
        <f>IF(OR(D401&lt;&gt;"",E401&lt;&gt;""),IF(D401="",0,D401)+IF(E401="",0,E401),"")</f>
        <v/>
      </c>
      <c r="G401" t="inlineStr">
        <is>
          <t>Chris · SUPERMERCADO · Día · sin fecha día · REVISAR</t>
        </is>
      </c>
    </row>
    <row r="402">
      <c r="A402" t="inlineStr">
        <is>
          <t>Septiembre</t>
        </is>
      </c>
      <c r="B402" s="52" t="n">
        <v>46295</v>
      </c>
      <c r="C402" t="inlineStr">
        <is>
          <t>PEDIDOS YA · COMIDA</t>
        </is>
      </c>
      <c r="E402" t="n">
        <v>23424</v>
      </c>
      <c r="F402">
        <f>IF(OR(D402&lt;&gt;"",E402&lt;&gt;""),IF(D402="",0,D402)+IF(E402="",0,E402),"")</f>
        <v/>
      </c>
      <c r="G402" t="inlineStr">
        <is>
          <t>Chris · PEDIDOS YA · COMIDA · sin fecha día · REVISAR · confirmar si Market</t>
        </is>
      </c>
    </row>
    <row r="403">
      <c r="A403" t="inlineStr">
        <is>
          <t>Septiembre</t>
        </is>
      </c>
      <c r="B403" s="52" t="n">
        <v>46295</v>
      </c>
      <c r="C403" t="inlineStr">
        <is>
          <t>SUPERMERCADO · Día</t>
        </is>
      </c>
      <c r="E403" t="n">
        <v>7439</v>
      </c>
      <c r="F403">
        <f>IF(OR(D403&lt;&gt;"",E403&lt;&gt;""),IF(D403="",0,D403)+IF(E403="",0,E403),"")</f>
        <v/>
      </c>
      <c r="G403" t="inlineStr">
        <is>
          <t>Chris · SUPERMERCADO · Día · sin fecha día · REVISAR</t>
        </is>
      </c>
    </row>
    <row r="404">
      <c r="A404" t="inlineStr">
        <is>
          <t>Septiembre</t>
        </is>
      </c>
      <c r="B404" s="52" t="n">
        <v>46295</v>
      </c>
      <c r="C404" t="inlineStr">
        <is>
          <t>SUPERMERCADO · Día</t>
        </is>
      </c>
      <c r="E404" t="n">
        <v>5716</v>
      </c>
      <c r="F404">
        <f>IF(OR(D404&lt;&gt;"",E404&lt;&gt;""),IF(D404="",0,D404)+IF(E404="",0,E404),"")</f>
        <v/>
      </c>
      <c r="G404" t="inlineStr">
        <is>
          <t>Chris · SUPERMERCADO · Día · sin fecha día · REVISAR</t>
        </is>
      </c>
    </row>
    <row r="405">
      <c r="A405" t="inlineStr">
        <is>
          <t>Septiembre</t>
        </is>
      </c>
      <c r="B405" s="52" t="n">
        <v>46295</v>
      </c>
      <c r="C405" t="inlineStr">
        <is>
          <t>SUPERMERCADO · Día</t>
        </is>
      </c>
      <c r="E405" t="n">
        <v>3768</v>
      </c>
      <c r="F405">
        <f>IF(OR(D405&lt;&gt;"",E405&lt;&gt;""),IF(D405="",0,D405)+IF(E405="",0,E405),"")</f>
        <v/>
      </c>
      <c r="G405" t="inlineStr">
        <is>
          <t>Chris · SUPERMERCADO · Día · sin fecha día · REVISAR</t>
        </is>
      </c>
    </row>
    <row r="406">
      <c r="A406" t="inlineStr">
        <is>
          <t>Septiembre</t>
        </is>
      </c>
      <c r="B406" s="52" t="n">
        <v>46295</v>
      </c>
      <c r="C406" t="inlineStr">
        <is>
          <t>COMIDA · Vinos</t>
        </is>
      </c>
      <c r="E406" t="n">
        <v>17780</v>
      </c>
      <c r="F406">
        <f>IF(OR(D406&lt;&gt;"",E406&lt;&gt;""),IF(D406="",0,D406)+IF(E406="",0,E406),"")</f>
        <v/>
      </c>
      <c r="G406" t="inlineStr">
        <is>
          <t>Chris · COMIDA · Vinos · sin fecha día · REVISAR</t>
        </is>
      </c>
    </row>
    <row r="407">
      <c r="A407" t="inlineStr">
        <is>
          <t>Septiembre</t>
        </is>
      </c>
      <c r="B407" s="52" t="n">
        <v>46295</v>
      </c>
      <c r="C407" t="inlineStr">
        <is>
          <t>REVISAR · sin comercio</t>
        </is>
      </c>
      <c r="E407" t="n">
        <v>48960</v>
      </c>
      <c r="F407">
        <f>IF(OR(D407&lt;&gt;"",E407&lt;&gt;""),IF(D407="",0,D407)+IF(E407="",0,E407),"")</f>
        <v/>
      </c>
      <c r="G407" t="inlineStr">
        <is>
          <t>Chris · REVISAR · monto sin comercio en listado · sin fecha día</t>
        </is>
      </c>
    </row>
    <row r="408">
      <c r="A408" t="inlineStr">
        <is>
          <t>Septiembre</t>
        </is>
      </c>
      <c r="B408" s="52" t="n">
        <v>46295</v>
      </c>
      <c r="C408" t="inlineStr">
        <is>
          <t>COMIDA · VERDULERÍA</t>
        </is>
      </c>
      <c r="E408" t="n">
        <v>7912</v>
      </c>
      <c r="F408">
        <f>IF(OR(D408&lt;&gt;"",E408&lt;&gt;""),IF(D408="",0,D408)+IF(E408="",0,E408),"")</f>
        <v/>
      </c>
      <c r="G408" t="inlineStr">
        <is>
          <t>Chris · COMIDA · VERDULERÍA · sin fecha día · REVISAR</t>
        </is>
      </c>
    </row>
    <row r="409">
      <c r="A409" t="inlineStr">
        <is>
          <t>Septiembre</t>
        </is>
      </c>
      <c r="B409" s="52" t="n">
        <v>46295</v>
      </c>
      <c r="C409" t="inlineStr">
        <is>
          <t>COMIDA · pollo</t>
        </is>
      </c>
      <c r="E409" t="n">
        <v>10140</v>
      </c>
      <c r="F409">
        <f>IF(OR(D409&lt;&gt;"",E409&lt;&gt;""),IF(D409="",0,D409)+IF(E409="",0,E409),"")</f>
        <v/>
      </c>
      <c r="G409" t="inlineStr">
        <is>
          <t>Chris · COMIDA · pollo · sin fecha día · REVISAR</t>
        </is>
      </c>
    </row>
    <row r="410">
      <c r="A410" t="inlineStr">
        <is>
          <t>Septiembre</t>
        </is>
      </c>
      <c r="B410" s="52" t="n">
        <v>46275</v>
      </c>
      <c r="C410" t="inlineStr">
        <is>
          <t>RAMON · Comida</t>
        </is>
      </c>
      <c r="D410" t="n">
        <v>131000</v>
      </c>
      <c r="F410">
        <f>IF(OR(D410&lt;&gt;"",E410&lt;&gt;""),IF(D410="",0,D410)+IF(E410="",0,E410),"")</f>
        <v/>
      </c>
      <c r="G410" t="inlineStr">
        <is>
          <t>RAMON · Comida · DR BARF · Cova Abreu Gibiana Del Valle · transferencia MP · ALMACEN SOL</t>
        </is>
      </c>
    </row>
    <row r="411">
      <c r="A411" t="inlineStr">
        <is>
          <t>Septiembre</t>
        </is>
      </c>
      <c r="B411" s="52" t="n">
        <v>46030</v>
      </c>
      <c r="C411" t="inlineStr">
        <is>
          <t>COMIDA · Pescadería Belgrano</t>
        </is>
      </c>
      <c r="D411" t="n">
        <v>12426</v>
      </c>
      <c r="F411">
        <f>IF(OR(D411&lt;&gt;"",E411&lt;&gt;""),IF(D411="",0,D411)+IF(E411="",0,E411),"")</f>
        <v/>
      </c>
      <c r="G411" t="inlineStr">
        <is>
          <t>AJUSTE SEPT · gasto origen Enero 08/01/2026 · no se pasó/rindió en el mes de origen por error · COMIDA · Pescadería Belgrano · Andres Javier Di Pasqua · MP cuenta · ALMACEN SOL</t>
        </is>
      </c>
    </row>
    <row r="412">
      <c r="A412" t="inlineStr">
        <is>
          <t>Septiembre</t>
        </is>
      </c>
      <c r="B412" s="52" t="n">
        <v>46059</v>
      </c>
      <c r="C412" t="inlineStr">
        <is>
          <t>COMIDA · Pescadería Belgrano</t>
        </is>
      </c>
      <c r="D412" t="n">
        <v>24852</v>
      </c>
      <c r="F412">
        <f>IF(OR(D412&lt;&gt;"",E412&lt;&gt;""),IF(D412="",0,D412)+IF(E412="",0,E412),"")</f>
        <v/>
      </c>
      <c r="G412" t="inlineStr">
        <is>
          <t>AJUSTE SEPT · gasto origen Febrero 06/02/2026 · no se pasó/rindió en el mes de origen por error · COMIDA · Pescadería Belgrano · Andres Javier Di Pasqua · MP cuenta · ALMACEN SOL</t>
        </is>
      </c>
    </row>
    <row r="413">
      <c r="A413" t="inlineStr">
        <is>
          <t>Septiembre</t>
        </is>
      </c>
      <c r="B413" s="52" t="n">
        <v>46153</v>
      </c>
      <c r="C413" t="inlineStr">
        <is>
          <t>COMIDA · Pescadería Belgrano</t>
        </is>
      </c>
      <c r="D413" t="n">
        <v>24852</v>
      </c>
      <c r="F413">
        <f>IF(OR(D413&lt;&gt;"",E413&lt;&gt;""),IF(D413="",0,D413)+IF(E413="",0,E413),"")</f>
        <v/>
      </c>
      <c r="G413" t="inlineStr">
        <is>
          <t>AJUSTE SEPT · gasto origen Mayo 11/05/2026 · no se pasó/rindió en el mes de origen por error · COMIDA · Pescadería Belgrano · Mercado Pago · Gmail Pago aprobado · ALMACEN SOL</t>
        </is>
      </c>
    </row>
    <row r="414">
      <c r="A414" t="inlineStr">
        <is>
          <t>Septiembre</t>
        </is>
      </c>
      <c r="B414" s="52" t="n">
        <v>46175</v>
      </c>
      <c r="C414" t="inlineStr">
        <is>
          <t>COMIDA · Pescadería Belgrano</t>
        </is>
      </c>
      <c r="D414" t="n">
        <v>32046</v>
      </c>
      <c r="F414">
        <f>IF(OR(D414&lt;&gt;"",E414&lt;&gt;""),IF(D414="",0,D414)+IF(E414="",0,E414),"")</f>
        <v/>
      </c>
      <c r="G414" t="inlineStr">
        <is>
          <t>AJUSTE SEPT · gasto origen Junio 02/06/2026 · no se pasó/rindió en el mes de origen por error · COMIDA · Pescadería Belgrano · Mercado Pago · Gmail Pago aprobado · ALMACEN SOL</t>
        </is>
      </c>
    </row>
    <row r="415">
      <c r="A415" t="inlineStr">
        <is>
          <t>Septiembre</t>
        </is>
      </c>
      <c r="B415" s="52" t="n">
        <v>46207</v>
      </c>
      <c r="C415" t="inlineStr">
        <is>
          <t>RAMON · Comida</t>
        </is>
      </c>
      <c r="D415" t="n">
        <v>149500</v>
      </c>
      <c r="F415">
        <f>IF(OR(D415&lt;&gt;"",E415&lt;&gt;""),IF(D415="",0,D415)+IF(E415="",0,E415),"")</f>
        <v/>
      </c>
      <c r="G415" t="inlineStr">
        <is>
          <t>AJUSTE SEPT · gasto origen Julio 04/07/2026 · no se pasó/rindió en el mes de origen por error · RAMON · Comida · DR BARF · pedido #462 · checkout $149.500 · ALMACEN SOL</t>
        </is>
      </c>
    </row>
    <row r="416">
      <c r="A416" t="inlineStr">
        <is>
          <t>Septiembre</t>
        </is>
      </c>
      <c r="B416" s="52" t="n">
        <v>46235</v>
      </c>
      <c r="C416" t="inlineStr">
        <is>
          <t>RAMON · Comida</t>
        </is>
      </c>
      <c r="D416" t="n">
        <v>176000</v>
      </c>
      <c r="F416">
        <f>IF(OR(D416&lt;&gt;"",E416&lt;&gt;""),IF(D416="",0,D416)+IF(E416="",0,E416),"")</f>
        <v/>
      </c>
      <c r="G416" t="inlineStr">
        <is>
          <t>AJUSTE SEPT · gasto origen Agosto 01/08/2026 · no se pasó/rindió en el mes de origen por error · RAMON · Comida · DR BARF · Gibiana Cova · BBVA · ALMACEN SOL</t>
        </is>
      </c>
    </row>
    <row r="417">
      <c r="A417" t="inlineStr">
        <is>
          <t>Septiembre</t>
        </is>
      </c>
      <c r="B417" s="52" t="n">
        <v>46250</v>
      </c>
      <c r="C417" t="inlineStr">
        <is>
          <t>ENTRETENIMIENTO · Social</t>
        </is>
      </c>
      <c r="D417" t="n">
        <v>1060501</v>
      </c>
      <c r="F417">
        <f>IF(OR(D417&lt;&gt;"",E417&lt;&gt;""),IF(D417="",0,D417)+IF(E417="",0,E417),"")</f>
        <v/>
      </c>
      <c r="G417" t="inlineStr">
        <is>
          <t>AJUSTE SEPT · gasto origen Agosto 16/08/2026 · no se pasó/rindió en el mes de origen por error · ENTRETENIMIENTO · Social · Gardiner Restaurant · BBVA VISA · mesa 9 · ALMACEN SOL</t>
        </is>
      </c>
    </row>
    <row r="418">
      <c r="A418" t="inlineStr">
        <is>
          <t>Septiembre</t>
        </is>
      </c>
      <c r="B418" s="52" t="n">
        <v>46256</v>
      </c>
      <c r="C418" t="inlineStr">
        <is>
          <t>RAMON · Otros</t>
        </is>
      </c>
      <c r="D418" t="n">
        <v>77200</v>
      </c>
      <c r="F418">
        <f>IF(OR(D418&lt;&gt;"",E418&lt;&gt;""),IF(D418="",0,D418)+IF(E418="",0,E418),"")</f>
        <v/>
      </c>
      <c r="G418" t="inlineStr">
        <is>
          <t>AJUSTE SEPT · gasto origen Agosto 22/08/2026 · no se pasó/rindió en el mes de origen por error · RAMON · Otros · Paws Pet Market · BBVA VISA · 3 cuotas · ALMACEN SOL</t>
        </is>
      </c>
    </row>
    <row r="419">
      <c r="A419" t="inlineStr">
        <is>
          <t>Septiembre</t>
        </is>
      </c>
      <c r="F419">
        <f>IF(OR(D419&lt;&gt;"",E419&lt;&gt;""),IF(D419="",0,D419)+IF(E419="",0,E419),"")</f>
        <v/>
      </c>
    </row>
    <row r="420">
      <c r="A420" t="inlineStr">
        <is>
          <t>Septiembre</t>
        </is>
      </c>
      <c r="F420">
        <f>IF(OR(D420&lt;&gt;"",E420&lt;&gt;""),IF(D420="",0,D420)+IF(E420="",0,E420),"")</f>
        <v/>
      </c>
    </row>
    <row r="421">
      <c r="A421" t="inlineStr">
        <is>
          <t>Septiembre</t>
        </is>
      </c>
      <c r="F421">
        <f>IF(OR(D421&lt;&gt;"",E421&lt;&gt;""),IF(D421="",0,D421)+IF(E421="",0,E421),"")</f>
        <v/>
      </c>
    </row>
    <row r="422">
      <c r="A422" t="inlineStr">
        <is>
          <t>Septiembre</t>
        </is>
      </c>
      <c r="F422">
        <f>IF(OR(D422&lt;&gt;"",E422&lt;&gt;""),IF(D422="",0,D422)+IF(E422="",0,E422),"")</f>
        <v/>
      </c>
    </row>
    <row r="423">
      <c r="A423" t="inlineStr">
        <is>
          <t>Septiembre</t>
        </is>
      </c>
      <c r="F423">
        <f>IF(OR(D423&lt;&gt;"",E423&lt;&gt;""),IF(D423="",0,D423)+IF(E423="",0,E423),"")</f>
        <v/>
      </c>
    </row>
    <row r="424">
      <c r="A424" t="inlineStr">
        <is>
          <t>Septiembre</t>
        </is>
      </c>
      <c r="F424">
        <f>IF(OR(D424&lt;&gt;"",E424&lt;&gt;""),IF(D424="",0,D424)+IF(E424="",0,E424),"")</f>
        <v/>
      </c>
    </row>
    <row r="425">
      <c r="A425" t="inlineStr">
        <is>
          <t>Septiembre</t>
        </is>
      </c>
      <c r="F425">
        <f>IF(OR(D425&lt;&gt;"",E425&lt;&gt;""),IF(D425="",0,D425)+IF(E425="",0,E425),"")</f>
        <v/>
      </c>
    </row>
    <row r="426">
      <c r="A426" s="10" t="inlineStr">
        <is>
          <t>TOTAL SEPTIEMBRE</t>
        </is>
      </c>
      <c r="B426" s="22" t="n"/>
      <c r="C426" s="29" t="inlineStr">
        <is>
          <t>Totales mes →</t>
        </is>
      </c>
      <c r="D426" s="7">
        <f>SUMIFS($D$4:$D$800,$A$4:$A$800,"Septiembre")</f>
        <v/>
      </c>
      <c r="E426" s="7">
        <f>SUMIFS($E$4:$E$800,$A$4:$A$800,"Septiembre")</f>
        <v/>
      </c>
      <c r="F426" s="7">
        <f>D426+E426</f>
        <v/>
      </c>
      <c r="G426" s="22" t="n"/>
    </row>
    <row r="427"/>
    <row r="428">
      <c r="A428" s="14" t="inlineStr">
        <is>
          <t>Octubre</t>
        </is>
      </c>
      <c r="B428" s="17" t="n"/>
      <c r="C428" s="14" t="n"/>
      <c r="D428" s="27" t="n"/>
      <c r="E428" s="28" t="n"/>
      <c r="F428" s="15">
        <f>IF(OR(D382&lt;&gt;"",E382&lt;&gt;""),IF(D382="",0,D382)+IF(E382="",0,E382),"")</f>
        <v/>
      </c>
      <c r="G428" s="14" t="n"/>
    </row>
    <row r="429">
      <c r="A429" s="14" t="inlineStr">
        <is>
          <t>Octubre</t>
        </is>
      </c>
      <c r="B429" s="17" t="n"/>
      <c r="C429" s="14" t="n"/>
      <c r="D429" s="27" t="n"/>
      <c r="E429" s="28" t="n"/>
      <c r="F429" s="15">
        <f>IF(OR(D383&lt;&gt;"",E383&lt;&gt;""),IF(D383="",0,D383)+IF(E383="",0,E383),"")</f>
        <v/>
      </c>
      <c r="G429" s="14" t="n"/>
    </row>
    <row r="430">
      <c r="A430" s="14" t="inlineStr">
        <is>
          <t>Octubre</t>
        </is>
      </c>
      <c r="B430" s="17" t="n"/>
      <c r="C430" s="14" t="n"/>
      <c r="D430" s="27" t="n"/>
      <c r="E430" s="28" t="n"/>
      <c r="F430" s="15">
        <f>IF(OR(D384&lt;&gt;"",E384&lt;&gt;""),IF(D384="",0,D384)+IF(E384="",0,E384),"")</f>
        <v/>
      </c>
      <c r="G430" s="14" t="n"/>
    </row>
    <row r="431">
      <c r="A431" s="14" t="inlineStr">
        <is>
          <t>Octubre</t>
        </is>
      </c>
      <c r="B431" s="17" t="n"/>
      <c r="C431" s="14" t="n"/>
      <c r="D431" s="27" t="n"/>
      <c r="E431" s="28" t="n"/>
      <c r="F431" s="15">
        <f>IF(OR(D385&lt;&gt;"",E385&lt;&gt;""),IF(D385="",0,D385)+IF(E385="",0,E385),"")</f>
        <v/>
      </c>
      <c r="G431" s="14" t="n"/>
    </row>
    <row r="432">
      <c r="A432" s="14" t="inlineStr">
        <is>
          <t>Octubre</t>
        </is>
      </c>
      <c r="B432" s="17" t="n"/>
      <c r="C432" s="14" t="n"/>
      <c r="D432" s="27" t="n"/>
      <c r="E432" s="28" t="n"/>
      <c r="F432" s="15">
        <f>IF(OR(D386&lt;&gt;"",E386&lt;&gt;""),IF(D386="",0,D386)+IF(E386="",0,E386),"")</f>
        <v/>
      </c>
      <c r="G432" s="14" t="n"/>
    </row>
    <row r="433">
      <c r="A433" s="14" t="inlineStr">
        <is>
          <t>Octubre</t>
        </is>
      </c>
      <c r="B433" s="17" t="n"/>
      <c r="C433" s="14" t="n"/>
      <c r="D433" s="27" t="n"/>
      <c r="E433" s="28" t="n"/>
      <c r="F433" s="15">
        <f>IF(OR(D387&lt;&gt;"",E387&lt;&gt;""),IF(D387="",0,D387)+IF(E387="",0,E387),"")</f>
        <v/>
      </c>
      <c r="G433" s="14" t="n"/>
    </row>
    <row r="434">
      <c r="A434" s="14" t="inlineStr">
        <is>
          <t>Octubre</t>
        </is>
      </c>
      <c r="B434" s="17" t="n"/>
      <c r="C434" s="14" t="n"/>
      <c r="D434" s="27" t="n"/>
      <c r="E434" s="28" t="n"/>
      <c r="F434" s="15">
        <f>IF(OR(D388&lt;&gt;"",E388&lt;&gt;""),IF(D388="",0,D388)+IF(E388="",0,E388),"")</f>
        <v/>
      </c>
      <c r="G434" s="14" t="n"/>
    </row>
    <row r="435">
      <c r="A435" s="14" t="inlineStr">
        <is>
          <t>Octubre</t>
        </is>
      </c>
      <c r="B435" s="17" t="n"/>
      <c r="C435" s="14" t="n"/>
      <c r="D435" s="27" t="n"/>
      <c r="E435" s="28" t="n"/>
      <c r="F435" s="15">
        <f>IF(OR(D389&lt;&gt;"",E389&lt;&gt;""),IF(D389="",0,D389)+IF(E389="",0,E389),"")</f>
        <v/>
      </c>
      <c r="G435" s="14" t="n"/>
    </row>
    <row r="436">
      <c r="A436" s="14" t="inlineStr">
        <is>
          <t>Octubre</t>
        </is>
      </c>
      <c r="B436" s="17" t="n"/>
      <c r="C436" s="14" t="n"/>
      <c r="D436" s="27" t="n"/>
      <c r="E436" s="28" t="n"/>
      <c r="F436" s="15">
        <f>IF(OR(D390&lt;&gt;"",E390&lt;&gt;""),IF(D390="",0,D390)+IF(E390="",0,E390),"")</f>
        <v/>
      </c>
      <c r="G436" s="14" t="n"/>
    </row>
    <row r="437">
      <c r="A437" s="14" t="inlineStr">
        <is>
          <t>Octubre</t>
        </is>
      </c>
      <c r="B437" s="17" t="n"/>
      <c r="C437" s="14" t="n"/>
      <c r="D437" s="27" t="n"/>
      <c r="E437" s="28" t="n"/>
      <c r="F437" s="15">
        <f>IF(OR(D391&lt;&gt;"",E391&lt;&gt;""),IF(D391="",0,D391)+IF(E391="",0,E391),"")</f>
        <v/>
      </c>
      <c r="G437" s="14" t="n"/>
    </row>
    <row r="438">
      <c r="A438" s="14" t="inlineStr">
        <is>
          <t>Octubre</t>
        </is>
      </c>
      <c r="B438" s="17" t="n"/>
      <c r="C438" s="14" t="n"/>
      <c r="D438" s="27" t="n"/>
      <c r="E438" s="28" t="n"/>
      <c r="F438" s="15">
        <f>IF(OR(D392&lt;&gt;"",E392&lt;&gt;""),IF(D392="",0,D392)+IF(E392="",0,E392),"")</f>
        <v/>
      </c>
      <c r="G438" s="14" t="n"/>
    </row>
    <row r="439">
      <c r="A439" s="14" t="inlineStr">
        <is>
          <t>Octubre</t>
        </is>
      </c>
      <c r="B439" s="17" t="n"/>
      <c r="C439" s="14" t="n"/>
      <c r="D439" s="27" t="n"/>
      <c r="E439" s="28" t="n"/>
      <c r="F439" s="15">
        <f>IF(OR(D393&lt;&gt;"",E393&lt;&gt;""),IF(D393="",0,D393)+IF(E393="",0,E393),"")</f>
        <v/>
      </c>
      <c r="G439" s="14" t="n"/>
    </row>
    <row r="440">
      <c r="A440" s="14" t="inlineStr">
        <is>
          <t>Octubre</t>
        </is>
      </c>
      <c r="B440" s="17" t="n"/>
      <c r="C440" s="14" t="n"/>
      <c r="D440" s="27" t="n"/>
      <c r="E440" s="28" t="n"/>
      <c r="F440" s="15">
        <f>IF(OR(D394&lt;&gt;"",E394&lt;&gt;""),IF(D394="",0,D394)+IF(E394="",0,E394),"")</f>
        <v/>
      </c>
      <c r="G440" s="14" t="n"/>
    </row>
    <row r="441">
      <c r="A441" s="14" t="inlineStr">
        <is>
          <t>Octubre</t>
        </is>
      </c>
      <c r="B441" s="17" t="n"/>
      <c r="C441" s="14" t="n"/>
      <c r="D441" s="27" t="n"/>
      <c r="E441" s="28" t="n"/>
      <c r="F441" s="15">
        <f>IF(OR(D395&lt;&gt;"",E395&lt;&gt;""),IF(D395="",0,D395)+IF(E395="",0,E395),"")</f>
        <v/>
      </c>
      <c r="G441" s="14" t="n"/>
    </row>
    <row r="442">
      <c r="A442" s="14" t="inlineStr">
        <is>
          <t>Octubre</t>
        </is>
      </c>
      <c r="B442" s="17" t="n"/>
      <c r="C442" s="14" t="n"/>
      <c r="D442" s="27" t="n"/>
      <c r="E442" s="28" t="n"/>
      <c r="F442" s="15">
        <f>IF(OR(D396&lt;&gt;"",E396&lt;&gt;""),IF(D396="",0,D396)+IF(E396="",0,E396),"")</f>
        <v/>
      </c>
      <c r="G442" s="14" t="n"/>
    </row>
    <row r="443">
      <c r="A443" s="14" t="inlineStr">
        <is>
          <t>Octubre</t>
        </is>
      </c>
      <c r="B443" s="17" t="n"/>
      <c r="C443" s="14" t="n"/>
      <c r="D443" s="27" t="n"/>
      <c r="E443" s="28" t="n"/>
      <c r="F443" s="15">
        <f>IF(OR(D397&lt;&gt;"",E397&lt;&gt;""),IF(D397="",0,D397)+IF(E397="",0,E397),"")</f>
        <v/>
      </c>
      <c r="G443" s="14" t="n"/>
    </row>
    <row r="444">
      <c r="A444" s="14" t="inlineStr">
        <is>
          <t>Octubre</t>
        </is>
      </c>
      <c r="B444" s="17" t="n"/>
      <c r="C444" s="14" t="n"/>
      <c r="D444" s="27" t="n"/>
      <c r="E444" s="28" t="n"/>
      <c r="F444" s="15">
        <f>IF(OR(D398&lt;&gt;"",E398&lt;&gt;""),IF(D398="",0,D398)+IF(E398="",0,E398),"")</f>
        <v/>
      </c>
      <c r="G444" s="14" t="n"/>
    </row>
    <row r="445">
      <c r="A445" s="14" t="inlineStr">
        <is>
          <t>Octubre</t>
        </is>
      </c>
      <c r="B445" s="17" t="n"/>
      <c r="C445" s="14" t="n"/>
      <c r="D445" s="27" t="n"/>
      <c r="E445" s="28" t="n"/>
      <c r="F445" s="15">
        <f>IF(OR(D399&lt;&gt;"",E399&lt;&gt;""),IF(D399="",0,D399)+IF(E399="",0,E399),"")</f>
        <v/>
      </c>
      <c r="G445" s="14" t="n"/>
    </row>
    <row r="446">
      <c r="A446" s="14" t="inlineStr">
        <is>
          <t>Octubre</t>
        </is>
      </c>
      <c r="B446" s="17" t="n"/>
      <c r="C446" s="14" t="n"/>
      <c r="D446" s="27" t="n"/>
      <c r="E446" s="28" t="n"/>
      <c r="F446" s="15">
        <f>IF(OR(D400&lt;&gt;"",E400&lt;&gt;""),IF(D400="",0,D400)+IF(E400="",0,E400),"")</f>
        <v/>
      </c>
      <c r="G446" s="14" t="n"/>
    </row>
    <row r="447">
      <c r="A447" s="14" t="inlineStr">
        <is>
          <t>Octubre</t>
        </is>
      </c>
      <c r="B447" s="17" t="n"/>
      <c r="C447" s="14" t="n"/>
      <c r="D447" s="27" t="n"/>
      <c r="E447" s="28" t="n"/>
      <c r="F447" s="15">
        <f>IF(OR(D401&lt;&gt;"",E401&lt;&gt;""),IF(D401="",0,D401)+IF(E401="",0,E401),"")</f>
        <v/>
      </c>
      <c r="G447" s="14" t="n"/>
    </row>
    <row r="448">
      <c r="A448" s="14" t="inlineStr">
        <is>
          <t>Octubre</t>
        </is>
      </c>
      <c r="B448" s="17" t="n"/>
      <c r="C448" s="14" t="n"/>
      <c r="D448" s="27" t="n"/>
      <c r="E448" s="28" t="n"/>
      <c r="F448" s="15">
        <f>IF(OR(D402&lt;&gt;"",E402&lt;&gt;""),IF(D402="",0,D402)+IF(E402="",0,E402),"")</f>
        <v/>
      </c>
      <c r="G448" s="14" t="n"/>
    </row>
    <row r="449">
      <c r="A449" s="14" t="inlineStr">
        <is>
          <t>Octubre</t>
        </is>
      </c>
      <c r="B449" s="17" t="n"/>
      <c r="C449" s="14" t="n"/>
      <c r="D449" s="27" t="n"/>
      <c r="E449" s="28" t="n"/>
      <c r="F449" s="15">
        <f>IF(OR(D403&lt;&gt;"",E403&lt;&gt;""),IF(D403="",0,D403)+IF(E403="",0,E403),"")</f>
        <v/>
      </c>
      <c r="G449" s="14" t="n"/>
    </row>
    <row r="450">
      <c r="A450" s="14" t="inlineStr">
        <is>
          <t>Octubre</t>
        </is>
      </c>
      <c r="B450" s="17" t="n"/>
      <c r="C450" s="14" t="n"/>
      <c r="D450" s="27" t="n"/>
      <c r="E450" s="28" t="n"/>
      <c r="F450" s="15">
        <f>IF(OR(D404&lt;&gt;"",E404&lt;&gt;""),IF(D404="",0,D404)+IF(E404="",0,E404),"")</f>
        <v/>
      </c>
      <c r="G450" s="14" t="n"/>
    </row>
    <row r="451">
      <c r="A451" s="14" t="inlineStr">
        <is>
          <t>Octubre</t>
        </is>
      </c>
      <c r="B451" s="17" t="n"/>
      <c r="C451" s="14" t="n"/>
      <c r="D451" s="27" t="n"/>
      <c r="E451" s="28" t="n"/>
      <c r="F451" s="15">
        <f>IF(OR(D405&lt;&gt;"",E405&lt;&gt;""),IF(D405="",0,D405)+IF(E405="",0,E405),"")</f>
        <v/>
      </c>
      <c r="G451" s="14" t="n"/>
    </row>
    <row r="452">
      <c r="A452" s="14" t="inlineStr">
        <is>
          <t>Octubre</t>
        </is>
      </c>
      <c r="B452" s="17" t="n"/>
      <c r="C452" s="14" t="n"/>
      <c r="D452" s="27" t="n"/>
      <c r="E452" s="28" t="n"/>
      <c r="F452" s="15">
        <f>IF(OR(D406&lt;&gt;"",E406&lt;&gt;""),IF(D406="",0,D406)+IF(E406="",0,E406),"")</f>
        <v/>
      </c>
      <c r="G452" s="14" t="n"/>
    </row>
    <row r="453">
      <c r="A453" s="14" t="inlineStr">
        <is>
          <t>Octubre</t>
        </is>
      </c>
      <c r="B453" s="17" t="n"/>
      <c r="C453" s="14" t="n"/>
      <c r="D453" s="27" t="n"/>
      <c r="E453" s="28" t="n"/>
      <c r="F453" s="15">
        <f>IF(OR(D407&lt;&gt;"",E407&lt;&gt;""),IF(D407="",0,D407)+IF(E407="",0,E407),"")</f>
        <v/>
      </c>
      <c r="G453" s="14" t="n"/>
    </row>
    <row r="454">
      <c r="A454" s="14" t="inlineStr">
        <is>
          <t>Octubre</t>
        </is>
      </c>
      <c r="B454" s="17" t="n"/>
      <c r="C454" s="14" t="n"/>
      <c r="D454" s="27" t="n"/>
      <c r="E454" s="28" t="n"/>
      <c r="F454" s="15">
        <f>IF(OR(D408&lt;&gt;"",E408&lt;&gt;""),IF(D408="",0,D408)+IF(E408="",0,E408),"")</f>
        <v/>
      </c>
      <c r="G454" s="14" t="n"/>
    </row>
    <row r="455">
      <c r="A455" s="14" t="inlineStr">
        <is>
          <t>Octubre</t>
        </is>
      </c>
      <c r="B455" s="17" t="n"/>
      <c r="C455" s="14" t="n"/>
      <c r="D455" s="27" t="n"/>
      <c r="E455" s="28" t="n"/>
      <c r="F455" s="15">
        <f>IF(OR(D409&lt;&gt;"",E409&lt;&gt;""),IF(D409="",0,D409)+IF(E409="",0,E409),"")</f>
        <v/>
      </c>
      <c r="G455" s="14" t="n"/>
    </row>
    <row r="456">
      <c r="A456" s="14" t="inlineStr">
        <is>
          <t>Octubre</t>
        </is>
      </c>
      <c r="B456" s="17" t="n"/>
      <c r="C456" s="14" t="n"/>
      <c r="D456" s="27" t="n"/>
      <c r="E456" s="28" t="n"/>
      <c r="F456" s="15">
        <f>IF(OR(D410&lt;&gt;"",E410&lt;&gt;""),IF(D410="",0,D410)+IF(E410="",0,E410),"")</f>
        <v/>
      </c>
      <c r="G456" s="14" t="n"/>
    </row>
    <row r="457">
      <c r="A457" s="14" t="inlineStr">
        <is>
          <t>Octubre</t>
        </is>
      </c>
      <c r="B457" s="17" t="n"/>
      <c r="C457" s="14" t="n"/>
      <c r="D457" s="27" t="n"/>
      <c r="E457" s="28" t="n"/>
      <c r="F457" s="15">
        <f>IF(OR(D411&lt;&gt;"",E411&lt;&gt;""),IF(D411="",0,D411)+IF(E411="",0,E411),"")</f>
        <v/>
      </c>
      <c r="G457" s="14" t="n"/>
    </row>
    <row r="458">
      <c r="A458" s="14" t="inlineStr">
        <is>
          <t>Octubre</t>
        </is>
      </c>
      <c r="B458" s="17" t="n"/>
      <c r="C458" s="14" t="n"/>
      <c r="D458" s="27" t="n"/>
      <c r="E458" s="28" t="n"/>
      <c r="F458" s="15">
        <f>IF(OR(D412&lt;&gt;"",E412&lt;&gt;""),IF(D412="",0,D412)+IF(E412="",0,E412),"")</f>
        <v/>
      </c>
      <c r="G458" s="14" t="n"/>
    </row>
    <row r="459">
      <c r="A459" s="14" t="inlineStr">
        <is>
          <t>Octubre</t>
        </is>
      </c>
      <c r="B459" s="17" t="n"/>
      <c r="C459" s="14" t="n"/>
      <c r="D459" s="27" t="n"/>
      <c r="E459" s="28" t="n"/>
      <c r="F459" s="15">
        <f>IF(OR(D413&lt;&gt;"",E413&lt;&gt;""),IF(D413="",0,D413)+IF(E413="",0,E413),"")</f>
        <v/>
      </c>
      <c r="G459" s="14" t="n"/>
    </row>
    <row r="460">
      <c r="A460" s="14" t="inlineStr">
        <is>
          <t>Octubre</t>
        </is>
      </c>
      <c r="B460" s="17" t="n"/>
      <c r="C460" s="14" t="n"/>
      <c r="D460" s="27" t="n"/>
      <c r="E460" s="28" t="n"/>
      <c r="F460" s="15">
        <f>IF(OR(D414&lt;&gt;"",E414&lt;&gt;""),IF(D414="",0,D414)+IF(E414="",0,E414),"")</f>
        <v/>
      </c>
      <c r="G460" s="14" t="n"/>
    </row>
    <row r="461">
      <c r="A461" s="14" t="inlineStr">
        <is>
          <t>Octubre</t>
        </is>
      </c>
      <c r="B461" s="17" t="n"/>
      <c r="C461" s="14" t="n"/>
      <c r="D461" s="27" t="n"/>
      <c r="E461" s="28" t="n"/>
      <c r="F461" s="15">
        <f>IF(OR(D415&lt;&gt;"",E415&lt;&gt;""),IF(D415="",0,D415)+IF(E415="",0,E415),"")</f>
        <v/>
      </c>
      <c r="G461" s="14" t="n"/>
    </row>
    <row r="462">
      <c r="A462" s="14" t="inlineStr">
        <is>
          <t>Octubre</t>
        </is>
      </c>
      <c r="B462" s="17" t="n"/>
      <c r="C462" s="14" t="n"/>
      <c r="D462" s="27" t="n"/>
      <c r="E462" s="28" t="n"/>
      <c r="F462" s="15">
        <f>IF(OR(D416&lt;&gt;"",E416&lt;&gt;""),IF(D416="",0,D416)+IF(E416="",0,E416),"")</f>
        <v/>
      </c>
      <c r="G462" s="14" t="n"/>
    </row>
    <row r="463">
      <c r="A463" s="14" t="inlineStr">
        <is>
          <t>Octubre</t>
        </is>
      </c>
      <c r="B463" s="17" t="n"/>
      <c r="C463" s="14" t="n"/>
      <c r="D463" s="27" t="n"/>
      <c r="E463" s="28" t="n"/>
      <c r="F463" s="15">
        <f>IF(OR(D417&lt;&gt;"",E417&lt;&gt;""),IF(D417="",0,D417)+IF(E417="",0,E417),"")</f>
        <v/>
      </c>
      <c r="G463" s="14" t="n"/>
    </row>
    <row r="464">
      <c r="A464" s="14" t="inlineStr">
        <is>
          <t>Octubre</t>
        </is>
      </c>
      <c r="B464" s="17" t="n"/>
      <c r="C464" s="14" t="n"/>
      <c r="D464" s="27" t="n"/>
      <c r="E464" s="28" t="n"/>
      <c r="F464" s="15">
        <f>IF(OR(D418&lt;&gt;"",E418&lt;&gt;""),IF(D418="",0,D418)+IF(E418="",0,E418),"")</f>
        <v/>
      </c>
      <c r="G464" s="14" t="n"/>
    </row>
    <row r="465">
      <c r="A465" s="14" t="inlineStr">
        <is>
          <t>Octubre</t>
        </is>
      </c>
      <c r="B465" s="17" t="n"/>
      <c r="C465" s="14" t="n"/>
      <c r="D465" s="27" t="n"/>
      <c r="E465" s="28" t="n"/>
      <c r="F465" s="15">
        <f>IF(OR(D419&lt;&gt;"",E419&lt;&gt;""),IF(D419="",0,D419)+IF(E419="",0,E419),"")</f>
        <v/>
      </c>
      <c r="G465" s="14" t="n"/>
    </row>
    <row r="466">
      <c r="A466" s="14" t="inlineStr">
        <is>
          <t>Octubre</t>
        </is>
      </c>
      <c r="B466" s="17" t="n"/>
      <c r="C466" s="14" t="n"/>
      <c r="D466" s="27" t="n"/>
      <c r="E466" s="28" t="n"/>
      <c r="F466" s="15">
        <f>IF(OR(D420&lt;&gt;"",E420&lt;&gt;""),IF(D420="",0,D420)+IF(E420="",0,E420),"")</f>
        <v/>
      </c>
      <c r="G466" s="14" t="n"/>
    </row>
    <row r="467">
      <c r="A467" s="14" t="inlineStr">
        <is>
          <t>Octubre</t>
        </is>
      </c>
      <c r="B467" s="17" t="n"/>
      <c r="C467" s="14" t="n"/>
      <c r="D467" s="27" t="n"/>
      <c r="E467" s="28" t="n"/>
      <c r="F467" s="15">
        <f>IF(OR(D421&lt;&gt;"",E421&lt;&gt;""),IF(D421="",0,D421)+IF(E421="",0,E421),"")</f>
        <v/>
      </c>
      <c r="G467" s="14" t="n"/>
    </row>
    <row r="468">
      <c r="A468" s="10" t="inlineStr">
        <is>
          <t>TOTAL OCTUBRE</t>
        </is>
      </c>
      <c r="B468" s="22" t="n"/>
      <c r="C468" s="29" t="inlineStr">
        <is>
          <t>Totales mes →</t>
        </is>
      </c>
      <c r="D468" s="7">
        <f>SUMIFS($D$4:$D$800,$A$4:$A$800,"Octubre")</f>
        <v/>
      </c>
      <c r="E468" s="7">
        <f>SUMIFS($E$4:$E$800,$A$4:$A$800,"Octubre")</f>
        <v/>
      </c>
      <c r="F468" s="7">
        <f>D468+E468</f>
        <v/>
      </c>
      <c r="G468" s="22" t="n"/>
    </row>
    <row r="469"/>
    <row r="470">
      <c r="A470" s="14" t="inlineStr">
        <is>
          <t>Noviembre</t>
        </is>
      </c>
      <c r="B470" s="17" t="n"/>
      <c r="C470" s="14" t="n"/>
      <c r="D470" s="27" t="n"/>
      <c r="E470" s="28" t="n"/>
      <c r="F470" s="15">
        <f>IF(OR(D424&lt;&gt;"",E424&lt;&gt;""),IF(D424="",0,D424)+IF(E424="",0,E424),"")</f>
        <v/>
      </c>
      <c r="G470" s="14" t="n"/>
    </row>
    <row r="471">
      <c r="A471" s="14" t="inlineStr">
        <is>
          <t>Noviembre</t>
        </is>
      </c>
      <c r="B471" s="17" t="n"/>
      <c r="C471" s="14" t="n"/>
      <c r="D471" s="27" t="n"/>
      <c r="E471" s="28" t="n"/>
      <c r="F471" s="15">
        <f>IF(OR(D425&lt;&gt;"",E425&lt;&gt;""),IF(D425="",0,D425)+IF(E425="",0,E425),"")</f>
        <v/>
      </c>
      <c r="G471" s="14" t="n"/>
    </row>
    <row r="472">
      <c r="A472" s="14" t="inlineStr">
        <is>
          <t>Noviembre</t>
        </is>
      </c>
      <c r="B472" s="17" t="n"/>
      <c r="C472" s="14" t="n"/>
      <c r="D472" s="27" t="n"/>
      <c r="E472" s="28" t="n"/>
      <c r="F472" s="15">
        <f>IF(OR(D426&lt;&gt;"",E426&lt;&gt;""),IF(D426="",0,D426)+IF(E426="",0,E426),"")</f>
        <v/>
      </c>
      <c r="G472" s="14" t="n"/>
    </row>
    <row r="473">
      <c r="A473" s="14" t="inlineStr">
        <is>
          <t>Noviembre</t>
        </is>
      </c>
      <c r="B473" s="17" t="n"/>
      <c r="C473" s="14" t="n"/>
      <c r="D473" s="27" t="n"/>
      <c r="E473" s="28" t="n"/>
      <c r="F473" s="15">
        <f>IF(OR(D427&lt;&gt;"",E427&lt;&gt;""),IF(D427="",0,D427)+IF(E427="",0,E427),"")</f>
        <v/>
      </c>
      <c r="G473" s="14" t="n"/>
    </row>
    <row r="474">
      <c r="A474" s="14" t="inlineStr">
        <is>
          <t>Noviembre</t>
        </is>
      </c>
      <c r="B474" s="17" t="n"/>
      <c r="C474" s="14" t="n"/>
      <c r="D474" s="27" t="n"/>
      <c r="E474" s="28" t="n"/>
      <c r="F474" s="15">
        <f>IF(OR(D428&lt;&gt;"",E428&lt;&gt;""),IF(D428="",0,D428)+IF(E428="",0,E428),"")</f>
        <v/>
      </c>
      <c r="G474" s="14" t="n"/>
    </row>
    <row r="475">
      <c r="A475" s="14" t="inlineStr">
        <is>
          <t>Noviembre</t>
        </is>
      </c>
      <c r="B475" s="17" t="n"/>
      <c r="C475" s="14" t="n"/>
      <c r="D475" s="27" t="n"/>
      <c r="E475" s="28" t="n"/>
      <c r="F475" s="15">
        <f>IF(OR(D429&lt;&gt;"",E429&lt;&gt;""),IF(D429="",0,D429)+IF(E429="",0,E429),"")</f>
        <v/>
      </c>
      <c r="G475" s="14" t="n"/>
    </row>
    <row r="476">
      <c r="A476" s="14" t="inlineStr">
        <is>
          <t>Noviembre</t>
        </is>
      </c>
      <c r="B476" s="17" t="n"/>
      <c r="C476" s="14" t="n"/>
      <c r="D476" s="27" t="n"/>
      <c r="E476" s="28" t="n"/>
      <c r="F476" s="15">
        <f>IF(OR(D430&lt;&gt;"",E430&lt;&gt;""),IF(D430="",0,D430)+IF(E430="",0,E430),"")</f>
        <v/>
      </c>
      <c r="G476" s="14" t="n"/>
    </row>
    <row r="477">
      <c r="A477" s="14" t="inlineStr">
        <is>
          <t>Noviembre</t>
        </is>
      </c>
      <c r="B477" s="17" t="n"/>
      <c r="C477" s="14" t="n"/>
      <c r="D477" s="27" t="n"/>
      <c r="E477" s="28" t="n"/>
      <c r="F477" s="15">
        <f>IF(OR(D431&lt;&gt;"",E431&lt;&gt;""),IF(D431="",0,D431)+IF(E431="",0,E431),"")</f>
        <v/>
      </c>
      <c r="G477" s="14" t="n"/>
    </row>
    <row r="478">
      <c r="A478" s="14" t="inlineStr">
        <is>
          <t>Noviembre</t>
        </is>
      </c>
      <c r="B478" s="17" t="n"/>
      <c r="C478" s="14" t="n"/>
      <c r="D478" s="27" t="n"/>
      <c r="E478" s="28" t="n"/>
      <c r="F478" s="15">
        <f>IF(OR(D432&lt;&gt;"",E432&lt;&gt;""),IF(D432="",0,D432)+IF(E432="",0,E432),"")</f>
        <v/>
      </c>
      <c r="G478" s="14" t="n"/>
    </row>
    <row r="479">
      <c r="A479" s="14" t="inlineStr">
        <is>
          <t>Noviembre</t>
        </is>
      </c>
      <c r="B479" s="17" t="n"/>
      <c r="C479" s="14" t="n"/>
      <c r="D479" s="27" t="n"/>
      <c r="E479" s="28" t="n"/>
      <c r="F479" s="15">
        <f>IF(OR(D433&lt;&gt;"",E433&lt;&gt;""),IF(D433="",0,D433)+IF(E433="",0,E433),"")</f>
        <v/>
      </c>
      <c r="G479" s="14" t="n"/>
    </row>
    <row r="480">
      <c r="A480" s="14" t="inlineStr">
        <is>
          <t>Noviembre</t>
        </is>
      </c>
      <c r="B480" s="17" t="n"/>
      <c r="C480" s="14" t="n"/>
      <c r="D480" s="27" t="n"/>
      <c r="E480" s="28" t="n"/>
      <c r="F480" s="15">
        <f>IF(OR(D434&lt;&gt;"",E434&lt;&gt;""),IF(D434="",0,D434)+IF(E434="",0,E434),"")</f>
        <v/>
      </c>
      <c r="G480" s="14" t="n"/>
    </row>
    <row r="481">
      <c r="A481" s="14" t="inlineStr">
        <is>
          <t>Noviembre</t>
        </is>
      </c>
      <c r="B481" s="17" t="n"/>
      <c r="C481" s="14" t="n"/>
      <c r="D481" s="27" t="n"/>
      <c r="E481" s="28" t="n"/>
      <c r="F481" s="15">
        <f>IF(OR(D435&lt;&gt;"",E435&lt;&gt;""),IF(D435="",0,D435)+IF(E435="",0,E435),"")</f>
        <v/>
      </c>
      <c r="G481" s="14" t="n"/>
    </row>
    <row r="482">
      <c r="A482" s="14" t="inlineStr">
        <is>
          <t>Noviembre</t>
        </is>
      </c>
      <c r="B482" s="17" t="n"/>
      <c r="C482" s="14" t="n"/>
      <c r="D482" s="27" t="n"/>
      <c r="E482" s="28" t="n"/>
      <c r="F482" s="15">
        <f>IF(OR(D436&lt;&gt;"",E436&lt;&gt;""),IF(D436="",0,D436)+IF(E436="",0,E436),"")</f>
        <v/>
      </c>
      <c r="G482" s="14" t="n"/>
    </row>
    <row r="483">
      <c r="A483" s="14" t="inlineStr">
        <is>
          <t>Noviembre</t>
        </is>
      </c>
      <c r="B483" s="17" t="n"/>
      <c r="C483" s="14" t="n"/>
      <c r="D483" s="27" t="n"/>
      <c r="E483" s="28" t="n"/>
      <c r="F483" s="15">
        <f>IF(OR(D437&lt;&gt;"",E437&lt;&gt;""),IF(D437="",0,D437)+IF(E437="",0,E437),"")</f>
        <v/>
      </c>
      <c r="G483" s="14" t="n"/>
    </row>
    <row r="484">
      <c r="A484" s="14" t="inlineStr">
        <is>
          <t>Noviembre</t>
        </is>
      </c>
      <c r="B484" s="17" t="n"/>
      <c r="C484" s="14" t="n"/>
      <c r="D484" s="27" t="n"/>
      <c r="E484" s="28" t="n"/>
      <c r="F484" s="15">
        <f>IF(OR(D438&lt;&gt;"",E438&lt;&gt;""),IF(D438="",0,D438)+IF(E438="",0,E438),"")</f>
        <v/>
      </c>
      <c r="G484" s="14" t="n"/>
    </row>
    <row r="485">
      <c r="A485" s="14" t="inlineStr">
        <is>
          <t>Noviembre</t>
        </is>
      </c>
      <c r="B485" s="17" t="n"/>
      <c r="C485" s="14" t="n"/>
      <c r="D485" s="27" t="n"/>
      <c r="E485" s="28" t="n"/>
      <c r="F485" s="15">
        <f>IF(OR(D439&lt;&gt;"",E439&lt;&gt;""),IF(D439="",0,D439)+IF(E439="",0,E439),"")</f>
        <v/>
      </c>
      <c r="G485" s="14" t="n"/>
    </row>
    <row r="486">
      <c r="A486" s="14" t="inlineStr">
        <is>
          <t>Noviembre</t>
        </is>
      </c>
      <c r="B486" s="17" t="n"/>
      <c r="C486" s="14" t="n"/>
      <c r="D486" s="27" t="n"/>
      <c r="E486" s="28" t="n"/>
      <c r="F486" s="15">
        <f>IF(OR(D440&lt;&gt;"",E440&lt;&gt;""),IF(D440="",0,D440)+IF(E440="",0,E440),"")</f>
        <v/>
      </c>
      <c r="G486" s="14" t="n"/>
    </row>
    <row r="487">
      <c r="A487" s="14" t="inlineStr">
        <is>
          <t>Noviembre</t>
        </is>
      </c>
      <c r="B487" s="17" t="n"/>
      <c r="C487" s="14" t="n"/>
      <c r="D487" s="27" t="n"/>
      <c r="E487" s="28" t="n"/>
      <c r="F487" s="15">
        <f>IF(OR(D441&lt;&gt;"",E441&lt;&gt;""),IF(D441="",0,D441)+IF(E441="",0,E441),"")</f>
        <v/>
      </c>
      <c r="G487" s="14" t="n"/>
    </row>
    <row r="488">
      <c r="A488" s="14" t="inlineStr">
        <is>
          <t>Noviembre</t>
        </is>
      </c>
      <c r="B488" s="17" t="n"/>
      <c r="C488" s="14" t="n"/>
      <c r="D488" s="27" t="n"/>
      <c r="E488" s="28" t="n"/>
      <c r="F488" s="15">
        <f>IF(OR(D442&lt;&gt;"",E442&lt;&gt;""),IF(D442="",0,D442)+IF(E442="",0,E442),"")</f>
        <v/>
      </c>
      <c r="G488" s="14" t="n"/>
    </row>
    <row r="489">
      <c r="A489" s="14" t="inlineStr">
        <is>
          <t>Noviembre</t>
        </is>
      </c>
      <c r="B489" s="17" t="n"/>
      <c r="C489" s="14" t="n"/>
      <c r="D489" s="27" t="n"/>
      <c r="E489" s="28" t="n"/>
      <c r="F489" s="15">
        <f>IF(OR(D443&lt;&gt;"",E443&lt;&gt;""),IF(D443="",0,D443)+IF(E443="",0,E443),"")</f>
        <v/>
      </c>
      <c r="G489" s="14" t="n"/>
    </row>
    <row r="490">
      <c r="A490" s="14" t="inlineStr">
        <is>
          <t>Noviembre</t>
        </is>
      </c>
      <c r="B490" s="17" t="n"/>
      <c r="C490" s="14" t="n"/>
      <c r="D490" s="27" t="n"/>
      <c r="E490" s="28" t="n"/>
      <c r="F490" s="15">
        <f>IF(OR(D444&lt;&gt;"",E444&lt;&gt;""),IF(D444="",0,D444)+IF(E444="",0,E444),"")</f>
        <v/>
      </c>
      <c r="G490" s="14" t="n"/>
    </row>
    <row r="491">
      <c r="A491" s="14" t="inlineStr">
        <is>
          <t>Noviembre</t>
        </is>
      </c>
      <c r="B491" s="17" t="n"/>
      <c r="C491" s="14" t="n"/>
      <c r="D491" s="27" t="n"/>
      <c r="E491" s="28" t="n"/>
      <c r="F491" s="15">
        <f>IF(OR(D445&lt;&gt;"",E445&lt;&gt;""),IF(D445="",0,D445)+IF(E445="",0,E445),"")</f>
        <v/>
      </c>
      <c r="G491" s="14" t="n"/>
    </row>
    <row r="492">
      <c r="A492" s="14" t="inlineStr">
        <is>
          <t>Noviembre</t>
        </is>
      </c>
      <c r="B492" s="17" t="n"/>
      <c r="C492" s="14" t="n"/>
      <c r="D492" s="27" t="n"/>
      <c r="E492" s="28" t="n"/>
      <c r="F492" s="15">
        <f>IF(OR(D446&lt;&gt;"",E446&lt;&gt;""),IF(D446="",0,D446)+IF(E446="",0,E446),"")</f>
        <v/>
      </c>
      <c r="G492" s="14" t="n"/>
    </row>
    <row r="493">
      <c r="A493" s="14" t="inlineStr">
        <is>
          <t>Noviembre</t>
        </is>
      </c>
      <c r="B493" s="17" t="n"/>
      <c r="C493" s="14" t="n"/>
      <c r="D493" s="27" t="n"/>
      <c r="E493" s="28" t="n"/>
      <c r="F493" s="15">
        <f>IF(OR(D447&lt;&gt;"",E447&lt;&gt;""),IF(D447="",0,D447)+IF(E447="",0,E447),"")</f>
        <v/>
      </c>
      <c r="G493" s="14" t="n"/>
    </row>
    <row r="494">
      <c r="A494" s="14" t="inlineStr">
        <is>
          <t>Noviembre</t>
        </is>
      </c>
      <c r="B494" s="17" t="n"/>
      <c r="C494" s="14" t="n"/>
      <c r="D494" s="27" t="n"/>
      <c r="E494" s="28" t="n"/>
      <c r="F494" s="15">
        <f>IF(OR(D448&lt;&gt;"",E448&lt;&gt;""),IF(D448="",0,D448)+IF(E448="",0,E448),"")</f>
        <v/>
      </c>
      <c r="G494" s="14" t="n"/>
    </row>
    <row r="495">
      <c r="A495" s="14" t="inlineStr">
        <is>
          <t>Noviembre</t>
        </is>
      </c>
      <c r="B495" s="17" t="n"/>
      <c r="C495" s="14" t="n"/>
      <c r="D495" s="27" t="n"/>
      <c r="E495" s="28" t="n"/>
      <c r="F495" s="15">
        <f>IF(OR(D449&lt;&gt;"",E449&lt;&gt;""),IF(D449="",0,D449)+IF(E449="",0,E449),"")</f>
        <v/>
      </c>
      <c r="G495" s="14" t="n"/>
    </row>
    <row r="496">
      <c r="A496" s="14" t="inlineStr">
        <is>
          <t>Noviembre</t>
        </is>
      </c>
      <c r="B496" s="17" t="n"/>
      <c r="C496" s="14" t="n"/>
      <c r="D496" s="27" t="n"/>
      <c r="E496" s="28" t="n"/>
      <c r="F496" s="15">
        <f>IF(OR(D450&lt;&gt;"",E450&lt;&gt;""),IF(D450="",0,D450)+IF(E450="",0,E450),"")</f>
        <v/>
      </c>
      <c r="G496" s="14" t="n"/>
    </row>
    <row r="497">
      <c r="A497" s="14" t="inlineStr">
        <is>
          <t>Noviembre</t>
        </is>
      </c>
      <c r="B497" s="17" t="n"/>
      <c r="C497" s="14" t="n"/>
      <c r="D497" s="27" t="n"/>
      <c r="E497" s="28" t="n"/>
      <c r="F497" s="15">
        <f>IF(OR(D451&lt;&gt;"",E451&lt;&gt;""),IF(D451="",0,D451)+IF(E451="",0,E451),"")</f>
        <v/>
      </c>
      <c r="G497" s="14" t="n"/>
    </row>
    <row r="498">
      <c r="A498" s="14" t="inlineStr">
        <is>
          <t>Noviembre</t>
        </is>
      </c>
      <c r="B498" s="17" t="n"/>
      <c r="C498" s="14" t="n"/>
      <c r="D498" s="27" t="n"/>
      <c r="E498" s="28" t="n"/>
      <c r="F498" s="15">
        <f>IF(OR(D452&lt;&gt;"",E452&lt;&gt;""),IF(D452="",0,D452)+IF(E452="",0,E452),"")</f>
        <v/>
      </c>
      <c r="G498" s="14" t="n"/>
    </row>
    <row r="499">
      <c r="A499" s="14" t="inlineStr">
        <is>
          <t>Noviembre</t>
        </is>
      </c>
      <c r="B499" s="17" t="n"/>
      <c r="C499" s="14" t="n"/>
      <c r="D499" s="27" t="n"/>
      <c r="E499" s="28" t="n"/>
      <c r="F499" s="15">
        <f>IF(OR(D453&lt;&gt;"",E453&lt;&gt;""),IF(D453="",0,D453)+IF(E453="",0,E453),"")</f>
        <v/>
      </c>
      <c r="G499" s="14" t="n"/>
    </row>
    <row r="500">
      <c r="A500" s="14" t="inlineStr">
        <is>
          <t>Noviembre</t>
        </is>
      </c>
      <c r="B500" s="17" t="n"/>
      <c r="C500" s="14" t="n"/>
      <c r="D500" s="27" t="n"/>
      <c r="E500" s="28" t="n"/>
      <c r="F500" s="15">
        <f>IF(OR(D454&lt;&gt;"",E454&lt;&gt;""),IF(D454="",0,D454)+IF(E454="",0,E454),"")</f>
        <v/>
      </c>
      <c r="G500" s="14" t="n"/>
    </row>
    <row r="501">
      <c r="A501" s="14" t="inlineStr">
        <is>
          <t>Noviembre</t>
        </is>
      </c>
      <c r="B501" s="17" t="n"/>
      <c r="C501" s="14" t="n"/>
      <c r="D501" s="27" t="n"/>
      <c r="E501" s="28" t="n"/>
      <c r="F501" s="15">
        <f>IF(OR(D455&lt;&gt;"",E455&lt;&gt;""),IF(D455="",0,D455)+IF(E455="",0,E455),"")</f>
        <v/>
      </c>
      <c r="G501" s="14" t="n"/>
    </row>
    <row r="502">
      <c r="A502" s="14" t="inlineStr">
        <is>
          <t>Noviembre</t>
        </is>
      </c>
      <c r="B502" s="17" t="n"/>
      <c r="C502" s="14" t="n"/>
      <c r="D502" s="27" t="n"/>
      <c r="E502" s="28" t="n"/>
      <c r="F502" s="15">
        <f>IF(OR(D456&lt;&gt;"",E456&lt;&gt;""),IF(D456="",0,D456)+IF(E456="",0,E456),"")</f>
        <v/>
      </c>
      <c r="G502" s="14" t="n"/>
    </row>
    <row r="503">
      <c r="A503" s="14" t="inlineStr">
        <is>
          <t>Noviembre</t>
        </is>
      </c>
      <c r="B503" s="17" t="n"/>
      <c r="C503" s="14" t="n"/>
      <c r="D503" s="27" t="n"/>
      <c r="E503" s="28" t="n"/>
      <c r="F503" s="15">
        <f>IF(OR(D457&lt;&gt;"",E457&lt;&gt;""),IF(D457="",0,D457)+IF(E457="",0,E457),"")</f>
        <v/>
      </c>
      <c r="G503" s="14" t="n"/>
    </row>
    <row r="504">
      <c r="A504" s="14" t="inlineStr">
        <is>
          <t>Noviembre</t>
        </is>
      </c>
      <c r="B504" s="17" t="n"/>
      <c r="C504" s="14" t="n"/>
      <c r="D504" s="27" t="n"/>
      <c r="E504" s="28" t="n"/>
      <c r="F504" s="15">
        <f>IF(OR(D458&lt;&gt;"",E458&lt;&gt;""),IF(D458="",0,D458)+IF(E458="",0,E458),"")</f>
        <v/>
      </c>
      <c r="G504" s="14" t="n"/>
    </row>
    <row r="505">
      <c r="A505" s="14" t="inlineStr">
        <is>
          <t>Noviembre</t>
        </is>
      </c>
      <c r="B505" s="17" t="n"/>
      <c r="C505" s="14" t="n"/>
      <c r="D505" s="27" t="n"/>
      <c r="E505" s="28" t="n"/>
      <c r="F505" s="15">
        <f>IF(OR(D459&lt;&gt;"",E459&lt;&gt;""),IF(D459="",0,D459)+IF(E459="",0,E459),"")</f>
        <v/>
      </c>
      <c r="G505" s="14" t="n"/>
    </row>
    <row r="506">
      <c r="A506" s="14" t="inlineStr">
        <is>
          <t>Noviembre</t>
        </is>
      </c>
      <c r="B506" s="17" t="n"/>
      <c r="C506" s="14" t="n"/>
      <c r="D506" s="27" t="n"/>
      <c r="E506" s="28" t="n"/>
      <c r="F506" s="15">
        <f>IF(OR(D460&lt;&gt;"",E460&lt;&gt;""),IF(D460="",0,D460)+IF(E460="",0,E460),"")</f>
        <v/>
      </c>
      <c r="G506" s="14" t="n"/>
    </row>
    <row r="507">
      <c r="A507" s="14" t="inlineStr">
        <is>
          <t>Noviembre</t>
        </is>
      </c>
      <c r="B507" s="17" t="n"/>
      <c r="C507" s="14" t="n"/>
      <c r="D507" s="27" t="n"/>
      <c r="E507" s="28" t="n"/>
      <c r="F507" s="15">
        <f>IF(OR(D461&lt;&gt;"",E461&lt;&gt;""),IF(D461="",0,D461)+IF(E461="",0,E461),"")</f>
        <v/>
      </c>
      <c r="G507" s="14" t="n"/>
    </row>
    <row r="508">
      <c r="A508" s="14" t="inlineStr">
        <is>
          <t>Noviembre</t>
        </is>
      </c>
      <c r="B508" s="17" t="n"/>
      <c r="C508" s="14" t="n"/>
      <c r="D508" s="27" t="n"/>
      <c r="E508" s="28" t="n"/>
      <c r="F508" s="15">
        <f>IF(OR(D462&lt;&gt;"",E462&lt;&gt;""),IF(D462="",0,D462)+IF(E462="",0,E462),"")</f>
        <v/>
      </c>
      <c r="G508" s="14" t="n"/>
    </row>
    <row r="509">
      <c r="A509" s="14" t="inlineStr">
        <is>
          <t>Noviembre</t>
        </is>
      </c>
      <c r="B509" s="17" t="n"/>
      <c r="C509" s="14" t="n"/>
      <c r="D509" s="27" t="n"/>
      <c r="E509" s="28" t="n"/>
      <c r="F509" s="15">
        <f>IF(OR(D463&lt;&gt;"",E463&lt;&gt;""),IF(D463="",0,D463)+IF(E463="",0,E463),"")</f>
        <v/>
      </c>
      <c r="G509" s="14" t="n"/>
    </row>
    <row r="510">
      <c r="A510" s="10" t="inlineStr">
        <is>
          <t>TOTAL NOVIEMBRE</t>
        </is>
      </c>
      <c r="B510" s="22" t="n"/>
      <c r="C510" s="29" t="inlineStr">
        <is>
          <t>Totales mes →</t>
        </is>
      </c>
      <c r="D510" s="7">
        <f>SUMIFS($D$4:$D$800,$A$4:$A$800,"Noviembre")</f>
        <v/>
      </c>
      <c r="E510" s="7">
        <f>SUMIFS($E$4:$E$800,$A$4:$A$800,"Noviembre")</f>
        <v/>
      </c>
      <c r="F510" s="7">
        <f>D510+E510</f>
        <v/>
      </c>
      <c r="G510" s="22" t="n"/>
    </row>
    <row r="511"/>
    <row r="512">
      <c r="A512" s="14" t="inlineStr">
        <is>
          <t>Diciembre</t>
        </is>
      </c>
      <c r="B512" s="17" t="n"/>
      <c r="C512" s="14" t="n"/>
      <c r="D512" s="27" t="n"/>
      <c r="E512" s="28" t="n"/>
      <c r="F512" s="15">
        <f>IF(OR(D466&lt;&gt;"",E466&lt;&gt;""),IF(D466="",0,D466)+IF(E466="",0,E466),"")</f>
        <v/>
      </c>
      <c r="G512" s="14" t="n"/>
    </row>
    <row r="513">
      <c r="A513" s="14" t="inlineStr">
        <is>
          <t>Diciembre</t>
        </is>
      </c>
      <c r="B513" s="17" t="n"/>
      <c r="C513" s="14" t="n"/>
      <c r="D513" s="27" t="n"/>
      <c r="E513" s="28" t="n"/>
      <c r="F513" s="15">
        <f>IF(OR(D467&lt;&gt;"",E467&lt;&gt;""),IF(D467="",0,D467)+IF(E467="",0,E467),"")</f>
        <v/>
      </c>
      <c r="G513" s="14" t="n"/>
    </row>
    <row r="514">
      <c r="A514" s="14" t="inlineStr">
        <is>
          <t>Diciembre</t>
        </is>
      </c>
      <c r="B514" s="17" t="n"/>
      <c r="C514" s="14" t="n"/>
      <c r="D514" s="27" t="n"/>
      <c r="E514" s="28" t="n"/>
      <c r="F514" s="15">
        <f>IF(OR(D468&lt;&gt;"",E468&lt;&gt;""),IF(D468="",0,D468)+IF(E468="",0,E468),"")</f>
        <v/>
      </c>
      <c r="G514" s="14" t="n"/>
    </row>
    <row r="515">
      <c r="A515" s="14" t="inlineStr">
        <is>
          <t>Diciembre</t>
        </is>
      </c>
      <c r="B515" s="17" t="n"/>
      <c r="C515" s="14" t="n"/>
      <c r="D515" s="27" t="n"/>
      <c r="E515" s="28" t="n"/>
      <c r="F515" s="15">
        <f>IF(OR(D469&lt;&gt;"",E469&lt;&gt;""),IF(D469="",0,D469)+IF(E469="",0,E469),"")</f>
        <v/>
      </c>
      <c r="G515" s="14" t="n"/>
    </row>
    <row r="516">
      <c r="A516" s="14" t="inlineStr">
        <is>
          <t>Diciembre</t>
        </is>
      </c>
      <c r="B516" s="17" t="n"/>
      <c r="C516" s="14" t="n"/>
      <c r="D516" s="27" t="n"/>
      <c r="E516" s="28" t="n"/>
      <c r="F516" s="15">
        <f>IF(OR(D470&lt;&gt;"",E470&lt;&gt;""),IF(D470="",0,D470)+IF(E470="",0,E470),"")</f>
        <v/>
      </c>
      <c r="G516" s="14" t="n"/>
    </row>
    <row r="517">
      <c r="A517" s="14" t="inlineStr">
        <is>
          <t>Diciembre</t>
        </is>
      </c>
      <c r="B517" s="17" t="n"/>
      <c r="C517" s="14" t="n"/>
      <c r="D517" s="27" t="n"/>
      <c r="E517" s="28" t="n"/>
      <c r="F517" s="15">
        <f>IF(OR(D471&lt;&gt;"",E471&lt;&gt;""),IF(D471="",0,D471)+IF(E471="",0,E471),"")</f>
        <v/>
      </c>
      <c r="G517" s="14" t="n"/>
    </row>
    <row r="518">
      <c r="A518" s="14" t="inlineStr">
        <is>
          <t>Diciembre</t>
        </is>
      </c>
      <c r="B518" s="17" t="n"/>
      <c r="C518" s="14" t="n"/>
      <c r="D518" s="27" t="n"/>
      <c r="E518" s="28" t="n"/>
      <c r="F518" s="15">
        <f>IF(OR(D472&lt;&gt;"",E472&lt;&gt;""),IF(D472="",0,D472)+IF(E472="",0,E472),"")</f>
        <v/>
      </c>
      <c r="G518" s="14" t="n"/>
    </row>
    <row r="519">
      <c r="A519" s="14" t="inlineStr">
        <is>
          <t>Diciembre</t>
        </is>
      </c>
      <c r="B519" s="17" t="n"/>
      <c r="C519" s="14" t="n"/>
      <c r="D519" s="27" t="n"/>
      <c r="E519" s="28" t="n"/>
      <c r="F519" s="15">
        <f>IF(OR(D473&lt;&gt;"",E473&lt;&gt;""),IF(D473="",0,D473)+IF(E473="",0,E473),"")</f>
        <v/>
      </c>
      <c r="G519" s="14" t="n"/>
    </row>
    <row r="520">
      <c r="A520" s="14" t="inlineStr">
        <is>
          <t>Diciembre</t>
        </is>
      </c>
      <c r="B520" s="17" t="n"/>
      <c r="C520" s="14" t="n"/>
      <c r="D520" s="27" t="n"/>
      <c r="E520" s="28" t="n"/>
      <c r="F520" s="15">
        <f>IF(OR(D474&lt;&gt;"",E474&lt;&gt;""),IF(D474="",0,D474)+IF(E474="",0,E474),"")</f>
        <v/>
      </c>
      <c r="G520" s="14" t="n"/>
    </row>
    <row r="521">
      <c r="A521" s="14" t="inlineStr">
        <is>
          <t>Diciembre</t>
        </is>
      </c>
      <c r="B521" s="17" t="n"/>
      <c r="C521" s="14" t="n"/>
      <c r="D521" s="27" t="n"/>
      <c r="E521" s="28" t="n"/>
      <c r="F521" s="15">
        <f>IF(OR(D475&lt;&gt;"",E475&lt;&gt;""),IF(D475="",0,D475)+IF(E475="",0,E475),"")</f>
        <v/>
      </c>
      <c r="G521" s="14" t="n"/>
    </row>
    <row r="522">
      <c r="A522" s="14" t="inlineStr">
        <is>
          <t>Diciembre</t>
        </is>
      </c>
      <c r="B522" s="17" t="n"/>
      <c r="C522" s="14" t="n"/>
      <c r="D522" s="27" t="n"/>
      <c r="E522" s="28" t="n"/>
      <c r="F522" s="15">
        <f>IF(OR(D476&lt;&gt;"",E476&lt;&gt;""),IF(D476="",0,D476)+IF(E476="",0,E476),"")</f>
        <v/>
      </c>
      <c r="G522" s="14" t="n"/>
    </row>
    <row r="523">
      <c r="A523" s="14" t="inlineStr">
        <is>
          <t>Diciembre</t>
        </is>
      </c>
      <c r="B523" s="17" t="n"/>
      <c r="C523" s="14" t="n"/>
      <c r="D523" s="27" t="n"/>
      <c r="E523" s="28" t="n"/>
      <c r="F523" s="15">
        <f>IF(OR(D477&lt;&gt;"",E477&lt;&gt;""),IF(D477="",0,D477)+IF(E477="",0,E477),"")</f>
        <v/>
      </c>
      <c r="G523" s="14" t="n"/>
    </row>
    <row r="524">
      <c r="A524" s="14" t="inlineStr">
        <is>
          <t>Diciembre</t>
        </is>
      </c>
      <c r="B524" s="17" t="n"/>
      <c r="C524" s="14" t="n"/>
      <c r="D524" s="27" t="n"/>
      <c r="E524" s="28" t="n"/>
      <c r="F524" s="15">
        <f>IF(OR(D478&lt;&gt;"",E478&lt;&gt;""),IF(D478="",0,D478)+IF(E478="",0,E478),"")</f>
        <v/>
      </c>
      <c r="G524" s="14" t="n"/>
    </row>
    <row r="525">
      <c r="A525" s="14" t="inlineStr">
        <is>
          <t>Diciembre</t>
        </is>
      </c>
      <c r="B525" s="17" t="n"/>
      <c r="C525" s="14" t="n"/>
      <c r="D525" s="27" t="n"/>
      <c r="E525" s="28" t="n"/>
      <c r="F525" s="15">
        <f>IF(OR(D479&lt;&gt;"",E479&lt;&gt;""),IF(D479="",0,D479)+IF(E479="",0,E479),"")</f>
        <v/>
      </c>
      <c r="G525" s="14" t="n"/>
    </row>
    <row r="526">
      <c r="A526" s="14" t="inlineStr">
        <is>
          <t>Diciembre</t>
        </is>
      </c>
      <c r="B526" s="17" t="n"/>
      <c r="C526" s="14" t="n"/>
      <c r="D526" s="27" t="n"/>
      <c r="E526" s="28" t="n"/>
      <c r="F526" s="15">
        <f>IF(OR(D480&lt;&gt;"",E480&lt;&gt;""),IF(D480="",0,D480)+IF(E480="",0,E480),"")</f>
        <v/>
      </c>
      <c r="G526" s="14" t="n"/>
    </row>
    <row r="527">
      <c r="A527" s="14" t="inlineStr">
        <is>
          <t>Diciembre</t>
        </is>
      </c>
      <c r="B527" s="17" t="n"/>
      <c r="C527" s="14" t="n"/>
      <c r="D527" s="27" t="n"/>
      <c r="E527" s="28" t="n"/>
      <c r="F527" s="15">
        <f>IF(OR(D481&lt;&gt;"",E481&lt;&gt;""),IF(D481="",0,D481)+IF(E481="",0,E481),"")</f>
        <v/>
      </c>
      <c r="G527" s="14" t="n"/>
    </row>
    <row r="528">
      <c r="A528" s="14" t="inlineStr">
        <is>
          <t>Diciembre</t>
        </is>
      </c>
      <c r="B528" s="17" t="n"/>
      <c r="C528" s="14" t="n"/>
      <c r="D528" s="27" t="n"/>
      <c r="E528" s="28" t="n"/>
      <c r="F528" s="15">
        <f>IF(OR(D482&lt;&gt;"",E482&lt;&gt;""),IF(D482="",0,D482)+IF(E482="",0,E482),"")</f>
        <v/>
      </c>
      <c r="G528" s="14" t="n"/>
    </row>
    <row r="529">
      <c r="A529" s="14" t="inlineStr">
        <is>
          <t>Diciembre</t>
        </is>
      </c>
      <c r="B529" s="17" t="n"/>
      <c r="C529" s="14" t="n"/>
      <c r="D529" s="27" t="n"/>
      <c r="E529" s="28" t="n"/>
      <c r="F529" s="15">
        <f>IF(OR(D483&lt;&gt;"",E483&lt;&gt;""),IF(D483="",0,D483)+IF(E483="",0,E483),"")</f>
        <v/>
      </c>
      <c r="G529" s="14" t="n"/>
    </row>
    <row r="530">
      <c r="A530" s="14" t="inlineStr">
        <is>
          <t>Diciembre</t>
        </is>
      </c>
      <c r="B530" s="17" t="n"/>
      <c r="C530" s="14" t="n"/>
      <c r="D530" s="27" t="n"/>
      <c r="E530" s="28" t="n"/>
      <c r="F530" s="15">
        <f>IF(OR(D484&lt;&gt;"",E484&lt;&gt;""),IF(D484="",0,D484)+IF(E484="",0,E484),"")</f>
        <v/>
      </c>
      <c r="G530" s="14" t="n"/>
    </row>
    <row r="531">
      <c r="A531" s="14" t="inlineStr">
        <is>
          <t>Diciembre</t>
        </is>
      </c>
      <c r="B531" s="17" t="n"/>
      <c r="C531" s="14" t="n"/>
      <c r="D531" s="27" t="n"/>
      <c r="E531" s="28" t="n"/>
      <c r="F531" s="15">
        <f>IF(OR(D485&lt;&gt;"",E485&lt;&gt;""),IF(D485="",0,D485)+IF(E485="",0,E485),"")</f>
        <v/>
      </c>
      <c r="G531" s="14" t="n"/>
    </row>
    <row r="532">
      <c r="A532" s="14" t="inlineStr">
        <is>
          <t>Diciembre</t>
        </is>
      </c>
      <c r="B532" s="17" t="n"/>
      <c r="C532" s="14" t="n"/>
      <c r="D532" s="27" t="n"/>
      <c r="E532" s="28" t="n"/>
      <c r="F532" s="15">
        <f>IF(OR(D486&lt;&gt;"",E486&lt;&gt;""),IF(D486="",0,D486)+IF(E486="",0,E486),"")</f>
        <v/>
      </c>
      <c r="G532" s="14" t="n"/>
    </row>
    <row r="533">
      <c r="A533" s="14" t="inlineStr">
        <is>
          <t>Diciembre</t>
        </is>
      </c>
      <c r="B533" s="17" t="n"/>
      <c r="C533" s="14" t="n"/>
      <c r="D533" s="27" t="n"/>
      <c r="E533" s="28" t="n"/>
      <c r="F533" s="15">
        <f>IF(OR(D487&lt;&gt;"",E487&lt;&gt;""),IF(D487="",0,D487)+IF(E487="",0,E487),"")</f>
        <v/>
      </c>
      <c r="G533" s="14" t="n"/>
    </row>
    <row r="534">
      <c r="A534" s="14" t="inlineStr">
        <is>
          <t>Diciembre</t>
        </is>
      </c>
      <c r="B534" s="17" t="n"/>
      <c r="C534" s="14" t="n"/>
      <c r="D534" s="27" t="n"/>
      <c r="E534" s="28" t="n"/>
      <c r="F534" s="15">
        <f>IF(OR(D488&lt;&gt;"",E488&lt;&gt;""),IF(D488="",0,D488)+IF(E488="",0,E488),"")</f>
        <v/>
      </c>
      <c r="G534" s="14" t="n"/>
    </row>
    <row r="535">
      <c r="A535" s="14" t="inlineStr">
        <is>
          <t>Diciembre</t>
        </is>
      </c>
      <c r="B535" s="17" t="n"/>
      <c r="C535" s="14" t="n"/>
      <c r="D535" s="27" t="n"/>
      <c r="E535" s="28" t="n"/>
      <c r="F535" s="15">
        <f>IF(OR(D489&lt;&gt;"",E489&lt;&gt;""),IF(D489="",0,D489)+IF(E489="",0,E489),"")</f>
        <v/>
      </c>
      <c r="G535" s="14" t="n"/>
    </row>
    <row r="536">
      <c r="A536" s="14" t="inlineStr">
        <is>
          <t>Diciembre</t>
        </is>
      </c>
      <c r="B536" s="17" t="n"/>
      <c r="C536" s="14" t="n"/>
      <c r="D536" s="27" t="n"/>
      <c r="E536" s="28" t="n"/>
      <c r="F536" s="15">
        <f>IF(OR(D490&lt;&gt;"",E490&lt;&gt;""),IF(D490="",0,D490)+IF(E490="",0,E490),"")</f>
        <v/>
      </c>
      <c r="G536" s="14" t="n"/>
    </row>
    <row r="537">
      <c r="A537" s="14" t="inlineStr">
        <is>
          <t>Diciembre</t>
        </is>
      </c>
      <c r="B537" s="17" t="n"/>
      <c r="C537" s="14" t="n"/>
      <c r="D537" s="27" t="n"/>
      <c r="E537" s="28" t="n"/>
      <c r="F537" s="15">
        <f>IF(OR(D491&lt;&gt;"",E491&lt;&gt;""),IF(D491="",0,D491)+IF(E491="",0,E491),"")</f>
        <v/>
      </c>
      <c r="G537" s="14" t="n"/>
    </row>
    <row r="538">
      <c r="A538" s="14" t="inlineStr">
        <is>
          <t>Diciembre</t>
        </is>
      </c>
      <c r="B538" s="17" t="n"/>
      <c r="C538" s="14" t="n"/>
      <c r="D538" s="27" t="n"/>
      <c r="E538" s="28" t="n"/>
      <c r="F538" s="15">
        <f>IF(OR(D492&lt;&gt;"",E492&lt;&gt;""),IF(D492="",0,D492)+IF(E492="",0,E492),"")</f>
        <v/>
      </c>
      <c r="G538" s="14" t="n"/>
    </row>
    <row r="539">
      <c r="A539" s="14" t="inlineStr">
        <is>
          <t>Diciembre</t>
        </is>
      </c>
      <c r="B539" s="17" t="n"/>
      <c r="C539" s="14" t="n"/>
      <c r="D539" s="27" t="n"/>
      <c r="E539" s="28" t="n"/>
      <c r="F539" s="15">
        <f>IF(OR(D493&lt;&gt;"",E493&lt;&gt;""),IF(D493="",0,D493)+IF(E493="",0,E493),"")</f>
        <v/>
      </c>
      <c r="G539" s="14" t="n"/>
    </row>
    <row r="540">
      <c r="A540" s="14" t="inlineStr">
        <is>
          <t>Diciembre</t>
        </is>
      </c>
      <c r="B540" s="17" t="n"/>
      <c r="C540" s="14" t="n"/>
      <c r="D540" s="27" t="n"/>
      <c r="E540" s="28" t="n"/>
      <c r="F540" s="15">
        <f>IF(OR(D494&lt;&gt;"",E494&lt;&gt;""),IF(D494="",0,D494)+IF(E494="",0,E494),"")</f>
        <v/>
      </c>
      <c r="G540" s="14" t="n"/>
    </row>
    <row r="541">
      <c r="A541" s="14" t="inlineStr">
        <is>
          <t>Diciembre</t>
        </is>
      </c>
      <c r="B541" s="17" t="n"/>
      <c r="C541" s="14" t="n"/>
      <c r="D541" s="27" t="n"/>
      <c r="E541" s="28" t="n"/>
      <c r="F541" s="15">
        <f>IF(OR(D495&lt;&gt;"",E495&lt;&gt;""),IF(D495="",0,D495)+IF(E495="",0,E495),"")</f>
        <v/>
      </c>
      <c r="G541" s="14" t="n"/>
    </row>
    <row r="542">
      <c r="A542" s="14" t="inlineStr">
        <is>
          <t>Diciembre</t>
        </is>
      </c>
      <c r="B542" s="17" t="n"/>
      <c r="C542" s="14" t="n"/>
      <c r="D542" s="27" t="n"/>
      <c r="E542" s="28" t="n"/>
      <c r="F542" s="15">
        <f>IF(OR(D496&lt;&gt;"",E496&lt;&gt;""),IF(D496="",0,D496)+IF(E496="",0,E496),"")</f>
        <v/>
      </c>
      <c r="G542" s="14" t="n"/>
    </row>
    <row r="543">
      <c r="A543" s="14" t="inlineStr">
        <is>
          <t>Diciembre</t>
        </is>
      </c>
      <c r="B543" s="17" t="n"/>
      <c r="C543" s="14" t="n"/>
      <c r="D543" s="27" t="n"/>
      <c r="E543" s="28" t="n"/>
      <c r="F543" s="15">
        <f>IF(OR(D497&lt;&gt;"",E497&lt;&gt;""),IF(D497="",0,D497)+IF(E497="",0,E497),"")</f>
        <v/>
      </c>
      <c r="G543" s="14" t="n"/>
    </row>
    <row r="544">
      <c r="A544" s="14" t="inlineStr">
        <is>
          <t>Diciembre</t>
        </is>
      </c>
      <c r="B544" s="17" t="n"/>
      <c r="C544" s="14" t="n"/>
      <c r="D544" s="27" t="n"/>
      <c r="E544" s="28" t="n"/>
      <c r="F544" s="15">
        <f>IF(OR(D498&lt;&gt;"",E498&lt;&gt;""),IF(D498="",0,D498)+IF(E498="",0,E498),"")</f>
        <v/>
      </c>
      <c r="G544" s="14" t="n"/>
    </row>
    <row r="545">
      <c r="A545" s="14" t="inlineStr">
        <is>
          <t>Diciembre</t>
        </is>
      </c>
      <c r="B545" s="17" t="n"/>
      <c r="C545" s="14" t="n"/>
      <c r="D545" s="27" t="n"/>
      <c r="E545" s="28" t="n"/>
      <c r="F545" s="15">
        <f>IF(OR(D499&lt;&gt;"",E499&lt;&gt;""),IF(D499="",0,D499)+IF(E499="",0,E499),"")</f>
        <v/>
      </c>
      <c r="G545" s="14" t="n"/>
    </row>
    <row r="546">
      <c r="A546" s="14" t="inlineStr">
        <is>
          <t>Diciembre</t>
        </is>
      </c>
      <c r="B546" s="17" t="n"/>
      <c r="C546" s="14" t="n"/>
      <c r="D546" s="27" t="n"/>
      <c r="E546" s="28" t="n"/>
      <c r="F546" s="15">
        <f>IF(OR(D500&lt;&gt;"",E500&lt;&gt;""),IF(D500="",0,D500)+IF(E500="",0,E500),"")</f>
        <v/>
      </c>
      <c r="G546" s="14" t="n"/>
    </row>
    <row r="547">
      <c r="A547" s="14" t="inlineStr">
        <is>
          <t>Diciembre</t>
        </is>
      </c>
      <c r="B547" s="17" t="n"/>
      <c r="C547" s="14" t="n"/>
      <c r="D547" s="27" t="n"/>
      <c r="E547" s="28" t="n"/>
      <c r="F547" s="15">
        <f>IF(OR(D501&lt;&gt;"",E501&lt;&gt;""),IF(D501="",0,D501)+IF(E501="",0,E501),"")</f>
        <v/>
      </c>
      <c r="G547" s="14" t="n"/>
    </row>
    <row r="548">
      <c r="A548" s="14" t="inlineStr">
        <is>
          <t>Diciembre</t>
        </is>
      </c>
      <c r="B548" s="17" t="n"/>
      <c r="C548" s="14" t="n"/>
      <c r="D548" s="27" t="n"/>
      <c r="E548" s="28" t="n"/>
      <c r="F548" s="15">
        <f>IF(OR(D502&lt;&gt;"",E502&lt;&gt;""),IF(D502="",0,D502)+IF(E502="",0,E502),"")</f>
        <v/>
      </c>
      <c r="G548" s="14" t="n"/>
    </row>
    <row r="549">
      <c r="A549" s="14" t="inlineStr">
        <is>
          <t>Diciembre</t>
        </is>
      </c>
      <c r="B549" s="17" t="n"/>
      <c r="C549" s="14" t="n"/>
      <c r="D549" s="27" t="n"/>
      <c r="E549" s="28" t="n"/>
      <c r="F549" s="15">
        <f>IF(OR(D503&lt;&gt;"",E503&lt;&gt;""),IF(D503="",0,D503)+IF(E503="",0,E503),"")</f>
        <v/>
      </c>
      <c r="G549" s="14" t="n"/>
    </row>
    <row r="550">
      <c r="A550" s="14" t="inlineStr">
        <is>
          <t>Diciembre</t>
        </is>
      </c>
      <c r="B550" s="17" t="n"/>
      <c r="C550" s="14" t="n"/>
      <c r="D550" s="27" t="n"/>
      <c r="E550" s="28" t="n"/>
      <c r="F550" s="15">
        <f>IF(OR(D504&lt;&gt;"",E504&lt;&gt;""),IF(D504="",0,D504)+IF(E504="",0,E504),"")</f>
        <v/>
      </c>
      <c r="G550" s="14" t="n"/>
    </row>
    <row r="551">
      <c r="A551" s="14" t="inlineStr">
        <is>
          <t>Diciembre</t>
        </is>
      </c>
      <c r="B551" s="17" t="n"/>
      <c r="C551" s="14" t="n"/>
      <c r="D551" s="27" t="n"/>
      <c r="E551" s="28" t="n"/>
      <c r="F551" s="15">
        <f>IF(OR(D505&lt;&gt;"",E505&lt;&gt;""),IF(D505="",0,D505)+IF(E505="",0,E505),"")</f>
        <v/>
      </c>
      <c r="G551" s="14" t="n"/>
    </row>
    <row r="552">
      <c r="A552" s="10" t="inlineStr">
        <is>
          <t>TOTAL DICIEMBRE</t>
        </is>
      </c>
      <c r="B552" s="22" t="n"/>
      <c r="C552" s="29" t="inlineStr">
        <is>
          <t>Totales mes →</t>
        </is>
      </c>
      <c r="D552" s="7">
        <f>SUMIFS($D$4:$D$800,$A$4:$A$800,"Diciembre")</f>
        <v/>
      </c>
      <c r="E552" s="7">
        <f>SUMIFS($E$4:$E$800,$A$4:$A$800,"Diciembre")</f>
        <v/>
      </c>
      <c r="F552" s="7">
        <f>D552+E552</f>
        <v/>
      </c>
      <c r="G552" s="22" t="n"/>
    </row>
    <row r="553">
      <c r="A553" t="inlineStr">
        <is>
          <t>Enero</t>
        </is>
      </c>
      <c r="B553" s="54" t="n">
        <v>46034</v>
      </c>
      <c r="C553" t="inlineStr">
        <is>
          <t>SUPERMERCADO · Coto</t>
        </is>
      </c>
      <c r="D553" t="n">
        <v>337644</v>
      </c>
      <c r="F553">
        <f>IF(OR(D523&lt;&gt;"",E523&lt;&gt;""),IF(D523="",0,D523)+IF(E523="",0,E523),"")</f>
        <v/>
      </c>
      <c r="G553" t="inlineStr">
        <is>
          <t>SUPERMERCADO · Coto · TC Mercado Pago · compra 2025-12-22</t>
        </is>
      </c>
    </row>
    <row r="554">
      <c r="A554" t="inlineStr">
        <is>
          <t>Enero</t>
        </is>
      </c>
      <c r="B554" s="54" t="n">
        <v>46034</v>
      </c>
      <c r="C554" t="inlineStr">
        <is>
          <t>SUPERMERCADO · Coto</t>
        </is>
      </c>
      <c r="D554" t="n">
        <v>-49597</v>
      </c>
      <c r="F554">
        <f>IF(OR(D524&lt;&gt;"",E524&lt;&gt;""),IF(D524="",0,D524)+IF(E524="",0,E524),"")</f>
        <v/>
      </c>
      <c r="G55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6"/>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is>
          <t>3491192</t>
        </is>
      </c>
      <c r="G5" s="18" t="inlineStr"/>
      <c r="H5" s="14" t="inlineStr">
        <is>
          <t>Gmail factura 01/2026 $37.983,38 · cliente 3491192</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is>
          <t>3491192</t>
        </is>
      </c>
      <c r="G9" s="18" t="inlineStr"/>
      <c r="H9" s="14" t="inlineStr">
        <is>
          <t>Gmail factura 02/2026 $38.489,00 · cliente 3491192</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is>
          <t>3491192</t>
        </is>
      </c>
      <c r="G13" s="18" t="inlineStr"/>
      <c r="H13" s="14" t="inlineStr">
        <is>
          <t>Gmail factura 03/2026 $39.162,75 · cliente 3491192</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Consorcio de Propietarios · Pagado · Gmail Sent 7-abr</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04/2026 (Gmail)</t>
        </is>
      </c>
      <c r="D19" s="15" t="n">
        <v>46909</v>
      </c>
      <c r="E19" s="14" t="inlineStr"/>
      <c r="F19" s="18" t="inlineStr">
        <is>
          <t>3491192</t>
        </is>
      </c>
      <c r="G19" s="18" t="inlineStr"/>
      <c r="H19" s="14" t="inlineStr">
        <is>
          <t>Gmail factura 04/2026 $46.909,00 · cliente 3491192</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c r="B22" s="14" t="n"/>
      <c r="C22" s="14" t="n"/>
      <c r="D22" s="15" t="n"/>
      <c r="E22" s="14" t="n"/>
      <c r="F22" s="18" t="n"/>
      <c r="G22" s="18" t="n"/>
      <c r="H22" s="14" t="n"/>
      <c r="I22" s="14" t="n"/>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05/2026 (Gmail)</t>
        </is>
      </c>
      <c r="D24" s="15" t="n">
        <v>47939</v>
      </c>
      <c r="E24" s="14" t="inlineStr"/>
      <c r="F24" s="18" t="inlineStr">
        <is>
          <t>3491192</t>
        </is>
      </c>
      <c r="G24" s="18" t="inlineStr"/>
      <c r="H24" s="14" t="inlineStr">
        <is>
          <t>Gmail factura 05/2026 $47.939,00 · cliente 3491192</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(duplicado) ver fila pago MP 17/06 — no sumar</t>
        </is>
      </c>
      <c r="D28" s="15" t="n"/>
      <c r="E28" s="14" t="inlineStr">
        <is>
          <t>Mercado Pago</t>
        </is>
      </c>
      <c r="F28" s="18" t="inlineStr">
        <is>
          <t>3491192</t>
        </is>
      </c>
      <c r="G28" s="18" t="inlineStr"/>
      <c r="H28" s="14" t="inlineStr">
        <is>
          <t>SUPERSEDE · Telecentro Junio está en Detalle pago MP 17/06 $48.420 · Gmail factura 06/2026 $48.419,26</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Mayo 2026 (pago Gmail Sent 10/06)</t>
        </is>
      </c>
      <c r="D31" s="15" t="n">
        <v>246150</v>
      </c>
      <c r="E31" s="14" t="inlineStr">
        <is>
          <t>Transferencia</t>
        </is>
      </c>
      <c r="F31" s="18" t="inlineStr"/>
      <c r="G31" s="18" t="inlineStr"/>
      <c r="H31" s="14" t="inlineStr">
        <is>
          <t>Período mayo · Consorcio De Propietarios · Pagado · Gmail Sent</t>
        </is>
      </c>
      <c r="I31" s="14" t="inlineStr">
        <is>
          <t>Mayo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(duplicado) ver fila débito BBVA 30/06 — no sumar</t>
        </is>
      </c>
      <c r="D33" s="15" t="n"/>
      <c r="E33" s="14" t="inlineStr"/>
      <c r="F33" s="18" t="inlineStr"/>
      <c r="G33" s="18" t="inlineStr"/>
      <c r="H33" s="14" t="inlineStr">
        <is>
          <t>SUPERSEDE · Telecentro Julio está en Detalle débito 30/06 $31.999 · Gmail factura 07/2026 $31.999,00</t>
        </is>
      </c>
      <c r="I33" s="14" t="inlineStr">
        <is>
          <t>Julio</t>
        </is>
      </c>
    </row>
    <row r="34">
      <c r="A34" s="17" t="n">
        <v>46212</v>
      </c>
      <c r="B34" s="14" t="inlineStr">
        <is>
          <t>Expensas</t>
        </is>
      </c>
      <c r="C34" s="14" t="inlineStr">
        <is>
          <t>Expensas — Junio 2026 (pago Gmail Sent 09/07)</t>
        </is>
      </c>
      <c r="D34" s="15" t="n">
        <v>273500</v>
      </c>
      <c r="E34" s="14" t="inlineStr">
        <is>
          <t>Transferencia</t>
        </is>
      </c>
      <c r="F34" s="18" t="inlineStr"/>
      <c r="G34" s="18" t="inlineStr"/>
      <c r="H34" s="14" t="inlineStr">
        <is>
          <t>Período junio · Consorcio De Propietarios · Pagado · Gmail Sent</t>
        </is>
      </c>
      <c r="I34" s="14" t="inlineStr">
        <is>
          <t>Junio</t>
        </is>
      </c>
    </row>
    <row r="35">
      <c r="A35" s="17" t="n">
        <v>46235</v>
      </c>
      <c r="B35" s="14" t="inlineStr">
        <is>
          <t>Telecentro</t>
        </is>
      </c>
      <c r="C35" s="14" t="inlineStr">
        <is>
          <t>Telecentro CIUDAD — 08/2026 (Gmail) · cobro Visa *3200 24/07/2026</t>
        </is>
      </c>
      <c r="D35" s="15" t="n">
        <v>31999</v>
      </c>
      <c r="E35" s="14" t="inlineStr">
        <is>
          <t>BBVA Visa *3200</t>
        </is>
      </c>
      <c r="F35" s="18" t="inlineStr">
        <is>
          <t>3491192</t>
        </is>
      </c>
      <c r="G35" s="18" t="inlineStr"/>
      <c r="H35" s="14" t="inlineStr">
        <is>
          <t>Gmail factura 08/2026 $31.999,00 · cobro 24/07 · reemplaza recurrente $50.000</t>
        </is>
      </c>
      <c r="I35" s="14" t="inlineStr">
        <is>
          <t>Agosto</t>
        </is>
      </c>
    </row>
    <row r="36">
      <c r="A36" s="17" t="n">
        <v>46266</v>
      </c>
      <c r="B36" s="14" t="inlineStr">
        <is>
          <t>Telecentro</t>
        </is>
      </c>
      <c r="C36" s="14" t="inlineStr">
        <is>
          <t>Telecentro CIUDAD — 09/2026 (Gmail)</t>
        </is>
      </c>
      <c r="D36" s="15" t="n">
        <v>82364</v>
      </c>
      <c r="E36" s="14" t="n"/>
      <c r="F36" s="18" t="inlineStr">
        <is>
          <t>3491192</t>
        </is>
      </c>
      <c r="G36" s="18" t="inlineStr"/>
      <c r="H36" s="14" t="inlineStr">
        <is>
          <t>Gmail factura 09/2026 $82.363,35 · mes=período factura (no cobro Oct $69.659)</t>
        </is>
      </c>
      <c r="I36" s="14" t="inlineStr">
        <is>
          <t>Septiembre</t>
        </is>
      </c>
    </row>
    <row r="37">
      <c r="A37" s="17" t="n">
        <v>46296</v>
      </c>
      <c r="B37" s="14" t="inlineStr">
        <is>
          <t>Telecentro</t>
        </is>
      </c>
      <c r="C37" s="14" t="inlineStr">
        <is>
          <t>(duplicado) ver fila débito BBVA 25/09 — no sumar</t>
        </is>
      </c>
      <c r="D37" s="15" t="n"/>
      <c r="E37" s="14" t="inlineStr">
        <is>
          <t>Débito BBVA</t>
        </is>
      </c>
      <c r="F37" s="18" t="inlineStr">
        <is>
          <t>3491192</t>
        </is>
      </c>
      <c r="G37" s="18" t="inlineStr"/>
      <c r="H37" s="14" t="inlineStr">
        <is>
          <t>SUPERSEDE · Telecentro Octubre está en Detalle débito 25/09 $69.659 · Gmail factura 10/2026 $69.659,00</t>
        </is>
      </c>
      <c r="I37" s="14" t="inlineStr">
        <is>
          <t>Octubre</t>
        </is>
      </c>
    </row>
    <row r="38">
      <c r="A38" s="17" t="n">
        <v>46327</v>
      </c>
      <c r="B38" s="14" t="inlineStr">
        <is>
          <t>Telecentro</t>
        </is>
      </c>
      <c r="C38" s="14" t="inlineStr">
        <is>
          <t>Telecentro CIUDAD — sin factura Gmail aún (Noviembre)</t>
        </is>
      </c>
      <c r="D38" s="15" t="n"/>
      <c r="E38" s="14" t="inlineStr"/>
      <c r="F38" s="18" t="inlineStr"/>
      <c r="G38" s="18" t="inlineStr"/>
      <c r="H38" s="14" t="inlineStr">
        <is>
          <t>Sin mail ¡Ya está disponible tu factura! — no cargar placeholder</t>
        </is>
      </c>
      <c r="I38" s="14" t="inlineStr">
        <is>
          <t>Noviembre</t>
        </is>
      </c>
    </row>
    <row r="39">
      <c r="A39" s="17" t="n">
        <v>46357</v>
      </c>
      <c r="B39" s="14" t="inlineStr">
        <is>
          <t>Telecentro</t>
        </is>
      </c>
      <c r="C39" s="14" t="inlineStr">
        <is>
          <t>Telecentro CIUDAD — sin factura Gmail aún (Diciembre)</t>
        </is>
      </c>
      <c r="D39" s="15" t="n"/>
      <c r="E39" s="14" t="inlineStr"/>
      <c r="F39" s="18" t="inlineStr"/>
      <c r="G39" s="18" t="inlineStr"/>
      <c r="H39" s="14" t="inlineStr">
        <is>
          <t>Sin mail ¡Ya está disponible tu factura! — no cargar placeholder</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(no CIUDAD) ABL OHIGGINS partida 3016365 — ver OHIGGINS/Detalle</t>
        </is>
      </c>
      <c r="D52" s="26" t="n"/>
      <c r="E52" t="inlineStr">
        <is>
          <t>Mercado Pago — Dinero disponible</t>
        </is>
      </c>
      <c r="H52" t="inlineStr">
        <is>
          <t>SUPERSEDE · monto 88141 es OHIGGINS (&gt;80k) · no sumar a CIUDAD</t>
        </is>
      </c>
      <c r="I52" t="inlineStr">
        <is>
          <t>Marzo</t>
        </is>
      </c>
    </row>
    <row r="53">
      <c r="A53" s="25" t="n">
        <v>46066</v>
      </c>
      <c r="B53" t="inlineStr">
        <is>
          <t>ABL</t>
        </is>
      </c>
      <c r="C53" t="inlineStr">
        <is>
          <t>(no CIUDAD) ABL OHIGGINS partida 3016365 — ver OHIGGINS/Detalle</t>
        </is>
      </c>
      <c r="D53" s="26" t="n"/>
      <c r="E53" t="inlineStr">
        <is>
          <t>Mercado Pago — Dinero disponible</t>
        </is>
      </c>
      <c r="H53" t="inlineStr">
        <is>
          <t>SUPERSEDE · monto 83757 es OHIGGINS (&gt;80k) · no sumar a CIUDAD</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c r="H72" t="inlineStr">
        <is>
          <t>Gmail factura 06/2026 $48.419,26 · pago MP; mes=Junio</t>
        </is>
      </c>
      <c r="I72" t="inlineStr">
        <is>
          <t>Junio</t>
        </is>
      </c>
    </row>
    <row r="73">
      <c r="A73" s="53" t="n">
        <v>46203</v>
      </c>
      <c r="B73" s="14" t="inlineStr">
        <is>
          <t>Telecentro</t>
        </is>
      </c>
      <c r="C73" s="14" t="inlineStr">
        <is>
          <t>Telecentro CIUDAD — débito BBVA 30/06/2026 (julio)</t>
        </is>
      </c>
      <c r="D73" s="15" t="n">
        <v>31999</v>
      </c>
      <c r="E73" s="14" t="inlineStr">
        <is>
          <t>Débito BBVA</t>
        </is>
      </c>
      <c r="F73" s="18" t="inlineStr">
        <is>
          <t>3491192</t>
        </is>
      </c>
      <c r="H73" t="inlineStr">
        <is>
          <t>Gmail factura 07/2026 $31.999,00 · débito BBVA; mes=Julio</t>
        </is>
      </c>
      <c r="I73" t="inlineStr">
        <is>
          <t>Julio</t>
        </is>
      </c>
    </row>
    <row r="74">
      <c r="A74" s="63" t="n">
        <v>46276</v>
      </c>
      <c r="B74" t="inlineStr">
        <is>
          <t>Edenor</t>
        </is>
      </c>
      <c r="C74" t="inlineStr">
        <is>
          <t>Luz Edenor CIUDAD — débito BBVA 11/09/2026</t>
        </is>
      </c>
      <c r="D74" t="n">
        <v>63980</v>
      </c>
      <c r="E74" t="inlineStr">
        <is>
          <t>Débito BBVA</t>
        </is>
      </c>
      <c r="F74" t="inlineStr">
        <is>
          <t>00008917502309</t>
        </is>
      </c>
      <c r="H74" t="inlineStr">
        <is>
          <t>Gmail + Compra aprobada BBVA · cuenta 8917502309</t>
        </is>
      </c>
      <c r="I74" t="inlineStr">
        <is>
          <t>Septiembre</t>
        </is>
      </c>
    </row>
    <row r="75">
      <c r="A75" s="63" t="n">
        <v>46280</v>
      </c>
      <c r="B75" t="inlineStr">
        <is>
          <t>Metrogas</t>
        </is>
      </c>
      <c r="C75" t="inlineStr">
        <is>
          <t>Gas Metrogas CIUDAD — débito BBVA 15/09/2026</t>
        </is>
      </c>
      <c r="D75" t="n">
        <v>105839</v>
      </c>
      <c r="E75" t="inlineStr">
        <is>
          <t>Débito BBVA</t>
        </is>
      </c>
      <c r="F75" t="inlineStr">
        <is>
          <t>30010996459</t>
        </is>
      </c>
      <c r="G75" t="inlineStr">
        <is>
          <t>40049923</t>
        </is>
      </c>
      <c r="H75" t="inlineStr">
        <is>
          <t>Gmail factura + Compra aprobada BBVA</t>
        </is>
      </c>
      <c r="I75" t="inlineStr">
        <is>
          <t>Septiembre</t>
        </is>
      </c>
    </row>
    <row r="76">
      <c r="A76" s="63" t="n">
        <v>46290</v>
      </c>
      <c r="B76" t="inlineStr">
        <is>
          <t>Telecentro</t>
        </is>
      </c>
      <c r="C76" t="inlineStr">
        <is>
          <t>Telecentro CIUDAD — débito BBVA 25/09/2026 (factura mes 10/2026)</t>
        </is>
      </c>
      <c r="D76" t="n">
        <v>69659</v>
      </c>
      <c r="E76" t="inlineStr">
        <is>
          <t>Débito BBVA</t>
        </is>
      </c>
      <c r="F76" t="inlineStr">
        <is>
          <t>3491192</t>
        </is>
      </c>
      <c r="H76" t="inlineStr">
        <is>
          <t>Gmail Telecentro 10/2026 $69.659 + Compra aprobada; mes=período factura Octubre (cobro 25/09)</t>
        </is>
      </c>
      <c r="I76" t="inlineStr">
        <is>
          <t>Octubre</t>
        </is>
      </c>
    </row>
    <row r="77">
      <c r="A77" s="63" t="n">
        <v>46266</v>
      </c>
      <c r="B77" t="inlineStr">
        <is>
          <t>Expensas</t>
        </is>
      </c>
      <c r="C77" t="inlineStr">
        <is>
          <t>Expensas — Agosto 2026 (pago Gmail Sent 10/09)</t>
        </is>
      </c>
      <c r="D77" t="n">
        <v>300850</v>
      </c>
      <c r="E77" t="inlineStr">
        <is>
          <t>Transferencia</t>
        </is>
      </c>
      <c r="H77" t="inlineStr">
        <is>
          <t>Período agosto · De Filippo · UF 2 1-A · pagado septiembre</t>
        </is>
      </c>
      <c r="I77" t="inlineStr">
        <is>
          <t>Agosto</t>
        </is>
      </c>
    </row>
    <row r="78">
      <c r="A78" s="63" t="n">
        <v>46266</v>
      </c>
      <c r="B78" t="inlineStr">
        <is>
          <t>Expensas</t>
        </is>
      </c>
      <c r="C78" t="inlineStr">
        <is>
          <t>Expensas — Septiembre 2026 (liquidación; vto 10/10)</t>
        </is>
      </c>
      <c r="D78" t="n">
        <v>328200</v>
      </c>
      <c r="E78" t="inlineStr">
        <is>
          <t>Pendiente</t>
        </is>
      </c>
      <c r="H78" t="inlineStr">
        <is>
          <t>Período septiembre · De Filippo · UF 2 1-A · liquidación Gmail 02/10</t>
        </is>
      </c>
      <c r="I78" t="inlineStr">
        <is>
          <t>Septiembre</t>
        </is>
      </c>
    </row>
    <row r="79">
      <c r="A79" s="52" t="n">
        <v>46293</v>
      </c>
      <c r="B79" t="inlineStr">
        <is>
          <t>Streaming</t>
        </is>
      </c>
      <c r="C79" t="inlineStr">
        <is>
          <t>Streaming música — Spotify · BBVA VISA 28/09/2026</t>
        </is>
      </c>
      <c r="D79" t="n">
        <v>5999</v>
      </c>
      <c r="E79" t="inlineStr">
        <is>
          <t>BBVA VISA</t>
        </is>
      </c>
      <c r="H79" t="inlineStr">
        <is>
          <t>Gmail Compra aprobada · ARS 5.999</t>
        </is>
      </c>
      <c r="I79" t="inlineStr">
        <is>
          <t>Septiembre</t>
        </is>
      </c>
    </row>
    <row r="80">
      <c r="A80" s="52" t="n">
        <v>46290</v>
      </c>
      <c r="B80" t="inlineStr">
        <is>
          <t>LIMPIEZA CASA</t>
        </is>
      </c>
      <c r="C80" t="inlineStr">
        <is>
          <t>Limpieza Susana — Septiembre 2026 (consolidado MP)</t>
        </is>
      </c>
      <c r="D80" t="n">
        <v>835200</v>
      </c>
      <c r="E80" t="inlineStr">
        <is>
          <t>Mercado Pago</t>
        </is>
      </c>
      <c r="H80" t="inlineStr">
        <is>
          <t>7 transferencias Susana Carmen Ortiz · dinero en cuenta MP · no duplicar</t>
        </is>
      </c>
      <c r="I80" t="inlineStr">
        <is>
          <t>Septiembre</t>
        </is>
      </c>
    </row>
    <row r="81">
      <c r="A81" s="52" t="n">
        <v>46279</v>
      </c>
      <c r="B81" t="inlineStr">
        <is>
          <t>IMPUESTOS</t>
        </is>
      </c>
      <c r="C81" t="inlineStr">
        <is>
          <t>ABL — partida 397789 · AGIP</t>
        </is>
      </c>
      <c r="D81" t="n">
        <v>27635</v>
      </c>
      <c r="E81" t="inlineStr">
        <is>
          <t>Mercado Pago</t>
        </is>
      </c>
      <c r="H81" t="inlineStr">
        <is>
          <t>AGIP ABL GCBA · MP 2026-09-14 · partida 397789 (≤80k=CIUDAD)</t>
        </is>
      </c>
      <c r="I81" t="inlineStr">
        <is>
          <t>Septiembre</t>
        </is>
      </c>
    </row>
    <row r="82">
      <c r="A82" s="52" t="n">
        <v>46244</v>
      </c>
      <c r="B82" t="inlineStr">
        <is>
          <t>Expensas</t>
        </is>
      </c>
      <c r="C82" t="inlineStr">
        <is>
          <t>Expensas — Julio 2026 (pago Gmail Sent 10/08)</t>
        </is>
      </c>
      <c r="D82" t="n">
        <v>300850</v>
      </c>
      <c r="E82" t="inlineStr">
        <is>
          <t>Transferencia</t>
        </is>
      </c>
      <c r="H82" t="inlineStr">
        <is>
          <t>Período julio · De Filippo · UF 2 1-A · pagado 10/08 · Gmail Sent · op MP 173005218278</t>
        </is>
      </c>
      <c r="I82" t="inlineStr">
        <is>
          <t>Julio</t>
        </is>
      </c>
    </row>
    <row r="83">
      <c r="A83" s="52" t="n">
        <v>46252</v>
      </c>
      <c r="B83" t="inlineStr">
        <is>
          <t>Metrogas</t>
        </is>
      </c>
      <c r="C83" t="inlineStr">
        <is>
          <t>Metrogas CIUDAD · vence 18/08/2026 · emisión 05/08/2026 (débito automático; mes = vencimiento)</t>
        </is>
      </c>
      <c r="D83" t="n">
        <v>73187</v>
      </c>
      <c r="E83" t="inlineStr">
        <is>
          <t>Débito automático BBVA Visa</t>
        </is>
      </c>
      <c r="F83" t="inlineStr">
        <is>
          <t>30010996459</t>
        </is>
      </c>
      <c r="G83" t="inlineStr">
        <is>
          <t>40049923</t>
        </is>
      </c>
      <c r="H83" t="inlineStr">
        <is>
          <t>ceil desde $73.186,92 · período consumo 06/06–07/07/2026 · mes gasto = cobro/vencimiento</t>
        </is>
      </c>
    </row>
    <row r="84">
      <c r="A84" s="52" t="n">
        <v>46248</v>
      </c>
      <c r="B84" t="inlineStr">
        <is>
          <t>ABL</t>
        </is>
      </c>
      <c r="C84" t="inlineStr">
        <is>
          <t>Agip ABL GCBA · partida 397789 · CUOTA 08/2026</t>
        </is>
      </c>
      <c r="D84" t="n">
        <v>41344</v>
      </c>
      <c r="E84" t="inlineStr">
        <is>
          <t>Mercado Pago — Dinero disponible</t>
        </is>
      </c>
      <c r="H84" t="inlineStr">
        <is>
          <t>ceil desde $41.343,91 · 1° vto 14/08/2026 · CIUDAD 1132 · Sol paga MP</t>
        </is>
      </c>
    </row>
    <row r="85">
      <c r="A85" s="52" t="n">
        <v>46235</v>
      </c>
      <c r="B85" t="inlineStr">
        <is>
          <t>LIMPIEZA CASA</t>
        </is>
      </c>
      <c r="C85" t="inlineStr">
        <is>
          <t>LIMPIEZA CASA — Agosto 2026</t>
        </is>
      </c>
      <c r="D85" t="n">
        <v>567080</v>
      </c>
      <c r="E85" t="inlineStr">
        <is>
          <t>Mercado Pago — Dinero disponible</t>
        </is>
      </c>
      <c r="H85" t="inlineStr">
        <is>
          <t>Transferencia MP · Susana Carmen Ortiz consolidado (8/8 123240; 16/8 126240; 22/8 154800+3800; 29/8 150000+9000)</t>
        </is>
      </c>
    </row>
    <row r="86">
      <c r="A86" s="52" t="n">
        <v>46204</v>
      </c>
      <c r="B86" t="inlineStr">
        <is>
          <t>LIMPIEZA CASA</t>
        </is>
      </c>
      <c r="C86" t="inlineStr">
        <is>
          <t>LIMPIEZA CASA — Julio 2026</t>
        </is>
      </c>
      <c r="D86" t="n">
        <v>653120</v>
      </c>
      <c r="E86" t="inlineStr">
        <is>
          <t>Mercado Pago — Dinero disponible</t>
        </is>
      </c>
      <c r="H86" t="inlineStr">
        <is>
          <t>Transferencia MP · Susana Carmen Ortiz consolidado (5/7 9500+123240; 12/7 120240; 18/7 147660; 25/7 126240; 31/7 126240)</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v>46266</v>
      </c>
      <c r="B33" s="14" t="inlineStr">
        <is>
          <t>Septiembre</t>
        </is>
      </c>
      <c r="C33" s="14" t="inlineStr">
        <is>
          <t>AVA</t>
        </is>
      </c>
      <c r="D33" s="15" t="n">
        <v>1000000</v>
      </c>
      <c r="E33" s="14" t="inlineStr">
        <is>
          <t>Mercado Pago · ARS</t>
        </is>
      </c>
      <c r="F33" s="14" t="inlineStr">
        <is>
          <t>Dinero retirado · + · op 176670344236 · resumen oficial cuenta MP 1–30 sep 2026</t>
        </is>
      </c>
    </row>
    <row r="34">
      <c r="A34" s="17" t="n">
        <v>46266</v>
      </c>
      <c r="B34" s="14" t="inlineStr">
        <is>
          <t>Septiembre</t>
        </is>
      </c>
      <c r="C34" s="14" t="inlineStr">
        <is>
          <t>Expensas</t>
        </is>
      </c>
      <c r="D34" s="15" t="n">
        <v>100000</v>
      </c>
      <c r="E34" s="14" t="inlineStr">
        <is>
          <t>Mercado Pago · ARS</t>
        </is>
      </c>
      <c r="F34" s="14" t="inlineStr">
        <is>
          <t>Dinero retirado · + · op 176670197960 · resumen oficial cuenta MP 1–30 sep 2026</t>
        </is>
      </c>
    </row>
    <row r="35">
      <c r="A35" s="17" t="n">
        <v>46266</v>
      </c>
      <c r="B35" s="14" t="inlineStr">
        <is>
          <t>Septiembre</t>
        </is>
      </c>
      <c r="C35" s="14" t="inlineStr">
        <is>
          <t>Tarjeta MELI</t>
        </is>
      </c>
      <c r="D35" s="15" t="n">
        <v>45000</v>
      </c>
      <c r="E35" s="14" t="inlineStr">
        <is>
          <t>Mercado Pago · ARS</t>
        </is>
      </c>
      <c r="F35" s="14" t="inlineStr">
        <is>
          <t>Dinero retirado · + · op 176771280062 · resumen oficial cuenta MP 1–30 sep 2026</t>
        </is>
      </c>
    </row>
    <row r="36">
      <c r="A36" s="17" t="n">
        <v>46266</v>
      </c>
      <c r="B36" s="14" t="inlineStr">
        <is>
          <t>Septiembre</t>
        </is>
      </c>
      <c r="C36" s="14" t="inlineStr">
        <is>
          <t>AVA</t>
        </is>
      </c>
      <c r="D36" s="15" t="n">
        <v>870000</v>
      </c>
      <c r="E36" s="14" t="inlineStr">
        <is>
          <t>Mercado Pago · ARS</t>
        </is>
      </c>
      <c r="F36" s="14" t="inlineStr">
        <is>
          <t>Dinero retirado · + · op 175833734653 · resumen oficial cuenta MP 1–30 sep 2026</t>
        </is>
      </c>
    </row>
    <row r="37">
      <c r="A37" s="17" t="n">
        <v>46267</v>
      </c>
      <c r="B37" s="14" t="inlineStr">
        <is>
          <t>Septiembre</t>
        </is>
      </c>
      <c r="C37" s="14" t="inlineStr">
        <is>
          <t>AVA</t>
        </is>
      </c>
      <c r="D37" s="15" t="n">
        <v>200000</v>
      </c>
      <c r="E37" s="14" t="inlineStr">
        <is>
          <t>Mercado Pago · ARS</t>
        </is>
      </c>
      <c r="F37" s="14" t="inlineStr">
        <is>
          <t>Dinero retirado · + · op 176834369428 · resumen oficial cuenta MP 1–30 sep 2026</t>
        </is>
      </c>
    </row>
    <row r="38">
      <c r="A38" s="17" t="n">
        <v>46268</v>
      </c>
      <c r="B38" s="14" t="inlineStr">
        <is>
          <t>Septiembre</t>
        </is>
      </c>
      <c r="C38" s="14" t="inlineStr">
        <is>
          <t>Tarjeta MELI</t>
        </is>
      </c>
      <c r="D38" s="15" t="n">
        <v>1755982</v>
      </c>
      <c r="E38" s="14" t="inlineStr">
        <is>
          <t>Mercado Pago · ARS</t>
        </is>
      </c>
      <c r="F38" s="14" t="inlineStr">
        <is>
          <t>Dinero retirado · + · op 177129936970 · resumen oficial cuenta MP 1–30 sep 2026</t>
        </is>
      </c>
    </row>
    <row r="39">
      <c r="A39" s="17" t="n">
        <v>46272</v>
      </c>
      <c r="B39" s="14" t="inlineStr">
        <is>
          <t>Septiembre</t>
        </is>
      </c>
      <c r="C39" s="14" t="inlineStr">
        <is>
          <t>AVA</t>
        </is>
      </c>
      <c r="D39" s="15" t="n">
        <v>9426902</v>
      </c>
      <c r="E39" s="14" t="inlineStr">
        <is>
          <t>Mercado Pago · ARS</t>
        </is>
      </c>
      <c r="F39" s="14" t="inlineStr">
        <is>
          <t>Dinero retirado · + · op 177703110684 · resumen oficial cuenta MP 1–30 sep 2026</t>
        </is>
      </c>
    </row>
    <row r="40">
      <c r="A40" s="17" t="n">
        <v>46276</v>
      </c>
      <c r="B40" s="14" t="inlineStr">
        <is>
          <t>Septiembre</t>
        </is>
      </c>
      <c r="C40" s="14" t="inlineStr">
        <is>
          <t>Chris</t>
        </is>
      </c>
      <c r="D40" s="15" t="n">
        <v>2500000</v>
      </c>
      <c r="E40" s="14" t="inlineStr">
        <is>
          <t>Mercado Pago · ARS</t>
        </is>
      </c>
      <c r="F40" s="14" t="inlineStr">
        <is>
          <t>Dinero retirado · + · op 178535014388 · resumen oficial cuenta MP 1–30 sep 2026</t>
        </is>
      </c>
    </row>
    <row r="41">
      <c r="A41" s="17" t="n">
        <v>46279</v>
      </c>
      <c r="B41" s="14" t="inlineStr">
        <is>
          <t>Septiembre</t>
        </is>
      </c>
      <c r="C41" s="14" t="inlineStr">
        <is>
          <t>Expensas</t>
        </is>
      </c>
      <c r="D41" s="15" t="n">
        <v>30000</v>
      </c>
      <c r="E41" s="14" t="inlineStr">
        <is>
          <t>Mercado Pago · ARS</t>
        </is>
      </c>
      <c r="F41" s="14" t="inlineStr">
        <is>
          <t>Dinero retirado · + · op 177992934377 · resumen oficial cuenta MP 1–30 sep 2026</t>
        </is>
      </c>
    </row>
    <row r="42">
      <c r="A42" s="17" t="n">
        <v>46280</v>
      </c>
      <c r="B42" s="14" t="inlineStr">
        <is>
          <t>Septiembre</t>
        </is>
      </c>
      <c r="C42" s="14" t="inlineStr">
        <is>
          <t>Expensas</t>
        </is>
      </c>
      <c r="D42" s="15" t="n">
        <v>3882828</v>
      </c>
      <c r="E42" s="14" t="inlineStr">
        <is>
          <t>Mercado Pago · ARS</t>
        </is>
      </c>
      <c r="F42" s="14" t="inlineStr">
        <is>
          <t>Dinero retirado · + · op 178124476905 · resumen oficial cuenta MP 1–30 sep 2026</t>
        </is>
      </c>
    </row>
    <row r="43">
      <c r="A43" s="17" t="n">
        <v>46282</v>
      </c>
      <c r="B43" s="14" t="inlineStr">
        <is>
          <t>Septiembre</t>
        </is>
      </c>
      <c r="C43" s="14" t="inlineStr">
        <is>
          <t>Tarjeta MELI</t>
        </is>
      </c>
      <c r="D43" s="15" t="n">
        <v>200000</v>
      </c>
      <c r="E43" s="14" t="inlineStr">
        <is>
          <t>Mercado Pago · ARS</t>
        </is>
      </c>
      <c r="F43" s="14" t="inlineStr">
        <is>
          <t>Dinero retirado · + · op 179532656112 · resumen oficial cuenta MP 1–30 sep 2026</t>
        </is>
      </c>
    </row>
    <row r="44">
      <c r="A44" s="17" t="n">
        <v>46282</v>
      </c>
      <c r="B44" s="14" t="inlineStr">
        <is>
          <t>Septiembre</t>
        </is>
      </c>
      <c r="C44" s="14" t="inlineStr">
        <is>
          <t>Tarjeta MELI</t>
        </is>
      </c>
      <c r="D44" s="15" t="n">
        <v>2000000</v>
      </c>
      <c r="E44" s="14" t="inlineStr">
        <is>
          <t>Mercado Pago · ARS</t>
        </is>
      </c>
      <c r="F44" s="14" t="inlineStr">
        <is>
          <t>Dinero retirado · + · op 178598781291 · resumen oficial cuenta MP 1–30 sep 2026</t>
        </is>
      </c>
    </row>
    <row r="45">
      <c r="A45" s="17" t="n">
        <v>46284</v>
      </c>
      <c r="B45" s="14" t="inlineStr">
        <is>
          <t>Septiembre</t>
        </is>
      </c>
      <c r="C45" s="14" t="inlineStr">
        <is>
          <t>Susi</t>
        </is>
      </c>
      <c r="D45" s="15" t="n">
        <v>140000</v>
      </c>
      <c r="E45" s="14" t="inlineStr">
        <is>
          <t>Mercado Pago · ARS</t>
        </is>
      </c>
      <c r="F45" s="14" t="inlineStr">
        <is>
          <t>Dinero retirado · + · op 178958372559 · resumen oficial cuenta MP 1–30 sep 2026</t>
        </is>
      </c>
    </row>
    <row r="46">
      <c r="A46" s="17" t="n">
        <v>46286</v>
      </c>
      <c r="B46" s="14" t="inlineStr">
        <is>
          <t>Septiembre</t>
        </is>
      </c>
      <c r="C46" s="14" t="inlineStr">
        <is>
          <t>Susi</t>
        </is>
      </c>
      <c r="D46" s="15" t="n">
        <v>30000</v>
      </c>
      <c r="E46" s="14" t="inlineStr">
        <is>
          <t>Mercado Pago · ARS</t>
        </is>
      </c>
      <c r="F46" s="14" t="inlineStr">
        <is>
          <t>Dinero retirado · + · op 179116959345 · resumen oficial cuenta MP 1–30 sep 2026</t>
        </is>
      </c>
    </row>
    <row r="47">
      <c r="A47" s="17" t="n">
        <v>46288</v>
      </c>
      <c r="B47" s="14" t="inlineStr">
        <is>
          <t>Septiembre</t>
        </is>
      </c>
      <c r="C47" s="14" t="inlineStr">
        <is>
          <t>Susi</t>
        </is>
      </c>
      <c r="D47" s="15" t="n">
        <v>150000</v>
      </c>
      <c r="E47" s="14" t="inlineStr">
        <is>
          <t>Mercado Pago · ARS</t>
        </is>
      </c>
      <c r="F47" s="14" t="inlineStr">
        <is>
          <t>Dinero retirado · + · op 180454236768 · resumen oficial cuenta MP 1–30 sep 2026</t>
        </is>
      </c>
    </row>
    <row r="48">
      <c r="A48" s="17" t="n">
        <v>46288</v>
      </c>
      <c r="B48" s="14" t="inlineStr">
        <is>
          <t>Septiembre</t>
        </is>
      </c>
      <c r="C48" s="14" t="inlineStr">
        <is>
          <t>Susi</t>
        </is>
      </c>
      <c r="D48" s="15" t="n">
        <v>289299</v>
      </c>
      <c r="E48" s="14" t="inlineStr">
        <is>
          <t>Mercado Pago · ARS</t>
        </is>
      </c>
      <c r="F48" s="14" t="inlineStr">
        <is>
          <t>Dinero retirado · + · op 179515527277 · resumen oficial cuenta MP 1–30 sep 2026</t>
        </is>
      </c>
    </row>
    <row r="49">
      <c r="A49" s="17" t="n">
        <v>46290</v>
      </c>
      <c r="B49" s="14" t="inlineStr">
        <is>
          <t>Septiembre</t>
        </is>
      </c>
      <c r="C49" s="14" t="inlineStr">
        <is>
          <t>Tarjeta MELI</t>
        </is>
      </c>
      <c r="D49" s="15" t="n">
        <v>1811722</v>
      </c>
      <c r="E49" s="14" t="inlineStr">
        <is>
          <t>Mercado Pago · ARS</t>
        </is>
      </c>
      <c r="F49" s="14" t="inlineStr">
        <is>
          <t>Dinero retirado · + · op 179934162641 · resumen oficial cuenta MP 1–30 sep 2026</t>
        </is>
      </c>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15"/>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row r="52">
      <c r="A52" s="52" t="n">
        <v>46253</v>
      </c>
      <c r="B52" t="inlineStr">
        <is>
          <t>Agosto</t>
        </is>
      </c>
      <c r="C52" t="inlineStr">
        <is>
          <t>Pago de resumen TC</t>
        </is>
      </c>
      <c r="D52" t="inlineStr">
        <is>
          <t>Tarjeta de crédito Mercado Pago</t>
        </is>
      </c>
      <c r="E52" t="n">
        <v>1200000</v>
      </c>
      <c r="F52" t="inlineStr">
        <is>
          <t>ARS</t>
        </is>
      </c>
      <c r="G52" t="inlineStr">
        <is>
          <t>Mercado Pago</t>
        </is>
      </c>
    </row>
    <row r="53">
      <c r="A53" s="52" t="n">
        <v>46253</v>
      </c>
      <c r="B53" t="inlineStr">
        <is>
          <t>Agosto</t>
        </is>
      </c>
      <c r="C53" t="inlineStr">
        <is>
          <t>Pago de resumen TC</t>
        </is>
      </c>
      <c r="D53" t="inlineStr">
        <is>
          <t>Tarjeta de crédito Mercado Pago</t>
        </is>
      </c>
      <c r="E53" t="n">
        <v>1225483</v>
      </c>
      <c r="F53" t="inlineStr">
        <is>
          <t>ARS</t>
        </is>
      </c>
      <c r="G53" t="inlineStr">
        <is>
          <t>Mercado Pago</t>
        </is>
      </c>
    </row>
    <row r="54">
      <c r="A54" s="52" t="n">
        <v>46266</v>
      </c>
      <c r="B54" t="inlineStr">
        <is>
          <t>Septiembre</t>
        </is>
      </c>
      <c r="C54" t="inlineStr">
        <is>
          <t>Dinero reservado</t>
        </is>
      </c>
      <c r="D54" t="inlineStr">
        <is>
          <t>Susi</t>
        </is>
      </c>
      <c r="E54" t="n">
        <v>500000</v>
      </c>
      <c r="F54" t="inlineStr">
        <is>
          <t>ARS</t>
        </is>
      </c>
      <c r="G54" t="inlineStr">
        <is>
          <t>Mercado Pago</t>
        </is>
      </c>
      <c r="H54" t="inlineStr">
        <is>
          <t>Dinero reservado · − · op 175715708841 · NUNCA almacén · resumen oficial cuenta MP 1–30 sep 2026</t>
        </is>
      </c>
    </row>
    <row r="55">
      <c r="A55" s="52" t="n">
        <v>46266</v>
      </c>
      <c r="B55" t="inlineStr">
        <is>
          <t>Septiembre</t>
        </is>
      </c>
      <c r="C55" t="inlineStr">
        <is>
          <t>Dinero reservado</t>
        </is>
      </c>
      <c r="D55" t="inlineStr">
        <is>
          <t>AVA</t>
        </is>
      </c>
      <c r="E55" t="n">
        <v>4300000</v>
      </c>
      <c r="F55" t="inlineStr">
        <is>
          <t>ARS</t>
        </is>
      </c>
      <c r="G55" t="inlineStr">
        <is>
          <t>Mercado Pago</t>
        </is>
      </c>
      <c r="H55" t="inlineStr">
        <is>
          <t>Dinero reservado · − · op 176669207270 · NUNCA almacén · resumen oficial cuenta MP 1–30 sep 2026</t>
        </is>
      </c>
    </row>
    <row r="56">
      <c r="A56" s="52" t="n">
        <v>46266</v>
      </c>
      <c r="B56" t="inlineStr">
        <is>
          <t>Septiembre</t>
        </is>
      </c>
      <c r="C56" t="inlineStr">
        <is>
          <t>Dinero retirado</t>
        </is>
      </c>
      <c r="D56" t="inlineStr">
        <is>
          <t>AVA</t>
        </is>
      </c>
      <c r="E56" t="n">
        <v>1000000</v>
      </c>
      <c r="F56" t="inlineStr">
        <is>
          <t>ARS</t>
        </is>
      </c>
      <c r="G56" t="inlineStr">
        <is>
          <t>Mercado Pago</t>
        </is>
      </c>
      <c r="H56" t="inlineStr">
        <is>
          <t>Dinero retirado · + · op 176670344236 · resumen oficial cuenta MP 1–30 sep 2026</t>
        </is>
      </c>
    </row>
    <row r="57">
      <c r="A57" s="52" t="n">
        <v>46266</v>
      </c>
      <c r="B57" t="inlineStr">
        <is>
          <t>Septiembre</t>
        </is>
      </c>
      <c r="C57" t="inlineStr">
        <is>
          <t>Dinero reservado</t>
        </is>
      </c>
      <c r="D57" t="inlineStr">
        <is>
          <t>Expensas</t>
        </is>
      </c>
      <c r="E57" t="n">
        <v>1000000</v>
      </c>
      <c r="F57" t="inlineStr">
        <is>
          <t>ARS</t>
        </is>
      </c>
      <c r="G57" t="inlineStr">
        <is>
          <t>Mercado Pago</t>
        </is>
      </c>
      <c r="H57" t="inlineStr">
        <is>
          <t>Dinero reservado · − · op 176669891822 · NUNCA almacén · resumen oficial cuenta MP 1–30 sep 2026</t>
        </is>
      </c>
    </row>
    <row r="58">
      <c r="A58" s="52" t="n">
        <v>46266</v>
      </c>
      <c r="B58" t="inlineStr">
        <is>
          <t>Septiembre</t>
        </is>
      </c>
      <c r="C58" t="inlineStr">
        <is>
          <t>Dinero retirado</t>
        </is>
      </c>
      <c r="D58" t="inlineStr">
        <is>
          <t>Expensas</t>
        </is>
      </c>
      <c r="E58" t="n">
        <v>100000</v>
      </c>
      <c r="F58" t="inlineStr">
        <is>
          <t>ARS</t>
        </is>
      </c>
      <c r="G58" t="inlineStr">
        <is>
          <t>Mercado Pago</t>
        </is>
      </c>
      <c r="H58" t="inlineStr">
        <is>
          <t>Dinero retirado · + · op 176670197960 · resumen oficial cuenta MP 1–30 sep 2026</t>
        </is>
      </c>
    </row>
    <row r="59">
      <c r="A59" s="52" t="n">
        <v>46266</v>
      </c>
      <c r="B59" t="inlineStr">
        <is>
          <t>Septiembre</t>
        </is>
      </c>
      <c r="C59" t="inlineStr">
        <is>
          <t>Reserva automática</t>
        </is>
      </c>
      <c r="D59" t="inlineStr">
        <is>
          <t>Susi</t>
        </is>
      </c>
      <c r="E59" t="n">
        <v>3000</v>
      </c>
      <c r="F59" t="inlineStr">
        <is>
          <t>ARS</t>
        </is>
      </c>
      <c r="G59" t="inlineStr">
        <is>
          <t>Mercado Pago</t>
        </is>
      </c>
      <c r="H59" t="inlineStr">
        <is>
          <t>Reserva automática · − · op 175716957483 · NUNCA almacén · resumen oficial cuenta MP 1–30 sep 2026</t>
        </is>
      </c>
    </row>
    <row r="60">
      <c r="A60" s="52" t="n">
        <v>46266</v>
      </c>
      <c r="B60" t="inlineStr">
        <is>
          <t>Septiembre</t>
        </is>
      </c>
      <c r="C60" t="inlineStr">
        <is>
          <t>Reserva automática</t>
        </is>
      </c>
      <c r="D60" t="inlineStr">
        <is>
          <t>AVA</t>
        </is>
      </c>
      <c r="E60" t="n">
        <v>500</v>
      </c>
      <c r="F60" t="inlineStr">
        <is>
          <t>ARS</t>
        </is>
      </c>
      <c r="G60" t="inlineStr">
        <is>
          <t>Mercado Pago</t>
        </is>
      </c>
      <c r="H60" t="inlineStr">
        <is>
          <t>Reserva automática · − · op 176670874948 · NUNCA almacén · resumen oficial cuenta MP 1–30 sep 2026</t>
        </is>
      </c>
    </row>
    <row r="61">
      <c r="A61" s="52" t="n">
        <v>46266</v>
      </c>
      <c r="B61" t="inlineStr">
        <is>
          <t>Septiembre</t>
        </is>
      </c>
      <c r="C61" t="inlineStr">
        <is>
          <t>Inversión</t>
        </is>
      </c>
      <c r="D61" t="inlineStr">
        <is>
          <t>Venta de dólares</t>
        </is>
      </c>
      <c r="E61" t="n">
        <v>1715612</v>
      </c>
      <c r="F61" t="inlineStr">
        <is>
          <t>ARS</t>
        </is>
      </c>
      <c r="G61" t="inlineStr">
        <is>
          <t>Mercado Pago</t>
        </is>
      </c>
      <c r="H61" t="inlineStr">
        <is>
          <t>Inversión · Rescate · + · op 175716248657 · ceil 1715611.4 · resumen oficial cuenta MP 1–30 sep 2026</t>
        </is>
      </c>
    </row>
    <row r="62">
      <c r="A62" s="52" t="n">
        <v>46266</v>
      </c>
      <c r="B62" t="inlineStr">
        <is>
          <t>Septiembre</t>
        </is>
      </c>
      <c r="C62" t="inlineStr">
        <is>
          <t>Dinero reservado</t>
        </is>
      </c>
      <c r="D62" t="inlineStr">
        <is>
          <t>Tarjeta MELI</t>
        </is>
      </c>
      <c r="E62" t="n">
        <v>1799162</v>
      </c>
      <c r="F62" t="inlineStr">
        <is>
          <t>ARS</t>
        </is>
      </c>
      <c r="G62" t="inlineStr">
        <is>
          <t>Mercado Pago</t>
        </is>
      </c>
      <c r="H62" t="inlineStr">
        <is>
          <t>Dinero reservado · − · op 176697071778 · NUNCA almacén · resumen oficial cuenta MP 1–30 sep 2026</t>
        </is>
      </c>
    </row>
    <row r="63">
      <c r="A63" s="52" t="n">
        <v>46266</v>
      </c>
      <c r="B63" t="inlineStr">
        <is>
          <t>Septiembre</t>
        </is>
      </c>
      <c r="C63" t="inlineStr">
        <is>
          <t>Dinero retirado</t>
        </is>
      </c>
      <c r="D63" t="inlineStr">
        <is>
          <t>Tarjeta MELI</t>
        </is>
      </c>
      <c r="E63" t="n">
        <v>45000</v>
      </c>
      <c r="F63" t="inlineStr">
        <is>
          <t>ARS</t>
        </is>
      </c>
      <c r="G63" t="inlineStr">
        <is>
          <t>Mercado Pago</t>
        </is>
      </c>
      <c r="H63" t="inlineStr">
        <is>
          <t>Dinero retirado · + · op 176771280062 · resumen oficial cuenta MP 1–30 sep 2026</t>
        </is>
      </c>
    </row>
    <row r="64">
      <c r="A64" s="52" t="n">
        <v>46266</v>
      </c>
      <c r="B64" t="inlineStr">
        <is>
          <t>Septiembre</t>
        </is>
      </c>
      <c r="C64" t="inlineStr">
        <is>
          <t>Dinero retirado</t>
        </is>
      </c>
      <c r="D64" t="inlineStr">
        <is>
          <t>AVA</t>
        </is>
      </c>
      <c r="E64" t="n">
        <v>870000</v>
      </c>
      <c r="F64" t="inlineStr">
        <is>
          <t>ARS</t>
        </is>
      </c>
      <c r="G64" t="inlineStr">
        <is>
          <t>Mercado Pago</t>
        </is>
      </c>
      <c r="H64" t="inlineStr">
        <is>
          <t>Dinero retirado · + · op 175833734653 · resumen oficial cuenta MP 1–30 sep 2026</t>
        </is>
      </c>
    </row>
    <row r="65">
      <c r="A65" s="52" t="n">
        <v>46266</v>
      </c>
      <c r="B65" t="inlineStr">
        <is>
          <t>Septiembre</t>
        </is>
      </c>
      <c r="C65" t="inlineStr">
        <is>
          <t>Reserva automática</t>
        </is>
      </c>
      <c r="D65" t="inlineStr">
        <is>
          <t>Susi</t>
        </is>
      </c>
      <c r="E65" t="n">
        <v>3000</v>
      </c>
      <c r="F65" t="inlineStr">
        <is>
          <t>ARS</t>
        </is>
      </c>
      <c r="G65" t="inlineStr">
        <is>
          <t>Mercado Pago</t>
        </is>
      </c>
      <c r="H65" t="inlineStr">
        <is>
          <t>Reserva automática · − · op 175848472625 · NUNCA almacén · resumen oficial cuenta MP 1–30 sep 2026</t>
        </is>
      </c>
    </row>
    <row r="66">
      <c r="A66" s="52" t="n">
        <v>46266</v>
      </c>
      <c r="B66" t="inlineStr">
        <is>
          <t>Septiembre</t>
        </is>
      </c>
      <c r="C66" t="inlineStr">
        <is>
          <t>Reserva automática</t>
        </is>
      </c>
      <c r="D66" t="inlineStr">
        <is>
          <t>AVA</t>
        </is>
      </c>
      <c r="E66" t="n">
        <v>500</v>
      </c>
      <c r="F66" t="inlineStr">
        <is>
          <t>ARS</t>
        </is>
      </c>
      <c r="G66" t="inlineStr">
        <is>
          <t>Mercado Pago</t>
        </is>
      </c>
      <c r="H66" t="inlineStr">
        <is>
          <t>Reserva automática · − · op 176802548522 · NUNCA almacén · resumen oficial cuenta MP 1–30 sep 2026</t>
        </is>
      </c>
    </row>
    <row r="67">
      <c r="A67" s="52" t="n">
        <v>46267</v>
      </c>
      <c r="B67" t="inlineStr">
        <is>
          <t>Septiembre</t>
        </is>
      </c>
      <c r="C67" t="inlineStr">
        <is>
          <t>Reserva automática</t>
        </is>
      </c>
      <c r="D67" t="inlineStr">
        <is>
          <t>AVA</t>
        </is>
      </c>
      <c r="E67" t="n">
        <v>500</v>
      </c>
      <c r="F67" t="inlineStr">
        <is>
          <t>ARS</t>
        </is>
      </c>
      <c r="G67" t="inlineStr">
        <is>
          <t>Mercado Pago</t>
        </is>
      </c>
      <c r="H67" t="inlineStr">
        <is>
          <t>Reserva automática · − · op 175878560779 · NUNCA almacén · resumen oficial cuenta MP 1–30 sep 2026</t>
        </is>
      </c>
    </row>
    <row r="68">
      <c r="A68" s="52" t="n">
        <v>46267</v>
      </c>
      <c r="B68" t="inlineStr">
        <is>
          <t>Septiembre</t>
        </is>
      </c>
      <c r="C68" t="inlineStr">
        <is>
          <t>Reserva automática</t>
        </is>
      </c>
      <c r="D68" t="inlineStr">
        <is>
          <t>Susi</t>
        </is>
      </c>
      <c r="E68" t="n">
        <v>3000</v>
      </c>
      <c r="F68" t="inlineStr">
        <is>
          <t>ARS</t>
        </is>
      </c>
      <c r="G68" t="inlineStr">
        <is>
          <t>Mercado Pago</t>
        </is>
      </c>
      <c r="H68" t="inlineStr">
        <is>
          <t>Reserva automática · − · op 175878219507 · NUNCA almacén · resumen oficial cuenta MP 1–30 sep 2026</t>
        </is>
      </c>
    </row>
    <row r="69">
      <c r="A69" s="52" t="n">
        <v>46267</v>
      </c>
      <c r="B69" t="inlineStr">
        <is>
          <t>Septiembre</t>
        </is>
      </c>
      <c r="C69" t="inlineStr">
        <is>
          <t>Dinero retirado</t>
        </is>
      </c>
      <c r="D69" t="inlineStr">
        <is>
          <t>AVA</t>
        </is>
      </c>
      <c r="E69" t="n">
        <v>200000</v>
      </c>
      <c r="F69" t="inlineStr">
        <is>
          <t>ARS</t>
        </is>
      </c>
      <c r="G69" t="inlineStr">
        <is>
          <t>Mercado Pago</t>
        </is>
      </c>
      <c r="H69" t="inlineStr">
        <is>
          <t>Dinero retirado · + · op 176834369428 · resumen oficial cuenta MP 1–30 sep 2026</t>
        </is>
      </c>
    </row>
    <row r="70">
      <c r="A70" s="52" t="n">
        <v>46267</v>
      </c>
      <c r="B70" t="inlineStr">
        <is>
          <t>Septiembre</t>
        </is>
      </c>
      <c r="C70" t="inlineStr">
        <is>
          <t>Reserva automática</t>
        </is>
      </c>
      <c r="D70" t="inlineStr">
        <is>
          <t>Susi</t>
        </is>
      </c>
      <c r="E70" t="n">
        <v>3000</v>
      </c>
      <c r="F70" t="inlineStr">
        <is>
          <t>ARS</t>
        </is>
      </c>
      <c r="G70" t="inlineStr">
        <is>
          <t>Mercado Pago</t>
        </is>
      </c>
      <c r="H70" t="inlineStr">
        <is>
          <t>Reserva automática · − · op 176834779136 · NUNCA almacén · resumen oficial cuenta MP 1–30 sep 2026</t>
        </is>
      </c>
    </row>
    <row r="71">
      <c r="A71" s="52" t="n">
        <v>46267</v>
      </c>
      <c r="B71" t="inlineStr">
        <is>
          <t>Septiembre</t>
        </is>
      </c>
      <c r="C71" t="inlineStr">
        <is>
          <t>Reserva automática</t>
        </is>
      </c>
      <c r="D71" t="inlineStr">
        <is>
          <t>AVA</t>
        </is>
      </c>
      <c r="E71" t="n">
        <v>500</v>
      </c>
      <c r="F71" t="inlineStr">
        <is>
          <t>ARS</t>
        </is>
      </c>
      <c r="G71" t="inlineStr">
        <is>
          <t>Mercado Pago</t>
        </is>
      </c>
      <c r="H71" t="inlineStr">
        <is>
          <t>Reserva automática · − · op 176835046480 · NUNCA almacén · resumen oficial cuenta MP 1–30 sep 2026</t>
        </is>
      </c>
    </row>
    <row r="72">
      <c r="A72" s="52" t="n">
        <v>46267</v>
      </c>
      <c r="B72" t="inlineStr">
        <is>
          <t>Septiembre</t>
        </is>
      </c>
      <c r="C72" t="inlineStr">
        <is>
          <t>Reserva automática</t>
        </is>
      </c>
      <c r="D72" t="inlineStr">
        <is>
          <t>Susi</t>
        </is>
      </c>
      <c r="E72" t="n">
        <v>3000</v>
      </c>
      <c r="F72" t="inlineStr">
        <is>
          <t>ARS</t>
        </is>
      </c>
      <c r="G72" t="inlineStr">
        <is>
          <t>Mercado Pago</t>
        </is>
      </c>
      <c r="H72" t="inlineStr">
        <is>
          <t>Reserva automática · − · op 175943040057 · NUNCA almacén · resumen oficial cuenta MP 1–30 sep 2026</t>
        </is>
      </c>
    </row>
    <row r="73">
      <c r="A73" s="52" t="n">
        <v>46267</v>
      </c>
      <c r="B73" t="inlineStr">
        <is>
          <t>Septiembre</t>
        </is>
      </c>
      <c r="C73" t="inlineStr">
        <is>
          <t>Reserva automática</t>
        </is>
      </c>
      <c r="D73" t="inlineStr">
        <is>
          <t>AVA</t>
        </is>
      </c>
      <c r="E73" t="n">
        <v>500</v>
      </c>
      <c r="F73" t="inlineStr">
        <is>
          <t>ARS</t>
        </is>
      </c>
      <c r="G73" t="inlineStr">
        <is>
          <t>Mercado Pago</t>
        </is>
      </c>
      <c r="H73" t="inlineStr">
        <is>
          <t>Reserva automática · − · op 175943510931 · NUNCA almacén · resumen oficial cuenta MP 1–30 sep 2026</t>
        </is>
      </c>
    </row>
    <row r="74">
      <c r="A74" s="52" t="n">
        <v>46268</v>
      </c>
      <c r="B74" t="inlineStr">
        <is>
          <t>Septiembre</t>
        </is>
      </c>
      <c r="C74" t="inlineStr">
        <is>
          <t>Reserva automática</t>
        </is>
      </c>
      <c r="D74" t="inlineStr">
        <is>
          <t>Susi</t>
        </is>
      </c>
      <c r="E74" t="n">
        <v>3000</v>
      </c>
      <c r="F74" t="inlineStr">
        <is>
          <t>ARS</t>
        </is>
      </c>
      <c r="G74" t="inlineStr">
        <is>
          <t>Mercado Pago</t>
        </is>
      </c>
      <c r="H74" t="inlineStr">
        <is>
          <t>Reserva automática · − · op 176090234135 · NUNCA almacén · resumen oficial cuenta MP 1–30 sep 2026</t>
        </is>
      </c>
    </row>
    <row r="75">
      <c r="A75" s="52" t="n">
        <v>46268</v>
      </c>
      <c r="B75" t="inlineStr">
        <is>
          <t>Septiembre</t>
        </is>
      </c>
      <c r="C75" t="inlineStr">
        <is>
          <t>Reserva automática</t>
        </is>
      </c>
      <c r="D75" t="inlineStr">
        <is>
          <t>AVA</t>
        </is>
      </c>
      <c r="E75" t="n">
        <v>500</v>
      </c>
      <c r="F75" t="inlineStr">
        <is>
          <t>ARS</t>
        </is>
      </c>
      <c r="G75" t="inlineStr">
        <is>
          <t>Mercado Pago</t>
        </is>
      </c>
      <c r="H75" t="inlineStr">
        <is>
          <t>Reserva automática · − · op 177048512550 · NUNCA almacén · resumen oficial cuenta MP 1–30 sep 2026</t>
        </is>
      </c>
    </row>
    <row r="76">
      <c r="A76" s="52" t="n">
        <v>46268</v>
      </c>
      <c r="B76" t="inlineStr">
        <is>
          <t>Septiembre</t>
        </is>
      </c>
      <c r="C76" t="inlineStr">
        <is>
          <t>Reserva automática</t>
        </is>
      </c>
      <c r="D76" t="inlineStr">
        <is>
          <t>Susi</t>
        </is>
      </c>
      <c r="E76" t="n">
        <v>3000</v>
      </c>
      <c r="F76" t="inlineStr">
        <is>
          <t>ARS</t>
        </is>
      </c>
      <c r="G76" t="inlineStr">
        <is>
          <t>Mercado Pago</t>
        </is>
      </c>
      <c r="H76" t="inlineStr">
        <is>
          <t>Reserva automática · − · op 177061078740 · NUNCA almacén · resumen oficial cuenta MP 1–30 sep 2026</t>
        </is>
      </c>
    </row>
    <row r="77">
      <c r="A77" s="52" t="n">
        <v>46268</v>
      </c>
      <c r="B77" t="inlineStr">
        <is>
          <t>Septiembre</t>
        </is>
      </c>
      <c r="C77" t="inlineStr">
        <is>
          <t>Reserva automática</t>
        </is>
      </c>
      <c r="D77" t="inlineStr">
        <is>
          <t>AVA</t>
        </is>
      </c>
      <c r="E77" t="n">
        <v>500</v>
      </c>
      <c r="F77" t="inlineStr">
        <is>
          <t>ARS</t>
        </is>
      </c>
      <c r="G77" t="inlineStr">
        <is>
          <t>Mercado Pago</t>
        </is>
      </c>
      <c r="H77" t="inlineStr">
        <is>
          <t>Reserva automática · − · op 176102660757 · NUNCA almacén · resumen oficial cuenta MP 1–30 sep 2026</t>
        </is>
      </c>
    </row>
    <row r="78">
      <c r="A78" s="52" t="n">
        <v>46268</v>
      </c>
      <c r="B78" t="inlineStr">
        <is>
          <t>Septiembre</t>
        </is>
      </c>
      <c r="C78" t="inlineStr">
        <is>
          <t>Reserva automática</t>
        </is>
      </c>
      <c r="D78" t="inlineStr">
        <is>
          <t>Susi</t>
        </is>
      </c>
      <c r="E78" t="n">
        <v>3000</v>
      </c>
      <c r="F78" t="inlineStr">
        <is>
          <t>ARS</t>
        </is>
      </c>
      <c r="G78" t="inlineStr">
        <is>
          <t>Mercado Pago</t>
        </is>
      </c>
      <c r="H78" t="inlineStr">
        <is>
          <t>Reserva automática · − · op 176110844753 · NUNCA almacén · resumen oficial cuenta MP 1–30 sep 2026</t>
        </is>
      </c>
    </row>
    <row r="79">
      <c r="A79" s="52" t="n">
        <v>46268</v>
      </c>
      <c r="B79" t="inlineStr">
        <is>
          <t>Septiembre</t>
        </is>
      </c>
      <c r="C79" t="inlineStr">
        <is>
          <t>Reserva automática</t>
        </is>
      </c>
      <c r="D79" t="inlineStr">
        <is>
          <t>AVA</t>
        </is>
      </c>
      <c r="E79" t="n">
        <v>500</v>
      </c>
      <c r="F79" t="inlineStr">
        <is>
          <t>ARS</t>
        </is>
      </c>
      <c r="G79" t="inlineStr">
        <is>
          <t>Mercado Pago</t>
        </is>
      </c>
      <c r="H79" t="inlineStr">
        <is>
          <t>Reserva automática · − · op 176110521451 · NUNCA almacén · resumen oficial cuenta MP 1–30 sep 2026</t>
        </is>
      </c>
    </row>
    <row r="80">
      <c r="A80" s="52" t="n">
        <v>46268</v>
      </c>
      <c r="B80" t="inlineStr">
        <is>
          <t>Septiembre</t>
        </is>
      </c>
      <c r="C80" t="inlineStr">
        <is>
          <t>Dinero retirado</t>
        </is>
      </c>
      <c r="D80" t="inlineStr">
        <is>
          <t>Tarjeta MELI</t>
        </is>
      </c>
      <c r="E80" t="n">
        <v>1755982</v>
      </c>
      <c r="F80" t="inlineStr">
        <is>
          <t>ARS</t>
        </is>
      </c>
      <c r="G80" t="inlineStr">
        <is>
          <t>Mercado Pago</t>
        </is>
      </c>
      <c r="H80" t="inlineStr">
        <is>
          <t>Dinero retirado · + · op 177129936970 · resumen oficial cuenta MP 1–30 sep 2026</t>
        </is>
      </c>
    </row>
    <row r="81">
      <c r="A81" s="52" t="n">
        <v>46270</v>
      </c>
      <c r="B81" t="inlineStr">
        <is>
          <t>Septiembre</t>
        </is>
      </c>
      <c r="C81" t="inlineStr">
        <is>
          <t>Reserva automática</t>
        </is>
      </c>
      <c r="D81" t="inlineStr">
        <is>
          <t>Susi</t>
        </is>
      </c>
      <c r="E81" t="n">
        <v>3000</v>
      </c>
      <c r="F81" t="inlineStr">
        <is>
          <t>ARS</t>
        </is>
      </c>
      <c r="G81" t="inlineStr">
        <is>
          <t>Mercado Pago</t>
        </is>
      </c>
      <c r="H81" t="inlineStr">
        <is>
          <t>Reserva automática · − · op 176478978461 · NUNCA almacén · resumen oficial cuenta MP 1–30 sep 2026</t>
        </is>
      </c>
    </row>
    <row r="82">
      <c r="A82" s="52" t="n">
        <v>46270</v>
      </c>
      <c r="B82" t="inlineStr">
        <is>
          <t>Septiembre</t>
        </is>
      </c>
      <c r="C82" t="inlineStr">
        <is>
          <t>Reserva automática</t>
        </is>
      </c>
      <c r="D82" t="inlineStr">
        <is>
          <t>AVA</t>
        </is>
      </c>
      <c r="E82" t="n">
        <v>500</v>
      </c>
      <c r="F82" t="inlineStr">
        <is>
          <t>ARS</t>
        </is>
      </c>
      <c r="G82" t="inlineStr">
        <is>
          <t>Mercado Pago</t>
        </is>
      </c>
      <c r="H82" t="inlineStr">
        <is>
          <t>Reserva automática · − · op 176478645009 · NUNCA almacén · resumen oficial cuenta MP 1–30 sep 2026</t>
        </is>
      </c>
    </row>
    <row r="83">
      <c r="A83" s="52" t="n">
        <v>46270</v>
      </c>
      <c r="B83" t="inlineStr">
        <is>
          <t>Septiembre</t>
        </is>
      </c>
      <c r="C83" t="inlineStr">
        <is>
          <t>Reserva automática</t>
        </is>
      </c>
      <c r="D83" t="inlineStr">
        <is>
          <t>Susi</t>
        </is>
      </c>
      <c r="E83" t="n">
        <v>3000</v>
      </c>
      <c r="F83" t="inlineStr">
        <is>
          <t>ARS</t>
        </is>
      </c>
      <c r="G83" t="inlineStr">
        <is>
          <t>Mercado Pago</t>
        </is>
      </c>
      <c r="H83" t="inlineStr">
        <is>
          <t>Reserva automática · − · op 176513362435 · NUNCA almacén · resumen oficial cuenta MP 1–30 sep 2026</t>
        </is>
      </c>
    </row>
    <row r="84">
      <c r="A84" s="52" t="n">
        <v>46270</v>
      </c>
      <c r="B84" t="inlineStr">
        <is>
          <t>Septiembre</t>
        </is>
      </c>
      <c r="C84" t="inlineStr">
        <is>
          <t>Reserva automática</t>
        </is>
      </c>
      <c r="D84" t="inlineStr">
        <is>
          <t>AVA</t>
        </is>
      </c>
      <c r="E84" t="n">
        <v>500</v>
      </c>
      <c r="F84" t="inlineStr">
        <is>
          <t>ARS</t>
        </is>
      </c>
      <c r="G84" t="inlineStr">
        <is>
          <t>Mercado Pago</t>
        </is>
      </c>
      <c r="H84" t="inlineStr">
        <is>
          <t>Reserva automática · − · op 177473307814 · NUNCA almacén · resumen oficial cuenta MP 1–30 sep 2026</t>
        </is>
      </c>
    </row>
    <row r="85">
      <c r="A85" s="52" t="n">
        <v>46270</v>
      </c>
      <c r="B85" t="inlineStr">
        <is>
          <t>Septiembre</t>
        </is>
      </c>
      <c r="C85" t="inlineStr">
        <is>
          <t>Reserva automática</t>
        </is>
      </c>
      <c r="D85" t="inlineStr">
        <is>
          <t>Susi</t>
        </is>
      </c>
      <c r="E85" t="n">
        <v>3000</v>
      </c>
      <c r="F85" t="inlineStr">
        <is>
          <t>ARS</t>
        </is>
      </c>
      <c r="G85" t="inlineStr">
        <is>
          <t>Mercado Pago</t>
        </is>
      </c>
      <c r="H85" t="inlineStr">
        <is>
          <t>Reserva automática · − · op 176513003377 · NUNCA almacén · resumen oficial cuenta MP 1–30 sep 2026</t>
        </is>
      </c>
    </row>
    <row r="86">
      <c r="A86" s="52" t="n">
        <v>46270</v>
      </c>
      <c r="B86" t="inlineStr">
        <is>
          <t>Septiembre</t>
        </is>
      </c>
      <c r="C86" t="inlineStr">
        <is>
          <t>Reserva automática</t>
        </is>
      </c>
      <c r="D86" t="inlineStr">
        <is>
          <t>AVA</t>
        </is>
      </c>
      <c r="E86" t="n">
        <v>500</v>
      </c>
      <c r="F86" t="inlineStr">
        <is>
          <t>ARS</t>
        </is>
      </c>
      <c r="G86" t="inlineStr">
        <is>
          <t>Mercado Pago</t>
        </is>
      </c>
      <c r="H86" t="inlineStr">
        <is>
          <t>Reserva automática · − · op 176512584059 · NUNCA almacén · resumen oficial cuenta MP 1–30 sep 2026</t>
        </is>
      </c>
    </row>
    <row r="87">
      <c r="A87" s="52" t="n">
        <v>46271</v>
      </c>
      <c r="B87" t="inlineStr">
        <is>
          <t>Septiembre</t>
        </is>
      </c>
      <c r="C87" t="inlineStr">
        <is>
          <t>Reserva automática</t>
        </is>
      </c>
      <c r="D87" t="inlineStr">
        <is>
          <t>Susi</t>
        </is>
      </c>
      <c r="E87" t="n">
        <v>3000</v>
      </c>
      <c r="F87" t="inlineStr">
        <is>
          <t>ARS</t>
        </is>
      </c>
      <c r="G87" t="inlineStr">
        <is>
          <t>Mercado Pago</t>
        </is>
      </c>
      <c r="H87" t="inlineStr">
        <is>
          <t>Reserva automática · − · op 177557514804 · NUNCA almacén · resumen oficial cuenta MP 1–30 sep 2026</t>
        </is>
      </c>
    </row>
    <row r="88">
      <c r="A88" s="52" t="n">
        <v>46271</v>
      </c>
      <c r="B88" t="inlineStr">
        <is>
          <t>Septiembre</t>
        </is>
      </c>
      <c r="C88" t="inlineStr">
        <is>
          <t>Reserva automática</t>
        </is>
      </c>
      <c r="D88" t="inlineStr">
        <is>
          <t>AVA</t>
        </is>
      </c>
      <c r="E88" t="n">
        <v>500</v>
      </c>
      <c r="F88" t="inlineStr">
        <is>
          <t>ARS</t>
        </is>
      </c>
      <c r="G88" t="inlineStr">
        <is>
          <t>Mercado Pago</t>
        </is>
      </c>
      <c r="H88" t="inlineStr">
        <is>
          <t>Reserva automática · − · op 177557083696 · NUNCA almacén · resumen oficial cuenta MP 1–30 sep 2026</t>
        </is>
      </c>
    </row>
    <row r="89">
      <c r="A89" s="52" t="n">
        <v>46272</v>
      </c>
      <c r="B89" t="inlineStr">
        <is>
          <t>Septiembre</t>
        </is>
      </c>
      <c r="C89" t="inlineStr">
        <is>
          <t>Dinero retirado</t>
        </is>
      </c>
      <c r="D89" t="inlineStr">
        <is>
          <t>AVA</t>
        </is>
      </c>
      <c r="E89" t="n">
        <v>9426902</v>
      </c>
      <c r="F89" t="inlineStr">
        <is>
          <t>ARS</t>
        </is>
      </c>
      <c r="G89" t="inlineStr">
        <is>
          <t>Mercado Pago</t>
        </is>
      </c>
      <c r="H89" t="inlineStr">
        <is>
          <t>Dinero retirado · + · op 177703110684 · resumen oficial cuenta MP 1–30 sep 2026</t>
        </is>
      </c>
    </row>
    <row r="90">
      <c r="A90" s="52" t="n">
        <v>46272</v>
      </c>
      <c r="B90" t="inlineStr">
        <is>
          <t>Septiembre</t>
        </is>
      </c>
      <c r="C90" t="inlineStr">
        <is>
          <t>Reserva automática</t>
        </is>
      </c>
      <c r="D90" t="inlineStr">
        <is>
          <t>Susi</t>
        </is>
      </c>
      <c r="E90" t="n">
        <v>3000</v>
      </c>
      <c r="F90" t="inlineStr">
        <is>
          <t>ARS</t>
        </is>
      </c>
      <c r="G90" t="inlineStr">
        <is>
          <t>Mercado Pago</t>
        </is>
      </c>
      <c r="H90" t="inlineStr">
        <is>
          <t>Reserva automática · − · op 176739027479 · NUNCA almacén · resumen oficial cuenta MP 1–30 sep 2026</t>
        </is>
      </c>
    </row>
    <row r="91">
      <c r="A91" s="52" t="n">
        <v>46272</v>
      </c>
      <c r="B91" t="inlineStr">
        <is>
          <t>Septiembre</t>
        </is>
      </c>
      <c r="C91" t="inlineStr">
        <is>
          <t>Reserva automática</t>
        </is>
      </c>
      <c r="D91" t="inlineStr">
        <is>
          <t>AVA</t>
        </is>
      </c>
      <c r="E91" t="n">
        <v>500</v>
      </c>
      <c r="F91" t="inlineStr">
        <is>
          <t>ARS</t>
        </is>
      </c>
      <c r="G91" t="inlineStr">
        <is>
          <t>Mercado Pago</t>
        </is>
      </c>
      <c r="H91" t="inlineStr">
        <is>
          <t>Reserva automática · − · op 176739233051 · NUNCA almacén · resumen oficial cuenta MP 1–30 sep 2026</t>
        </is>
      </c>
    </row>
    <row r="92">
      <c r="A92" s="52" t="n">
        <v>46272</v>
      </c>
      <c r="B92" t="inlineStr">
        <is>
          <t>Septiembre</t>
        </is>
      </c>
      <c r="C92" t="inlineStr">
        <is>
          <t>Dinero reservado</t>
        </is>
      </c>
      <c r="D92" t="inlineStr">
        <is>
          <t>AVA</t>
        </is>
      </c>
      <c r="E92" t="n">
        <v>3500000</v>
      </c>
      <c r="F92" t="inlineStr">
        <is>
          <t>ARS</t>
        </is>
      </c>
      <c r="G92" t="inlineStr">
        <is>
          <t>Mercado Pago</t>
        </is>
      </c>
      <c r="H92" t="inlineStr">
        <is>
          <t>Dinero reservado · − · op 177703071306 · NUNCA almacén · resumen oficial cuenta MP 1–30 sep 2026</t>
        </is>
      </c>
    </row>
    <row r="93">
      <c r="A93" s="52" t="n">
        <v>46272</v>
      </c>
      <c r="B93" t="inlineStr">
        <is>
          <t>Septiembre</t>
        </is>
      </c>
      <c r="C93" t="inlineStr">
        <is>
          <t>Reserva automática</t>
        </is>
      </c>
      <c r="D93" t="inlineStr">
        <is>
          <t>Susi</t>
        </is>
      </c>
      <c r="E93" t="n">
        <v>3000</v>
      </c>
      <c r="F93" t="inlineStr">
        <is>
          <t>ARS</t>
        </is>
      </c>
      <c r="G93" t="inlineStr">
        <is>
          <t>Mercado Pago</t>
        </is>
      </c>
      <c r="H93" t="inlineStr">
        <is>
          <t>Reserva automática · − · op 176765715563 · NUNCA almacén · resumen oficial cuenta MP 1–30 sep 2026</t>
        </is>
      </c>
    </row>
    <row r="94">
      <c r="A94" s="52" t="n">
        <v>46272</v>
      </c>
      <c r="B94" t="inlineStr">
        <is>
          <t>Septiembre</t>
        </is>
      </c>
      <c r="C94" t="inlineStr">
        <is>
          <t>Reserva automática</t>
        </is>
      </c>
      <c r="D94" t="inlineStr">
        <is>
          <t>AVA</t>
        </is>
      </c>
      <c r="E94" t="n">
        <v>500</v>
      </c>
      <c r="F94" t="inlineStr">
        <is>
          <t>ARS</t>
        </is>
      </c>
      <c r="G94" t="inlineStr">
        <is>
          <t>Mercado Pago</t>
        </is>
      </c>
      <c r="H94" t="inlineStr">
        <is>
          <t>Reserva automática · − · op 176765461843 · NUNCA almacén · resumen oficial cuenta MP 1–30 sep 2026</t>
        </is>
      </c>
    </row>
    <row r="95">
      <c r="A95" s="52" t="n">
        <v>46272</v>
      </c>
      <c r="B95" t="inlineStr">
        <is>
          <t>Septiembre</t>
        </is>
      </c>
      <c r="C95" t="inlineStr">
        <is>
          <t>Reserva automática</t>
        </is>
      </c>
      <c r="D95" t="inlineStr">
        <is>
          <t>Susi</t>
        </is>
      </c>
      <c r="E95" t="n">
        <v>3000</v>
      </c>
      <c r="F95" t="inlineStr">
        <is>
          <t>ARS</t>
        </is>
      </c>
      <c r="G95" t="inlineStr">
        <is>
          <t>Mercado Pago</t>
        </is>
      </c>
      <c r="H95" t="inlineStr">
        <is>
          <t>Reserva automática · − · op 176810447269 · NUNCA almacén · resumen oficial cuenta MP 1–30 sep 2026</t>
        </is>
      </c>
    </row>
    <row r="96">
      <c r="A96" s="52" t="n">
        <v>46272</v>
      </c>
      <c r="B96" t="inlineStr">
        <is>
          <t>Septiembre</t>
        </is>
      </c>
      <c r="C96" t="inlineStr">
        <is>
          <t>Reserva automática</t>
        </is>
      </c>
      <c r="D96" t="inlineStr">
        <is>
          <t>AVA</t>
        </is>
      </c>
      <c r="E96" t="n">
        <v>500</v>
      </c>
      <c r="F96" t="inlineStr">
        <is>
          <t>ARS</t>
        </is>
      </c>
      <c r="G96" t="inlineStr">
        <is>
          <t>Mercado Pago</t>
        </is>
      </c>
      <c r="H96" t="inlineStr">
        <is>
          <t>Reserva automática · − · op 176810051943 · NUNCA almacén · resumen oficial cuenta MP 1–30 sep 2026</t>
        </is>
      </c>
    </row>
    <row r="97">
      <c r="A97" s="52" t="n">
        <v>46273</v>
      </c>
      <c r="B97" t="inlineStr">
        <is>
          <t>Septiembre</t>
        </is>
      </c>
      <c r="C97" t="inlineStr">
        <is>
          <t>Dinero reservado</t>
        </is>
      </c>
      <c r="D97" t="inlineStr">
        <is>
          <t>Palermo</t>
        </is>
      </c>
      <c r="E97" t="n">
        <v>3315000</v>
      </c>
      <c r="F97" t="inlineStr">
        <is>
          <t>ARS</t>
        </is>
      </c>
      <c r="G97" t="inlineStr">
        <is>
          <t>Mercado Pago</t>
        </is>
      </c>
      <c r="H97" t="inlineStr">
        <is>
          <t>Dinero reservado · − · op 177990827740 · NUNCA almacén · resumen oficial cuenta MP 1–30 sep 2026</t>
        </is>
      </c>
    </row>
    <row r="98">
      <c r="A98" s="52" t="n">
        <v>46274</v>
      </c>
      <c r="B98" t="inlineStr">
        <is>
          <t>Septiembre</t>
        </is>
      </c>
      <c r="C98" t="inlineStr">
        <is>
          <t>Reserva automática</t>
        </is>
      </c>
      <c r="D98" t="inlineStr">
        <is>
          <t>Susi</t>
        </is>
      </c>
      <c r="E98" t="n">
        <v>3000</v>
      </c>
      <c r="F98" t="inlineStr">
        <is>
          <t>ARS</t>
        </is>
      </c>
      <c r="G98" t="inlineStr">
        <is>
          <t>Mercado Pago</t>
        </is>
      </c>
      <c r="H98" t="inlineStr">
        <is>
          <t>Reserva automática · − · op 178133332060 · NUNCA almacén · resumen oficial cuenta MP 1–30 sep 2026</t>
        </is>
      </c>
    </row>
    <row r="99">
      <c r="A99" s="52" t="n">
        <v>46274</v>
      </c>
      <c r="B99" t="inlineStr">
        <is>
          <t>Septiembre</t>
        </is>
      </c>
      <c r="C99" t="inlineStr">
        <is>
          <t>Reserva automática</t>
        </is>
      </c>
      <c r="D99" t="inlineStr">
        <is>
          <t>AVA</t>
        </is>
      </c>
      <c r="E99" t="n">
        <v>500</v>
      </c>
      <c r="F99" t="inlineStr">
        <is>
          <t>ARS</t>
        </is>
      </c>
      <c r="G99" t="inlineStr">
        <is>
          <t>Mercado Pago</t>
        </is>
      </c>
      <c r="H99" t="inlineStr">
        <is>
          <t>Reserva automática · − · op 177166384311 · NUNCA almacén · resumen oficial cuenta MP 1–30 sep 2026</t>
        </is>
      </c>
    </row>
    <row r="100">
      <c r="A100" s="52" t="n">
        <v>46274</v>
      </c>
      <c r="B100" t="inlineStr">
        <is>
          <t>Septiembre</t>
        </is>
      </c>
      <c r="C100" t="inlineStr">
        <is>
          <t>Reserva automática</t>
        </is>
      </c>
      <c r="D100" t="inlineStr">
        <is>
          <t>Susi</t>
        </is>
      </c>
      <c r="E100" t="n">
        <v>3000</v>
      </c>
      <c r="F100" t="inlineStr">
        <is>
          <t>ARS</t>
        </is>
      </c>
      <c r="G100" t="inlineStr">
        <is>
          <t>Mercado Pago</t>
        </is>
      </c>
      <c r="H100" t="inlineStr">
        <is>
          <t>Reserva automática · − · op 177184965983 · NUNCA almacén · resumen oficial cuenta MP 1–30 sep 2026</t>
        </is>
      </c>
    </row>
    <row r="101">
      <c r="A101" s="52" t="n">
        <v>46274</v>
      </c>
      <c r="B101" t="inlineStr">
        <is>
          <t>Septiembre</t>
        </is>
      </c>
      <c r="C101" t="inlineStr">
        <is>
          <t>Reserva automática</t>
        </is>
      </c>
      <c r="D101" t="inlineStr">
        <is>
          <t>AVA</t>
        </is>
      </c>
      <c r="E101" t="n">
        <v>500</v>
      </c>
      <c r="F101" t="inlineStr">
        <is>
          <t>ARS</t>
        </is>
      </c>
      <c r="G101" t="inlineStr">
        <is>
          <t>Mercado Pago</t>
        </is>
      </c>
      <c r="H101" t="inlineStr">
        <is>
          <t>Reserva automática · − · op 177185572769 · NUNCA almacén · resumen oficial cuenta MP 1–30 sep 2026</t>
        </is>
      </c>
    </row>
    <row r="102">
      <c r="A102" s="52" t="n">
        <v>46274</v>
      </c>
      <c r="B102" t="inlineStr">
        <is>
          <t>Septiembre</t>
        </is>
      </c>
      <c r="C102" t="inlineStr">
        <is>
          <t>Dinero reservado</t>
        </is>
      </c>
      <c r="D102" t="inlineStr">
        <is>
          <t>Chris</t>
        </is>
      </c>
      <c r="E102" t="n">
        <v>5350000</v>
      </c>
      <c r="F102" t="inlineStr">
        <is>
          <t>ARS</t>
        </is>
      </c>
      <c r="G102" t="inlineStr">
        <is>
          <t>Mercado Pago</t>
        </is>
      </c>
      <c r="H102" t="inlineStr">
        <is>
          <t>Dinero reservado · − · op 178212152144 · NUNCA almacén · resumen oficial cuenta MP 1–30 sep 2026</t>
        </is>
      </c>
    </row>
    <row r="103">
      <c r="A103" s="52" t="n">
        <v>46274</v>
      </c>
      <c r="B103" t="inlineStr">
        <is>
          <t>Septiembre</t>
        </is>
      </c>
      <c r="C103" t="inlineStr">
        <is>
          <t>Reserva automática</t>
        </is>
      </c>
      <c r="D103" t="inlineStr">
        <is>
          <t>Susi</t>
        </is>
      </c>
      <c r="E103" t="n">
        <v>3000</v>
      </c>
      <c r="F103" t="inlineStr">
        <is>
          <t>ARS</t>
        </is>
      </c>
      <c r="G103" t="inlineStr">
        <is>
          <t>Mercado Pago</t>
        </is>
      </c>
      <c r="H103" t="inlineStr">
        <is>
          <t>Reserva automática · − · op 177243225315 · NUNCA almacén · resumen oficial cuenta MP 1–30 sep 2026</t>
        </is>
      </c>
    </row>
    <row r="104">
      <c r="A104" s="52" t="n">
        <v>46274</v>
      </c>
      <c r="B104" t="inlineStr">
        <is>
          <t>Septiembre</t>
        </is>
      </c>
      <c r="C104" t="inlineStr">
        <is>
          <t>Reserva automática</t>
        </is>
      </c>
      <c r="D104" t="inlineStr">
        <is>
          <t>AVA</t>
        </is>
      </c>
      <c r="E104" t="n">
        <v>500</v>
      </c>
      <c r="F104" t="inlineStr">
        <is>
          <t>ARS</t>
        </is>
      </c>
      <c r="G104" t="inlineStr">
        <is>
          <t>Mercado Pago</t>
        </is>
      </c>
      <c r="H104" t="inlineStr">
        <is>
          <t>Reserva automática · − · op 178211023854 · NUNCA almacén · resumen oficial cuenta MP 1–30 sep 2026</t>
        </is>
      </c>
    </row>
    <row r="105">
      <c r="A105" s="52" t="n">
        <v>46275</v>
      </c>
      <c r="B105" t="inlineStr">
        <is>
          <t>Septiembre</t>
        </is>
      </c>
      <c r="C105" t="inlineStr">
        <is>
          <t>Inversión</t>
        </is>
      </c>
      <c r="D105" t="inlineStr">
        <is>
          <t>Venta de dólares</t>
        </is>
      </c>
      <c r="E105" t="n">
        <v>2989714</v>
      </c>
      <c r="F105" t="inlineStr">
        <is>
          <t>ARS</t>
        </is>
      </c>
      <c r="G105" t="inlineStr">
        <is>
          <t>Mercado Pago</t>
        </is>
      </c>
      <c r="H105" t="inlineStr">
        <is>
          <t>Inversión · Rescate · + · op 178296615510 · ceil 2989713.19 · resumen oficial cuenta MP 1–30 sep 2026</t>
        </is>
      </c>
    </row>
    <row r="106">
      <c r="A106" s="52" t="n">
        <v>46275</v>
      </c>
      <c r="B106" t="inlineStr">
        <is>
          <t>Septiembre</t>
        </is>
      </c>
      <c r="C106" t="inlineStr">
        <is>
          <t>Reserva automática</t>
        </is>
      </c>
      <c r="D106" t="inlineStr">
        <is>
          <t>Susi</t>
        </is>
      </c>
      <c r="E106" t="n">
        <v>3000</v>
      </c>
      <c r="F106" t="inlineStr">
        <is>
          <t>ARS</t>
        </is>
      </c>
      <c r="G106" t="inlineStr">
        <is>
          <t>Mercado Pago</t>
        </is>
      </c>
      <c r="H106" t="inlineStr">
        <is>
          <t>Reserva automática · − · op 177384210977 · NUNCA almacén · resumen oficial cuenta MP 1–30 sep 2026</t>
        </is>
      </c>
    </row>
    <row r="107">
      <c r="A107" s="52" t="n">
        <v>46275</v>
      </c>
      <c r="B107" t="inlineStr">
        <is>
          <t>Septiembre</t>
        </is>
      </c>
      <c r="C107" t="inlineStr">
        <is>
          <t>Reserva automática</t>
        </is>
      </c>
      <c r="D107" t="inlineStr">
        <is>
          <t>AVA</t>
        </is>
      </c>
      <c r="E107" t="n">
        <v>500</v>
      </c>
      <c r="F107" t="inlineStr">
        <is>
          <t>ARS</t>
        </is>
      </c>
      <c r="G107" t="inlineStr">
        <is>
          <t>Mercado Pago</t>
        </is>
      </c>
      <c r="H107" t="inlineStr">
        <is>
          <t>Reserva automática · − · op 177383588053 · NUNCA almacén · resumen oficial cuenta MP 1–30 sep 2026</t>
        </is>
      </c>
    </row>
    <row r="108">
      <c r="A108" s="52" t="n">
        <v>46275</v>
      </c>
      <c r="B108" t="inlineStr">
        <is>
          <t>Septiembre</t>
        </is>
      </c>
      <c r="C108" t="inlineStr">
        <is>
          <t>Reserva automática</t>
        </is>
      </c>
      <c r="D108" t="inlineStr">
        <is>
          <t>Susi</t>
        </is>
      </c>
      <c r="E108" t="n">
        <v>3000</v>
      </c>
      <c r="F108" t="inlineStr">
        <is>
          <t>ARS</t>
        </is>
      </c>
      <c r="G108" t="inlineStr">
        <is>
          <t>Mercado Pago</t>
        </is>
      </c>
      <c r="H108" t="inlineStr">
        <is>
          <t>Reserva automática · − · op 178377355184 · NUNCA almacén · resumen oficial cuenta MP 1–30 sep 2026</t>
        </is>
      </c>
    </row>
    <row r="109">
      <c r="A109" s="52" t="n">
        <v>46275</v>
      </c>
      <c r="B109" t="inlineStr">
        <is>
          <t>Septiembre</t>
        </is>
      </c>
      <c r="C109" t="inlineStr">
        <is>
          <t>Reserva automática</t>
        </is>
      </c>
      <c r="D109" t="inlineStr">
        <is>
          <t>AVA</t>
        </is>
      </c>
      <c r="E109" t="n">
        <v>500</v>
      </c>
      <c r="F109" t="inlineStr">
        <is>
          <t>ARS</t>
        </is>
      </c>
      <c r="G109" t="inlineStr">
        <is>
          <t>Mercado Pago</t>
        </is>
      </c>
      <c r="H109" t="inlineStr">
        <is>
          <t>Reserva automática · − · op 178377449072 · NUNCA almacén · resumen oficial cuenta MP 1–30 sep 2026</t>
        </is>
      </c>
    </row>
    <row r="110">
      <c r="A110" s="52" t="n">
        <v>46276</v>
      </c>
      <c r="B110" t="inlineStr">
        <is>
          <t>Septiembre</t>
        </is>
      </c>
      <c r="C110" t="inlineStr">
        <is>
          <t>Inversión</t>
        </is>
      </c>
      <c r="D110" t="inlineStr">
        <is>
          <t>Bonos, plazos fijos y más</t>
        </is>
      </c>
      <c r="E110" t="n">
        <v>12361244</v>
      </c>
      <c r="F110" t="inlineStr">
        <is>
          <t>ARS</t>
        </is>
      </c>
      <c r="G110" t="inlineStr">
        <is>
          <t>Mercado Pago</t>
        </is>
      </c>
      <c r="H110" t="inlineStr">
        <is>
          <t>Inversión · Rescate · + · op 178259630038 · ceil 12361243.87 · resumen oficial cuenta MP 1–30 sep 2026</t>
        </is>
      </c>
    </row>
    <row r="111">
      <c r="A111" s="52" t="n">
        <v>46276</v>
      </c>
      <c r="B111" t="inlineStr">
        <is>
          <t>Septiembre</t>
        </is>
      </c>
      <c r="C111" t="inlineStr">
        <is>
          <t>Reserva automática</t>
        </is>
      </c>
      <c r="D111" t="inlineStr">
        <is>
          <t>Susi</t>
        </is>
      </c>
      <c r="E111" t="n">
        <v>3000</v>
      </c>
      <c r="F111" t="inlineStr">
        <is>
          <t>ARS</t>
        </is>
      </c>
      <c r="G111" t="inlineStr">
        <is>
          <t>Mercado Pago</t>
        </is>
      </c>
      <c r="H111" t="inlineStr">
        <is>
          <t>Reserva automática · − · op 178494392640 · NUNCA almacén · resumen oficial cuenta MP 1–30 sep 2026</t>
        </is>
      </c>
    </row>
    <row r="112">
      <c r="A112" s="52" t="n">
        <v>46276</v>
      </c>
      <c r="B112" t="inlineStr">
        <is>
          <t>Septiembre</t>
        </is>
      </c>
      <c r="C112" t="inlineStr">
        <is>
          <t>Reserva automática</t>
        </is>
      </c>
      <c r="D112" t="inlineStr">
        <is>
          <t>AVA</t>
        </is>
      </c>
      <c r="E112" t="n">
        <v>500</v>
      </c>
      <c r="F112" t="inlineStr">
        <is>
          <t>ARS</t>
        </is>
      </c>
      <c r="G112" t="inlineStr">
        <is>
          <t>Mercado Pago</t>
        </is>
      </c>
      <c r="H112" t="inlineStr">
        <is>
          <t>Reserva automática · − · op 177523472223 · NUNCA almacén · resumen oficial cuenta MP 1–30 sep 2026</t>
        </is>
      </c>
    </row>
    <row r="113">
      <c r="A113" s="52" t="n">
        <v>46276</v>
      </c>
      <c r="B113" t="inlineStr">
        <is>
          <t>Septiembre</t>
        </is>
      </c>
      <c r="C113" t="inlineStr">
        <is>
          <t>Reserva automática</t>
        </is>
      </c>
      <c r="D113" t="inlineStr">
        <is>
          <t>Susi</t>
        </is>
      </c>
      <c r="E113" t="n">
        <v>3000</v>
      </c>
      <c r="F113" t="inlineStr">
        <is>
          <t>ARS</t>
        </is>
      </c>
      <c r="G113" t="inlineStr">
        <is>
          <t>Mercado Pago</t>
        </is>
      </c>
      <c r="H113" t="inlineStr">
        <is>
          <t>Reserva automática · − · op 177539975407 · NUNCA almacén · resumen oficial cuenta MP 1–30 sep 2026</t>
        </is>
      </c>
    </row>
    <row r="114">
      <c r="A114" s="52" t="n">
        <v>46276</v>
      </c>
      <c r="B114" t="inlineStr">
        <is>
          <t>Septiembre</t>
        </is>
      </c>
      <c r="C114" t="inlineStr">
        <is>
          <t>Reserva automática</t>
        </is>
      </c>
      <c r="D114" t="inlineStr">
        <is>
          <t>AVA</t>
        </is>
      </c>
      <c r="E114" t="n">
        <v>500</v>
      </c>
      <c r="F114" t="inlineStr">
        <is>
          <t>ARS</t>
        </is>
      </c>
      <c r="G114" t="inlineStr">
        <is>
          <t>Mercado Pago</t>
        </is>
      </c>
      <c r="H114" t="inlineStr">
        <is>
          <t>Reserva automática · − · op 177540356463 · NUNCA almacén · resumen oficial cuenta MP 1–30 sep 2026</t>
        </is>
      </c>
    </row>
    <row r="115">
      <c r="A115" s="52" t="n">
        <v>46276</v>
      </c>
      <c r="B115" t="inlineStr">
        <is>
          <t>Septiembre</t>
        </is>
      </c>
      <c r="C115" t="inlineStr">
        <is>
          <t>Reserva automática</t>
        </is>
      </c>
      <c r="D115" t="inlineStr">
        <is>
          <t>Susi</t>
        </is>
      </c>
      <c r="E115" t="n">
        <v>3000</v>
      </c>
      <c r="F115" t="inlineStr">
        <is>
          <t>ARS</t>
        </is>
      </c>
      <c r="G115" t="inlineStr">
        <is>
          <t>Mercado Pago</t>
        </is>
      </c>
      <c r="H115" t="inlineStr">
        <is>
          <t>Reserva automática · − · op 177559893607 · NUNCA almacén · resumen oficial cuenta MP 1–30 sep 2026</t>
        </is>
      </c>
    </row>
    <row r="116">
      <c r="A116" s="52" t="n">
        <v>46276</v>
      </c>
      <c r="B116" t="inlineStr">
        <is>
          <t>Septiembre</t>
        </is>
      </c>
      <c r="C116" t="inlineStr">
        <is>
          <t>Reserva automática</t>
        </is>
      </c>
      <c r="D116" t="inlineStr">
        <is>
          <t>AVA</t>
        </is>
      </c>
      <c r="E116" t="n">
        <v>500</v>
      </c>
      <c r="F116" t="inlineStr">
        <is>
          <t>ARS</t>
        </is>
      </c>
      <c r="G116" t="inlineStr">
        <is>
          <t>Mercado Pago</t>
        </is>
      </c>
      <c r="H116" t="inlineStr">
        <is>
          <t>Reserva automática · − · op 178531848482 · NUNCA almacén · resumen oficial cuenta MP 1–30 sep 2026</t>
        </is>
      </c>
    </row>
    <row r="117">
      <c r="A117" s="52" t="n">
        <v>46276</v>
      </c>
      <c r="B117" t="inlineStr">
        <is>
          <t>Septiembre</t>
        </is>
      </c>
      <c r="C117" t="inlineStr">
        <is>
          <t>Dinero reservado</t>
        </is>
      </c>
      <c r="D117" t="inlineStr">
        <is>
          <t>Chris</t>
        </is>
      </c>
      <c r="E117" t="n">
        <v>14250000</v>
      </c>
      <c r="F117" t="inlineStr">
        <is>
          <t>ARS</t>
        </is>
      </c>
      <c r="G117" t="inlineStr">
        <is>
          <t>Mercado Pago</t>
        </is>
      </c>
      <c r="H117" t="inlineStr">
        <is>
          <t>Dinero reservado · − · op 177562253415 · NUNCA almacén · resumen oficial cuenta MP 1–30 sep 2026</t>
        </is>
      </c>
    </row>
    <row r="118">
      <c r="A118" s="52" t="n">
        <v>46276</v>
      </c>
      <c r="B118" t="inlineStr">
        <is>
          <t>Septiembre</t>
        </is>
      </c>
      <c r="C118" t="inlineStr">
        <is>
          <t>Dinero retirado</t>
        </is>
      </c>
      <c r="D118" t="inlineStr">
        <is>
          <t>Chris</t>
        </is>
      </c>
      <c r="E118" t="n">
        <v>2500000</v>
      </c>
      <c r="F118" t="inlineStr">
        <is>
          <t>ARS</t>
        </is>
      </c>
      <c r="G118" t="inlineStr">
        <is>
          <t>Mercado Pago</t>
        </is>
      </c>
      <c r="H118" t="inlineStr">
        <is>
          <t>Dinero retirado · + · op 178535014388 · resumen oficial cuenta MP 1–30 sep 2026</t>
        </is>
      </c>
    </row>
    <row r="119">
      <c r="A119" s="52" t="n">
        <v>46276</v>
      </c>
      <c r="B119" t="inlineStr">
        <is>
          <t>Septiembre</t>
        </is>
      </c>
      <c r="C119" t="inlineStr">
        <is>
          <t>Dinero reservado</t>
        </is>
      </c>
      <c r="D119" t="inlineStr">
        <is>
          <t>Expensas</t>
        </is>
      </c>
      <c r="E119" t="n">
        <v>3000000</v>
      </c>
      <c r="F119" t="inlineStr">
        <is>
          <t>ARS</t>
        </is>
      </c>
      <c r="G119" t="inlineStr">
        <is>
          <t>Mercado Pago</t>
        </is>
      </c>
      <c r="H119" t="inlineStr">
        <is>
          <t>Dinero reservado · − · op 178535192218 · NUNCA almacén · resumen oficial cuenta MP 1–30 sep 2026</t>
        </is>
      </c>
    </row>
    <row r="120">
      <c r="A120" s="52" t="n">
        <v>46276</v>
      </c>
      <c r="B120" t="inlineStr">
        <is>
          <t>Septiembre</t>
        </is>
      </c>
      <c r="C120" t="inlineStr">
        <is>
          <t>Reserva automática</t>
        </is>
      </c>
      <c r="D120" t="inlineStr">
        <is>
          <t>Susi</t>
        </is>
      </c>
      <c r="E120" t="n">
        <v>3000</v>
      </c>
      <c r="F120" t="inlineStr">
        <is>
          <t>ARS</t>
        </is>
      </c>
      <c r="G120" t="inlineStr">
        <is>
          <t>Mercado Pago</t>
        </is>
      </c>
      <c r="H120" t="inlineStr">
        <is>
          <t>Reserva automática · − · op 178538843204 · NUNCA almacén · resumen oficial cuenta MP 1–30 sep 2026</t>
        </is>
      </c>
    </row>
    <row r="121">
      <c r="A121" s="52" t="n">
        <v>46276</v>
      </c>
      <c r="B121" t="inlineStr">
        <is>
          <t>Septiembre</t>
        </is>
      </c>
      <c r="C121" t="inlineStr">
        <is>
          <t>Reserva automática</t>
        </is>
      </c>
      <c r="D121" t="inlineStr">
        <is>
          <t>AVA</t>
        </is>
      </c>
      <c r="E121" t="n">
        <v>500</v>
      </c>
      <c r="F121" t="inlineStr">
        <is>
          <t>ARS</t>
        </is>
      </c>
      <c r="G121" t="inlineStr">
        <is>
          <t>Mercado Pago</t>
        </is>
      </c>
      <c r="H121" t="inlineStr">
        <is>
          <t>Reserva automática · − · op 178538905044 · NUNCA almacén · resumen oficial cuenta MP 1–30 sep 2026</t>
        </is>
      </c>
    </row>
    <row r="122">
      <c r="A122" s="52" t="n">
        <v>46276</v>
      </c>
      <c r="B122" t="inlineStr">
        <is>
          <t>Septiembre</t>
        </is>
      </c>
      <c r="C122" t="inlineStr">
        <is>
          <t>Reserva automática</t>
        </is>
      </c>
      <c r="D122" t="inlineStr">
        <is>
          <t>Susi</t>
        </is>
      </c>
      <c r="E122" t="n">
        <v>3000</v>
      </c>
      <c r="F122" t="inlineStr">
        <is>
          <t>ARS</t>
        </is>
      </c>
      <c r="G122" t="inlineStr">
        <is>
          <t>Mercado Pago</t>
        </is>
      </c>
      <c r="H122" t="inlineStr">
        <is>
          <t>Reserva automática · − · op 177603355513 · NUNCA almacén · resumen oficial cuenta MP 1–30 sep 2026</t>
        </is>
      </c>
    </row>
    <row r="123">
      <c r="A123" s="52" t="n">
        <v>46276</v>
      </c>
      <c r="B123" t="inlineStr">
        <is>
          <t>Septiembre</t>
        </is>
      </c>
      <c r="C123" t="inlineStr">
        <is>
          <t>Reserva automática</t>
        </is>
      </c>
      <c r="D123" t="inlineStr">
        <is>
          <t>AVA</t>
        </is>
      </c>
      <c r="E123" t="n">
        <v>500</v>
      </c>
      <c r="F123" t="inlineStr">
        <is>
          <t>ARS</t>
        </is>
      </c>
      <c r="G123" t="inlineStr">
        <is>
          <t>Mercado Pago</t>
        </is>
      </c>
      <c r="H123" t="inlineStr">
        <is>
          <t>Reserva automática · − · op 178575430328 · NUNCA almacén · resumen oficial cuenta MP 1–30 sep 2026</t>
        </is>
      </c>
    </row>
    <row r="124">
      <c r="A124" s="52" t="n">
        <v>46276</v>
      </c>
      <c r="B124" t="inlineStr">
        <is>
          <t>Septiembre</t>
        </is>
      </c>
      <c r="C124" t="inlineStr">
        <is>
          <t>Reserva automática</t>
        </is>
      </c>
      <c r="D124" t="inlineStr">
        <is>
          <t>Susi</t>
        </is>
      </c>
      <c r="E124" t="n">
        <v>3000</v>
      </c>
      <c r="F124" t="inlineStr">
        <is>
          <t>ARS</t>
        </is>
      </c>
      <c r="G124" t="inlineStr">
        <is>
          <t>Mercado Pago</t>
        </is>
      </c>
      <c r="H124" t="inlineStr">
        <is>
          <t>Reserva automática · − · op 178608730030 · NUNCA almacén · resumen oficial cuenta MP 1–30 sep 2026</t>
        </is>
      </c>
    </row>
    <row r="125">
      <c r="A125" s="52" t="n">
        <v>46276</v>
      </c>
      <c r="B125" t="inlineStr">
        <is>
          <t>Septiembre</t>
        </is>
      </c>
      <c r="C125" t="inlineStr">
        <is>
          <t>Reserva automática</t>
        </is>
      </c>
      <c r="D125" t="inlineStr">
        <is>
          <t>AVA</t>
        </is>
      </c>
      <c r="E125" t="n">
        <v>500</v>
      </c>
      <c r="F125" t="inlineStr">
        <is>
          <t>ARS</t>
        </is>
      </c>
      <c r="G125" t="inlineStr">
        <is>
          <t>Mercado Pago</t>
        </is>
      </c>
      <c r="H125" t="inlineStr">
        <is>
          <t>Reserva automática · − · op 177637615159 · NUNCA almacén · resumen oficial cuenta MP 1–30 sep 2026</t>
        </is>
      </c>
    </row>
    <row r="126">
      <c r="A126" s="52" t="n">
        <v>46277</v>
      </c>
      <c r="B126" t="inlineStr">
        <is>
          <t>Septiembre</t>
        </is>
      </c>
      <c r="C126" t="inlineStr">
        <is>
          <t>Reserva automática</t>
        </is>
      </c>
      <c r="D126" t="inlineStr">
        <is>
          <t>Susi</t>
        </is>
      </c>
      <c r="E126" t="n">
        <v>3000</v>
      </c>
      <c r="F126" t="inlineStr">
        <is>
          <t>ARS</t>
        </is>
      </c>
      <c r="G126" t="inlineStr">
        <is>
          <t>Mercado Pago</t>
        </is>
      </c>
      <c r="H126" t="inlineStr">
        <is>
          <t>Reserva automática · − · op 177678010209 · NUNCA almacén · resumen oficial cuenta MP 1–30 sep 2026</t>
        </is>
      </c>
    </row>
    <row r="127">
      <c r="A127" s="52" t="n">
        <v>46277</v>
      </c>
      <c r="B127" t="inlineStr">
        <is>
          <t>Septiembre</t>
        </is>
      </c>
      <c r="C127" t="inlineStr">
        <is>
          <t>Reserva automática</t>
        </is>
      </c>
      <c r="D127" t="inlineStr">
        <is>
          <t>AVA</t>
        </is>
      </c>
      <c r="E127" t="n">
        <v>500</v>
      </c>
      <c r="F127" t="inlineStr">
        <is>
          <t>ARS</t>
        </is>
      </c>
      <c r="G127" t="inlineStr">
        <is>
          <t>Mercado Pago</t>
        </is>
      </c>
      <c r="H127" t="inlineStr">
        <is>
          <t>Reserva automática · − · op 177678048133 · NUNCA almacén · resumen oficial cuenta MP 1–30 sep 2026</t>
        </is>
      </c>
    </row>
    <row r="128">
      <c r="A128" s="52" t="n">
        <v>46277</v>
      </c>
      <c r="B128" t="inlineStr">
        <is>
          <t>Septiembre</t>
        </is>
      </c>
      <c r="C128" t="inlineStr">
        <is>
          <t>Reserva automática</t>
        </is>
      </c>
      <c r="D128" t="inlineStr">
        <is>
          <t>Susi</t>
        </is>
      </c>
      <c r="E128" t="n">
        <v>3000</v>
      </c>
      <c r="F128" t="inlineStr">
        <is>
          <t>ARS</t>
        </is>
      </c>
      <c r="G128" t="inlineStr">
        <is>
          <t>Mercado Pago</t>
        </is>
      </c>
      <c r="H128" t="inlineStr">
        <is>
          <t>Reserva automática · − · op 178657801584 · NUNCA almacén · resumen oficial cuenta MP 1–30 sep 2026</t>
        </is>
      </c>
    </row>
    <row r="129">
      <c r="A129" s="52" t="n">
        <v>46277</v>
      </c>
      <c r="B129" t="inlineStr">
        <is>
          <t>Septiembre</t>
        </is>
      </c>
      <c r="C129" t="inlineStr">
        <is>
          <t>Reserva automática</t>
        </is>
      </c>
      <c r="D129" t="inlineStr">
        <is>
          <t>AVA</t>
        </is>
      </c>
      <c r="E129" t="n">
        <v>500</v>
      </c>
      <c r="F129" t="inlineStr">
        <is>
          <t>ARS</t>
        </is>
      </c>
      <c r="G129" t="inlineStr">
        <is>
          <t>Mercado Pago</t>
        </is>
      </c>
      <c r="H129" t="inlineStr">
        <is>
          <t>Reserva automática · − · op 177685227483 · NUNCA almacén · resumen oficial cuenta MP 1–30 sep 2026</t>
        </is>
      </c>
    </row>
    <row r="130">
      <c r="A130" s="52" t="n">
        <v>46277</v>
      </c>
      <c r="B130" t="inlineStr">
        <is>
          <t>Septiembre</t>
        </is>
      </c>
      <c r="C130" t="inlineStr">
        <is>
          <t>Reserva automática</t>
        </is>
      </c>
      <c r="D130" t="inlineStr">
        <is>
          <t>Susi</t>
        </is>
      </c>
      <c r="E130" t="n">
        <v>3000</v>
      </c>
      <c r="F130" t="inlineStr">
        <is>
          <t>ARS</t>
        </is>
      </c>
      <c r="G130" t="inlineStr">
        <is>
          <t>Mercado Pago</t>
        </is>
      </c>
      <c r="H130" t="inlineStr">
        <is>
          <t>Reserva automática · − · op 178678366022 · NUNCA almacén · resumen oficial cuenta MP 1–30 sep 2026</t>
        </is>
      </c>
    </row>
    <row r="131">
      <c r="A131" s="52" t="n">
        <v>46277</v>
      </c>
      <c r="B131" t="inlineStr">
        <is>
          <t>Septiembre</t>
        </is>
      </c>
      <c r="C131" t="inlineStr">
        <is>
          <t>Reserva automática</t>
        </is>
      </c>
      <c r="D131" t="inlineStr">
        <is>
          <t>AVA</t>
        </is>
      </c>
      <c r="E131" t="n">
        <v>500</v>
      </c>
      <c r="F131" t="inlineStr">
        <is>
          <t>ARS</t>
        </is>
      </c>
      <c r="G131" t="inlineStr">
        <is>
          <t>Mercado Pago</t>
        </is>
      </c>
      <c r="H131" t="inlineStr">
        <is>
          <t>Reserva automática · − · op 178678937068 · NUNCA almacén · resumen oficial cuenta MP 1–30 sep 2026</t>
        </is>
      </c>
    </row>
    <row r="132">
      <c r="A132" s="52" t="n">
        <v>46277</v>
      </c>
      <c r="B132" t="inlineStr">
        <is>
          <t>Septiembre</t>
        </is>
      </c>
      <c r="C132" t="inlineStr">
        <is>
          <t>Reserva automática</t>
        </is>
      </c>
      <c r="D132" t="inlineStr">
        <is>
          <t>Susi</t>
        </is>
      </c>
      <c r="E132" t="n">
        <v>3000</v>
      </c>
      <c r="F132" t="inlineStr">
        <is>
          <t>ARS</t>
        </is>
      </c>
      <c r="G132" t="inlineStr">
        <is>
          <t>Mercado Pago</t>
        </is>
      </c>
      <c r="H132" t="inlineStr">
        <is>
          <t>Reserva automática · − · op 178703421548 · NUNCA almacén · resumen oficial cuenta MP 1–30 sep 2026</t>
        </is>
      </c>
    </row>
    <row r="133">
      <c r="A133" s="52" t="n">
        <v>46277</v>
      </c>
      <c r="B133" t="inlineStr">
        <is>
          <t>Septiembre</t>
        </is>
      </c>
      <c r="C133" t="inlineStr">
        <is>
          <t>Reserva automática</t>
        </is>
      </c>
      <c r="D133" t="inlineStr">
        <is>
          <t>AVA</t>
        </is>
      </c>
      <c r="E133" t="n">
        <v>500</v>
      </c>
      <c r="F133" t="inlineStr">
        <is>
          <t>ARS</t>
        </is>
      </c>
      <c r="G133" t="inlineStr">
        <is>
          <t>Mercado Pago</t>
        </is>
      </c>
      <c r="H133" t="inlineStr">
        <is>
          <t>Reserva automática · − · op 177731160851 · NUNCA almacén · resumen oficial cuenta MP 1–30 sep 2026</t>
        </is>
      </c>
    </row>
    <row r="134">
      <c r="A134" s="52" t="n">
        <v>46278</v>
      </c>
      <c r="B134" t="inlineStr">
        <is>
          <t>Septiembre</t>
        </is>
      </c>
      <c r="C134" t="inlineStr">
        <is>
          <t>Reserva automática</t>
        </is>
      </c>
      <c r="D134" t="inlineStr">
        <is>
          <t>Susi</t>
        </is>
      </c>
      <c r="E134" t="n">
        <v>3000</v>
      </c>
      <c r="F134" t="inlineStr">
        <is>
          <t>ARS</t>
        </is>
      </c>
      <c r="G134" t="inlineStr">
        <is>
          <t>Mercado Pago</t>
        </is>
      </c>
      <c r="H134" t="inlineStr">
        <is>
          <t>Reserva automática · − · op 178865038902 · NUNCA almacén · resumen oficial cuenta MP 1–30 sep 2026</t>
        </is>
      </c>
    </row>
    <row r="135">
      <c r="A135" s="52" t="n">
        <v>46278</v>
      </c>
      <c r="B135" t="inlineStr">
        <is>
          <t>Septiembre</t>
        </is>
      </c>
      <c r="C135" t="inlineStr">
        <is>
          <t>Reserva automática</t>
        </is>
      </c>
      <c r="D135" t="inlineStr">
        <is>
          <t>AVA</t>
        </is>
      </c>
      <c r="E135" t="n">
        <v>500</v>
      </c>
      <c r="F135" t="inlineStr">
        <is>
          <t>ARS</t>
        </is>
      </c>
      <c r="G135" t="inlineStr">
        <is>
          <t>Mercado Pago</t>
        </is>
      </c>
      <c r="H135" t="inlineStr">
        <is>
          <t>Reserva automática · − · op 177891177673 · NUNCA almacén · resumen oficial cuenta MP 1–30 sep 2026</t>
        </is>
      </c>
    </row>
    <row r="136">
      <c r="A136" s="52" t="n">
        <v>46279</v>
      </c>
      <c r="B136" t="inlineStr">
        <is>
          <t>Septiembre</t>
        </is>
      </c>
      <c r="C136" t="inlineStr">
        <is>
          <t>Dinero retirado</t>
        </is>
      </c>
      <c r="D136" t="inlineStr">
        <is>
          <t>Expensas</t>
        </is>
      </c>
      <c r="E136" t="n">
        <v>30000</v>
      </c>
      <c r="F136" t="inlineStr">
        <is>
          <t>ARS</t>
        </is>
      </c>
      <c r="G136" t="inlineStr">
        <is>
          <t>Mercado Pago</t>
        </is>
      </c>
      <c r="H136" t="inlineStr">
        <is>
          <t>Dinero retirado · + · op 177992934377 · resumen oficial cuenta MP 1–30 sep 2026</t>
        </is>
      </c>
    </row>
    <row r="137">
      <c r="A137" s="52" t="n">
        <v>46279</v>
      </c>
      <c r="B137" t="inlineStr">
        <is>
          <t>Septiembre</t>
        </is>
      </c>
      <c r="C137" t="inlineStr">
        <is>
          <t>Reserva automática</t>
        </is>
      </c>
      <c r="D137" t="inlineStr">
        <is>
          <t>Susi</t>
        </is>
      </c>
      <c r="E137" t="n">
        <v>3000</v>
      </c>
      <c r="F137" t="inlineStr">
        <is>
          <t>ARS</t>
        </is>
      </c>
      <c r="G137" t="inlineStr">
        <is>
          <t>Mercado Pago</t>
        </is>
      </c>
      <c r="H137" t="inlineStr">
        <is>
          <t>Reserva automática · − · op 178969460526 · NUNCA almacén · resumen oficial cuenta MP 1–30 sep 2026</t>
        </is>
      </c>
    </row>
    <row r="138">
      <c r="A138" s="52" t="n">
        <v>46279</v>
      </c>
      <c r="B138" t="inlineStr">
        <is>
          <t>Septiembre</t>
        </is>
      </c>
      <c r="C138" t="inlineStr">
        <is>
          <t>Reserva automática</t>
        </is>
      </c>
      <c r="D138" t="inlineStr">
        <is>
          <t>AVA</t>
        </is>
      </c>
      <c r="E138" t="n">
        <v>500</v>
      </c>
      <c r="F138" t="inlineStr">
        <is>
          <t>ARS</t>
        </is>
      </c>
      <c r="G138" t="inlineStr">
        <is>
          <t>Mercado Pago</t>
        </is>
      </c>
      <c r="H138" t="inlineStr">
        <is>
          <t>Reserva automática · − · op 178968921438 · NUNCA almacén · resumen oficial cuenta MP 1–30 sep 2026</t>
        </is>
      </c>
    </row>
    <row r="139">
      <c r="A139" s="52" t="n">
        <v>46279</v>
      </c>
      <c r="B139" t="inlineStr">
        <is>
          <t>Septiembre</t>
        </is>
      </c>
      <c r="C139" t="inlineStr">
        <is>
          <t>Reserva automática</t>
        </is>
      </c>
      <c r="D139" t="inlineStr">
        <is>
          <t>AVA</t>
        </is>
      </c>
      <c r="E139" t="n">
        <v>500</v>
      </c>
      <c r="F139" t="inlineStr">
        <is>
          <t>ARS</t>
        </is>
      </c>
      <c r="G139" t="inlineStr">
        <is>
          <t>Mercado Pago</t>
        </is>
      </c>
      <c r="H139" t="inlineStr">
        <is>
          <t>Reserva automática · − · op 178049600513 · NUNCA almacén · resumen oficial cuenta MP 1–30 sep 2026</t>
        </is>
      </c>
    </row>
    <row r="140">
      <c r="A140" s="52" t="n">
        <v>46279</v>
      </c>
      <c r="B140" t="inlineStr">
        <is>
          <t>Septiembre</t>
        </is>
      </c>
      <c r="C140" t="inlineStr">
        <is>
          <t>Reserva automática</t>
        </is>
      </c>
      <c r="D140" t="inlineStr">
        <is>
          <t>AVA</t>
        </is>
      </c>
      <c r="E140" t="n">
        <v>500</v>
      </c>
      <c r="F140" t="inlineStr">
        <is>
          <t>ARS</t>
        </is>
      </c>
      <c r="G140" t="inlineStr">
        <is>
          <t>Mercado Pago</t>
        </is>
      </c>
      <c r="H140" t="inlineStr">
        <is>
          <t>Reserva automática · − · op 178049526865 · NUNCA almacén · resumen oficial cuenta MP 1–30 sep 2026</t>
        </is>
      </c>
    </row>
    <row r="141">
      <c r="A141" s="52" t="n">
        <v>46280</v>
      </c>
      <c r="B141" t="inlineStr">
        <is>
          <t>Septiembre</t>
        </is>
      </c>
      <c r="C141" t="inlineStr">
        <is>
          <t>Dinero retirado</t>
        </is>
      </c>
      <c r="D141" t="inlineStr">
        <is>
          <t>Expensas</t>
        </is>
      </c>
      <c r="E141" t="n">
        <v>3882828</v>
      </c>
      <c r="F141" t="inlineStr">
        <is>
          <t>ARS</t>
        </is>
      </c>
      <c r="G141" t="inlineStr">
        <is>
          <t>Mercado Pago</t>
        </is>
      </c>
      <c r="H141" t="inlineStr">
        <is>
          <t>Dinero retirado · + · op 178124476905 · resumen oficial cuenta MP 1–30 sep 2026</t>
        </is>
      </c>
    </row>
    <row r="142">
      <c r="A142" s="52" t="n">
        <v>46280</v>
      </c>
      <c r="B142" t="inlineStr">
        <is>
          <t>Septiembre</t>
        </is>
      </c>
      <c r="C142" t="inlineStr">
        <is>
          <t>Dinero reservado</t>
        </is>
      </c>
      <c r="D142" t="inlineStr">
        <is>
          <t>Tarjeta MELI</t>
        </is>
      </c>
      <c r="E142" t="n">
        <v>4000000</v>
      </c>
      <c r="F142" t="inlineStr">
        <is>
          <t>ARS</t>
        </is>
      </c>
      <c r="G142" t="inlineStr">
        <is>
          <t>Mercado Pago</t>
        </is>
      </c>
      <c r="H142" t="inlineStr">
        <is>
          <t>Dinero reservado · − · op 178125385343 · NUNCA almacén · resumen oficial cuenta MP 1–30 sep 2026</t>
        </is>
      </c>
    </row>
    <row r="143">
      <c r="A143" s="52" t="n">
        <v>46280</v>
      </c>
      <c r="B143" t="inlineStr">
        <is>
          <t>Septiembre</t>
        </is>
      </c>
      <c r="C143" t="inlineStr">
        <is>
          <t>Inversión</t>
        </is>
      </c>
      <c r="D143" t="inlineStr">
        <is>
          <t>Venta de dólares</t>
        </is>
      </c>
      <c r="E143" t="n">
        <v>59334</v>
      </c>
      <c r="F143" t="inlineStr">
        <is>
          <t>ARS</t>
        </is>
      </c>
      <c r="G143" t="inlineStr">
        <is>
          <t>Mercado Pago</t>
        </is>
      </c>
      <c r="H143" t="inlineStr">
        <is>
          <t>Inversión · Rescate · + · op 178124944219 · ceil 59333.83 · resumen oficial cuenta MP 1–30 sep 2026</t>
        </is>
      </c>
    </row>
    <row r="144">
      <c r="A144" s="52" t="n">
        <v>46280</v>
      </c>
      <c r="B144" t="inlineStr">
        <is>
          <t>Septiembre</t>
        </is>
      </c>
      <c r="C144" t="inlineStr">
        <is>
          <t>Reserva automática</t>
        </is>
      </c>
      <c r="D144" t="inlineStr">
        <is>
          <t>Susi</t>
        </is>
      </c>
      <c r="E144" t="n">
        <v>3000</v>
      </c>
      <c r="F144" t="inlineStr">
        <is>
          <t>ARS</t>
        </is>
      </c>
      <c r="G144" t="inlineStr">
        <is>
          <t>Mercado Pago</t>
        </is>
      </c>
      <c r="H144" t="inlineStr">
        <is>
          <t>Reserva automática · − · op 178155086899 · NUNCA almacén · resumen oficial cuenta MP 1–30 sep 2026</t>
        </is>
      </c>
    </row>
    <row r="145">
      <c r="A145" s="52" t="n">
        <v>46280</v>
      </c>
      <c r="B145" t="inlineStr">
        <is>
          <t>Septiembre</t>
        </is>
      </c>
      <c r="C145" t="inlineStr">
        <is>
          <t>Reserva automática</t>
        </is>
      </c>
      <c r="D145" t="inlineStr">
        <is>
          <t>AVA</t>
        </is>
      </c>
      <c r="E145" t="n">
        <v>500</v>
      </c>
      <c r="F145" t="inlineStr">
        <is>
          <t>ARS</t>
        </is>
      </c>
      <c r="G145" t="inlineStr">
        <is>
          <t>Mercado Pago</t>
        </is>
      </c>
      <c r="H145" t="inlineStr">
        <is>
          <t>Reserva automática · − · op 179132390774 · NUNCA almacén · resumen oficial cuenta MP 1–30 sep 2026</t>
        </is>
      </c>
    </row>
    <row r="146">
      <c r="A146" s="52" t="n">
        <v>46280</v>
      </c>
      <c r="B146" t="inlineStr">
        <is>
          <t>Septiembre</t>
        </is>
      </c>
      <c r="C146" t="inlineStr">
        <is>
          <t>Reserva automática</t>
        </is>
      </c>
      <c r="D146" t="inlineStr">
        <is>
          <t>Susi</t>
        </is>
      </c>
      <c r="E146" t="n">
        <v>3000</v>
      </c>
      <c r="F146" t="inlineStr">
        <is>
          <t>ARS</t>
        </is>
      </c>
      <c r="G146" t="inlineStr">
        <is>
          <t>Mercado Pago</t>
        </is>
      </c>
      <c r="H146" t="inlineStr">
        <is>
          <t>Reserva automática · − · op 179161853648 · NUNCA almacén · resumen oficial cuenta MP 1–30 sep 2026</t>
        </is>
      </c>
    </row>
    <row r="147">
      <c r="A147" s="52" t="n">
        <v>46280</v>
      </c>
      <c r="B147" t="inlineStr">
        <is>
          <t>Septiembre</t>
        </is>
      </c>
      <c r="C147" t="inlineStr">
        <is>
          <t>Reserva automática</t>
        </is>
      </c>
      <c r="D147" t="inlineStr">
        <is>
          <t>AVA</t>
        </is>
      </c>
      <c r="E147" t="n">
        <v>500</v>
      </c>
      <c r="F147" t="inlineStr">
        <is>
          <t>ARS</t>
        </is>
      </c>
      <c r="G147" t="inlineStr">
        <is>
          <t>Mercado Pago</t>
        </is>
      </c>
      <c r="H147" t="inlineStr">
        <is>
          <t>Reserva automática · − · op 178184757721 · NUNCA almacén · resumen oficial cuenta MP 1–30 sep 2026</t>
        </is>
      </c>
    </row>
    <row r="148">
      <c r="A148" s="52" t="n">
        <v>46280</v>
      </c>
      <c r="B148" t="inlineStr">
        <is>
          <t>Septiembre</t>
        </is>
      </c>
      <c r="C148" t="inlineStr">
        <is>
          <t>Reserva automática</t>
        </is>
      </c>
      <c r="D148" t="inlineStr">
        <is>
          <t>Susi</t>
        </is>
      </c>
      <c r="E148" t="n">
        <v>3000</v>
      </c>
      <c r="F148" t="inlineStr">
        <is>
          <t>ARS</t>
        </is>
      </c>
      <c r="G148" t="inlineStr">
        <is>
          <t>Mercado Pago</t>
        </is>
      </c>
      <c r="H148" t="inlineStr">
        <is>
          <t>Reserva automática · − · op 179176046632 · NUNCA almacén · resumen oficial cuenta MP 1–30 sep 2026</t>
        </is>
      </c>
    </row>
    <row r="149">
      <c r="A149" s="52" t="n">
        <v>46280</v>
      </c>
      <c r="B149" t="inlineStr">
        <is>
          <t>Septiembre</t>
        </is>
      </c>
      <c r="C149" t="inlineStr">
        <is>
          <t>Reserva automática</t>
        </is>
      </c>
      <c r="D149" t="inlineStr">
        <is>
          <t>AVA</t>
        </is>
      </c>
      <c r="E149" t="n">
        <v>500</v>
      </c>
      <c r="F149" t="inlineStr">
        <is>
          <t>ARS</t>
        </is>
      </c>
      <c r="G149" t="inlineStr">
        <is>
          <t>Mercado Pago</t>
        </is>
      </c>
      <c r="H149" t="inlineStr">
        <is>
          <t>Reserva automática · − · op 178198375373 · NUNCA almacén · resumen oficial cuenta MP 1–30 sep 2026</t>
        </is>
      </c>
    </row>
    <row r="150">
      <c r="A150" s="52" t="n">
        <v>46280</v>
      </c>
      <c r="B150" t="inlineStr">
        <is>
          <t>Septiembre</t>
        </is>
      </c>
      <c r="C150" t="inlineStr">
        <is>
          <t>Reserva automática</t>
        </is>
      </c>
      <c r="D150" t="inlineStr">
        <is>
          <t>Susi</t>
        </is>
      </c>
      <c r="E150" t="n">
        <v>3000</v>
      </c>
      <c r="F150" t="inlineStr">
        <is>
          <t>ARS</t>
        </is>
      </c>
      <c r="G150" t="inlineStr">
        <is>
          <t>Mercado Pago</t>
        </is>
      </c>
      <c r="H150" t="inlineStr">
        <is>
          <t>Reserva automática · − · op 179253193712 · NUNCA almacén · resumen oficial cuenta MP 1–30 sep 2026</t>
        </is>
      </c>
    </row>
    <row r="151">
      <c r="A151" s="52" t="n">
        <v>46280</v>
      </c>
      <c r="B151" t="inlineStr">
        <is>
          <t>Septiembre</t>
        </is>
      </c>
      <c r="C151" t="inlineStr">
        <is>
          <t>Reserva automática</t>
        </is>
      </c>
      <c r="D151" t="inlineStr">
        <is>
          <t>AVA</t>
        </is>
      </c>
      <c r="E151" t="n">
        <v>500</v>
      </c>
      <c r="F151" t="inlineStr">
        <is>
          <t>ARS</t>
        </is>
      </c>
      <c r="G151" t="inlineStr">
        <is>
          <t>Mercado Pago</t>
        </is>
      </c>
      <c r="H151" t="inlineStr">
        <is>
          <t>Reserva automática · − · op 178275476767 · NUNCA almacén · resumen oficial cuenta MP 1–30 sep 2026</t>
        </is>
      </c>
    </row>
    <row r="152">
      <c r="A152" s="52" t="n">
        <v>46282</v>
      </c>
      <c r="B152" t="inlineStr">
        <is>
          <t>Septiembre</t>
        </is>
      </c>
      <c r="C152" t="inlineStr">
        <is>
          <t>Reserva automática</t>
        </is>
      </c>
      <c r="D152" t="inlineStr">
        <is>
          <t>Susi</t>
        </is>
      </c>
      <c r="E152" t="n">
        <v>3000</v>
      </c>
      <c r="F152" t="inlineStr">
        <is>
          <t>ARS</t>
        </is>
      </c>
      <c r="G152" t="inlineStr">
        <is>
          <t>Mercado Pago</t>
        </is>
      </c>
      <c r="H152" t="inlineStr">
        <is>
          <t>Reserva automática · − · op 178526326783 · NUNCA almacén · resumen oficial cuenta MP 1–30 sep 2026</t>
        </is>
      </c>
    </row>
    <row r="153">
      <c r="A153" s="52" t="n">
        <v>46282</v>
      </c>
      <c r="B153" t="inlineStr">
        <is>
          <t>Septiembre</t>
        </is>
      </c>
      <c r="C153" t="inlineStr">
        <is>
          <t>Reserva automática</t>
        </is>
      </c>
      <c r="D153" t="inlineStr">
        <is>
          <t>AVA</t>
        </is>
      </c>
      <c r="E153" t="n">
        <v>500</v>
      </c>
      <c r="F153" t="inlineStr">
        <is>
          <t>ARS</t>
        </is>
      </c>
      <c r="G153" t="inlineStr">
        <is>
          <t>Mercado Pago</t>
        </is>
      </c>
      <c r="H153" t="inlineStr">
        <is>
          <t>Reserva automática · − · op 178526532391 · NUNCA almacén · resumen oficial cuenta MP 1–30 sep 2026</t>
        </is>
      </c>
    </row>
    <row r="154">
      <c r="A154" s="52" t="n">
        <v>46282</v>
      </c>
      <c r="B154" t="inlineStr">
        <is>
          <t>Septiembre</t>
        </is>
      </c>
      <c r="C154" t="inlineStr">
        <is>
          <t>Dinero retirado</t>
        </is>
      </c>
      <c r="D154" t="inlineStr">
        <is>
          <t>Tarjeta MELI</t>
        </is>
      </c>
      <c r="E154" t="n">
        <v>200000</v>
      </c>
      <c r="F154" t="inlineStr">
        <is>
          <t>ARS</t>
        </is>
      </c>
      <c r="G154" t="inlineStr">
        <is>
          <t>Mercado Pago</t>
        </is>
      </c>
      <c r="H154" t="inlineStr">
        <is>
          <t>Dinero retirado · + · op 179532656112 · resumen oficial cuenta MP 1–30 sep 2026</t>
        </is>
      </c>
    </row>
    <row r="155">
      <c r="A155" s="52" t="n">
        <v>46282</v>
      </c>
      <c r="B155" t="inlineStr">
        <is>
          <t>Septiembre</t>
        </is>
      </c>
      <c r="C155" t="inlineStr">
        <is>
          <t>Dinero retirado</t>
        </is>
      </c>
      <c r="D155" t="inlineStr">
        <is>
          <t>Tarjeta MELI</t>
        </is>
      </c>
      <c r="E155" t="n">
        <v>2000000</v>
      </c>
      <c r="F155" t="inlineStr">
        <is>
          <t>ARS</t>
        </is>
      </c>
      <c r="G155" t="inlineStr">
        <is>
          <t>Mercado Pago</t>
        </is>
      </c>
      <c r="H155" t="inlineStr">
        <is>
          <t>Dinero retirado · + · op 178598781291 · resumen oficial cuenta MP 1–30 sep 2026</t>
        </is>
      </c>
    </row>
    <row r="156">
      <c r="A156" s="52" t="n">
        <v>46283</v>
      </c>
      <c r="B156" t="inlineStr">
        <is>
          <t>Septiembre</t>
        </is>
      </c>
      <c r="C156" t="inlineStr">
        <is>
          <t>Reserva automática</t>
        </is>
      </c>
      <c r="D156" t="inlineStr">
        <is>
          <t>Susi</t>
        </is>
      </c>
      <c r="E156" t="n">
        <v>3000</v>
      </c>
      <c r="F156" t="inlineStr">
        <is>
          <t>ARS</t>
        </is>
      </c>
      <c r="G156" t="inlineStr">
        <is>
          <t>Mercado Pago</t>
        </is>
      </c>
      <c r="H156" t="inlineStr">
        <is>
          <t>Reserva automática · − · op 178722971971 · NUNCA almacén · resumen oficial cuenta MP 1–30 sep 2026</t>
        </is>
      </c>
    </row>
    <row r="157">
      <c r="A157" s="52" t="n">
        <v>46283</v>
      </c>
      <c r="B157" t="inlineStr">
        <is>
          <t>Septiembre</t>
        </is>
      </c>
      <c r="C157" t="inlineStr">
        <is>
          <t>Reserva automática</t>
        </is>
      </c>
      <c r="D157" t="inlineStr">
        <is>
          <t>AVA</t>
        </is>
      </c>
      <c r="E157" t="n">
        <v>500</v>
      </c>
      <c r="F157" t="inlineStr">
        <is>
          <t>ARS</t>
        </is>
      </c>
      <c r="G157" t="inlineStr">
        <is>
          <t>Mercado Pago</t>
        </is>
      </c>
      <c r="H157" t="inlineStr">
        <is>
          <t>Reserva automática · − · op 178723263267 · NUNCA almacén · resumen oficial cuenta MP 1–30 sep 2026</t>
        </is>
      </c>
    </row>
    <row r="158">
      <c r="A158" s="52" t="n">
        <v>46284</v>
      </c>
      <c r="B158" t="inlineStr">
        <is>
          <t>Septiembre</t>
        </is>
      </c>
      <c r="C158" t="inlineStr">
        <is>
          <t>Reserva automática</t>
        </is>
      </c>
      <c r="D158" t="inlineStr">
        <is>
          <t>AVA</t>
        </is>
      </c>
      <c r="E158" t="n">
        <v>500</v>
      </c>
      <c r="F158" t="inlineStr">
        <is>
          <t>ARS</t>
        </is>
      </c>
      <c r="G158" t="inlineStr">
        <is>
          <t>Mercado Pago</t>
        </is>
      </c>
      <c r="H158" t="inlineStr">
        <is>
          <t>Reserva automática · − · op 179869153172 · NUNCA almacén · resumen oficial cuenta MP 1–30 sep 2026</t>
        </is>
      </c>
    </row>
    <row r="159">
      <c r="A159" s="52" t="n">
        <v>46284</v>
      </c>
      <c r="B159" t="inlineStr">
        <is>
          <t>Septiembre</t>
        </is>
      </c>
      <c r="C159" t="inlineStr">
        <is>
          <t>Dinero retirado</t>
        </is>
      </c>
      <c r="D159" t="inlineStr">
        <is>
          <t>Susi</t>
        </is>
      </c>
      <c r="E159" t="n">
        <v>140000</v>
      </c>
      <c r="F159" t="inlineStr">
        <is>
          <t>ARS</t>
        </is>
      </c>
      <c r="G159" t="inlineStr">
        <is>
          <t>Mercado Pago</t>
        </is>
      </c>
      <c r="H159" t="inlineStr">
        <is>
          <t>Dinero retirado · + · op 178958372559 · resumen oficial cuenta MP 1–30 sep 2026</t>
        </is>
      </c>
    </row>
    <row r="160">
      <c r="A160" s="52" t="n">
        <v>46286</v>
      </c>
      <c r="B160" t="inlineStr">
        <is>
          <t>Septiembre</t>
        </is>
      </c>
      <c r="C160" t="inlineStr">
        <is>
          <t>Dinero retirado</t>
        </is>
      </c>
      <c r="D160" t="inlineStr">
        <is>
          <t>Susi</t>
        </is>
      </c>
      <c r="E160" t="n">
        <v>30000</v>
      </c>
      <c r="F160" t="inlineStr">
        <is>
          <t>ARS</t>
        </is>
      </c>
      <c r="G160" t="inlineStr">
        <is>
          <t>Mercado Pago</t>
        </is>
      </c>
      <c r="H160" t="inlineStr">
        <is>
          <t>Dinero retirado · + · op 179116959345 · resumen oficial cuenta MP 1–30 sep 2026</t>
        </is>
      </c>
    </row>
    <row r="161">
      <c r="A161" s="52" t="n">
        <v>46286</v>
      </c>
      <c r="B161" t="inlineStr">
        <is>
          <t>Septiembre</t>
        </is>
      </c>
      <c r="C161" t="inlineStr">
        <is>
          <t>Reserva automática</t>
        </is>
      </c>
      <c r="D161" t="inlineStr">
        <is>
          <t>Susi</t>
        </is>
      </c>
      <c r="E161" t="n">
        <v>3000</v>
      </c>
      <c r="F161" t="inlineStr">
        <is>
          <t>ARS</t>
        </is>
      </c>
      <c r="G161" t="inlineStr">
        <is>
          <t>Mercado Pago</t>
        </is>
      </c>
      <c r="H161" t="inlineStr">
        <is>
          <t>Reserva automática · − · op 180197111410 · NUNCA almacén · resumen oficial cuenta MP 1–30 sep 2026</t>
        </is>
      </c>
    </row>
    <row r="162">
      <c r="A162" s="52" t="n">
        <v>46286</v>
      </c>
      <c r="B162" t="inlineStr">
        <is>
          <t>Septiembre</t>
        </is>
      </c>
      <c r="C162" t="inlineStr">
        <is>
          <t>Reserva automática</t>
        </is>
      </c>
      <c r="D162" t="inlineStr">
        <is>
          <t>AVA</t>
        </is>
      </c>
      <c r="E162" t="n">
        <v>500</v>
      </c>
      <c r="F162" t="inlineStr">
        <is>
          <t>ARS</t>
        </is>
      </c>
      <c r="G162" t="inlineStr">
        <is>
          <t>Mercado Pago</t>
        </is>
      </c>
      <c r="H162" t="inlineStr">
        <is>
          <t>Reserva automática · − · op 180196975634 · NUNCA almacén · resumen oficial cuenta MP 1–30 sep 2026</t>
        </is>
      </c>
    </row>
    <row r="163">
      <c r="A163" s="52" t="n">
        <v>46287</v>
      </c>
      <c r="B163" t="inlineStr">
        <is>
          <t>Septiembre</t>
        </is>
      </c>
      <c r="C163" t="inlineStr">
        <is>
          <t>Reserva automática</t>
        </is>
      </c>
      <c r="D163" t="inlineStr">
        <is>
          <t>Susi</t>
        </is>
      </c>
      <c r="E163" t="n">
        <v>3000</v>
      </c>
      <c r="F163" t="inlineStr">
        <is>
          <t>ARS</t>
        </is>
      </c>
      <c r="G163" t="inlineStr">
        <is>
          <t>Mercado Pago</t>
        </is>
      </c>
      <c r="H163" t="inlineStr">
        <is>
          <t>Reserva automática · − · op 180324332334 · NUNCA almacén · resumen oficial cuenta MP 1–30 sep 2026</t>
        </is>
      </c>
    </row>
    <row r="164">
      <c r="A164" s="52" t="n">
        <v>46287</v>
      </c>
      <c r="B164" t="inlineStr">
        <is>
          <t>Septiembre</t>
        </is>
      </c>
      <c r="C164" t="inlineStr">
        <is>
          <t>Reserva automática</t>
        </is>
      </c>
      <c r="D164" t="inlineStr">
        <is>
          <t>AVA</t>
        </is>
      </c>
      <c r="E164" t="n">
        <v>500</v>
      </c>
      <c r="F164" t="inlineStr">
        <is>
          <t>ARS</t>
        </is>
      </c>
      <c r="G164" t="inlineStr">
        <is>
          <t>Mercado Pago</t>
        </is>
      </c>
      <c r="H164" t="inlineStr">
        <is>
          <t>Reserva automática · − · op 180323439910 · NUNCA almacén · resumen oficial cuenta MP 1–30 sep 2026</t>
        </is>
      </c>
    </row>
    <row r="165">
      <c r="A165" s="52" t="n">
        <v>46287</v>
      </c>
      <c r="B165" t="inlineStr">
        <is>
          <t>Septiembre</t>
        </is>
      </c>
      <c r="C165" t="inlineStr">
        <is>
          <t>Reserva automática</t>
        </is>
      </c>
      <c r="D165" t="inlineStr">
        <is>
          <t>Susi</t>
        </is>
      </c>
      <c r="E165" t="n">
        <v>3000</v>
      </c>
      <c r="F165" t="inlineStr">
        <is>
          <t>ARS</t>
        </is>
      </c>
      <c r="G165" t="inlineStr">
        <is>
          <t>Mercado Pago</t>
        </is>
      </c>
      <c r="H165" t="inlineStr">
        <is>
          <t>Reserva automática · − · op 179402404563 · NUNCA almacén · resumen oficial cuenta MP 1–30 sep 2026</t>
        </is>
      </c>
    </row>
    <row r="166">
      <c r="A166" s="52" t="n">
        <v>46287</v>
      </c>
      <c r="B166" t="inlineStr">
        <is>
          <t>Septiembre</t>
        </is>
      </c>
      <c r="C166" t="inlineStr">
        <is>
          <t>Reserva automática</t>
        </is>
      </c>
      <c r="D166" t="inlineStr">
        <is>
          <t>AVA</t>
        </is>
      </c>
      <c r="E166" t="n">
        <v>500</v>
      </c>
      <c r="F166" t="inlineStr">
        <is>
          <t>ARS</t>
        </is>
      </c>
      <c r="G166" t="inlineStr">
        <is>
          <t>Mercado Pago</t>
        </is>
      </c>
      <c r="H166" t="inlineStr">
        <is>
          <t>Reserva automática · − · op 180394592646 · NUNCA almacén · resumen oficial cuenta MP 1–30 sep 2026</t>
        </is>
      </c>
    </row>
    <row r="167">
      <c r="A167" s="52" t="n">
        <v>46288</v>
      </c>
      <c r="B167" t="inlineStr">
        <is>
          <t>Septiembre</t>
        </is>
      </c>
      <c r="C167" t="inlineStr">
        <is>
          <t>Dinero retirado</t>
        </is>
      </c>
      <c r="D167" t="inlineStr">
        <is>
          <t>Susi</t>
        </is>
      </c>
      <c r="E167" t="n">
        <v>150000</v>
      </c>
      <c r="F167" t="inlineStr">
        <is>
          <t>ARS</t>
        </is>
      </c>
      <c r="G167" t="inlineStr">
        <is>
          <t>Mercado Pago</t>
        </is>
      </c>
      <c r="H167" t="inlineStr">
        <is>
          <t>Dinero retirado · + · op 180454236768 · resumen oficial cuenta MP 1–30 sep 2026</t>
        </is>
      </c>
    </row>
    <row r="168">
      <c r="A168" s="52" t="n">
        <v>46288</v>
      </c>
      <c r="B168" t="inlineStr">
        <is>
          <t>Septiembre</t>
        </is>
      </c>
      <c r="C168" t="inlineStr">
        <is>
          <t>Reserva automática</t>
        </is>
      </c>
      <c r="D168" t="inlineStr">
        <is>
          <t>Susi</t>
        </is>
      </c>
      <c r="E168" t="n">
        <v>3000</v>
      </c>
      <c r="F168" t="inlineStr">
        <is>
          <t>ARS</t>
        </is>
      </c>
      <c r="G168" t="inlineStr">
        <is>
          <t>Mercado Pago</t>
        </is>
      </c>
      <c r="H168" t="inlineStr">
        <is>
          <t>Reserva automática · − · op 179479866227 · NUNCA almacén · resumen oficial cuenta MP 1–30 sep 2026</t>
        </is>
      </c>
    </row>
    <row r="169">
      <c r="A169" s="52" t="n">
        <v>46288</v>
      </c>
      <c r="B169" t="inlineStr">
        <is>
          <t>Septiembre</t>
        </is>
      </c>
      <c r="C169" t="inlineStr">
        <is>
          <t>Reserva automática</t>
        </is>
      </c>
      <c r="D169" t="inlineStr">
        <is>
          <t>AVA</t>
        </is>
      </c>
      <c r="E169" t="n">
        <v>500</v>
      </c>
      <c r="F169" t="inlineStr">
        <is>
          <t>ARS</t>
        </is>
      </c>
      <c r="G169" t="inlineStr">
        <is>
          <t>Mercado Pago</t>
        </is>
      </c>
      <c r="H169" t="inlineStr">
        <is>
          <t>Reserva automática · − · op 180473066748 · NUNCA almacén · resumen oficial cuenta MP 1–30 sep 2026</t>
        </is>
      </c>
    </row>
    <row r="170">
      <c r="A170" s="52" t="n">
        <v>46288</v>
      </c>
      <c r="B170" t="inlineStr">
        <is>
          <t>Septiembre</t>
        </is>
      </c>
      <c r="C170" t="inlineStr">
        <is>
          <t>Reserva automática</t>
        </is>
      </c>
      <c r="D170" t="inlineStr">
        <is>
          <t>AVA</t>
        </is>
      </c>
      <c r="E170" t="n">
        <v>500</v>
      </c>
      <c r="F170" t="inlineStr">
        <is>
          <t>ARS</t>
        </is>
      </c>
      <c r="G170" t="inlineStr">
        <is>
          <t>Mercado Pago</t>
        </is>
      </c>
      <c r="H170" t="inlineStr">
        <is>
          <t>Reserva automática · − · op 180499636292 · NUNCA almacén · resumen oficial cuenta MP 1–30 sep 2026</t>
        </is>
      </c>
    </row>
    <row r="171">
      <c r="A171" s="52" t="n">
        <v>46288</v>
      </c>
      <c r="B171" t="inlineStr">
        <is>
          <t>Septiembre</t>
        </is>
      </c>
      <c r="C171" t="inlineStr">
        <is>
          <t>Reserva automática</t>
        </is>
      </c>
      <c r="D171" t="inlineStr">
        <is>
          <t>Susi</t>
        </is>
      </c>
      <c r="E171" t="n">
        <v>3000</v>
      </c>
      <c r="F171" t="inlineStr">
        <is>
          <t>ARS</t>
        </is>
      </c>
      <c r="G171" t="inlineStr">
        <is>
          <t>Mercado Pago</t>
        </is>
      </c>
      <c r="H171" t="inlineStr">
        <is>
          <t>Reserva automática · − · op 179505160083 · NUNCA almacén · resumen oficial cuenta MP 1–30 sep 2026</t>
        </is>
      </c>
    </row>
    <row r="172">
      <c r="A172" s="52" t="n">
        <v>46288</v>
      </c>
      <c r="B172" t="inlineStr">
        <is>
          <t>Septiembre</t>
        </is>
      </c>
      <c r="C172" t="inlineStr">
        <is>
          <t>Dinero retirado</t>
        </is>
      </c>
      <c r="D172" t="inlineStr">
        <is>
          <t>Susi</t>
        </is>
      </c>
      <c r="E172" t="n">
        <v>289299</v>
      </c>
      <c r="F172" t="inlineStr">
        <is>
          <t>ARS</t>
        </is>
      </c>
      <c r="G172" t="inlineStr">
        <is>
          <t>Mercado Pago</t>
        </is>
      </c>
      <c r="H172" t="inlineStr">
        <is>
          <t>Dinero retirado · + · op 179515527277 · resumen oficial cuenta MP 1–30 sep 2026</t>
        </is>
      </c>
    </row>
    <row r="173">
      <c r="A173" s="52" t="n">
        <v>46288</v>
      </c>
      <c r="B173" t="inlineStr">
        <is>
          <t>Septiembre</t>
        </is>
      </c>
      <c r="C173" t="inlineStr">
        <is>
          <t>Reserva automática</t>
        </is>
      </c>
      <c r="D173" t="inlineStr">
        <is>
          <t>Susi</t>
        </is>
      </c>
      <c r="E173" t="n">
        <v>3000</v>
      </c>
      <c r="F173" t="inlineStr">
        <is>
          <t>ARS</t>
        </is>
      </c>
      <c r="G173" t="inlineStr">
        <is>
          <t>Mercado Pago</t>
        </is>
      </c>
      <c r="H173" t="inlineStr">
        <is>
          <t>Reserva automática · − · op 180509287726 · NUNCA almacén · resumen oficial cuenta MP 1–30 sep 2026</t>
        </is>
      </c>
    </row>
    <row r="174">
      <c r="A174" s="52" t="n">
        <v>46288</v>
      </c>
      <c r="B174" t="inlineStr">
        <is>
          <t>Septiembre</t>
        </is>
      </c>
      <c r="C174" t="inlineStr">
        <is>
          <t>Reserva automática</t>
        </is>
      </c>
      <c r="D174" t="inlineStr">
        <is>
          <t>AVA</t>
        </is>
      </c>
      <c r="E174" t="n">
        <v>500</v>
      </c>
      <c r="F174" t="inlineStr">
        <is>
          <t>ARS</t>
        </is>
      </c>
      <c r="G174" t="inlineStr">
        <is>
          <t>Mercado Pago</t>
        </is>
      </c>
      <c r="H174" t="inlineStr">
        <is>
          <t>Reserva automática · − · op 180509211884 · NUNCA almacén · resumen oficial cuenta MP 1–30 sep 2026</t>
        </is>
      </c>
    </row>
    <row r="175">
      <c r="A175" s="52" t="n">
        <v>46288</v>
      </c>
      <c r="B175" t="inlineStr">
        <is>
          <t>Septiembre</t>
        </is>
      </c>
      <c r="C175" t="inlineStr">
        <is>
          <t>Reserva automática</t>
        </is>
      </c>
      <c r="D175" t="inlineStr">
        <is>
          <t>Susi</t>
        </is>
      </c>
      <c r="E175" t="n">
        <v>3000</v>
      </c>
      <c r="F175" t="inlineStr">
        <is>
          <t>ARS</t>
        </is>
      </c>
      <c r="G175" t="inlineStr">
        <is>
          <t>Mercado Pago</t>
        </is>
      </c>
      <c r="H175" t="inlineStr">
        <is>
          <t>Reserva automática · − · op 180517687840 · NUNCA almacén · resumen oficial cuenta MP 1–30 sep 2026</t>
        </is>
      </c>
    </row>
    <row r="176">
      <c r="A176" s="52" t="n">
        <v>46288</v>
      </c>
      <c r="B176" t="inlineStr">
        <is>
          <t>Septiembre</t>
        </is>
      </c>
      <c r="C176" t="inlineStr">
        <is>
          <t>Reserva automática</t>
        </is>
      </c>
      <c r="D176" t="inlineStr">
        <is>
          <t>AVA</t>
        </is>
      </c>
      <c r="E176" t="n">
        <v>500</v>
      </c>
      <c r="F176" t="inlineStr">
        <is>
          <t>ARS</t>
        </is>
      </c>
      <c r="G176" t="inlineStr">
        <is>
          <t>Mercado Pago</t>
        </is>
      </c>
      <c r="H176" t="inlineStr">
        <is>
          <t>Reserva automática · − · op 179524053893 · NUNCA almacén · resumen oficial cuenta MP 1–30 sep 2026</t>
        </is>
      </c>
    </row>
    <row r="177">
      <c r="A177" s="52" t="n">
        <v>46288</v>
      </c>
      <c r="B177" t="inlineStr">
        <is>
          <t>Septiembre</t>
        </is>
      </c>
      <c r="C177" t="inlineStr">
        <is>
          <t>Reserva automática</t>
        </is>
      </c>
      <c r="D177" t="inlineStr">
        <is>
          <t>Susi</t>
        </is>
      </c>
      <c r="E177" t="n">
        <v>3000</v>
      </c>
      <c r="F177" t="inlineStr">
        <is>
          <t>ARS</t>
        </is>
      </c>
      <c r="G177" t="inlineStr">
        <is>
          <t>Mercado Pago</t>
        </is>
      </c>
      <c r="H177" t="inlineStr">
        <is>
          <t>Reserva automática · − · op 179554392883 · NUNCA almacén · resumen oficial cuenta MP 1–30 sep 2026</t>
        </is>
      </c>
    </row>
    <row r="178">
      <c r="A178" s="52" t="n">
        <v>46288</v>
      </c>
      <c r="B178" t="inlineStr">
        <is>
          <t>Septiembre</t>
        </is>
      </c>
      <c r="C178" t="inlineStr">
        <is>
          <t>Reserva automática</t>
        </is>
      </c>
      <c r="D178" t="inlineStr">
        <is>
          <t>AVA</t>
        </is>
      </c>
      <c r="E178" t="n">
        <v>500</v>
      </c>
      <c r="F178" t="inlineStr">
        <is>
          <t>ARS</t>
        </is>
      </c>
      <c r="G178" t="inlineStr">
        <is>
          <t>Mercado Pago</t>
        </is>
      </c>
      <c r="H178" t="inlineStr">
        <is>
          <t>Reserva automática · − · op 179554349053 · NUNCA almacén · resumen oficial cuenta MP 1–30 sep 2026</t>
        </is>
      </c>
    </row>
    <row r="179">
      <c r="A179" s="52" t="n">
        <v>46290</v>
      </c>
      <c r="B179" t="inlineStr">
        <is>
          <t>Septiembre</t>
        </is>
      </c>
      <c r="C179" t="inlineStr">
        <is>
          <t>Reserva automática</t>
        </is>
      </c>
      <c r="D179" t="inlineStr">
        <is>
          <t>Susi</t>
        </is>
      </c>
      <c r="E179" t="n">
        <v>3000</v>
      </c>
      <c r="F179" t="inlineStr">
        <is>
          <t>ARS</t>
        </is>
      </c>
      <c r="G179" t="inlineStr">
        <is>
          <t>Mercado Pago</t>
        </is>
      </c>
      <c r="H179" t="inlineStr">
        <is>
          <t>Reserva automática · − · op 179858414151 · NUNCA almacén · resumen oficial cuenta MP 1–30 sep 2026</t>
        </is>
      </c>
    </row>
    <row r="180">
      <c r="A180" s="52" t="n">
        <v>46290</v>
      </c>
      <c r="B180" t="inlineStr">
        <is>
          <t>Septiembre</t>
        </is>
      </c>
      <c r="C180" t="inlineStr">
        <is>
          <t>Reserva automática</t>
        </is>
      </c>
      <c r="D180" t="inlineStr">
        <is>
          <t>AVA</t>
        </is>
      </c>
      <c r="E180" t="n">
        <v>500</v>
      </c>
      <c r="F180" t="inlineStr">
        <is>
          <t>ARS</t>
        </is>
      </c>
      <c r="G180" t="inlineStr">
        <is>
          <t>Mercado Pago</t>
        </is>
      </c>
      <c r="H180" t="inlineStr">
        <is>
          <t>Reserva automática · − · op 180854903344 · NUNCA almacén · resumen oficial cuenta MP 1–30 sep 2026</t>
        </is>
      </c>
    </row>
    <row r="181">
      <c r="A181" s="52" t="n">
        <v>46290</v>
      </c>
      <c r="B181" t="inlineStr">
        <is>
          <t>Septiembre</t>
        </is>
      </c>
      <c r="C181" t="inlineStr">
        <is>
          <t>Reserva automática</t>
        </is>
      </c>
      <c r="D181" t="inlineStr">
        <is>
          <t>Susi</t>
        </is>
      </c>
      <c r="E181" t="n">
        <v>3000</v>
      </c>
      <c r="F181" t="inlineStr">
        <is>
          <t>ARS</t>
        </is>
      </c>
      <c r="G181" t="inlineStr">
        <is>
          <t>Mercado Pago</t>
        </is>
      </c>
      <c r="H181" t="inlineStr">
        <is>
          <t>Reserva automática · − · op 180883895316 · NUNCA almacén · resumen oficial cuenta MP 1–30 sep 2026</t>
        </is>
      </c>
    </row>
    <row r="182">
      <c r="A182" s="52" t="n">
        <v>46290</v>
      </c>
      <c r="B182" t="inlineStr">
        <is>
          <t>Septiembre</t>
        </is>
      </c>
      <c r="C182" t="inlineStr">
        <is>
          <t>Reserva automática</t>
        </is>
      </c>
      <c r="D182" t="inlineStr">
        <is>
          <t>AVA</t>
        </is>
      </c>
      <c r="E182" t="n">
        <v>500</v>
      </c>
      <c r="F182" t="inlineStr">
        <is>
          <t>ARS</t>
        </is>
      </c>
      <c r="G182" t="inlineStr">
        <is>
          <t>Mercado Pago</t>
        </is>
      </c>
      <c r="H182" t="inlineStr">
        <is>
          <t>Reserva automática · − · op 179887452105 · NUNCA almacén · resumen oficial cuenta MP 1–30 sep 2026</t>
        </is>
      </c>
    </row>
    <row r="183">
      <c r="A183" s="52" t="n">
        <v>46290</v>
      </c>
      <c r="B183" t="inlineStr">
        <is>
          <t>Septiembre</t>
        </is>
      </c>
      <c r="C183" t="inlineStr">
        <is>
          <t>Reserva automática</t>
        </is>
      </c>
      <c r="D183" t="inlineStr">
        <is>
          <t>Susi</t>
        </is>
      </c>
      <c r="E183" t="n">
        <v>3000</v>
      </c>
      <c r="F183" t="inlineStr">
        <is>
          <t>ARS</t>
        </is>
      </c>
      <c r="G183" t="inlineStr">
        <is>
          <t>Mercado Pago</t>
        </is>
      </c>
      <c r="H183" t="inlineStr">
        <is>
          <t>Reserva automática · − · op 179893871239 · NUNCA almacén · resumen oficial cuenta MP 1–30 sep 2026</t>
        </is>
      </c>
    </row>
    <row r="184">
      <c r="A184" s="52" t="n">
        <v>46290</v>
      </c>
      <c r="B184" t="inlineStr">
        <is>
          <t>Septiembre</t>
        </is>
      </c>
      <c r="C184" t="inlineStr">
        <is>
          <t>Reserva automática</t>
        </is>
      </c>
      <c r="D184" t="inlineStr">
        <is>
          <t>AVA</t>
        </is>
      </c>
      <c r="E184" t="n">
        <v>500</v>
      </c>
      <c r="F184" t="inlineStr">
        <is>
          <t>ARS</t>
        </is>
      </c>
      <c r="G184" t="inlineStr">
        <is>
          <t>Mercado Pago</t>
        </is>
      </c>
      <c r="H184" t="inlineStr">
        <is>
          <t>Reserva automática · − · op 180890813500 · NUNCA almacén · resumen oficial cuenta MP 1–30 sep 2026</t>
        </is>
      </c>
    </row>
    <row r="185">
      <c r="A185" s="52" t="n">
        <v>46290</v>
      </c>
      <c r="B185" t="inlineStr">
        <is>
          <t>Septiembre</t>
        </is>
      </c>
      <c r="C185" t="inlineStr">
        <is>
          <t>Dinero retirado</t>
        </is>
      </c>
      <c r="D185" t="inlineStr">
        <is>
          <t>Tarjeta MELI</t>
        </is>
      </c>
      <c r="E185" t="n">
        <v>1811722</v>
      </c>
      <c r="F185" t="inlineStr">
        <is>
          <t>ARS</t>
        </is>
      </c>
      <c r="G185" t="inlineStr">
        <is>
          <t>Mercado Pago</t>
        </is>
      </c>
      <c r="H185" t="inlineStr">
        <is>
          <t>Dinero retirado · + · op 179934162641 · resumen oficial cuenta MP 1–30 sep 2026</t>
        </is>
      </c>
    </row>
    <row r="186">
      <c r="A186" s="52" t="n">
        <v>46290</v>
      </c>
      <c r="B186" t="inlineStr">
        <is>
          <t>Septiembre</t>
        </is>
      </c>
      <c r="C186" t="inlineStr">
        <is>
          <t>Reserva automática</t>
        </is>
      </c>
      <c r="D186" t="inlineStr">
        <is>
          <t>Susi</t>
        </is>
      </c>
      <c r="E186" t="n">
        <v>3000</v>
      </c>
      <c r="F186" t="inlineStr">
        <is>
          <t>ARS</t>
        </is>
      </c>
      <c r="G186" t="inlineStr">
        <is>
          <t>Mercado Pago</t>
        </is>
      </c>
      <c r="H186" t="inlineStr">
        <is>
          <t>Reserva automática · − · op 179933511791 · NUNCA almacén · resumen oficial cuenta MP 1–30 sep 2026</t>
        </is>
      </c>
    </row>
    <row r="187">
      <c r="A187" s="52" t="n">
        <v>46290</v>
      </c>
      <c r="B187" t="inlineStr">
        <is>
          <t>Septiembre</t>
        </is>
      </c>
      <c r="C187" t="inlineStr">
        <is>
          <t>Reserva automática</t>
        </is>
      </c>
      <c r="D187" t="inlineStr">
        <is>
          <t>AVA</t>
        </is>
      </c>
      <c r="E187" t="n">
        <v>500</v>
      </c>
      <c r="F187" t="inlineStr">
        <is>
          <t>ARS</t>
        </is>
      </c>
      <c r="G187" t="inlineStr">
        <is>
          <t>Mercado Pago</t>
        </is>
      </c>
      <c r="H187" t="inlineStr">
        <is>
          <t>Reserva automática · − · op 179934418277 · NUNCA almacén · resumen oficial cuenta MP 1–30 sep 2026</t>
        </is>
      </c>
    </row>
    <row r="188">
      <c r="A188" s="52" t="n">
        <v>46290</v>
      </c>
      <c r="B188" t="inlineStr">
        <is>
          <t>Septiembre</t>
        </is>
      </c>
      <c r="C188" t="inlineStr">
        <is>
          <t>Reserva automática</t>
        </is>
      </c>
      <c r="D188" t="inlineStr">
        <is>
          <t>AVA</t>
        </is>
      </c>
      <c r="E188" t="n">
        <v>500</v>
      </c>
      <c r="F188" t="inlineStr">
        <is>
          <t>ARS</t>
        </is>
      </c>
      <c r="G188" t="inlineStr">
        <is>
          <t>Mercado Pago</t>
        </is>
      </c>
      <c r="H188" t="inlineStr">
        <is>
          <t>Reserva automática · − · op 180931900416 · NUNCA almacén · resumen oficial cuenta MP 1–30 sep 2026</t>
        </is>
      </c>
    </row>
    <row r="189">
      <c r="A189" s="52" t="n">
        <v>46290</v>
      </c>
      <c r="B189" t="inlineStr">
        <is>
          <t>Septiembre</t>
        </is>
      </c>
      <c r="C189" t="inlineStr">
        <is>
          <t>Reserva automática</t>
        </is>
      </c>
      <c r="D189" t="inlineStr">
        <is>
          <t>Susi</t>
        </is>
      </c>
      <c r="E189" t="n">
        <v>3000</v>
      </c>
      <c r="F189" t="inlineStr">
        <is>
          <t>ARS</t>
        </is>
      </c>
      <c r="G189" t="inlineStr">
        <is>
          <t>Mercado Pago</t>
        </is>
      </c>
      <c r="H189" t="inlineStr">
        <is>
          <t>Reserva automática · − · op 179934720203 · NUNCA almacén · resumen oficial cuenta MP 1–30 sep 2026</t>
        </is>
      </c>
    </row>
    <row r="190">
      <c r="A190" s="52" t="n">
        <v>46290</v>
      </c>
      <c r="B190" t="inlineStr">
        <is>
          <t>Septiembre</t>
        </is>
      </c>
      <c r="C190" t="inlineStr">
        <is>
          <t>Reserva automática</t>
        </is>
      </c>
      <c r="D190" t="inlineStr">
        <is>
          <t>Susi</t>
        </is>
      </c>
      <c r="E190" t="n">
        <v>3000</v>
      </c>
      <c r="F190" t="inlineStr">
        <is>
          <t>ARS</t>
        </is>
      </c>
      <c r="G190" t="inlineStr">
        <is>
          <t>Mercado Pago</t>
        </is>
      </c>
      <c r="H190" t="inlineStr">
        <is>
          <t>Reserva automática · − · op 180932134430 · NUNCA almacén · resumen oficial cuenta MP 1–30 sep 2026</t>
        </is>
      </c>
    </row>
    <row r="191">
      <c r="A191" s="52" t="n">
        <v>46290</v>
      </c>
      <c r="B191" t="inlineStr">
        <is>
          <t>Septiembre</t>
        </is>
      </c>
      <c r="C191" t="inlineStr">
        <is>
          <t>Reserva automática</t>
        </is>
      </c>
      <c r="D191" t="inlineStr">
        <is>
          <t>AVA</t>
        </is>
      </c>
      <c r="E191" t="n">
        <v>500</v>
      </c>
      <c r="F191" t="inlineStr">
        <is>
          <t>ARS</t>
        </is>
      </c>
      <c r="G191" t="inlineStr">
        <is>
          <t>Mercado Pago</t>
        </is>
      </c>
      <c r="H191" t="inlineStr">
        <is>
          <t>Reserva automática · − · op 179933877881 · NUNCA almacén · resumen oficial cuenta MP 1–30 sep 2026</t>
        </is>
      </c>
    </row>
    <row r="192">
      <c r="A192" s="52" t="n">
        <v>46292</v>
      </c>
      <c r="B192" t="inlineStr">
        <is>
          <t>Septiembre</t>
        </is>
      </c>
      <c r="C192" t="inlineStr">
        <is>
          <t>Reserva automática</t>
        </is>
      </c>
      <c r="D192" t="inlineStr">
        <is>
          <t>Susi</t>
        </is>
      </c>
      <c r="E192" t="n">
        <v>3000</v>
      </c>
      <c r="F192" t="inlineStr">
        <is>
          <t>ARS</t>
        </is>
      </c>
      <c r="G192" t="inlineStr">
        <is>
          <t>Mercado Pago</t>
        </is>
      </c>
      <c r="H192" t="inlineStr">
        <is>
          <t>Reserva automática · − · op 180185848583 · NUNCA almacén · resumen oficial cuenta MP 1–30 sep 2026</t>
        </is>
      </c>
    </row>
    <row r="193">
      <c r="A193" s="52" t="n">
        <v>46292</v>
      </c>
      <c r="B193" t="inlineStr">
        <is>
          <t>Septiembre</t>
        </is>
      </c>
      <c r="C193" t="inlineStr">
        <is>
          <t>Reserva automática</t>
        </is>
      </c>
      <c r="D193" t="inlineStr">
        <is>
          <t>AVA</t>
        </is>
      </c>
      <c r="E193" t="n">
        <v>500</v>
      </c>
      <c r="F193" t="inlineStr">
        <is>
          <t>ARS</t>
        </is>
      </c>
      <c r="G193" t="inlineStr">
        <is>
          <t>Mercado Pago</t>
        </is>
      </c>
      <c r="H193" t="inlineStr">
        <is>
          <t>Reserva automática · − · op 181184852708 · NUNCA almacén · resumen oficial cuenta MP 1–30 sep 2026</t>
        </is>
      </c>
    </row>
    <row r="194">
      <c r="A194" s="52" t="n">
        <v>46292</v>
      </c>
      <c r="B194" t="inlineStr">
        <is>
          <t>Septiembre</t>
        </is>
      </c>
      <c r="C194" t="inlineStr">
        <is>
          <t>Reserva automática</t>
        </is>
      </c>
      <c r="D194" t="inlineStr">
        <is>
          <t>Expensas</t>
        </is>
      </c>
      <c r="E194" t="n">
        <v>1000</v>
      </c>
      <c r="F194" t="inlineStr">
        <is>
          <t>ARS</t>
        </is>
      </c>
      <c r="G194" t="inlineStr">
        <is>
          <t>Mercado Pago</t>
        </is>
      </c>
      <c r="H194" t="inlineStr">
        <is>
          <t>Reserva automática · − · op 181184361728 · NUNCA almacén · resumen oficial cuenta MP 1–30 sep 2026</t>
        </is>
      </c>
    </row>
    <row r="195">
      <c r="A195" s="52" t="n">
        <v>46292</v>
      </c>
      <c r="B195" t="inlineStr">
        <is>
          <t>Septiembre</t>
        </is>
      </c>
      <c r="C195" t="inlineStr">
        <is>
          <t>Reserva automática</t>
        </is>
      </c>
      <c r="D195" t="inlineStr">
        <is>
          <t>Susi</t>
        </is>
      </c>
      <c r="E195" t="n">
        <v>3000</v>
      </c>
      <c r="F195" t="inlineStr">
        <is>
          <t>ARS</t>
        </is>
      </c>
      <c r="G195" t="inlineStr">
        <is>
          <t>Mercado Pago</t>
        </is>
      </c>
      <c r="H195" t="inlineStr">
        <is>
          <t>Reserva automática · − · op 180214555407 · NUNCA almacén · resumen oficial cuenta MP 1–30 sep 2026</t>
        </is>
      </c>
    </row>
    <row r="196">
      <c r="A196" s="52" t="n">
        <v>46292</v>
      </c>
      <c r="B196" t="inlineStr">
        <is>
          <t>Septiembre</t>
        </is>
      </c>
      <c r="C196" t="inlineStr">
        <is>
          <t>Reserva automática</t>
        </is>
      </c>
      <c r="D196" t="inlineStr">
        <is>
          <t>AVA</t>
        </is>
      </c>
      <c r="E196" t="n">
        <v>500</v>
      </c>
      <c r="F196" t="inlineStr">
        <is>
          <t>ARS</t>
        </is>
      </c>
      <c r="G196" t="inlineStr">
        <is>
          <t>Mercado Pago</t>
        </is>
      </c>
      <c r="H196" t="inlineStr">
        <is>
          <t>Reserva automática · − · op 181213491760 · NUNCA almacén · resumen oficial cuenta MP 1–30 sep 2026</t>
        </is>
      </c>
    </row>
    <row r="197">
      <c r="A197" s="52" t="n">
        <v>46292</v>
      </c>
      <c r="B197" t="inlineStr">
        <is>
          <t>Septiembre</t>
        </is>
      </c>
      <c r="C197" t="inlineStr">
        <is>
          <t>Reserva automática</t>
        </is>
      </c>
      <c r="D197" t="inlineStr">
        <is>
          <t>Expensas</t>
        </is>
      </c>
      <c r="E197" t="n">
        <v>1000</v>
      </c>
      <c r="F197" t="inlineStr">
        <is>
          <t>ARS</t>
        </is>
      </c>
      <c r="G197" t="inlineStr">
        <is>
          <t>Mercado Pago</t>
        </is>
      </c>
      <c r="H197" t="inlineStr">
        <is>
          <t>Reserva automática · − · op 180215070423 · NUNCA almacén · resumen oficial cuenta MP 1–30 sep 2026</t>
        </is>
      </c>
    </row>
    <row r="198">
      <c r="A198" s="52" t="n">
        <v>46293</v>
      </c>
      <c r="B198" t="inlineStr">
        <is>
          <t>Septiembre</t>
        </is>
      </c>
      <c r="C198" t="inlineStr">
        <is>
          <t>Reserva automática</t>
        </is>
      </c>
      <c r="D198" t="inlineStr">
        <is>
          <t>Susi</t>
        </is>
      </c>
      <c r="E198" t="n">
        <v>3000</v>
      </c>
      <c r="F198" t="inlineStr">
        <is>
          <t>ARS</t>
        </is>
      </c>
      <c r="G198" t="inlineStr">
        <is>
          <t>Mercado Pago</t>
        </is>
      </c>
      <c r="H198" t="inlineStr">
        <is>
          <t>Reserva automática · − · op 181356860684 · NUNCA almacén · resumen oficial cuenta MP 1–30 sep 2026</t>
        </is>
      </c>
    </row>
    <row r="199">
      <c r="A199" s="52" t="n">
        <v>46293</v>
      </c>
      <c r="B199" t="inlineStr">
        <is>
          <t>Septiembre</t>
        </is>
      </c>
      <c r="C199" t="inlineStr">
        <is>
          <t>Reserva automática</t>
        </is>
      </c>
      <c r="D199" t="inlineStr">
        <is>
          <t>AVA</t>
        </is>
      </c>
      <c r="E199" t="n">
        <v>500</v>
      </c>
      <c r="F199" t="inlineStr">
        <is>
          <t>ARS</t>
        </is>
      </c>
      <c r="G199" t="inlineStr">
        <is>
          <t>Mercado Pago</t>
        </is>
      </c>
      <c r="H199" t="inlineStr">
        <is>
          <t>Reserva automática · − · op 181356501420 · NUNCA almacén · resumen oficial cuenta MP 1–30 sep 2026</t>
        </is>
      </c>
    </row>
    <row r="200">
      <c r="A200" s="52" t="n">
        <v>46293</v>
      </c>
      <c r="B200" t="inlineStr">
        <is>
          <t>Septiembre</t>
        </is>
      </c>
      <c r="C200" t="inlineStr">
        <is>
          <t>Reserva automática</t>
        </is>
      </c>
      <c r="D200" t="inlineStr">
        <is>
          <t>Expensas</t>
        </is>
      </c>
      <c r="E200" t="n">
        <v>1000</v>
      </c>
      <c r="F200" t="inlineStr">
        <is>
          <t>ARS</t>
        </is>
      </c>
      <c r="G200" t="inlineStr">
        <is>
          <t>Mercado Pago</t>
        </is>
      </c>
      <c r="H200" t="inlineStr">
        <is>
          <t>Reserva automática · − · op 180354959139 · NUNCA almacén · resumen oficial cuenta MP 1–30 sep 2026</t>
        </is>
      </c>
    </row>
    <row r="201">
      <c r="A201" s="52" t="n">
        <v>46294</v>
      </c>
      <c r="B201" t="inlineStr">
        <is>
          <t>Septiembre</t>
        </is>
      </c>
      <c r="C201" t="inlineStr">
        <is>
          <t>Reserva automática</t>
        </is>
      </c>
      <c r="D201" t="inlineStr">
        <is>
          <t>AVA</t>
        </is>
      </c>
      <c r="E201" t="n">
        <v>500</v>
      </c>
      <c r="F201" t="inlineStr">
        <is>
          <t>ARS</t>
        </is>
      </c>
      <c r="G201" t="inlineStr">
        <is>
          <t>Mercado Pago</t>
        </is>
      </c>
      <c r="H201" t="inlineStr">
        <is>
          <t>Reserva automática · − · op 180443209897 · NUNCA almacén · resumen oficial cuenta MP 1–30 sep 2026</t>
        </is>
      </c>
    </row>
    <row r="202">
      <c r="A202" s="52" t="n">
        <v>46294</v>
      </c>
      <c r="B202" t="inlineStr">
        <is>
          <t>Septiembre</t>
        </is>
      </c>
      <c r="C202" t="inlineStr">
        <is>
          <t>Reserva automática</t>
        </is>
      </c>
      <c r="D202" t="inlineStr">
        <is>
          <t>Expensas</t>
        </is>
      </c>
      <c r="E202" t="n">
        <v>1000</v>
      </c>
      <c r="F202" t="inlineStr">
        <is>
          <t>ARS</t>
        </is>
      </c>
      <c r="G202" t="inlineStr">
        <is>
          <t>Mercado Pago</t>
        </is>
      </c>
      <c r="H202" t="inlineStr">
        <is>
          <t>Reserva automática · − · op 181445983258 · NUNCA almacén · resumen oficial cuenta MP 1–30 sep 2026</t>
        </is>
      </c>
    </row>
    <row r="203">
      <c r="A203" s="52" t="n">
        <v>46294</v>
      </c>
      <c r="B203" t="inlineStr">
        <is>
          <t>Septiembre</t>
        </is>
      </c>
      <c r="C203" t="inlineStr">
        <is>
          <t>Reserva automática</t>
        </is>
      </c>
      <c r="D203" t="inlineStr">
        <is>
          <t>Susi</t>
        </is>
      </c>
      <c r="E203" t="n">
        <v>3000</v>
      </c>
      <c r="F203" t="inlineStr">
        <is>
          <t>ARS</t>
        </is>
      </c>
      <c r="G203" t="inlineStr">
        <is>
          <t>Mercado Pago</t>
        </is>
      </c>
      <c r="H203" t="inlineStr">
        <is>
          <t>Reserva automática · − · op 181446075048 · NUNCA almacén · resumen oficial cuenta MP 1–30 sep 2026</t>
        </is>
      </c>
    </row>
    <row r="204">
      <c r="A204" s="52" t="n">
        <v>46294</v>
      </c>
      <c r="B204" t="inlineStr">
        <is>
          <t>Septiembre</t>
        </is>
      </c>
      <c r="C204" t="inlineStr">
        <is>
          <t>Reserva automática</t>
        </is>
      </c>
      <c r="D204" t="inlineStr">
        <is>
          <t>Susi</t>
        </is>
      </c>
      <c r="E204" t="n">
        <v>3000</v>
      </c>
      <c r="F204" t="inlineStr">
        <is>
          <t>ARS</t>
        </is>
      </c>
      <c r="G204" t="inlineStr">
        <is>
          <t>Mercado Pago</t>
        </is>
      </c>
      <c r="H204" t="inlineStr">
        <is>
          <t>Reserva automática · − · op 180456281961 · NUNCA almacén · resumen oficial cuenta MP 1–30 sep 2026</t>
        </is>
      </c>
    </row>
    <row r="205">
      <c r="A205" s="52" t="n">
        <v>46294</v>
      </c>
      <c r="B205" t="inlineStr">
        <is>
          <t>Septiembre</t>
        </is>
      </c>
      <c r="C205" t="inlineStr">
        <is>
          <t>Reserva automática</t>
        </is>
      </c>
      <c r="D205" t="inlineStr">
        <is>
          <t>AVA</t>
        </is>
      </c>
      <c r="E205" t="n">
        <v>500</v>
      </c>
      <c r="F205" t="inlineStr">
        <is>
          <t>ARS</t>
        </is>
      </c>
      <c r="G205" t="inlineStr">
        <is>
          <t>Mercado Pago</t>
        </is>
      </c>
      <c r="H205" t="inlineStr">
        <is>
          <t>Reserva automática · − · op 180456192015 · NUNCA almacén · resumen oficial cuenta MP 1–30 sep 2026</t>
        </is>
      </c>
    </row>
    <row r="206">
      <c r="A206" s="52" t="n">
        <v>46294</v>
      </c>
      <c r="B206" t="inlineStr">
        <is>
          <t>Septiembre</t>
        </is>
      </c>
      <c r="C206" t="inlineStr">
        <is>
          <t>Reserva automática</t>
        </is>
      </c>
      <c r="D206" t="inlineStr">
        <is>
          <t>Expensas</t>
        </is>
      </c>
      <c r="E206" t="n">
        <v>1000</v>
      </c>
      <c r="F206" t="inlineStr">
        <is>
          <t>ARS</t>
        </is>
      </c>
      <c r="G206" t="inlineStr">
        <is>
          <t>Mercado Pago</t>
        </is>
      </c>
      <c r="H206" t="inlineStr">
        <is>
          <t>Reserva automática · − · op 180456231953 · NUNCA almacén · resumen oficial cuenta MP 1–30 sep 2026</t>
        </is>
      </c>
    </row>
    <row r="207">
      <c r="A207" s="52" t="n">
        <v>46295</v>
      </c>
      <c r="B207" t="inlineStr">
        <is>
          <t>Septiembre</t>
        </is>
      </c>
      <c r="C207" t="inlineStr">
        <is>
          <t>Pago de resumen TC</t>
        </is>
      </c>
      <c r="D207" t="inlineStr">
        <is>
          <t>Tarjeta de crédito Mercado Pago</t>
        </is>
      </c>
      <c r="E207" t="n">
        <v>500000</v>
      </c>
      <c r="F207" t="inlineStr">
        <is>
          <t>ARS</t>
        </is>
      </c>
      <c r="G207" t="inlineStr">
        <is>
          <t>Mercado Pago</t>
        </is>
      </c>
      <c r="H207" t="inlineStr">
        <is>
          <t>Pago de resumen · − · op 181614816434 · NUNCA almacén · resumen oficial cuenta MP 1–30 sep 2026</t>
        </is>
      </c>
    </row>
    <row r="208">
      <c r="A208" s="52" t="n">
        <v>46295</v>
      </c>
      <c r="B208" t="inlineStr">
        <is>
          <t>Septiembre</t>
        </is>
      </c>
      <c r="C208" t="inlineStr">
        <is>
          <t>Reserva automática</t>
        </is>
      </c>
      <c r="D208" t="inlineStr">
        <is>
          <t>Susi</t>
        </is>
      </c>
      <c r="E208" t="n">
        <v>3000</v>
      </c>
      <c r="F208" t="inlineStr">
        <is>
          <t>ARS</t>
        </is>
      </c>
      <c r="G208" t="inlineStr">
        <is>
          <t>Mercado Pago</t>
        </is>
      </c>
      <c r="H208" t="inlineStr">
        <is>
          <t>Reserva automática · − · op 181680628954 · NUNCA almacén · resumen oficial cuenta MP 1–30 sep 2026</t>
        </is>
      </c>
    </row>
    <row r="209">
      <c r="A209" s="52" t="n">
        <v>46295</v>
      </c>
      <c r="B209" t="inlineStr">
        <is>
          <t>Septiembre</t>
        </is>
      </c>
      <c r="C209" t="inlineStr">
        <is>
          <t>Reserva automática</t>
        </is>
      </c>
      <c r="D209" t="inlineStr">
        <is>
          <t>AVA</t>
        </is>
      </c>
      <c r="E209" t="n">
        <v>500</v>
      </c>
      <c r="F209" t="inlineStr">
        <is>
          <t>ARS</t>
        </is>
      </c>
      <c r="G209" t="inlineStr">
        <is>
          <t>Mercado Pago</t>
        </is>
      </c>
      <c r="H209" t="inlineStr">
        <is>
          <t>Reserva automática · − · op 181680447374 · NUNCA almacén · resumen oficial cuenta MP 1–30 sep 2026</t>
        </is>
      </c>
    </row>
    <row r="210">
      <c r="A210" s="52" t="n">
        <v>46295</v>
      </c>
      <c r="B210" t="inlineStr">
        <is>
          <t>Septiembre</t>
        </is>
      </c>
      <c r="C210" t="inlineStr">
        <is>
          <t>Reserva automática</t>
        </is>
      </c>
      <c r="D210" t="inlineStr">
        <is>
          <t>Expensas</t>
        </is>
      </c>
      <c r="E210" t="n">
        <v>1000</v>
      </c>
      <c r="F210" t="inlineStr">
        <is>
          <t>ARS</t>
        </is>
      </c>
      <c r="G210" t="inlineStr">
        <is>
          <t>Mercado Pago</t>
        </is>
      </c>
      <c r="H210" t="inlineStr">
        <is>
          <t>Reserva automática · − · op 180676620465 · NUNCA almacén · resumen oficial cuenta MP 1–30 sep 2026</t>
        </is>
      </c>
    </row>
    <row r="211">
      <c r="A211" s="52" t="n">
        <v>46295</v>
      </c>
      <c r="B211" t="inlineStr">
        <is>
          <t>Septiembre</t>
        </is>
      </c>
      <c r="C211" t="inlineStr">
        <is>
          <t>Reserva automática</t>
        </is>
      </c>
      <c r="D211" t="inlineStr">
        <is>
          <t>Susi</t>
        </is>
      </c>
      <c r="E211" t="n">
        <v>3000</v>
      </c>
      <c r="F211" t="inlineStr">
        <is>
          <t>ARS</t>
        </is>
      </c>
      <c r="G211" t="inlineStr">
        <is>
          <t>Mercado Pago</t>
        </is>
      </c>
      <c r="H211" t="inlineStr">
        <is>
          <t>Reserva automática · − · op 180677002449 · NUNCA almacén · resumen oficial cuenta MP 1–30 sep 2026</t>
        </is>
      </c>
    </row>
    <row r="212">
      <c r="A212" s="52" t="n">
        <v>46295</v>
      </c>
      <c r="B212" t="inlineStr">
        <is>
          <t>Septiembre</t>
        </is>
      </c>
      <c r="C212" t="inlineStr">
        <is>
          <t>Reserva automática</t>
        </is>
      </c>
      <c r="D212" t="inlineStr">
        <is>
          <t>AVA</t>
        </is>
      </c>
      <c r="E212" t="n">
        <v>500</v>
      </c>
      <c r="F212" t="inlineStr">
        <is>
          <t>ARS</t>
        </is>
      </c>
      <c r="G212" t="inlineStr">
        <is>
          <t>Mercado Pago</t>
        </is>
      </c>
      <c r="H212" t="inlineStr">
        <is>
          <t>Reserva automática · − · op 180677032403 · NUNCA almacén · resumen oficial cuenta MP 1–30 sep 2026</t>
        </is>
      </c>
    </row>
    <row r="213">
      <c r="A213" s="52" t="n">
        <v>46295</v>
      </c>
      <c r="B213" t="inlineStr">
        <is>
          <t>Septiembre</t>
        </is>
      </c>
      <c r="C213" t="inlineStr">
        <is>
          <t>Reserva automática</t>
        </is>
      </c>
      <c r="D213" t="inlineStr">
        <is>
          <t>Expensas</t>
        </is>
      </c>
      <c r="E213" t="n">
        <v>1000</v>
      </c>
      <c r="F213" t="inlineStr">
        <is>
          <t>ARS</t>
        </is>
      </c>
      <c r="G213" t="inlineStr">
        <is>
          <t>Mercado Pago</t>
        </is>
      </c>
      <c r="H213" t="inlineStr">
        <is>
          <t>Reserva automática · − · op 180676447379 · NUNCA almacén · resumen oficial cuenta MP 1–30 sep 2026</t>
        </is>
      </c>
    </row>
    <row r="214">
      <c r="A214" s="52" t="n">
        <v>46280</v>
      </c>
      <c r="B214" t="inlineStr">
        <is>
          <t>Septiembre</t>
        </is>
      </c>
      <c r="C214" t="inlineStr">
        <is>
          <t>Pago de resumen TC</t>
        </is>
      </c>
      <c r="D214" t="inlineStr">
        <is>
          <t>Pagaste una parte del resumen de tu tarjeta · Gmail</t>
        </is>
      </c>
      <c r="E214" t="n">
        <v>1214000</v>
      </c>
      <c r="F214" t="inlineStr">
        <is>
          <t>ARS</t>
        </is>
      </c>
    </row>
    <row r="215">
      <c r="A215" s="52" t="n">
        <v>46282</v>
      </c>
      <c r="B215" t="inlineStr">
        <is>
          <t>Septiembre</t>
        </is>
      </c>
      <c r="C215" t="inlineStr">
        <is>
          <t>Pago de resumen TC</t>
        </is>
      </c>
      <c r="D215" t="inlineStr">
        <is>
          <t>Pagaste una parte del resumen de tu tarjeta · Gmail</t>
        </is>
      </c>
      <c r="E215" t="n">
        <v>1000000</v>
      </c>
      <c r="F215" t="inlineStr">
        <is>
          <t>ARS</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v>46266</v>
      </c>
      <c r="B26" s="14" t="inlineStr">
        <is>
          <t>Septiembre</t>
        </is>
      </c>
      <c r="C26" s="14" t="inlineStr">
        <is>
          <t>USD</t>
        </is>
      </c>
      <c r="D26" s="14" t="inlineStr">
        <is>
          <t>Rescate</t>
        </is>
      </c>
      <c r="E26" s="14" t="inlineStr">
        <is>
          <t>Venta de dólares</t>
        </is>
      </c>
      <c r="F26" s="15" t="n">
        <v>1715612</v>
      </c>
      <c r="G26" s="14" t="inlineStr">
        <is>
          <t>Mercado Pago</t>
        </is>
      </c>
      <c r="H26" s="17" t="n"/>
      <c r="I26" s="37" t="n"/>
      <c r="J26" s="14" t="inlineStr">
        <is>
          <t>Rescate · op 175716248657 · resumen oficial cuenta MP 1–30 sep 2026</t>
        </is>
      </c>
    </row>
    <row r="27">
      <c r="A27" s="17" t="n">
        <v>46275</v>
      </c>
      <c r="B27" s="14" t="inlineStr">
        <is>
          <t>Septiembre</t>
        </is>
      </c>
      <c r="C27" s="14" t="inlineStr">
        <is>
          <t>USD</t>
        </is>
      </c>
      <c r="D27" s="14" t="inlineStr">
        <is>
          <t>Rescate</t>
        </is>
      </c>
      <c r="E27" s="14" t="inlineStr">
        <is>
          <t>Venta de dólares</t>
        </is>
      </c>
      <c r="F27" s="15" t="n">
        <v>2989714</v>
      </c>
      <c r="G27" s="14" t="inlineStr">
        <is>
          <t>Mercado Pago</t>
        </is>
      </c>
      <c r="H27" s="17" t="n"/>
      <c r="I27" s="37" t="n"/>
      <c r="J27" s="14" t="inlineStr">
        <is>
          <t>Rescate · op 178296615510 · resumen oficial cuenta MP 1–30 sep 2026</t>
        </is>
      </c>
    </row>
    <row r="28">
      <c r="A28" s="17" t="n">
        <v>46276</v>
      </c>
      <c r="B28" s="14" t="inlineStr">
        <is>
          <t>Septiembre</t>
        </is>
      </c>
      <c r="C28" s="14" t="inlineStr">
        <is>
          <t>Bonos/PF</t>
        </is>
      </c>
      <c r="D28" s="14" t="inlineStr">
        <is>
          <t>Rescate</t>
        </is>
      </c>
      <c r="E28" s="14" t="inlineStr">
        <is>
          <t>Bonos, plazos fijos y más</t>
        </is>
      </c>
      <c r="F28" s="15" t="n">
        <v>12361244</v>
      </c>
      <c r="G28" s="14" t="inlineStr">
        <is>
          <t>Mercado Pago</t>
        </is>
      </c>
      <c r="H28" s="17" t="n"/>
      <c r="I28" s="37" t="n"/>
      <c r="J28" s="14" t="inlineStr">
        <is>
          <t>Rescate · op 178259630038 · resumen oficial cuenta MP 1–30 sep 2026</t>
        </is>
      </c>
    </row>
    <row r="29">
      <c r="A29" s="17" t="n">
        <v>46280</v>
      </c>
      <c r="B29" s="14" t="inlineStr">
        <is>
          <t>Septiembre</t>
        </is>
      </c>
      <c r="C29" s="14" t="inlineStr">
        <is>
          <t>USD</t>
        </is>
      </c>
      <c r="D29" s="14" t="inlineStr">
        <is>
          <t>Rescate</t>
        </is>
      </c>
      <c r="E29" s="14" t="inlineStr">
        <is>
          <t>Venta de dólares</t>
        </is>
      </c>
      <c r="F29" s="15" t="n">
        <v>59334</v>
      </c>
      <c r="G29" s="14" t="inlineStr">
        <is>
          <t>Mercado Pago</t>
        </is>
      </c>
      <c r="H29" s="17" t="n"/>
      <c r="I29" s="37" t="n"/>
      <c r="J29" s="14" t="inlineStr">
        <is>
          <t>Rescate · op 178124944219 · resumen oficial cuenta MP 1–30 sep 2026</t>
        </is>
      </c>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v>46266</v>
      </c>
      <c r="B44" s="14" t="inlineStr">
        <is>
          <t>Septiembre</t>
        </is>
      </c>
      <c r="C44" s="14" t="inlineStr">
        <is>
          <t>SANES MARIA SOLE</t>
        </is>
      </c>
      <c r="D44" s="15" t="n">
        <v>5000000</v>
      </c>
      <c r="E44" s="14" t="inlineStr">
        <is>
          <t>Mercado Pago — Transferencia recibida</t>
        </is>
      </c>
      <c r="F44" s="14" t="inlineStr">
        <is>
          <t>recibida · op 175714969965 · resumen oficial cuenta MP 1–30 sep 2026</t>
        </is>
      </c>
    </row>
    <row r="45">
      <c r="A45" s="17" t="n">
        <v>46272</v>
      </c>
      <c r="B45" s="14" t="inlineStr">
        <is>
          <t>Septiembre</t>
        </is>
      </c>
      <c r="C45" s="14" t="inlineStr">
        <is>
          <t>SANES MARIA SOLE</t>
        </is>
      </c>
      <c r="D45" s="15" t="n">
        <v>660048</v>
      </c>
      <c r="E45" s="14" t="inlineStr">
        <is>
          <t>Mercado Pago — Transferencia recibida</t>
        </is>
      </c>
      <c r="F45" s="14" t="inlineStr">
        <is>
          <t>recibida · op 177776988272 · resumen oficial cuenta MP 1–30 sep 2026</t>
        </is>
      </c>
    </row>
    <row r="46">
      <c r="A46" s="17" t="n">
        <v>46273</v>
      </c>
      <c r="B46" s="14" t="inlineStr">
        <is>
          <t>Septiembre</t>
        </is>
      </c>
      <c r="C46" s="14" t="inlineStr">
        <is>
          <t>FUNDACION UNIVERSIDAD DE PALERMO</t>
        </is>
      </c>
      <c r="D46" s="15" t="n">
        <v>3315000</v>
      </c>
      <c r="E46" s="14" t="inlineStr">
        <is>
          <t>Mercado Pago — Transferencia recibida</t>
        </is>
      </c>
      <c r="F46" s="14" t="inlineStr">
        <is>
          <t>recibida · op 176941515613 · resumen oficial cuenta MP 1–30 sep 2026</t>
        </is>
      </c>
    </row>
    <row r="47">
      <c r="A47" s="17" t="n">
        <v>46274</v>
      </c>
      <c r="B47" s="14" t="inlineStr">
        <is>
          <t>Septiembre</t>
        </is>
      </c>
      <c r="C47" s="14" t="inlineStr">
        <is>
          <t>PELESSON ALDO OSCAR</t>
        </is>
      </c>
      <c r="D47" s="15" t="n">
        <v>5350000</v>
      </c>
      <c r="E47" s="14" t="inlineStr">
        <is>
          <t>Mercado Pago — Transferencia recibida</t>
        </is>
      </c>
      <c r="F47" s="14" t="inlineStr">
        <is>
          <t>recibida · op 178174075270 · resumen oficial cuenta MP 1–30 sep 2026</t>
        </is>
      </c>
    </row>
    <row r="48">
      <c r="A48" s="17" t="n">
        <v>46276</v>
      </c>
      <c r="B48" s="14" t="inlineStr">
        <is>
          <t>Septiembre</t>
        </is>
      </c>
      <c r="C48" s="14" t="inlineStr">
        <is>
          <t>MarIa Sanes</t>
        </is>
      </c>
      <c r="D48" s="15" t="n">
        <v>1485129</v>
      </c>
      <c r="E48" s="14" t="inlineStr">
        <is>
          <t>Mercado Pago — Transferencia recibida</t>
        </is>
      </c>
      <c r="F48" s="14" t="inlineStr">
        <is>
          <t>recibida · op 178531142556 · resumen oficial cuenta MP 1–30 sep 2026</t>
        </is>
      </c>
    </row>
    <row r="49">
      <c r="A49" s="17" t="n">
        <v>46279</v>
      </c>
      <c r="B49" s="14" t="inlineStr">
        <is>
          <t>Septiembre</t>
        </is>
      </c>
      <c r="C49" s="14" t="inlineStr">
        <is>
          <t>ROLANDO PABLO JAVIER</t>
        </is>
      </c>
      <c r="D49" s="15" t="n">
        <v>24857</v>
      </c>
      <c r="E49" s="14" t="inlineStr">
        <is>
          <t>Mercado Pago — Transferencia recibida</t>
        </is>
      </c>
      <c r="F49" s="14" t="inlineStr">
        <is>
          <t>recibida · op 177983989539 · resumen oficial cuenta MP 1–30 sep 2026</t>
        </is>
      </c>
    </row>
    <row r="50">
      <c r="A50" s="17" t="n">
        <v>46280</v>
      </c>
      <c r="B50" s="14" t="inlineStr">
        <is>
          <t>Septiembre</t>
        </is>
      </c>
      <c r="C50" s="14" t="inlineStr">
        <is>
          <t>MarIa Sanes</t>
        </is>
      </c>
      <c r="D50" s="15" t="n">
        <v>1490352</v>
      </c>
      <c r="E50" s="14" t="inlineStr">
        <is>
          <t>Mercado Pago — Transferencia recibida</t>
        </is>
      </c>
      <c r="F50" s="14" t="inlineStr">
        <is>
          <t>recibida · op 179102139324 · resumen oficial cuenta MP 1–30 sep 2026</t>
        </is>
      </c>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row r="28">
      <c r="A28" s="52" t="n">
        <v>46253</v>
      </c>
      <c r="B28" t="inlineStr">
        <is>
          <t>Agosto</t>
        </is>
      </c>
      <c r="C28" t="inlineStr">
        <is>
          <t>Tarjeta de crédito</t>
        </is>
      </c>
      <c r="D28" t="n">
        <v>1200000</v>
      </c>
      <c r="E28" t="inlineStr">
        <is>
          <t>Mercado Pago</t>
        </is>
      </c>
      <c r="F28" t="inlineStr">
        <is>
          <t>Pago de resumen · $1.200.000 · composición resumen TC MP sep</t>
        </is>
      </c>
    </row>
    <row r="29">
      <c r="A29" s="52" t="n">
        <v>46253</v>
      </c>
      <c r="B29" t="inlineStr">
        <is>
          <t>Agosto</t>
        </is>
      </c>
      <c r="C29" t="inlineStr">
        <is>
          <t>Tarjeta de crédito</t>
        </is>
      </c>
      <c r="D29" t="n">
        <v>1225483</v>
      </c>
      <c r="E29" t="inlineStr">
        <is>
          <t>Mercado Pago</t>
        </is>
      </c>
      <c r="F29" t="inlineStr">
        <is>
          <t>Pago de resumen · $1.225.482,78 ceil · composición resumen TC MP sep</t>
        </is>
      </c>
    </row>
    <row r="30">
      <c r="A30" s="52" t="n">
        <v>46295</v>
      </c>
      <c r="B30" t="inlineStr">
        <is>
          <t>Septiembre</t>
        </is>
      </c>
      <c r="C30" t="inlineStr">
        <is>
          <t>Tarjeta de crédito</t>
        </is>
      </c>
      <c r="D30" t="n">
        <v>500000</v>
      </c>
      <c r="E30" t="inlineStr">
        <is>
          <t>Mercado Pago</t>
        </is>
      </c>
      <c r="F30" t="inlineStr">
        <is>
          <t>Pago de resumen · $500.000 · op 181614816434 · resumen oficial cuenta MP 1–30 sep 2026</t>
        </is>
      </c>
    </row>
    <row r="31">
      <c r="A31" s="52" t="n">
        <v>46280</v>
      </c>
      <c r="B31" t="inlineStr">
        <is>
          <t>Septiembre</t>
        </is>
      </c>
      <c r="C31" t="inlineStr">
        <is>
          <t>Tarjeta de crédito</t>
        </is>
      </c>
      <c r="D31" t="n">
        <v>1214000</v>
      </c>
      <c r="E31" t="inlineStr">
        <is>
          <t>Mercado Pago</t>
        </is>
      </c>
      <c r="F31" t="inlineStr">
        <is>
          <t>Pago parcial resumen · Gmail · espejo MP No Gasto</t>
        </is>
      </c>
    </row>
    <row r="32">
      <c r="A32" s="52" t="n">
        <v>46282</v>
      </c>
      <c r="B32" t="inlineStr">
        <is>
          <t>Septiembre</t>
        </is>
      </c>
      <c r="C32" t="inlineStr">
        <is>
          <t>Tarjeta de crédito</t>
        </is>
      </c>
      <c r="D32" t="n">
        <v>1000000</v>
      </c>
      <c r="E32" t="inlineStr">
        <is>
          <t>Mercado Pago</t>
        </is>
      </c>
      <c r="F32" t="inlineStr">
        <is>
          <t>Pago parcial resumen · Gmail · espejo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v>46275</v>
      </c>
      <c r="B44" s="14" t="inlineStr">
        <is>
          <t>Agosto</t>
        </is>
      </c>
      <c r="C44" s="14" t="inlineStr">
        <is>
          <t>Consorcio De Propiet</t>
        </is>
      </c>
      <c r="D44" s="14" t="inlineStr">
        <is>
          <t>CIUDAD 1132</t>
        </is>
      </c>
      <c r="E44" s="15" t="n">
        <v>300850</v>
      </c>
      <c r="F44" s="14" t="inlineStr">
        <is>
          <t>Transferencia (Gmail Sent)</t>
        </is>
      </c>
      <c r="G44" s="14" t="inlineStr">
        <is>
          <t>Pago de Expensas · CIUDAD 1132 · período agosto 2026 (Gmail Sent / De Filippo)</t>
        </is>
      </c>
    </row>
    <row r="45">
      <c r="A45" s="17" t="n">
        <v>46275</v>
      </c>
      <c r="B45" s="14" t="inlineStr">
        <is>
          <t>Agosto</t>
        </is>
      </c>
      <c r="C45" s="14" t="inlineStr">
        <is>
          <t>Consorcio De Copropi</t>
        </is>
      </c>
      <c r="D45" s="14" t="inlineStr">
        <is>
          <t>OHIGGINS</t>
        </is>
      </c>
      <c r="E45" s="15" t="n">
        <v>722979</v>
      </c>
      <c r="F45" s="14" t="inlineStr">
        <is>
          <t>Transferencia (Gmail Sent)</t>
        </is>
      </c>
      <c r="G45" s="14" t="inlineStr">
        <is>
          <t>Pago de Expensas · OHIGGINS 2219 piso 8 · período agosto 2026 (Gmail Sent / Estudio Kalmus) · recibo $722.978,08</t>
        </is>
      </c>
    </row>
    <row r="46">
      <c r="A46" s="17" t="n">
        <v>46266</v>
      </c>
      <c r="B46" s="14" t="inlineStr">
        <is>
          <t>Agosto</t>
        </is>
      </c>
      <c r="C46" s="14" t="inlineStr">
        <is>
          <t>Cons De Prop E Bonorino 82</t>
        </is>
      </c>
      <c r="D46" s="14" t="inlineStr">
        <is>
          <t>BONORINO</t>
        </is>
      </c>
      <c r="E46" s="15" t="n">
        <v>222825</v>
      </c>
      <c r="F46" s="14" t="inlineStr">
        <is>
          <t>Transferencia (Gmail Sent)</t>
        </is>
      </c>
      <c r="G46" s="14" t="inlineStr">
        <is>
          <t>Pago de Expensas · BONORINO · período agosto 2026 (liq 09/2026 · Gmail Sent)</t>
        </is>
      </c>
    </row>
    <row r="47">
      <c r="A47" s="17" t="n">
        <v>46272</v>
      </c>
      <c r="B47" s="14" t="inlineStr">
        <is>
          <t>Septiembre</t>
        </is>
      </c>
      <c r="C47" s="14" t="inlineStr">
        <is>
          <t>Fideicomiso Ava Palpa</t>
        </is>
      </c>
      <c r="D47" s="14" t="inlineStr">
        <is>
          <t>AVA</t>
        </is>
      </c>
      <c r="E47" s="15" t="n">
        <v>6269440</v>
      </c>
      <c r="F47" s="14" t="inlineStr">
        <is>
          <t>Mercado Pago — Transferencia enviada</t>
        </is>
      </c>
      <c r="G47" s="14" t="inlineStr">
        <is>
          <t>AVA cuota 10 · pagado 07/09 · total $6.269.440 · 50% Sol ya en GPS</t>
        </is>
      </c>
    </row>
    <row r="48">
      <c r="A48" s="17" t="n">
        <v>46244</v>
      </c>
      <c r="B48" s="14" t="inlineStr">
        <is>
          <t>Julio</t>
        </is>
      </c>
      <c r="C48" s="14" t="inlineStr">
        <is>
          <t>Consorcio De Propiet</t>
        </is>
      </c>
      <c r="D48" s="14" t="inlineStr">
        <is>
          <t>CIUDAD 1132</t>
        </is>
      </c>
      <c r="E48" s="15" t="n">
        <v>300850</v>
      </c>
      <c r="F48" s="14" t="inlineStr">
        <is>
          <t>Mercado Pago — Transferencia enviada</t>
        </is>
      </c>
      <c r="G48" s="14" t="inlineStr">
        <is>
          <t>Pago de Expensas · CIUDAD 1132 · Patagonia CBU 0340116900116010765007 / CUIL 30714962473 · período julio 2026 (Gmail Sent 10/08 · op 173005218278)</t>
        </is>
      </c>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95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MOVIDO → Almacén</t>
        </is>
      </c>
      <c r="D31" s="15" t="n"/>
      <c r="E31" s="14" t="n"/>
      <c r="F31" s="14" t="inlineStr">
        <is>
          <t>SUPERSEDE · Pescadería Belgrano / Andres Javier Di Pasqua $12426 → Almacen Detalle · Septiembre AJUSTE (origen no rendido por error)</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MOVIDO → Almacén</t>
        </is>
      </c>
      <c r="D57" s="15" t="n"/>
      <c r="E57" s="14" t="n"/>
      <c r="F57" s="14" t="inlineStr">
        <is>
          <t>SUPERSEDE · Pescadería Belgrano / Andres Javier Di Pasqua $24852 → Almacen Detalle · Septiembre AJUSTE (origen no rendido por error)</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MOVIDO → Almacén</t>
        </is>
      </c>
      <c r="D155" s="26" t="n"/>
      <c r="F155" t="inlineStr">
        <is>
          <t>SUPERSEDE · Pescadería Belgrano $24852 → Almacen Detalle · Septiembre AJUSTE · COMIDA · Pescadería Belgrano (no GPS)</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MOVIDO → Almacén</t>
        </is>
      </c>
      <c r="D173" s="26" t="n"/>
      <c r="F173" t="inlineStr">
        <is>
          <t>SUPERSEDE · Pescadería Belgrano $32046 → Almacen Detalle · Septiembre AJUSTE · COMIDA · Pescadería Belgrano (no GPS)</t>
        </is>
      </c>
    </row>
    <row r="174">
      <c r="A174" s="54" t="n">
        <v>46175</v>
      </c>
      <c r="B174" t="inlineStr">
        <is>
          <t>Junio</t>
        </is>
      </c>
      <c r="C174" t="inlineStr">
        <is>
          <t>Courier</t>
        </is>
      </c>
      <c r="D174" s="26" t="n">
        <v>22500</v>
      </c>
      <c r="E174" t="inlineStr">
        <is>
          <t>Mercado Pago</t>
        </is>
      </c>
      <c r="F174" t="inlineStr">
        <is>
          <t>Courier · Correo Oficial · Gmail Pago aprobado · $22.500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Courier</t>
        </is>
      </c>
      <c r="D182" s="26" t="n">
        <v>48000</v>
      </c>
      <c r="E182" t="inlineStr">
        <is>
          <t>Mercado Pago</t>
        </is>
      </c>
      <c r="F182" t="inlineStr">
        <is>
          <t>Courier · Correo Oficial · Gmail Pago aprobado · $48.000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 · NO ES GASTO · consumo/compra USD BBVA Mastercard · ver hoja Sol Dollar Mdp</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E342" t="inlineStr">
        <is>
          <t>BBVA Mastercard · USD</t>
        </is>
      </c>
      <c r="F342" t="inlineStr">
        <is>
          <t>SUSCRIPCIONES · IA · Vercel · gasto personal Sol · USD 20.00 × TC MEP 1429.65 · suscripción · gasto personal Sol · NO ES GASTO · consumo/compra USD BBVA Mastercard · ver hoja Sol Dollar Mdp</t>
        </is>
      </c>
    </row>
    <row r="343">
      <c r="A343" s="54" t="n">
        <v>46163</v>
      </c>
      <c r="B343" t="inlineStr">
        <is>
          <t>Mayo</t>
        </is>
      </c>
      <c r="C343" t="inlineStr">
        <is>
          <t>SUSCRIPCIONES · IA</t>
        </is>
      </c>
      <c r="E343" t="inlineStr">
        <is>
          <t>BBVA Mastercard · USD</t>
        </is>
      </c>
      <c r="F343" t="inlineStr">
        <is>
          <t>SUSCRIPCIONES · IA · Vercel · gasto personal Sol · USD 30.00 × TC MEP 1429.65 · suscripción · gasto personal Sol · NO ES GASTO · consumo/compra USD BBVA Mastercard · ver hoja Sol Dollar Mdp</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E348" t="inlineStr">
        <is>
          <t>BBVA Mastercard · USD</t>
        </is>
      </c>
      <c r="F348" t="inlineStr">
        <is>
          <t>SUSCRIPCIONES · IA · Vercel · gasto personal Sol · USD 30.00 × TC MEP 1458.0 · suscripción · gasto personal Sol · NO ES GASTO · consumo/compra USD BBVA Mastercard · ver hoja Sol Dollar Mdp</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E352" t="inlineStr">
        <is>
          <t>BBVA Mastercard · USD</t>
        </is>
      </c>
      <c r="F352" t="inlineStr">
        <is>
          <t>SUSCRIPCIONES · IA · Google One / Gemini · gasto personal Sol · USD 19.99 × TC MEP 1506.21 · Gemini Advanced / Google One · gasto personal Sol · NO ES GASTO · consumo/compra USD BBVA Mastercard · ver hoja Sol Dollar Mdp</t>
        </is>
      </c>
    </row>
    <row r="353">
      <c r="A353" s="54" t="n">
        <v>46060</v>
      </c>
      <c r="B353" t="inlineStr">
        <is>
          <t>Febrero</t>
        </is>
      </c>
      <c r="C353" t="inlineStr">
        <is>
          <t>SUSCRIPCIONES · IA</t>
        </is>
      </c>
      <c r="E353" t="inlineStr">
        <is>
          <t>BBVA Mastercard · USD</t>
        </is>
      </c>
      <c r="F353" t="inlineStr">
        <is>
          <t>SUSCRIPCIONES · IA · Google One / Gemini · gasto personal Sol · USD 19.99 × TC MEP 1460.38 · Gemini Advanced / Google One · gasto personal Sol · NO ES GASTO · consumo/compra USD BBVA Mastercard · ver hoja Sol Dollar Mdp</t>
        </is>
      </c>
    </row>
    <row r="354">
      <c r="A354" s="54" t="n">
        <v>46088</v>
      </c>
      <c r="B354" t="inlineStr">
        <is>
          <t>Marzo</t>
        </is>
      </c>
      <c r="C354" t="inlineStr">
        <is>
          <t>SUSCRIPCIONES · IA</t>
        </is>
      </c>
      <c r="E354" t="inlineStr">
        <is>
          <t>BBVA Mastercard · USD</t>
        </is>
      </c>
      <c r="F354" t="inlineStr">
        <is>
          <t>SUSCRIPCIONES · IA · Google One / Gemini · gasto personal Sol · USD 19.99 × TC MEP 1434.11 · Gemini Advanced / Google One · gasto personal Sol · NO ES GASTO · consumo/compra USD BBVA Mastercard · ver hoja Sol Dollar Mdp</t>
        </is>
      </c>
    </row>
    <row r="355">
      <c r="A355" s="54" t="n">
        <v>46119</v>
      </c>
      <c r="B355" t="inlineStr">
        <is>
          <t>Abril</t>
        </is>
      </c>
      <c r="C355" t="inlineStr">
        <is>
          <t>SUSCRIPCIONES · IA</t>
        </is>
      </c>
      <c r="E355" t="inlineStr">
        <is>
          <t>BBVA Mastercard · USD</t>
        </is>
      </c>
      <c r="F355" t="inlineStr">
        <is>
          <t>SUSCRIPCIONES · IA · Google One / Gemini · gasto personal Sol · USD 19.99 × TC MEP 1434.04 · Gemini Advanced / Google One · gasto personal Sol · NO ES GASTO · consumo/compra USD BBVA Mastercard · ver hoja Sol Dollar Mdp</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c r="E773" s="34" t="inlineStr">
        <is>
          <t>BBVA</t>
        </is>
      </c>
      <c r="F773" s="34" t="inlineStr">
        <is>
          <t>SUSCRIPCIONES · IA · ChatGPT / OpenAI · gasto personal Sol · NO ES GASTO · consumo/compra USD BBVA Mastercard · ver hoja Sol Dollar Mdp</t>
        </is>
      </c>
    </row>
    <row r="774">
      <c r="A774" s="62" t="n">
        <v>46081</v>
      </c>
      <c r="B774" s="34" t="inlineStr">
        <is>
          <t>Febrero</t>
        </is>
      </c>
      <c r="C774" s="34" t="inlineStr">
        <is>
          <t>SUSCRIPCIONES · IA</t>
        </is>
      </c>
      <c r="D774" s="34" t="n"/>
      <c r="E774" s="34" t="inlineStr">
        <is>
          <t>BBVA</t>
        </is>
      </c>
      <c r="F774" s="34" t="inlineStr">
        <is>
          <t>SUSCRIPCIONES · IA · ChatGPT / OpenAI · gasto personal Sol · NO ES GASTO · consumo/compra USD BBVA Mastercard · ver hoja Sol Dollar Mdp</t>
        </is>
      </c>
    </row>
    <row r="775">
      <c r="A775" s="62" t="n">
        <v>46117</v>
      </c>
      <c r="B775" s="34" t="inlineStr">
        <is>
          <t>Abril</t>
        </is>
      </c>
      <c r="C775" s="34" t="inlineStr">
        <is>
          <t>SUSCRIPCIONES · IA</t>
        </is>
      </c>
      <c r="D775" s="34" t="n"/>
      <c r="E775" s="34" t="inlineStr">
        <is>
          <t>BBVA</t>
        </is>
      </c>
      <c r="F775" s="34" t="inlineStr">
        <is>
          <t>SUSCRIPCIONES · IA · ChatGPT / OpenAI · gasto personal Sol · NO ES GASTO · consumo/compra USD BBVA Mastercard · ver hoja Sol Dollar Mdp</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c r="E825" s="34" t="inlineStr">
        <is>
          <t>BBVA MASTERCARD</t>
        </is>
      </c>
      <c r="F825" s="34" t="inlineStr">
        <is>
          <t>SUSCRIPCIONES · IA · metricscheck.com · REVISAR · metricscheck.com · posible cargo prueba USD · gasto personal Sol · NO ES GASTO · consumo/compra USD BBVA Mastercard · ver hoja Sol Dollar Mdp</t>
        </is>
      </c>
    </row>
    <row r="826">
      <c r="A826" s="62" t="n">
        <v>46124</v>
      </c>
      <c r="B826" s="34" t="inlineStr">
        <is>
          <t>Abril</t>
        </is>
      </c>
      <c r="C826" s="34" t="inlineStr">
        <is>
          <t>SUSCRIPCIONES · IA</t>
        </is>
      </c>
      <c r="D826" s="34" t="n"/>
      <c r="E826" s="34" t="inlineStr">
        <is>
          <t>BBVA MASTERCARD</t>
        </is>
      </c>
      <c r="F826" s="34" t="inlineStr">
        <is>
          <t>SUSCRIPCIONES · IA · metricscheck.com · REVISAR · metricscheck.com · posible cargo prueba USD · gasto personal Sol · NO ES GASTO · consumo/compra USD BBVA Mastercard · ver hoja Sol Dollar Mdp</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row r="829">
      <c r="A829" s="52" t="n">
        <v>46269</v>
      </c>
      <c r="B829" t="inlineStr">
        <is>
          <t>Septiembre</t>
        </is>
      </c>
      <c r="C829" t="inlineStr">
        <is>
          <t>AVA Fideicomiso</t>
        </is>
      </c>
      <c r="D829" t="n">
        <v>3134720</v>
      </c>
      <c r="E829" t="inlineStr">
        <is>
          <t>Mercado Pago / Transferencia</t>
        </is>
      </c>
      <c r="F829" t="inlineStr">
        <is>
          <t>AVA Fideicomiso · cuota 10 · vto 2026-09-04 · total 6269440 · TC MEP venta 1525.39 · USD 4110.06 · 50% Sol · Gmail factura/recibo 07/09</t>
        </is>
      </c>
    </row>
    <row r="830">
      <c r="A830" s="52" t="n">
        <v>46284</v>
      </c>
      <c r="B830" t="inlineStr">
        <is>
          <t>Septiembre</t>
        </is>
      </c>
      <c r="C830" t="inlineStr">
        <is>
          <t>SALUD · Vitaminas</t>
        </is>
      </c>
      <c r="D830" t="n">
        <v>530100</v>
      </c>
      <c r="E830" t="inlineStr">
        <is>
          <t>TC Mercado Pago</t>
        </is>
      </c>
      <c r="F830" t="inlineStr">
        <is>
          <t>SALUD · Vitaminas · Promarine · TC Mercado Pago · 6 cuotas · Gmail Pago aprobado · REVISAR vs resumen TC MP · post-cierre 12/09 → confirmar en resumen TC MP octubre</t>
        </is>
      </c>
    </row>
    <row r="831">
      <c r="A831" s="52" t="n">
        <v>46282</v>
      </c>
      <c r="B831" t="inlineStr">
        <is>
          <t>Septiembre</t>
        </is>
      </c>
      <c r="C831" t="inlineStr">
        <is>
          <t>VESTIMENTA</t>
        </is>
      </c>
      <c r="D831" t="n">
        <v>719990</v>
      </c>
      <c r="E831" t="inlineStr">
        <is>
          <t>TC Mercado Pago</t>
        </is>
      </c>
      <c r="F831" t="inlineStr">
        <is>
          <t>VESTIMENTA · Itsclassic · TC Mercado Pago · Gmail Pago aprobado · REVISAR (también alerta BBVA MERPAGO*ITSCLASSIC) · post-cierre 12/09 → confirmar en resumen TC MP octubre</t>
        </is>
      </c>
    </row>
    <row r="832">
      <c r="A832" s="52" t="n">
        <v>46284</v>
      </c>
      <c r="B832" t="inlineStr">
        <is>
          <t>Septiembre</t>
        </is>
      </c>
      <c r="C832" t="inlineStr">
        <is>
          <t>EDUCACIÓN</t>
        </is>
      </c>
      <c r="D832" t="n">
        <v>127196</v>
      </c>
      <c r="E832" t="inlineStr">
        <is>
          <t>TC Mercado Pago</t>
        </is>
      </c>
      <c r="F832" t="inlineStr">
        <is>
          <t>EDUCACIÓN · EducaciónIT · Automatización Claude · TC Mercado Pago · 3 cuotas · Gmail · post-cierre 12/09 → confirmar en resumen TC MP octubre</t>
        </is>
      </c>
    </row>
    <row r="833">
      <c r="A833" s="52" t="n">
        <v>46267</v>
      </c>
      <c r="B833" t="inlineStr">
        <is>
          <t>Septiembre</t>
        </is>
      </c>
      <c r="C833" t="inlineStr">
        <is>
          <t>COMIDA · Oficina</t>
        </is>
      </c>
      <c r="D833" t="n">
        <v>4080</v>
      </c>
      <c r="E833" t="inlineStr">
        <is>
          <t>Mercado Pago</t>
        </is>
      </c>
      <c r="F833" t="inlineStr">
        <is>
          <t>COMIDA · Oficina · Copetin Catering · Gmail Pago aprobado · REVISAR vs settlement</t>
        </is>
      </c>
    </row>
    <row r="834">
      <c r="A834" s="52" t="n">
        <v>46266</v>
      </c>
      <c r="B834" t="inlineStr">
        <is>
          <t>Septiembre</t>
        </is>
      </c>
      <c r="C834" t="inlineStr">
        <is>
          <t>TRANSFERENCIAS</t>
        </is>
      </c>
      <c r="D834" t="n">
        <v>45000</v>
      </c>
      <c r="E834" t="inlineStr">
        <is>
          <t>Mercado Pago</t>
        </is>
      </c>
      <c r="F834" t="inlineStr">
        <is>
          <t>Facundo Lisandro Marin · Transferencia enviada · gasto personal Sol · dinero en cuenta MP screenshot</t>
        </is>
      </c>
    </row>
    <row r="835">
      <c r="A835" s="52" t="n">
        <v>46266</v>
      </c>
      <c r="B835" t="inlineStr">
        <is>
          <t>Septiembre</t>
        </is>
      </c>
      <c r="C835" t="inlineStr">
        <is>
          <t>SUSCRIPCIONES · Apple</t>
        </is>
      </c>
      <c r="D835" t="n">
        <v>81961</v>
      </c>
      <c r="E835" t="inlineStr">
        <is>
          <t>Mercado Pago</t>
        </is>
      </c>
      <c r="F835" t="inlineStr">
        <is>
          <t>SUSCRIPCIONES · Apple · Mercado Pago · gasto personal Sol · dinero en cuenta MP screenshot</t>
        </is>
      </c>
    </row>
    <row r="836">
      <c r="A836" s="52" t="n">
        <v>46267</v>
      </c>
      <c r="B836" t="inlineStr">
        <is>
          <t>Septiembre</t>
        </is>
      </c>
      <c r="C836" t="inlineStr">
        <is>
          <t>TRANSPORTE · Uber</t>
        </is>
      </c>
      <c r="D836" t="n">
        <v>6094</v>
      </c>
      <c r="E836" t="inlineStr">
        <is>
          <t>Mercado Pago</t>
        </is>
      </c>
      <c r="F836" t="inlineStr">
        <is>
          <t>TRANSPORTE · Uber · Ebanx (=Uber) · gasto personal Sol · dinero en cuenta MP screenshot</t>
        </is>
      </c>
    </row>
    <row r="837">
      <c r="A837" s="52" t="n"/>
    </row>
    <row r="838">
      <c r="A838" s="52" t="n">
        <v>46267</v>
      </c>
      <c r="B838" t="inlineStr">
        <is>
          <t>Septiembre</t>
        </is>
      </c>
      <c r="C838" t="inlineStr">
        <is>
          <t>TRANSFERENCIAS</t>
        </is>
      </c>
      <c r="D838" t="n">
        <v>863600</v>
      </c>
      <c r="E838" t="inlineStr">
        <is>
          <t>Mercado Pago</t>
        </is>
      </c>
      <c r="F838" t="inlineStr">
        <is>
          <t>Neira Martina · Transferencia enviada · gasto personal Sol · dinero en cuenta MP screenshot</t>
        </is>
      </c>
    </row>
    <row r="839">
      <c r="A839" s="52" t="n"/>
    </row>
    <row r="840">
      <c r="A840" s="52" t="n">
        <v>46267</v>
      </c>
      <c r="B840" t="inlineStr">
        <is>
          <t>Septiembre</t>
        </is>
      </c>
      <c r="C840" t="inlineStr">
        <is>
          <t>TRANSPORTE · Uber</t>
        </is>
      </c>
      <c r="D840" t="n">
        <v>6607</v>
      </c>
      <c r="E840" t="inlineStr">
        <is>
          <t>Mercado Pago</t>
        </is>
      </c>
      <c r="F840" t="inlineStr">
        <is>
          <t>TRANSPORTE · Uber · Ebanx (=Uber) · gasto personal Sol · dinero en cuenta MP screenshot</t>
        </is>
      </c>
    </row>
    <row r="841">
      <c r="A841" s="52" t="n">
        <v>46267</v>
      </c>
      <c r="B841" t="inlineStr">
        <is>
          <t>Septiembre</t>
        </is>
      </c>
      <c r="C841" t="inlineStr">
        <is>
          <t>COMPRAS</t>
        </is>
      </c>
      <c r="D841" t="n">
        <v>4000</v>
      </c>
      <c r="E841" t="inlineStr">
        <is>
          <t>Mercado Pago</t>
        </is>
      </c>
      <c r="F841" t="inlineStr">
        <is>
          <t>COMPRAS · Kiosk Store · gasto personal Sol · REVISAR ítem · dinero en cuenta MP screenshot</t>
        </is>
      </c>
    </row>
    <row r="842">
      <c r="A842" s="52" t="n">
        <v>46267</v>
      </c>
      <c r="B842" t="inlineStr">
        <is>
          <t>Septiembre</t>
        </is>
      </c>
      <c r="C842" t="inlineStr">
        <is>
          <t>Courier</t>
        </is>
      </c>
      <c r="D842" t="n">
        <v>24000</v>
      </c>
      <c r="E842" t="inlineStr">
        <is>
          <t>Mercado Pago</t>
        </is>
      </c>
      <c r="F842" t="inlineStr">
        <is>
          <t>Courier · Correo Oficial · Gmail Pago aprobado · $24.000 · gasto personal Sol</t>
        </is>
      </c>
    </row>
    <row r="843">
      <c r="A843" s="52" t="n">
        <v>46268</v>
      </c>
      <c r="B843" t="inlineStr">
        <is>
          <t>Septiembre</t>
        </is>
      </c>
      <c r="C843" t="inlineStr">
        <is>
          <t>TRANSPORTE · Uber</t>
        </is>
      </c>
      <c r="D843" t="n">
        <v>7520</v>
      </c>
      <c r="E843" t="inlineStr">
        <is>
          <t>Mercado Pago</t>
        </is>
      </c>
      <c r="F843" t="inlineStr">
        <is>
          <t>TRANSPORTE · Uber · Ebanx (=Uber) · gasto personal Sol · dinero en cuenta MP screenshot</t>
        </is>
      </c>
    </row>
    <row r="844">
      <c r="A844" s="52" t="n">
        <v>46268</v>
      </c>
      <c r="B844" t="inlineStr">
        <is>
          <t>Septiembre</t>
        </is>
      </c>
      <c r="C844" t="inlineStr">
        <is>
          <t>TRANSPORTE · Didi</t>
        </is>
      </c>
      <c r="D844" t="n">
        <v>4900</v>
      </c>
      <c r="E844" t="inlineStr">
        <is>
          <t>Mercado Pago</t>
        </is>
      </c>
      <c r="F844" t="inlineStr">
        <is>
          <t>TRANSPORTE · Didi · gasto personal Sol · dinero en cuenta MP screenshot</t>
        </is>
      </c>
    </row>
    <row r="845">
      <c r="A845" s="52" t="n">
        <v>46270</v>
      </c>
      <c r="B845" t="inlineStr">
        <is>
          <t>Septiembre</t>
        </is>
      </c>
      <c r="C845" t="inlineStr">
        <is>
          <t>TRANSFERENCIAS</t>
        </is>
      </c>
      <c r="D845" t="n">
        <v>10800</v>
      </c>
      <c r="E845" t="inlineStr">
        <is>
          <t>Mercado Pago</t>
        </is>
      </c>
      <c r="F845" t="inlineStr">
        <is>
          <t>Digno Lopez · Transferencia enviada · gasto personal Sol · dinero en cuenta MP screenshot</t>
        </is>
      </c>
    </row>
    <row r="846">
      <c r="A846" s="52" t="n">
        <v>46270</v>
      </c>
      <c r="B846" t="inlineStr">
        <is>
          <t>Septiembre</t>
        </is>
      </c>
      <c r="C846" t="inlineStr">
        <is>
          <t>IMPUESTOS · ARCA</t>
        </is>
      </c>
      <c r="D846" t="n">
        <v>10000</v>
      </c>
      <c r="E846" t="inlineStr">
        <is>
          <t>Mercado Pago</t>
        </is>
      </c>
      <c r="F846" t="inlineStr">
        <is>
          <t>IMPUESTOS · ARCA / AFIP · MP 2026-09-05 · gasto personal Sol · dinero en cuenta MP screenshot</t>
        </is>
      </c>
    </row>
    <row r="847">
      <c r="A847" s="52" t="n">
        <v>46270</v>
      </c>
      <c r="B847" t="inlineStr">
        <is>
          <t>Septiembre</t>
        </is>
      </c>
      <c r="C847" t="inlineStr">
        <is>
          <t>IMPUESTOS · ARCA</t>
        </is>
      </c>
      <c r="D847" t="n">
        <v>10000</v>
      </c>
      <c r="E847" t="inlineStr">
        <is>
          <t>Mercado Pago</t>
        </is>
      </c>
      <c r="F847" t="inlineStr">
        <is>
          <t>IMPUESTOS · ARCA / AFIP · MP 2026-09-05 · gasto personal Sol · dinero en cuenta MP screenshot</t>
        </is>
      </c>
    </row>
    <row r="848">
      <c r="A848" s="52" t="n">
        <v>46271</v>
      </c>
      <c r="B848" t="inlineStr">
        <is>
          <t>Septiembre</t>
        </is>
      </c>
      <c r="C848" t="inlineStr">
        <is>
          <t>Servicio - Telefonía</t>
        </is>
      </c>
      <c r="D848" t="n">
        <v>18300</v>
      </c>
      <c r="E848" t="inlineStr">
        <is>
          <t>Mercado Pago</t>
        </is>
      </c>
      <c r="F848" t="inlineStr">
        <is>
          <t>Servicio - Telefonía · Tuenti · gasto personal Sol · dinero en cuenta MP screenshot</t>
        </is>
      </c>
    </row>
    <row r="849">
      <c r="A849" s="52" t="n">
        <v>46271</v>
      </c>
      <c r="B849" t="inlineStr">
        <is>
          <t>Septiembre</t>
        </is>
      </c>
      <c r="C849" t="inlineStr">
        <is>
          <t>TRANSPORTE · SUBE</t>
        </is>
      </c>
      <c r="D849" t="n">
        <v>987</v>
      </c>
      <c r="E849" t="inlineStr">
        <is>
          <t>Mercado Pago</t>
        </is>
      </c>
      <c r="F849" t="inlineStr">
        <is>
          <t>TRANSPORTE · SUBE · gasto personal Sol · dinero en cuenta MP screenshot</t>
        </is>
      </c>
    </row>
    <row r="850">
      <c r="A850" s="52" t="n">
        <v>46272</v>
      </c>
      <c r="B850" t="inlineStr">
        <is>
          <t>Septiembre</t>
        </is>
      </c>
      <c r="C850" t="inlineStr">
        <is>
          <t>TRANSPORTE · Uber</t>
        </is>
      </c>
      <c r="D850" t="n">
        <v>6948</v>
      </c>
      <c r="E850" t="inlineStr">
        <is>
          <t>Mercado Pago</t>
        </is>
      </c>
      <c r="F850" t="inlineStr">
        <is>
          <t>TRANSPORTE · Uber · Ebanx (=Uber) · gasto personal Sol · dinero en cuenta MP screenshot</t>
        </is>
      </c>
    </row>
    <row r="851">
      <c r="A851" s="52" t="n">
        <v>46272</v>
      </c>
      <c r="B851" t="inlineStr">
        <is>
          <t>Septiembre</t>
        </is>
      </c>
      <c r="C851" t="inlineStr">
        <is>
          <t>COMIDA · Oficina</t>
        </is>
      </c>
      <c r="D851" t="n">
        <v>1350</v>
      </c>
      <c r="E851" t="inlineStr">
        <is>
          <t>Mercado Pago</t>
        </is>
      </c>
      <c r="F851" t="inlineStr">
        <is>
          <t>COMIDA · Oficina · Feed · gasto personal Sol · dinero en cuenta MP screenshot</t>
        </is>
      </c>
    </row>
    <row r="852">
      <c r="A852" s="52" t="n">
        <v>46272</v>
      </c>
      <c r="B852" t="inlineStr">
        <is>
          <t>Septiembre</t>
        </is>
      </c>
      <c r="C852" t="inlineStr">
        <is>
          <t>IMPUESTOS · ARCA</t>
        </is>
      </c>
      <c r="D852" t="n">
        <v>58118</v>
      </c>
      <c r="E852" t="inlineStr">
        <is>
          <t>Mercado Pago</t>
        </is>
      </c>
      <c r="F852" t="inlineStr">
        <is>
          <t>IMPUESTOS · ARCA / AFIP · MP 2026-09-07 · gasto personal Sol · dinero en cuenta MP screenshot</t>
        </is>
      </c>
    </row>
    <row r="853">
      <c r="A853" s="52" t="n">
        <v>46272</v>
      </c>
      <c r="B853" t="inlineStr">
        <is>
          <t>Septiembre</t>
        </is>
      </c>
      <c r="C853" t="inlineStr">
        <is>
          <t>IMPUESTOS · ARCA</t>
        </is>
      </c>
      <c r="D853" t="n">
        <v>43038</v>
      </c>
      <c r="E853" t="inlineStr">
        <is>
          <t>Mercado Pago</t>
        </is>
      </c>
      <c r="F853" t="inlineStr">
        <is>
          <t>IMPUESTOS · ARCA / AFIP · MP 2026-09-07 · gasto personal Sol · dinero en cuenta MP screenshot</t>
        </is>
      </c>
    </row>
    <row r="854">
      <c r="A854" s="52" t="n">
        <v>46272</v>
      </c>
      <c r="B854" t="inlineStr">
        <is>
          <t>Septiembre</t>
        </is>
      </c>
      <c r="C854" t="inlineStr">
        <is>
          <t>TRANSPORTE · Didi</t>
        </is>
      </c>
      <c r="D854" t="n">
        <v>6700</v>
      </c>
      <c r="E854" t="inlineStr">
        <is>
          <t>Mercado Pago</t>
        </is>
      </c>
      <c r="F854" t="inlineStr">
        <is>
          <t>TRANSPORTE · Didi · gasto personal Sol · dinero en cuenta MP screenshot</t>
        </is>
      </c>
    </row>
    <row r="855">
      <c r="A855" s="52" t="n">
        <v>46273</v>
      </c>
      <c r="B855" t="inlineStr">
        <is>
          <t>Septiembre</t>
        </is>
      </c>
      <c r="C855" t="inlineStr">
        <is>
          <t>IMPUESTOS · ARCA</t>
        </is>
      </c>
      <c r="D855" t="n">
        <v>4866</v>
      </c>
      <c r="E855" t="inlineStr">
        <is>
          <t>Mercado Pago</t>
        </is>
      </c>
      <c r="F855" t="inlineStr">
        <is>
          <t>IMPUESTOS · ARCA / AFIP · MP 2026-09-08 · gasto personal Sol · dinero en cuenta MP screenshot</t>
        </is>
      </c>
    </row>
    <row r="856">
      <c r="A856" s="52" t="n">
        <v>46273</v>
      </c>
      <c r="B856" t="inlineStr">
        <is>
          <t>Septiembre</t>
        </is>
      </c>
      <c r="C856" t="inlineStr">
        <is>
          <t>VESTIMENTA</t>
        </is>
      </c>
      <c r="D856" t="n">
        <v>28199</v>
      </c>
      <c r="E856" t="inlineStr">
        <is>
          <t>Mercado Pago</t>
        </is>
      </c>
      <c r="F856" t="inlineStr">
        <is>
          <t>VESTIMENTA · OZZ · gasto personal Sol · dinero en cuenta MP screenshot</t>
        </is>
      </c>
    </row>
    <row r="857">
      <c r="A857" s="52" t="n">
        <v>46275</v>
      </c>
      <c r="B857" t="inlineStr">
        <is>
          <t>Septiembre</t>
        </is>
      </c>
      <c r="C857" t="inlineStr">
        <is>
          <t>IMPUESTOS · ARCA</t>
        </is>
      </c>
      <c r="D857" t="n">
        <v>43083</v>
      </c>
      <c r="E857" t="inlineStr">
        <is>
          <t>Mercado Pago</t>
        </is>
      </c>
      <c r="F857" t="inlineStr">
        <is>
          <t>IMPUESTOS · ARCA / AFIP · MP 2026-09-10 · gasto personal Sol · dinero en cuenta MP screenshot</t>
        </is>
      </c>
    </row>
    <row r="858">
      <c r="A858" s="52" t="n">
        <v>46275</v>
      </c>
      <c r="B858" t="inlineStr">
        <is>
          <t>Septiembre</t>
        </is>
      </c>
      <c r="C858" t="inlineStr">
        <is>
          <t>TRANSPORTE · Uber</t>
        </is>
      </c>
      <c r="D858" t="n">
        <v>5612</v>
      </c>
      <c r="E858" t="inlineStr">
        <is>
          <t>Mercado Pago</t>
        </is>
      </c>
      <c r="F858" t="inlineStr">
        <is>
          <t>TRANSPORTE · Uber · Ebanx (=Uber) · gasto personal Sol · dinero en cuenta MP screenshot</t>
        </is>
      </c>
    </row>
    <row r="859">
      <c r="A859" s="52" t="n">
        <v>46275</v>
      </c>
      <c r="B859" t="inlineStr">
        <is>
          <t>Septiembre</t>
        </is>
      </c>
      <c r="C859" t="inlineStr">
        <is>
          <t>TRANSPORTE · Uber</t>
        </is>
      </c>
      <c r="D859" t="n">
        <v>7155</v>
      </c>
      <c r="E859" t="inlineStr">
        <is>
          <t>Mercado Pago</t>
        </is>
      </c>
      <c r="F859" t="inlineStr">
        <is>
          <t>TRANSPORTE · Uber · Ebanx (=Uber) · gasto personal Sol · dinero en cuenta MP screenshot</t>
        </is>
      </c>
    </row>
    <row r="860">
      <c r="A860" s="52" t="n">
        <v>46275</v>
      </c>
      <c r="B860" t="inlineStr">
        <is>
          <t>Septiembre</t>
        </is>
      </c>
      <c r="C860" t="inlineStr">
        <is>
          <t>TRANSPORTE · Uber</t>
        </is>
      </c>
      <c r="D860" t="n">
        <v>81</v>
      </c>
      <c r="E860" t="inlineStr">
        <is>
          <t>Mercado Pago</t>
        </is>
      </c>
      <c r="F860" t="inlineStr">
        <is>
          <t>TRANSPORTE · Uber · Ebanx (=Uber) · gasto personal Sol · dinero en cuenta MP screenshot</t>
        </is>
      </c>
    </row>
    <row r="861">
      <c r="A861" s="52" t="n">
        <v>46275</v>
      </c>
      <c r="B861" t="inlineStr">
        <is>
          <t>Septiembre</t>
        </is>
      </c>
      <c r="C861" t="inlineStr">
        <is>
          <t>MOVIDO → Almacén</t>
        </is>
      </c>
      <c r="F861" t="inlineStr">
        <is>
          <t>SUPERSEDE · DR BARF / Gibiana Cova → Almacen Detalle · RAMON · Comida (no GPS)</t>
        </is>
      </c>
    </row>
    <row r="862">
      <c r="A862" s="52" t="n">
        <v>46275</v>
      </c>
      <c r="B862" t="inlineStr">
        <is>
          <t>Septiembre</t>
        </is>
      </c>
      <c r="C862" t="inlineStr">
        <is>
          <t>COMPRAS</t>
        </is>
      </c>
      <c r="D862" t="n">
        <v>163350</v>
      </c>
      <c r="E862" t="inlineStr">
        <is>
          <t>Mercado Pago</t>
        </is>
      </c>
      <c r="F862" t="inlineStr">
        <is>
          <t>COMPRAS · ZILVER SA · gasto personal Sol · REVISAR ítem · dinero en cuenta MP screenshot</t>
        </is>
      </c>
    </row>
    <row r="863">
      <c r="A863" s="52" t="n">
        <v>46276</v>
      </c>
      <c r="B863" t="inlineStr">
        <is>
          <t>Septiembre</t>
        </is>
      </c>
      <c r="C863" t="inlineStr">
        <is>
          <t>SUSCRIPCIONES · Apple</t>
        </is>
      </c>
      <c r="D863" t="n">
        <v>29331</v>
      </c>
      <c r="E863" t="inlineStr">
        <is>
          <t>Mercado Pago</t>
        </is>
      </c>
      <c r="F863" t="inlineStr">
        <is>
          <t>SUSCRIPCIONES · Apple · Mercado Pago · gasto personal Sol · dinero en cuenta MP screenshot</t>
        </is>
      </c>
    </row>
    <row r="864">
      <c r="A864" s="52" t="n">
        <v>46276</v>
      </c>
      <c r="B864" t="inlineStr">
        <is>
          <t>Septiembre</t>
        </is>
      </c>
      <c r="C864" t="inlineStr">
        <is>
          <t>TRANSPORTE · Didi</t>
        </is>
      </c>
      <c r="D864" t="n">
        <v>5800</v>
      </c>
      <c r="E864" t="inlineStr">
        <is>
          <t>Mercado Pago</t>
        </is>
      </c>
      <c r="F864" t="inlineStr">
        <is>
          <t>TRANSPORTE · Didi · gasto personal Sol · dinero en cuenta MP screenshot</t>
        </is>
      </c>
    </row>
    <row r="865">
      <c r="A865" s="52" t="n">
        <v>46276</v>
      </c>
      <c r="B865" t="inlineStr">
        <is>
          <t>Septiembre</t>
        </is>
      </c>
      <c r="C865" t="inlineStr">
        <is>
          <t>TRANSPORTE · Didi</t>
        </is>
      </c>
      <c r="D865" t="n">
        <v>4500</v>
      </c>
      <c r="E865" t="inlineStr">
        <is>
          <t>Mercado Pago</t>
        </is>
      </c>
      <c r="F865" t="inlineStr">
        <is>
          <t>TRANSPORTE · Didi · gasto personal Sol · dinero en cuenta MP screenshot</t>
        </is>
      </c>
    </row>
    <row r="866">
      <c r="A866" s="52" t="n">
        <v>46276</v>
      </c>
      <c r="B866" t="inlineStr">
        <is>
          <t>Septiembre</t>
        </is>
      </c>
      <c r="C866" t="inlineStr">
        <is>
          <t>TRANSPORTE · Uber</t>
        </is>
      </c>
      <c r="D866" t="n">
        <v>7758</v>
      </c>
      <c r="E866" t="inlineStr">
        <is>
          <t>Mercado Pago</t>
        </is>
      </c>
      <c r="F866" t="inlineStr">
        <is>
          <t>TRANSPORTE · Uber · Ebanx (=Uber) · gasto personal Sol · dinero en cuenta MP screenshot</t>
        </is>
      </c>
    </row>
    <row r="867">
      <c r="A867" s="52" t="n">
        <v>46276</v>
      </c>
      <c r="B867" t="inlineStr">
        <is>
          <t>Septiembre</t>
        </is>
      </c>
      <c r="C867" t="inlineStr">
        <is>
          <t>TRANSFERENCIAS</t>
        </is>
      </c>
      <c r="D867" t="n">
        <v>185288</v>
      </c>
      <c r="E867" t="inlineStr">
        <is>
          <t>Mercado Pago</t>
        </is>
      </c>
      <c r="F867" t="inlineStr">
        <is>
          <t>Sanbras oficial · Transferencia enviada · gasto personal Sol · dinero en cuenta MP screenshot</t>
        </is>
      </c>
    </row>
    <row r="868">
      <c r="A868" s="52" t="n">
        <v>46276</v>
      </c>
      <c r="B868" t="inlineStr">
        <is>
          <t>Septiembre</t>
        </is>
      </c>
      <c r="C868" t="inlineStr">
        <is>
          <t>TRANSFERENCIAS</t>
        </is>
      </c>
      <c r="D868" t="n">
        <v>135000</v>
      </c>
      <c r="E868" t="inlineStr">
        <is>
          <t>Mercado Pago</t>
        </is>
      </c>
      <c r="F868" t="inlineStr">
        <is>
          <t>Paula Carolina Fasanella · Transferencia enviada · gasto personal Sol · dinero en cuenta MP screenshot</t>
        </is>
      </c>
    </row>
    <row r="869">
      <c r="A869" s="52" t="n">
        <v>46277</v>
      </c>
      <c r="B869" t="inlineStr">
        <is>
          <t>Septiembre</t>
        </is>
      </c>
      <c r="C869" t="inlineStr">
        <is>
          <t>SUSCRIPCIONES · Apple</t>
        </is>
      </c>
      <c r="D869" t="n">
        <v>19749</v>
      </c>
      <c r="E869" t="inlineStr">
        <is>
          <t>Mercado Pago</t>
        </is>
      </c>
      <c r="F869" t="inlineStr">
        <is>
          <t>SUSCRIPCIONES · Apple · Mercado Pago · gasto personal Sol · dinero en cuenta MP screenshot</t>
        </is>
      </c>
    </row>
    <row r="870">
      <c r="A870" s="52" t="n">
        <v>46277</v>
      </c>
      <c r="B870" t="inlineStr">
        <is>
          <t>Septiembre</t>
        </is>
      </c>
      <c r="C870" t="inlineStr">
        <is>
          <t>TRANSFERENCIAS</t>
        </is>
      </c>
      <c r="D870" t="n">
        <v>140000</v>
      </c>
      <c r="E870" t="inlineStr">
        <is>
          <t>Mercado Pago</t>
        </is>
      </c>
      <c r="F870" t="inlineStr">
        <is>
          <t>Eva Graciela Zarate Valdovino · Transferencia enviada · gasto personal Sol · dinero en cuenta MP screenshot</t>
        </is>
      </c>
    </row>
    <row r="871">
      <c r="A871" s="52" t="n">
        <v>46278</v>
      </c>
      <c r="B871" t="inlineStr">
        <is>
          <t>Septiembre</t>
        </is>
      </c>
      <c r="C871" t="inlineStr">
        <is>
          <t>COMPRAS</t>
        </is>
      </c>
      <c r="D871" t="n">
        <v>176509</v>
      </c>
      <c r="E871" t="inlineStr">
        <is>
          <t>Mercado Pago</t>
        </is>
      </c>
      <c r="F871" t="inlineStr">
        <is>
          <t>COMPRAS · El Bazar Digital · gasto personal Sol · REVISAR ítem · dinero en cuenta MP screenshot</t>
        </is>
      </c>
    </row>
    <row r="872">
      <c r="A872" s="52" t="n">
        <v>46278</v>
      </c>
      <c r="B872" t="inlineStr">
        <is>
          <t>Septiembre</t>
        </is>
      </c>
      <c r="C872" t="inlineStr">
        <is>
          <t>PELUQUERÍA</t>
        </is>
      </c>
      <c r="D872" t="n">
        <v>12720</v>
      </c>
      <c r="E872" t="inlineStr">
        <is>
          <t>Mercado Pago</t>
        </is>
      </c>
      <c r="F872" t="inlineStr">
        <is>
          <t>PELUQUERÍA · Megapeluquerías CABA · gasto personal Sol · dinero en cuenta MP screenshot</t>
        </is>
      </c>
    </row>
    <row r="873">
      <c r="A873" s="52" t="n">
        <v>46278</v>
      </c>
      <c r="B873" t="inlineStr">
        <is>
          <t>Septiembre</t>
        </is>
      </c>
      <c r="C873" t="inlineStr">
        <is>
          <t>COMPRAS</t>
        </is>
      </c>
      <c r="D873" t="n">
        <v>71250</v>
      </c>
      <c r="E873" t="inlineStr">
        <is>
          <t>Mercado Pago</t>
        </is>
      </c>
      <c r="F873" t="inlineStr">
        <is>
          <t>Pago · Pago · gasto personal Sol · REVISAR ítem · dinero en cuenta MP screenshot</t>
        </is>
      </c>
    </row>
    <row r="874">
      <c r="A874" s="52" t="n">
        <v>46278</v>
      </c>
      <c r="B874" t="inlineStr">
        <is>
          <t>Septiembre</t>
        </is>
      </c>
      <c r="C874" t="inlineStr">
        <is>
          <t>COMPRAS</t>
        </is>
      </c>
      <c r="D874" t="n">
        <v>76742</v>
      </c>
      <c r="E874" t="inlineStr">
        <is>
          <t>Mercado Pago</t>
        </is>
      </c>
      <c r="F874" t="inlineStr">
        <is>
          <t>Pago · Pago · gasto personal Sol · REVISAR ítem · dinero en cuenta MP screenshot</t>
        </is>
      </c>
    </row>
    <row r="875">
      <c r="A875" s="52" t="n">
        <v>46279</v>
      </c>
      <c r="B875" t="inlineStr">
        <is>
          <t>Septiembre</t>
        </is>
      </c>
      <c r="C875" t="inlineStr">
        <is>
          <t>TRANSFERENCIAS</t>
        </is>
      </c>
      <c r="D875" t="n">
        <v>85000</v>
      </c>
      <c r="E875" t="inlineStr">
        <is>
          <t>Mercado Pago</t>
        </is>
      </c>
      <c r="F875" t="inlineStr">
        <is>
          <t>Maria Celeste Gonzalez · Transferencia enviada · gasto personal Sol · dinero en cuenta MP screenshot</t>
        </is>
      </c>
    </row>
    <row r="876">
      <c r="A876" s="52" t="n">
        <v>46279</v>
      </c>
      <c r="B876" t="inlineStr">
        <is>
          <t>Septiembre</t>
        </is>
      </c>
      <c r="C876" t="inlineStr">
        <is>
          <t>TRANSFERENCIAS</t>
        </is>
      </c>
      <c r="D876" t="n">
        <v>1000</v>
      </c>
      <c r="E876" t="inlineStr">
        <is>
          <t>Mercado Pago</t>
        </is>
      </c>
      <c r="F876" t="inlineStr">
        <is>
          <t>Mariano Morales · Transferencia enviada · gasto personal Sol · dinero en cuenta MP screenshot</t>
        </is>
      </c>
    </row>
    <row r="877">
      <c r="A877" s="52" t="n">
        <v>46280</v>
      </c>
      <c r="B877" t="inlineStr">
        <is>
          <t>Septiembre</t>
        </is>
      </c>
      <c r="C877" t="inlineStr">
        <is>
          <t>TRANSPORTE · Uber</t>
        </is>
      </c>
      <c r="D877" t="n">
        <v>4980</v>
      </c>
      <c r="E877" t="inlineStr">
        <is>
          <t>Mercado Pago</t>
        </is>
      </c>
      <c r="F877" t="inlineStr">
        <is>
          <t>TRANSPORTE · Uber · Ebanx (=Uber) · gasto personal Sol · dinero en cuenta MP screenshot</t>
        </is>
      </c>
    </row>
    <row r="878">
      <c r="A878" s="52" t="n">
        <v>46280</v>
      </c>
      <c r="B878" t="inlineStr">
        <is>
          <t>Septiembre</t>
        </is>
      </c>
      <c r="C878" t="inlineStr">
        <is>
          <t>COMPRAS</t>
        </is>
      </c>
      <c r="D878" t="n">
        <v>40900</v>
      </c>
      <c r="E878" t="inlineStr">
        <is>
          <t>Mercado Pago</t>
        </is>
      </c>
      <c r="F878" t="inlineStr">
        <is>
          <t>COMPRAS · Happy buy · gasto personal Sol · REVISAR ítem · dinero en cuenta MP screenshot</t>
        </is>
      </c>
    </row>
    <row r="879">
      <c r="A879" s="52" t="n">
        <v>46280</v>
      </c>
      <c r="B879" t="inlineStr">
        <is>
          <t>Septiembre</t>
        </is>
      </c>
      <c r="C879" t="inlineStr">
        <is>
          <t>TRANSPORTE · Didi</t>
        </is>
      </c>
      <c r="D879" t="n">
        <v>5500</v>
      </c>
      <c r="E879" t="inlineStr">
        <is>
          <t>Mercado Pago</t>
        </is>
      </c>
      <c r="F879" t="inlineStr">
        <is>
          <t>TRANSPORTE · Didi · gasto personal Sol · dinero en cuenta MP screenshot</t>
        </is>
      </c>
    </row>
    <row r="880">
      <c r="A880" s="52" t="n">
        <v>46280</v>
      </c>
      <c r="B880" t="inlineStr">
        <is>
          <t>Septiembre</t>
        </is>
      </c>
      <c r="C880" t="inlineStr">
        <is>
          <t>IMPUESTOS · Epagos</t>
        </is>
      </c>
      <c r="D880" t="n">
        <v>10150</v>
      </c>
      <c r="E880" t="inlineStr">
        <is>
          <t>Mercado Pago</t>
        </is>
      </c>
      <c r="F880" t="inlineStr">
        <is>
          <t>IMPUESTOS · Epagos · gasto personal Sol · dinero en cuenta MP screenshot</t>
        </is>
      </c>
    </row>
    <row r="881">
      <c r="A881" s="52" t="n">
        <v>46280</v>
      </c>
      <c r="B881" t="inlineStr">
        <is>
          <t>Septiembre</t>
        </is>
      </c>
      <c r="C881" t="inlineStr">
        <is>
          <t>TRANSFERENCIAS</t>
        </is>
      </c>
      <c r="D881" t="n">
        <v>4000</v>
      </c>
      <c r="E881" t="inlineStr">
        <is>
          <t>Mercado Pago</t>
        </is>
      </c>
      <c r="F881" t="inlineStr">
        <is>
          <t>Gaston Osvaldo Roca · Transferencia enviada · gasto personal Sol · dinero en cuenta MP screenshot</t>
        </is>
      </c>
    </row>
    <row r="882">
      <c r="A882" s="52" t="n">
        <v>46282</v>
      </c>
      <c r="B882" t="inlineStr">
        <is>
          <t>Septiembre</t>
        </is>
      </c>
      <c r="C882" t="inlineStr">
        <is>
          <t>TRANSPORTE · Uber</t>
        </is>
      </c>
      <c r="D882" t="n">
        <v>7257</v>
      </c>
      <c r="E882" t="inlineStr">
        <is>
          <t>Mercado Pago</t>
        </is>
      </c>
      <c r="F882" t="inlineStr">
        <is>
          <t>TRANSPORTE · Uber · Ebanx (=Uber) · gasto personal Sol · dinero en cuenta MP screenshot</t>
        </is>
      </c>
    </row>
    <row r="883">
      <c r="A883" s="52" t="n">
        <v>46282</v>
      </c>
      <c r="B883" t="inlineStr">
        <is>
          <t>Septiembre</t>
        </is>
      </c>
      <c r="C883" t="inlineStr">
        <is>
          <t>TRANSPORTE · Didi</t>
        </is>
      </c>
      <c r="D883" t="n">
        <v>6200</v>
      </c>
      <c r="E883" t="inlineStr">
        <is>
          <t>Mercado Pago</t>
        </is>
      </c>
      <c r="F883" t="inlineStr">
        <is>
          <t>TRANSPORTE · Didi · gasto personal Sol · dinero en cuenta MP screenshot</t>
        </is>
      </c>
    </row>
    <row r="884">
      <c r="A884" s="52" t="n"/>
    </row>
    <row r="885">
      <c r="A885" s="52" t="n">
        <v>46283</v>
      </c>
      <c r="B885" t="inlineStr">
        <is>
          <t>Septiembre</t>
        </is>
      </c>
      <c r="C885" t="inlineStr">
        <is>
          <t>TRANSPORTE · Didi</t>
        </is>
      </c>
      <c r="D885" t="n">
        <v>4900</v>
      </c>
      <c r="E885" t="inlineStr">
        <is>
          <t>Mercado Pago</t>
        </is>
      </c>
      <c r="F885" t="inlineStr">
        <is>
          <t>TRANSPORTE · Didi · gasto personal Sol · dinero en cuenta MP screenshot</t>
        </is>
      </c>
    </row>
    <row r="886">
      <c r="A886" s="52" t="n">
        <v>46283</v>
      </c>
      <c r="B886" t="inlineStr">
        <is>
          <t>Septiembre</t>
        </is>
      </c>
      <c r="C886" t="inlineStr">
        <is>
          <t>TRANSPORTE · Uber</t>
        </is>
      </c>
      <c r="D886" t="n">
        <v>6478</v>
      </c>
      <c r="E886" t="inlineStr">
        <is>
          <t>Mercado Pago</t>
        </is>
      </c>
      <c r="F886" t="inlineStr">
        <is>
          <t>TRANSPORTE · Uber · Ebanx (=Uber) · gasto personal Sol · dinero en cuenta MP screenshot</t>
        </is>
      </c>
    </row>
    <row r="887">
      <c r="A887" s="52" t="n">
        <v>46284</v>
      </c>
      <c r="B887" t="inlineStr">
        <is>
          <t>Septiembre</t>
        </is>
      </c>
      <c r="C887" t="inlineStr">
        <is>
          <t>TRANSPORTE · SUBE</t>
        </is>
      </c>
      <c r="D887" t="n">
        <v>862</v>
      </c>
      <c r="E887" t="inlineStr">
        <is>
          <t>Mercado Pago</t>
        </is>
      </c>
      <c r="F887" t="inlineStr">
        <is>
          <t>TRANSPORTE · SUBE · gasto personal Sol · dinero en cuenta MP screenshot</t>
        </is>
      </c>
    </row>
    <row r="888">
      <c r="A888" s="52" t="n">
        <v>46287</v>
      </c>
      <c r="B888" t="inlineStr">
        <is>
          <t>Septiembre</t>
        </is>
      </c>
      <c r="C888" t="inlineStr">
        <is>
          <t>TRANSPORTE · Uber</t>
        </is>
      </c>
      <c r="D888" t="n">
        <v>5393</v>
      </c>
      <c r="E888" t="inlineStr">
        <is>
          <t>Mercado Pago</t>
        </is>
      </c>
      <c r="F888" t="inlineStr">
        <is>
          <t>TRANSPORTE · Uber · Ebanx (=Uber) · gasto personal Sol · dinero en cuenta MP screenshot</t>
        </is>
      </c>
    </row>
    <row r="889">
      <c r="A889" s="52" t="n">
        <v>46287</v>
      </c>
      <c r="B889" t="inlineStr">
        <is>
          <t>Septiembre</t>
        </is>
      </c>
      <c r="C889" t="inlineStr">
        <is>
          <t>TRANSPORTE · Didi</t>
        </is>
      </c>
      <c r="D889" t="n">
        <v>3300</v>
      </c>
      <c r="E889" t="inlineStr">
        <is>
          <t>Mercado Pago</t>
        </is>
      </c>
      <c r="F889" t="inlineStr">
        <is>
          <t>TRANSPORTE · Didi · gasto personal Sol · dinero en cuenta MP screenshot</t>
        </is>
      </c>
    </row>
    <row r="890">
      <c r="A890" s="52" t="n">
        <v>46288</v>
      </c>
      <c r="B890" t="inlineStr">
        <is>
          <t>Septiembre</t>
        </is>
      </c>
      <c r="C890" t="inlineStr">
        <is>
          <t>COMPRAS</t>
        </is>
      </c>
      <c r="D890" t="n">
        <v>63514</v>
      </c>
      <c r="E890" t="inlineStr">
        <is>
          <t>Mercado Pago</t>
        </is>
      </c>
      <c r="F890" t="inlineStr">
        <is>
          <t>Randy Kopeles · Pago · gasto personal Sol · dinero en cuenta MP screenshot</t>
        </is>
      </c>
    </row>
    <row r="891">
      <c r="A891" s="52" t="n">
        <v>46288</v>
      </c>
      <c r="B891" t="inlineStr">
        <is>
          <t>Septiembre</t>
        </is>
      </c>
      <c r="C891" t="inlineStr">
        <is>
          <t>TRANSPORTE · Uber</t>
        </is>
      </c>
      <c r="D891" t="n">
        <v>7016</v>
      </c>
      <c r="E891" t="inlineStr">
        <is>
          <t>Mercado Pago</t>
        </is>
      </c>
      <c r="F891" t="inlineStr">
        <is>
          <t>TRANSPORTE · Uber · Ebanx (=Uber) · gasto personal Sol · dinero en cuenta MP screenshot</t>
        </is>
      </c>
    </row>
    <row r="892">
      <c r="A892" s="52" t="n">
        <v>46288</v>
      </c>
      <c r="B892" t="inlineStr">
        <is>
          <t>Septiembre</t>
        </is>
      </c>
      <c r="C892" t="inlineStr">
        <is>
          <t>TRANSPORTE · Uber</t>
        </is>
      </c>
      <c r="D892" t="n">
        <v>153</v>
      </c>
      <c r="E892" t="inlineStr">
        <is>
          <t>Mercado Pago</t>
        </is>
      </c>
      <c r="F892" t="inlineStr">
        <is>
          <t>TRANSPORTE · Uber · Ebanx (=Uber) · gasto personal Sol · dinero en cuenta MP screenshot</t>
        </is>
      </c>
    </row>
    <row r="893">
      <c r="A893" s="52" t="n">
        <v>46288</v>
      </c>
      <c r="B893" t="inlineStr">
        <is>
          <t>Septiembre</t>
        </is>
      </c>
      <c r="C893" t="inlineStr">
        <is>
          <t>SALUD</t>
        </is>
      </c>
      <c r="D893" t="n">
        <v>50000</v>
      </c>
      <c r="E893" t="inlineStr">
        <is>
          <t>Mercado Pago</t>
        </is>
      </c>
      <c r="F893" t="inlineStr">
        <is>
          <t>SALUD · Clinicas Altamirao · gasto personal Sol · dinero en cuenta MP screenshot</t>
        </is>
      </c>
    </row>
    <row r="894">
      <c r="A894" s="52" t="n">
        <v>46288</v>
      </c>
      <c r="B894" t="inlineStr">
        <is>
          <t>Septiembre</t>
        </is>
      </c>
      <c r="C894" t="inlineStr">
        <is>
          <t>TRANSPORTE · Didi</t>
        </is>
      </c>
      <c r="D894" t="n">
        <v>3200</v>
      </c>
      <c r="E894" t="inlineStr">
        <is>
          <t>Mercado Pago</t>
        </is>
      </c>
      <c r="F894" t="inlineStr">
        <is>
          <t>TRANSPORTE · Didi · gasto personal Sol · dinero en cuenta MP screenshot</t>
        </is>
      </c>
    </row>
    <row r="895">
      <c r="A895" s="52" t="n">
        <v>46288</v>
      </c>
      <c r="B895" t="inlineStr">
        <is>
          <t>Septiembre</t>
        </is>
      </c>
      <c r="C895" t="inlineStr">
        <is>
          <t>COMPRAS</t>
        </is>
      </c>
      <c r="D895" t="n">
        <v>72999</v>
      </c>
      <c r="E895" t="inlineStr">
        <is>
          <t>Mercado Pago</t>
        </is>
      </c>
      <c r="F895" t="inlineStr">
        <is>
          <t>Tatiana Aylén Gonzalez · Pago · gasto personal Sol · dinero en cuenta MP screenshot</t>
        </is>
      </c>
    </row>
    <row r="896">
      <c r="A896" s="52" t="n">
        <v>46290</v>
      </c>
      <c r="B896" t="inlineStr">
        <is>
          <t>Septiembre</t>
        </is>
      </c>
      <c r="C896" t="inlineStr">
        <is>
          <t>TRANSPORTE · Didi</t>
        </is>
      </c>
      <c r="D896" t="n">
        <v>4800</v>
      </c>
      <c r="E896" t="inlineStr">
        <is>
          <t>Mercado Pago</t>
        </is>
      </c>
      <c r="F896" t="inlineStr">
        <is>
          <t>TRANSPORTE · Didi · gasto personal Sol · dinero en cuenta MP screenshot</t>
        </is>
      </c>
    </row>
    <row r="897">
      <c r="A897" s="52" t="n">
        <v>46290</v>
      </c>
      <c r="B897" t="inlineStr">
        <is>
          <t>Septiembre</t>
        </is>
      </c>
      <c r="C897" t="inlineStr">
        <is>
          <t>TRANSPORTE · Didi</t>
        </is>
      </c>
      <c r="D897" t="n">
        <v>6800</v>
      </c>
      <c r="E897" t="inlineStr">
        <is>
          <t>Mercado Pago</t>
        </is>
      </c>
      <c r="F897" t="inlineStr">
        <is>
          <t>TRANSPORTE · Didi · gasto personal Sol · dinero en cuenta MP screenshot</t>
        </is>
      </c>
    </row>
    <row r="898">
      <c r="A898" s="52" t="n">
        <v>46292</v>
      </c>
      <c r="B898" t="inlineStr">
        <is>
          <t>Septiembre</t>
        </is>
      </c>
      <c r="C898" t="inlineStr">
        <is>
          <t>ENVÍOS</t>
        </is>
      </c>
      <c r="D898" t="n">
        <v>13288</v>
      </c>
      <c r="E898" t="inlineStr">
        <is>
          <t>Mercado Pago</t>
        </is>
      </c>
      <c r="F898" t="inlineStr">
        <is>
          <t>ENVÍOS · DHL Express · gasto personal Sol · dinero en cuenta MP screenshot</t>
        </is>
      </c>
    </row>
    <row r="899">
      <c r="A899" s="52" t="n">
        <v>46277</v>
      </c>
      <c r="B899" t="inlineStr">
        <is>
          <t>Septiembre</t>
        </is>
      </c>
      <c r="C899" t="inlineStr">
        <is>
          <t>ROPA</t>
        </is>
      </c>
      <c r="D899" t="n">
        <v>41715</v>
      </c>
      <c r="E899" t="inlineStr">
        <is>
          <t>TC Mercado Pago</t>
        </is>
      </c>
      <c r="F899" t="inlineStr">
        <is>
          <t>ROPA · Loccitane · TC Mercado Pago · C.6/6 · compra 2026-03-20 · cierre 2026-09-12</t>
        </is>
      </c>
    </row>
    <row r="900">
      <c r="A900" s="52" t="n">
        <v>46277</v>
      </c>
      <c r="B900" t="inlineStr">
        <is>
          <t>Septiembre</t>
        </is>
      </c>
      <c r="C900" t="inlineStr">
        <is>
          <t>ROPA</t>
        </is>
      </c>
      <c r="D900" t="n">
        <v>23000</v>
      </c>
      <c r="E900" t="inlineStr">
        <is>
          <t>TC Mercado Pago</t>
        </is>
      </c>
      <c r="F900" t="inlineStr">
        <is>
          <t>ROPA · Adidas · TC Mercado Pago · C.6/6 · compra 2026-03-23 · cierre 2026-09-12</t>
        </is>
      </c>
    </row>
    <row r="901">
      <c r="A901" s="52" t="n">
        <v>46277</v>
      </c>
      <c r="B901" t="inlineStr">
        <is>
          <t>Septiembre</t>
        </is>
      </c>
      <c r="C901" t="inlineStr">
        <is>
          <t>ROPA</t>
        </is>
      </c>
      <c r="D901" t="n">
        <v>67112</v>
      </c>
      <c r="E901" t="inlineStr">
        <is>
          <t>TC Mercado Pago</t>
        </is>
      </c>
      <c r="F901" t="inlineStr">
        <is>
          <t>ROPA · Awada · TC Mercado Pago · C.6/9 · compra 2026-03-23 · cierre 2026-09-12</t>
        </is>
      </c>
    </row>
    <row r="902">
      <c r="A902" s="52" t="n">
        <v>46277</v>
      </c>
      <c r="B902" t="inlineStr">
        <is>
          <t>Septiembre</t>
        </is>
      </c>
      <c r="C902" t="inlineStr">
        <is>
          <t>ROPA</t>
        </is>
      </c>
      <c r="D902" t="n">
        <v>41345</v>
      </c>
      <c r="E902" t="inlineStr">
        <is>
          <t>TC Mercado Pago</t>
        </is>
      </c>
      <c r="F902" t="inlineStr">
        <is>
          <t>ROPA · Laparfumerie · TC Mercado Pago · C.6/6 · compra 2026-03-30 · cierre 2026-09-12</t>
        </is>
      </c>
    </row>
    <row r="903">
      <c r="A903" s="52" t="n">
        <v>46277</v>
      </c>
      <c r="B903" t="inlineStr">
        <is>
          <t>Septiembre</t>
        </is>
      </c>
      <c r="C903" t="inlineStr">
        <is>
          <t>SALUD · Vitaminas</t>
        </is>
      </c>
      <c r="D903" t="n">
        <v>87900</v>
      </c>
      <c r="E903" t="inlineStr">
        <is>
          <t>TC Mercado Pago</t>
        </is>
      </c>
      <c r="F903" t="inlineStr">
        <is>
          <t>SALUD · Vitaminas · Promarine · TC Mercado Pago · C.6/6 · compra 2026-04-04 · cierre 2026-09-12</t>
        </is>
      </c>
    </row>
    <row r="904">
      <c r="A904" s="52" t="n">
        <v>46277</v>
      </c>
      <c r="B904" t="inlineStr">
        <is>
          <t>Septiembre</t>
        </is>
      </c>
      <c r="C904" t="inlineStr">
        <is>
          <t>SALUD</t>
        </is>
      </c>
      <c r="D904" t="n">
        <v>55707</v>
      </c>
      <c r="E904" t="inlineStr">
        <is>
          <t>TC Mercado Pago</t>
        </is>
      </c>
      <c r="F904" t="inlineStr">
        <is>
          <t>SALUD · Laboratorio · TC Mercado Pago · C.3/9 · compra 2026-06-23 · cierre 2026-09-12</t>
        </is>
      </c>
    </row>
    <row r="905">
      <c r="A905" s="52" t="n">
        <v>46277</v>
      </c>
      <c r="B905" t="inlineStr">
        <is>
          <t>Septiembre</t>
        </is>
      </c>
      <c r="C905" t="inlineStr">
        <is>
          <t>SALUD</t>
        </is>
      </c>
      <c r="D905" t="n">
        <v>58334</v>
      </c>
      <c r="E905" t="inlineStr">
        <is>
          <t>TC Mercado Pago</t>
        </is>
      </c>
      <c r="F905" t="inlineStr">
        <is>
          <t>SALUD · Biodepot · TC Mercado Pago · C.3/3 · compra 2026-06-25 · cierre 2026-09-12</t>
        </is>
      </c>
    </row>
    <row r="906">
      <c r="A906" s="52" t="n">
        <v>46277</v>
      </c>
      <c r="B906" t="inlineStr">
        <is>
          <t>Septiembre</t>
        </is>
      </c>
      <c r="C906" t="inlineStr">
        <is>
          <t>ROPA</t>
        </is>
      </c>
      <c r="D906" t="n">
        <v>297891</v>
      </c>
      <c r="E906" t="inlineStr">
        <is>
          <t>TC Mercado Pago</t>
        </is>
      </c>
      <c r="F906" t="inlineStr">
        <is>
          <t>ROPA · Pandora · TC Mercado Pago · C.3/6 · compra 2026-07-09 · cierre 2026-09-12</t>
        </is>
      </c>
    </row>
    <row r="907">
      <c r="A907" s="52" t="n">
        <v>46277</v>
      </c>
      <c r="B907" t="inlineStr">
        <is>
          <t>Septiembre</t>
        </is>
      </c>
      <c r="C907" t="inlineStr">
        <is>
          <t>COMPRAS</t>
        </is>
      </c>
      <c r="D907" t="n">
        <v>31450</v>
      </c>
      <c r="E907" t="inlineStr">
        <is>
          <t>TC Mercado Pago</t>
        </is>
      </c>
      <c r="F907" t="inlineStr">
        <is>
          <t>COMPRAS · PPNL · TC Mercado Pago · C.2/2 · REVISAR ítem · compra 2026-07-16 · cierre 2026-09-12</t>
        </is>
      </c>
    </row>
    <row r="908">
      <c r="A908" s="52" t="n">
        <v>46277</v>
      </c>
      <c r="B908" t="inlineStr">
        <is>
          <t>Septiembre</t>
        </is>
      </c>
      <c r="C908" t="inlineStr">
        <is>
          <t>COMPRAS</t>
        </is>
      </c>
      <c r="D908" t="n">
        <v>126325</v>
      </c>
      <c r="E908" t="inlineStr">
        <is>
          <t>TC Mercado Pago</t>
        </is>
      </c>
      <c r="F908" t="inlineStr">
        <is>
          <t>COMPRAS · LG Distribuidor · TC Mercado Pago · C.2/3 · REVISAR ítem · compra 2026-07-29 · cierre 2026-09-12</t>
        </is>
      </c>
    </row>
    <row r="909">
      <c r="A909" s="52" t="n">
        <v>46277</v>
      </c>
      <c r="B909" t="inlineStr">
        <is>
          <t>Septiembre</t>
        </is>
      </c>
      <c r="C909" t="inlineStr">
        <is>
          <t>REGALOS</t>
        </is>
      </c>
      <c r="D909" t="n">
        <v>33500</v>
      </c>
      <c r="E909" t="inlineStr">
        <is>
          <t>TC Mercado Pago</t>
        </is>
      </c>
      <c r="F909" t="inlineStr">
        <is>
          <t>REGALOS · Regalos Dalila · TC Mercado Pago · C.2/2 · compra 2026-07-31 · cierre 2026-09-12</t>
        </is>
      </c>
    </row>
    <row r="910">
      <c r="A910" s="52" t="n">
        <v>46277</v>
      </c>
      <c r="B910" t="inlineStr">
        <is>
          <t>Septiembre</t>
        </is>
      </c>
      <c r="C910" t="inlineStr">
        <is>
          <t>REGALOS</t>
        </is>
      </c>
      <c r="D910" t="n">
        <v>546850</v>
      </c>
      <c r="E910" t="inlineStr">
        <is>
          <t>TC Mercado Pago</t>
        </is>
      </c>
      <c r="F910" t="inlineStr">
        <is>
          <t>REGALOS · Regalos Dalila · TC Mercado Pago · C.2/2 · compra 2026-07-31 · cierre 2026-09-12</t>
        </is>
      </c>
    </row>
    <row r="911">
      <c r="A911" s="52" t="n">
        <v>46277</v>
      </c>
      <c r="B911" t="inlineStr">
        <is>
          <t>Septiembre</t>
        </is>
      </c>
      <c r="C911" t="inlineStr">
        <is>
          <t>REGALOS</t>
        </is>
      </c>
      <c r="D911" t="n">
        <v>62500</v>
      </c>
      <c r="E911" t="inlineStr">
        <is>
          <t>TC Mercado Pago</t>
        </is>
      </c>
      <c r="F911" t="inlineStr">
        <is>
          <t>REGALOS · Regalos Dalila · TC Mercado Pago · C.2/2 · compra 2026-07-31 · cierre 2026-09-12</t>
        </is>
      </c>
    </row>
    <row r="912">
      <c r="A912" s="52" t="n">
        <v>46277</v>
      </c>
      <c r="B912" t="inlineStr">
        <is>
          <t>Septiembre</t>
        </is>
      </c>
      <c r="C912" t="inlineStr">
        <is>
          <t>COMPRAS</t>
        </is>
      </c>
      <c r="D912" t="n">
        <v>58430</v>
      </c>
      <c r="E912" t="inlineStr">
        <is>
          <t>TC Mercado Pago</t>
        </is>
      </c>
      <c r="F912" t="inlineStr">
        <is>
          <t>COMPRAS · Central Store · TC Mercado Pago · C.2/6 · compra 2026-08-01 · cierre 2026-09-12</t>
        </is>
      </c>
    </row>
    <row r="913">
      <c r="A913" s="52" t="n">
        <v>46277</v>
      </c>
      <c r="B913" t="inlineStr">
        <is>
          <t>Septiembre</t>
        </is>
      </c>
      <c r="C913" t="inlineStr">
        <is>
          <t>ROPA</t>
        </is>
      </c>
      <c r="D913" t="n">
        <v>82742</v>
      </c>
      <c r="E913" t="inlineStr">
        <is>
          <t>TC Mercado Pago</t>
        </is>
      </c>
      <c r="F913" t="inlineStr">
        <is>
          <t>ROPA · Monofuk · TC Mercado Pago · C.2/12 · compra 2026-08-04 · cierre 2026-09-12</t>
        </is>
      </c>
    </row>
    <row r="914">
      <c r="A914" s="52" t="n">
        <v>46277</v>
      </c>
      <c r="B914" t="inlineStr">
        <is>
          <t>Septiembre</t>
        </is>
      </c>
      <c r="C914" t="inlineStr">
        <is>
          <t>COMPRAS</t>
        </is>
      </c>
      <c r="D914" t="n">
        <v>290000</v>
      </c>
      <c r="E914" t="inlineStr">
        <is>
          <t>TC Mercado Pago</t>
        </is>
      </c>
      <c r="F914" t="inlineStr">
        <is>
          <t>COMPRAS · Mac Station · TC Mercado Pago · C.1/2 · compra 2026-08-13 · cierre 2026-09-12</t>
        </is>
      </c>
    </row>
    <row r="915">
      <c r="A915" s="52" t="n">
        <v>46277</v>
      </c>
      <c r="B915" t="inlineStr">
        <is>
          <t>Septiembre</t>
        </is>
      </c>
      <c r="C915" t="inlineStr">
        <is>
          <t>COMPRAS</t>
        </is>
      </c>
      <c r="D915" t="n">
        <v>52624</v>
      </c>
      <c r="E915" t="inlineStr">
        <is>
          <t>TC Mercado Pago</t>
        </is>
      </c>
      <c r="F915" t="inlineStr">
        <is>
          <t>COMPRAS · Mac Station · TC Mercado Pago · C.1/2 · compra 2026-08-13 · cierre 2026-09-12</t>
        </is>
      </c>
    </row>
    <row r="916">
      <c r="A916" s="52" t="n">
        <v>46277</v>
      </c>
      <c r="B916" t="inlineStr">
        <is>
          <t>Septiembre</t>
        </is>
      </c>
      <c r="C916" t="inlineStr">
        <is>
          <t>HOGAR</t>
        </is>
      </c>
      <c r="D916" t="n">
        <v>256862</v>
      </c>
      <c r="E916" t="inlineStr">
        <is>
          <t>TC Mercado Pago</t>
        </is>
      </c>
      <c r="F916" t="inlineStr">
        <is>
          <t>HOGAR · Banchero Sanitarios · TC Mercado Pago · C.1/3 · compra 2026-08-18 · cierre 2026-09-12</t>
        </is>
      </c>
    </row>
    <row r="917">
      <c r="A917" s="52" t="n">
        <v>46277</v>
      </c>
      <c r="B917" t="inlineStr">
        <is>
          <t>Septiembre</t>
        </is>
      </c>
      <c r="C917" t="inlineStr">
        <is>
          <t>VIAJES</t>
        </is>
      </c>
      <c r="D917" t="n">
        <v>1633555</v>
      </c>
      <c r="E917" t="inlineStr">
        <is>
          <t>TC Mercado Pago</t>
        </is>
      </c>
      <c r="F917" t="inlineStr">
        <is>
          <t>VIAJES · Aerolíneas Argentinas · TC Mercado Pago · compra 2026-08-22 · cierre 2026-09-12</t>
        </is>
      </c>
    </row>
    <row r="918">
      <c r="A918" s="52" t="n">
        <v>46277</v>
      </c>
      <c r="B918" t="inlineStr">
        <is>
          <t>Septiembre</t>
        </is>
      </c>
      <c r="C918" t="inlineStr">
        <is>
          <t>MERCADO LIBRE</t>
        </is>
      </c>
      <c r="D918" t="n">
        <v>107500</v>
      </c>
      <c r="E918" t="inlineStr">
        <is>
          <t>TC Mercado Pago</t>
        </is>
      </c>
      <c r="F918" t="inlineStr">
        <is>
          <t>Mercado Libre · TC Mercado Pago · C.1/2 · compra 2026-08-22 · cierre 2026-09-12</t>
        </is>
      </c>
    </row>
    <row r="919">
      <c r="A919" s="52" t="n">
        <v>46277</v>
      </c>
      <c r="B919" t="inlineStr">
        <is>
          <t>Septiembre</t>
        </is>
      </c>
      <c r="C919" t="inlineStr">
        <is>
          <t>COMPRAS</t>
        </is>
      </c>
      <c r="D919" t="n">
        <v>40000</v>
      </c>
      <c r="E919" t="inlineStr">
        <is>
          <t>TC Mercado Pago</t>
        </is>
      </c>
      <c r="F919" t="inlineStr">
        <is>
          <t>COMPRAS · Celugadgets · TC Mercado Pago · compra 2026-08-22 · cierre 2026-09-12</t>
        </is>
      </c>
    </row>
    <row r="920">
      <c r="A920" s="52" t="n">
        <v>46277</v>
      </c>
      <c r="B920" t="inlineStr">
        <is>
          <t>Septiembre</t>
        </is>
      </c>
      <c r="C920" t="inlineStr">
        <is>
          <t>VESTIMENTA</t>
        </is>
      </c>
      <c r="D920" t="n">
        <v>72000</v>
      </c>
      <c r="E920" t="inlineStr">
        <is>
          <t>TC Mercado Pago</t>
        </is>
      </c>
      <c r="F920" t="inlineStr">
        <is>
          <t>VESTIMENTA · Etiqueta Negra · TC Mercado Pago · C.1/6 · compra 2026-08-25 · cierre 2026-09-12</t>
        </is>
      </c>
    </row>
    <row r="921">
      <c r="A921" s="52" t="n">
        <v>46277</v>
      </c>
      <c r="B921" t="inlineStr">
        <is>
          <t>Septiembre</t>
        </is>
      </c>
      <c r="C921" t="inlineStr">
        <is>
          <t>COMPRAS</t>
        </is>
      </c>
      <c r="D921" t="n">
        <v>57725</v>
      </c>
      <c r="E921" t="inlineStr">
        <is>
          <t>TC Mercado Pago</t>
        </is>
      </c>
      <c r="F921" t="inlineStr">
        <is>
          <t>COMPRAS · Juan Cornacchi · TC Mercado Pago · REVISAR ítem · compra 2026-08-27 · cierre 2026-09-12</t>
        </is>
      </c>
    </row>
    <row r="922">
      <c r="A922" s="52" t="n">
        <v>46277</v>
      </c>
      <c r="B922" t="inlineStr">
        <is>
          <t>Septiembre</t>
        </is>
      </c>
      <c r="C922" t="inlineStr">
        <is>
          <t>COMPRAS</t>
        </is>
      </c>
      <c r="D922" t="n">
        <v>39000</v>
      </c>
      <c r="E922" t="inlineStr">
        <is>
          <t>TC Mercado Pago</t>
        </is>
      </c>
      <c r="F922" t="inlineStr">
        <is>
          <t>COMPRAS · Megaventas HM · TC Mercado Pago · compra 2026-08-27 · cierre 2026-09-12</t>
        </is>
      </c>
    </row>
    <row r="923">
      <c r="A923" s="52" t="n">
        <v>46277</v>
      </c>
      <c r="B923" t="inlineStr">
        <is>
          <t>Septiembre</t>
        </is>
      </c>
      <c r="C923" t="inlineStr">
        <is>
          <t>ROPA</t>
        </is>
      </c>
      <c r="D923" t="n">
        <v>418000</v>
      </c>
      <c r="E923" t="inlineStr">
        <is>
          <t>TC Mercado Pago</t>
        </is>
      </c>
      <c r="F923" t="inlineStr">
        <is>
          <t>ROPA · Galeon Joyas · TC Mercado Pago · C.1/3 · compra 2026-09-10 · cierre 2026-09-12</t>
        </is>
      </c>
    </row>
    <row r="924">
      <c r="A924" s="52" t="n">
        <v>46277</v>
      </c>
      <c r="B924" t="inlineStr">
        <is>
          <t>Septiembre</t>
        </is>
      </c>
      <c r="C924" t="inlineStr">
        <is>
          <t>ROPA</t>
        </is>
      </c>
      <c r="D924" t="n">
        <v>-795614</v>
      </c>
      <c r="E924" t="inlineStr">
        <is>
          <t>TC Mercado Pago</t>
        </is>
      </c>
      <c r="F924" t="inlineStr">
        <is>
          <t>REEMBOLSO · ROPA · Zara · TC Mercado Pago · compra 2026-08-19 · cierre 2026-09-12</t>
        </is>
      </c>
    </row>
    <row r="925">
      <c r="A925" s="52" t="n">
        <v>46277</v>
      </c>
      <c r="B925" t="inlineStr">
        <is>
          <t>Septiembre</t>
        </is>
      </c>
      <c r="C925" t="inlineStr">
        <is>
          <t>COMPRAS</t>
        </is>
      </c>
      <c r="D925" t="n">
        <v>-39000</v>
      </c>
      <c r="E925" t="inlineStr">
        <is>
          <t>TC Mercado Pago</t>
        </is>
      </c>
      <c r="F925" t="inlineStr">
        <is>
          <t>REEMBOLSO · COMPRAS · Megaventas HM · TC Mercado Pago · compra 2026-08-27 · cierre 2026-09-12</t>
        </is>
      </c>
    </row>
    <row r="926">
      <c r="A926" s="52" t="n">
        <v>46269</v>
      </c>
      <c r="B926" t="inlineStr">
        <is>
          <t>Septiembre</t>
        </is>
      </c>
      <c r="C926" t="inlineStr">
        <is>
          <t>COMPRAS</t>
        </is>
      </c>
      <c r="D926" t="n">
        <v>580320</v>
      </c>
      <c r="E926" t="inlineStr">
        <is>
          <t>BBVA VISA</t>
        </is>
      </c>
      <c r="F926" t="inlineStr">
        <is>
          <t>COMPRAS · dhgate.com · BBVA VISA · USD 380.44 × TC MEP 1525.39 · importación · alerta Gmail Compra aprobada · REVISAR vs resumen BBVA</t>
        </is>
      </c>
    </row>
    <row r="927">
      <c r="A927" s="52" t="n">
        <v>46278</v>
      </c>
      <c r="B927" t="inlineStr">
        <is>
          <t>Septiembre</t>
        </is>
      </c>
      <c r="C927" t="inlineStr">
        <is>
          <t>COMPRAS</t>
        </is>
      </c>
      <c r="D927" t="n">
        <v>629985</v>
      </c>
      <c r="E927" t="inlineStr">
        <is>
          <t>BBVA VISA</t>
        </is>
      </c>
      <c r="F927" t="inlineStr">
        <is>
          <t>COMPRAS · dhgate.com · BBVA VISA · USD 409.57 × TC MEP 1538.16 · importación · MEP 11/09 (13/09 domingo) · alerta Gmail Compra aprobada · REVISAR vs resumen BBVA</t>
        </is>
      </c>
    </row>
    <row r="928">
      <c r="A928" s="52" t="n">
        <v>46287</v>
      </c>
      <c r="B928" t="inlineStr">
        <is>
          <t>Septiembre</t>
        </is>
      </c>
      <c r="C928" t="inlineStr">
        <is>
          <t>SUSCRIPCIONES · IA</t>
        </is>
      </c>
      <c r="D928" t="n">
        <v>7668</v>
      </c>
      <c r="E928" t="inlineStr">
        <is>
          <t>BBVA VISA</t>
        </is>
      </c>
      <c r="F928" t="inlineStr">
        <is>
          <t>SUSCRIPCIONES · IA · Google One / Gemini · BBVA VISA · USD 4.99 × TC MEP 1536.51 · alerta Gmail Compra aprobada · REVISAR vs resumen BBVA</t>
        </is>
      </c>
    </row>
    <row r="929">
      <c r="A929" s="52" t="n">
        <v>46292</v>
      </c>
      <c r="B929" t="inlineStr">
        <is>
          <t>Septiembre</t>
        </is>
      </c>
      <c r="C929" t="inlineStr">
        <is>
          <t>SUSCRIPCIONES · IA</t>
        </is>
      </c>
      <c r="D929" t="n">
        <v>93150</v>
      </c>
      <c r="E929" t="inlineStr">
        <is>
          <t>BBVA VISA</t>
        </is>
      </c>
      <c r="F929" t="inlineStr">
        <is>
          <t>SUSCRIPCIONES · IA · Cursor · BBVA VISA · USD 60.00 × TC MEP 1552.5 · MEP 25/09 (27/09 domingo) · alerta Gmail Compra aprobada · REVISAR vs resumen BBVA</t>
        </is>
      </c>
    </row>
    <row r="930">
      <c r="A930" s="52" t="n">
        <v>46295</v>
      </c>
      <c r="B930" t="inlineStr">
        <is>
          <t>Septiembre</t>
        </is>
      </c>
      <c r="C930" t="inlineStr">
        <is>
          <t>SUSCRIPCIONES · IA</t>
        </is>
      </c>
      <c r="D930" t="n">
        <v>30852</v>
      </c>
      <c r="E930" t="inlineStr">
        <is>
          <t>BBVA VISA</t>
        </is>
      </c>
      <c r="F930" t="inlineStr">
        <is>
          <t>SUSCRIPCIONES · IA · ChatGPT / OpenAI · BBVA VISA · USD 20.00 × TC MEP 1542.56 · alerta Gmail Compra aprobada · REVISAR vs resumen BBVA</t>
        </is>
      </c>
    </row>
    <row r="931">
      <c r="A931" s="52" t="n">
        <v>46272</v>
      </c>
      <c r="B931" t="inlineStr">
        <is>
          <t>Septiembre</t>
        </is>
      </c>
      <c r="C931" t="inlineStr">
        <is>
          <t>VESTIMENTA</t>
        </is>
      </c>
      <c r="D931" t="n">
        <v>809200</v>
      </c>
      <c r="E931" t="inlineStr">
        <is>
          <t>BBVA VISA</t>
        </is>
      </c>
      <c r="F931" t="inlineStr">
        <is>
          <t>VESTIMENTA · Markova · BBVA VISA · MERPAGO*MARKOVA · alerta Gmail · REVISAR ítem</t>
        </is>
      </c>
    </row>
    <row r="932">
      <c r="A932" s="52" t="n">
        <v>46272</v>
      </c>
      <c r="B932" t="inlineStr">
        <is>
          <t>Septiembre</t>
        </is>
      </c>
      <c r="C932" t="inlineStr">
        <is>
          <t>HOGAR</t>
        </is>
      </c>
      <c r="D932" t="n">
        <v>186300</v>
      </c>
      <c r="E932" t="inlineStr">
        <is>
          <t>BBVA VISA</t>
        </is>
      </c>
      <c r="F932" t="inlineStr">
        <is>
          <t>HOGAR · Luna Hogar · BBVA VISA · MERPAGO*LUNAHOGAR · alerta Gmail</t>
        </is>
      </c>
    </row>
    <row r="933">
      <c r="A933" s="52" t="n">
        <v>46279</v>
      </c>
      <c r="B933" t="inlineStr">
        <is>
          <t>Septiembre</t>
        </is>
      </c>
      <c r="C933" t="inlineStr">
        <is>
          <t>COMPRAS</t>
        </is>
      </c>
      <c r="D933" t="n">
        <v>8520</v>
      </c>
      <c r="E933" t="inlineStr">
        <is>
          <t>BBVA VISA</t>
        </is>
      </c>
      <c r="F933" t="inlineStr">
        <is>
          <t>COMPRAS · La Obanesad · BBVA VISA · MERPAGO*LAOBANESAD · alerta Gmail · REVISAR ítem</t>
        </is>
      </c>
    </row>
    <row r="934">
      <c r="A934" s="52" t="n">
        <v>46292</v>
      </c>
      <c r="B934" t="inlineStr">
        <is>
          <t>Septiembre</t>
        </is>
      </c>
      <c r="C934" t="inlineStr">
        <is>
          <t>VESTIMENTA</t>
        </is>
      </c>
      <c r="D934" t="n">
        <v>334288</v>
      </c>
      <c r="E934" t="inlineStr">
        <is>
          <t>BBVA VISA</t>
        </is>
      </c>
      <c r="F934" t="inlineStr">
        <is>
          <t>VESTIMENTA · Luxodia · BBVA VISA · MERPAGO*LUXODIA · alerta Gmail · REVISAR ítem</t>
        </is>
      </c>
    </row>
    <row r="935">
      <c r="A935" s="52" t="n">
        <v>46292</v>
      </c>
      <c r="B935" t="inlineStr">
        <is>
          <t>Septiembre</t>
        </is>
      </c>
      <c r="C935" t="inlineStr">
        <is>
          <t>VESTIMENTA</t>
        </is>
      </c>
      <c r="D935" t="n">
        <v>49492</v>
      </c>
      <c r="E935" t="inlineStr">
        <is>
          <t>BBVA VISA</t>
        </is>
      </c>
      <c r="F935" t="inlineStr">
        <is>
          <t>VESTIMENTA · Luxodia · BBVA VISA · MERPAGO*LUXODIA · alerta Gmail · REVISAR ítem</t>
        </is>
      </c>
    </row>
    <row r="936">
      <c r="A936" s="52" t="n">
        <v>46285</v>
      </c>
      <c r="B936" t="inlineStr">
        <is>
          <t>Septiembre</t>
        </is>
      </c>
      <c r="C936" t="inlineStr">
        <is>
          <t>COMPRAS</t>
        </is>
      </c>
      <c r="D936" t="n">
        <v>89998</v>
      </c>
      <c r="E936" t="inlineStr">
        <is>
          <t>TC Mercado Pago</t>
        </is>
      </c>
      <c r="F936" t="inlineStr">
        <is>
          <t>COMPRAS · Yenny El Ateneo · TC Mercado Pago · Gmail Pago aprobado · post-cierre 12/09 → confirmar resumen octubre</t>
        </is>
      </c>
    </row>
    <row r="937">
      <c r="A937" s="52" t="n">
        <v>46294</v>
      </c>
      <c r="B937" t="inlineStr">
        <is>
          <t>Septiembre</t>
        </is>
      </c>
      <c r="C937" t="inlineStr">
        <is>
          <t>HOGAR</t>
        </is>
      </c>
      <c r="D937" t="n">
        <v>134572</v>
      </c>
      <c r="E937" t="inlineStr">
        <is>
          <t>TC Mercado Pago</t>
        </is>
      </c>
      <c r="F937" t="inlineStr">
        <is>
          <t>HOGAR · ViennaHogar · TC Mercado Pago · 3 cuotas · Gmail Pago aprobado · post-cierre 12/09 → confirmar resumen octubre</t>
        </is>
      </c>
    </row>
    <row r="938">
      <c r="A938" s="52" t="n">
        <v>46293</v>
      </c>
      <c r="B938" t="inlineStr">
        <is>
          <t>Septiembre</t>
        </is>
      </c>
      <c r="C938" t="inlineStr">
        <is>
          <t>TRANSFERENCIAS</t>
        </is>
      </c>
      <c r="D938" t="n">
        <v>69900</v>
      </c>
      <c r="E938" t="inlineStr">
        <is>
          <t>Mercado Pago</t>
        </is>
      </c>
      <c r="F938" t="inlineStr">
        <is>
          <t>TRANSFERENCIAS · Camilo Carlos Ihan · REVISAR ítem · resumen oficial cuenta MP 1–30 sep 2026</t>
        </is>
      </c>
    </row>
    <row r="939">
      <c r="A939" s="52" t="n">
        <v>46294</v>
      </c>
      <c r="B939" t="inlineStr">
        <is>
          <t>Septiembre</t>
        </is>
      </c>
      <c r="C939" t="inlineStr">
        <is>
          <t>TRANSPORTE · Uber</t>
        </is>
      </c>
      <c r="D939" t="n">
        <v>7230</v>
      </c>
      <c r="E939" t="inlineStr">
        <is>
          <t>Mercado Pago</t>
        </is>
      </c>
      <c r="F939" t="inlineStr">
        <is>
          <t>TRANSPORTE · Uber · Ebanx (=Uber) · resumen oficial cuenta MP 1–30 sep 2026</t>
        </is>
      </c>
    </row>
    <row r="940">
      <c r="A940" s="52" t="n">
        <v>46294</v>
      </c>
      <c r="B940" t="inlineStr">
        <is>
          <t>Septiembre</t>
        </is>
      </c>
      <c r="C940" t="inlineStr">
        <is>
          <t>TRANSPORTE · Didi</t>
        </is>
      </c>
      <c r="D940" t="n">
        <v>5700</v>
      </c>
      <c r="E940" t="inlineStr">
        <is>
          <t>Mercado Pago</t>
        </is>
      </c>
      <c r="F940" t="inlineStr">
        <is>
          <t>TRANSPORTE · Didi · resumen oficial cuenta MP 1–30 sep 2026</t>
        </is>
      </c>
    </row>
    <row r="941">
      <c r="A941" s="52" t="n">
        <v>46294</v>
      </c>
      <c r="B941" t="inlineStr">
        <is>
          <t>Septiembre</t>
        </is>
      </c>
      <c r="C941" t="inlineStr">
        <is>
          <t>TRANSPORTE · Didi</t>
        </is>
      </c>
      <c r="D941" t="n">
        <v>4000</v>
      </c>
      <c r="E941" t="inlineStr">
        <is>
          <t>Mercado Pago</t>
        </is>
      </c>
      <c r="F941" t="inlineStr">
        <is>
          <t>TRANSPORTE · Didi · resumen oficial cuenta MP 1–30 sep 2026</t>
        </is>
      </c>
    </row>
    <row r="942">
      <c r="A942" s="52" t="n">
        <v>46295</v>
      </c>
      <c r="B942" t="inlineStr">
        <is>
          <t>Septiembre</t>
        </is>
      </c>
      <c r="C942" t="inlineStr">
        <is>
          <t>Sol Estética</t>
        </is>
      </c>
      <c r="D942" t="n">
        <v>20000</v>
      </c>
      <c r="E942" t="inlineStr">
        <is>
          <t>Mercado Pago</t>
        </is>
      </c>
      <c r="F942" t="inlineStr">
        <is>
          <t>Sol Estética · Kelly · $20.000 · resumen oficial cuenta MP 1–30 sep 2026</t>
        </is>
      </c>
    </row>
    <row r="943">
      <c r="A943" s="52" t="n">
        <v>46295</v>
      </c>
      <c r="B943" t="inlineStr">
        <is>
          <t>Septiembre</t>
        </is>
      </c>
      <c r="C943" t="inlineStr">
        <is>
          <t>Sol Estética</t>
        </is>
      </c>
      <c r="D943" t="n">
        <v>86000</v>
      </c>
      <c r="E943" t="inlineStr">
        <is>
          <t>Mercado Pago</t>
        </is>
      </c>
      <c r="F943" t="inlineStr">
        <is>
          <t>Sol Estética · Kelly · $86.000 · resumen oficial cuenta MP 1–30 sep 2026</t>
        </is>
      </c>
    </row>
    <row r="944">
      <c r="A944" s="52" t="n">
        <v>46237</v>
      </c>
      <c r="B944" t="inlineStr">
        <is>
          <t>Agosto</t>
        </is>
      </c>
      <c r="C944" t="inlineStr">
        <is>
          <t>COMIDA · Oficina</t>
        </is>
      </c>
      <c r="D944" t="n">
        <v>11010</v>
      </c>
      <c r="E944" t="inlineStr">
        <is>
          <t>Mercado Pago</t>
        </is>
      </c>
      <c r="F944" t="inlineStr">
        <is>
          <t>COMIDA · Oficina · Copetin Catering · Gmail Pago aprobado</t>
        </is>
      </c>
    </row>
    <row r="945">
      <c r="A945" s="52" t="n">
        <v>46239</v>
      </c>
      <c r="B945" t="inlineStr">
        <is>
          <t>Agosto</t>
        </is>
      </c>
      <c r="C945" t="inlineStr">
        <is>
          <t>VESTIMENTA</t>
        </is>
      </c>
      <c r="D945" t="n">
        <v>152000</v>
      </c>
      <c r="E945" t="inlineStr">
        <is>
          <t>Mercado Pago</t>
        </is>
      </c>
      <c r="F945" t="inlineStr">
        <is>
          <t>VESTIMENTA · Renová tu vestidor · Gmail Pago aprobado · gasto personal Sol</t>
        </is>
      </c>
    </row>
    <row r="946">
      <c r="A946" s="52" t="n">
        <v>46243</v>
      </c>
      <c r="B946" t="inlineStr">
        <is>
          <t>Agosto</t>
        </is>
      </c>
      <c r="C946" t="inlineStr">
        <is>
          <t>SALUD</t>
        </is>
      </c>
      <c r="D946" t="n">
        <v>22222</v>
      </c>
      <c r="E946" t="inlineStr">
        <is>
          <t>Mercado Pago</t>
        </is>
      </c>
      <c r="F946" t="inlineStr">
        <is>
          <t>SALUD · Siendo Consciencia · Gmail Pago aprobado · REVISAR ítem</t>
        </is>
      </c>
    </row>
    <row r="947">
      <c r="A947" s="52" t="n">
        <v>46243</v>
      </c>
      <c r="B947" t="inlineStr">
        <is>
          <t>Agosto</t>
        </is>
      </c>
      <c r="C947" t="inlineStr">
        <is>
          <t>SALUD</t>
        </is>
      </c>
      <c r="D947" t="n">
        <v>24000</v>
      </c>
      <c r="E947" t="inlineStr">
        <is>
          <t>Mercado Pago</t>
        </is>
      </c>
      <c r="F947" t="inlineStr">
        <is>
          <t>SALUD · Lorena Ferreyra · Gmail Pago aprobado · REVISAR ítem</t>
        </is>
      </c>
    </row>
    <row r="948">
      <c r="A948" s="52" t="n">
        <v>46243</v>
      </c>
      <c r="B948" t="inlineStr">
        <is>
          <t>Agosto</t>
        </is>
      </c>
      <c r="C948" t="inlineStr">
        <is>
          <t>SALUD</t>
        </is>
      </c>
      <c r="D948" t="n">
        <v>75000</v>
      </c>
      <c r="E948" t="inlineStr">
        <is>
          <t>Mercado Pago</t>
        </is>
      </c>
      <c r="F948" t="inlineStr">
        <is>
          <t>SALUD · Lorena Ferreyra · Gmail Pago aprobado · REVISAR ítem</t>
        </is>
      </c>
    </row>
    <row r="949">
      <c r="A949" s="52" t="n">
        <v>46244</v>
      </c>
      <c r="B949" t="inlineStr">
        <is>
          <t>Agosto</t>
        </is>
      </c>
      <c r="C949" t="inlineStr">
        <is>
          <t>SALUD</t>
        </is>
      </c>
      <c r="D949" t="n">
        <v>356000</v>
      </c>
      <c r="E949" t="inlineStr">
        <is>
          <t>BBVA Crédito ****3200</t>
        </is>
      </c>
      <c r="F949" t="inlineStr">
        <is>
          <t>SALUD · Reiki · Gmail Pago aprobado · gasto personal Sol</t>
        </is>
      </c>
    </row>
    <row r="950">
      <c r="A950" s="52" t="n">
        <v>46244</v>
      </c>
      <c r="B950" t="inlineStr">
        <is>
          <t>Agosto</t>
        </is>
      </c>
      <c r="C950" t="inlineStr">
        <is>
          <t>COMIDA · Oficina</t>
        </is>
      </c>
      <c r="D950" t="n">
        <v>13600</v>
      </c>
      <c r="E950" t="inlineStr">
        <is>
          <t>TC Mercado Pago</t>
        </is>
      </c>
      <c r="F950" t="inlineStr">
        <is>
          <t>COMIDA · Oficina · Copetin Catering · Gmail Pago aprobado</t>
        </is>
      </c>
    </row>
    <row r="951">
      <c r="A951" s="52" t="n">
        <v>46255</v>
      </c>
      <c r="B951" t="inlineStr">
        <is>
          <t>Agosto</t>
        </is>
      </c>
      <c r="C951" t="inlineStr">
        <is>
          <t>SALUD</t>
        </is>
      </c>
      <c r="D951" t="n">
        <v>27000</v>
      </c>
      <c r="E951" t="inlineStr">
        <is>
          <t>Mercado Pago</t>
        </is>
      </c>
      <c r="F951" t="inlineStr">
        <is>
          <t>SALUD · Karen · Gmail Pago aprobado · REVISAR ítem</t>
        </is>
      </c>
    </row>
    <row r="952">
      <c r="A952" s="52" t="n">
        <v>46262</v>
      </c>
      <c r="B952" t="inlineStr">
        <is>
          <t>Agosto</t>
        </is>
      </c>
      <c r="C952" t="inlineStr">
        <is>
          <t>EDUCACIÓN</t>
        </is>
      </c>
      <c r="D952" t="n">
        <v>30000</v>
      </c>
      <c r="E952" t="inlineStr">
        <is>
          <t>Mercado Pago</t>
        </is>
      </c>
      <c r="F952" t="inlineStr">
        <is>
          <t>EDUCACIÓN · Bitgenia · Gmail Pago aprobado · gasto personal Sol</t>
        </is>
      </c>
    </row>
    <row r="953">
      <c r="A953" s="52" t="n">
        <v>46235</v>
      </c>
      <c r="B953" t="inlineStr">
        <is>
          <t>Agosto</t>
        </is>
      </c>
      <c r="C953" t="inlineStr">
        <is>
          <t>MOVIDO → Almacén</t>
        </is>
      </c>
      <c r="F953" t="inlineStr">
        <is>
          <t>SUPERSEDE · DR BARF / Gibiana Cova → Almacen Detalle · RAMON · Comida (no GPS)</t>
        </is>
      </c>
    </row>
    <row r="954">
      <c r="A954" s="52" t="n">
        <v>46299</v>
      </c>
      <c r="B954" t="inlineStr">
        <is>
          <t>Octubre</t>
        </is>
      </c>
      <c r="C954" t="inlineStr">
        <is>
          <t>FARMACIA SALUD</t>
        </is>
      </c>
      <c r="D954" t="n">
        <v>17038</v>
      </c>
      <c r="E954" t="inlineStr">
        <is>
          <t>Mercado Pago</t>
        </is>
      </c>
      <c r="F954" t="inlineStr">
        <is>
          <t>FARMACIA SALUD · Hiperfarmaceutica Temperley · Gmail Pago aprobado</t>
        </is>
      </c>
    </row>
    <row r="955">
      <c r="A955" s="52" t="n">
        <v>46300</v>
      </c>
      <c r="B955" t="inlineStr">
        <is>
          <t>Octubre</t>
        </is>
      </c>
      <c r="C955" t="inlineStr">
        <is>
          <t>VIAJES</t>
        </is>
      </c>
      <c r="D955" t="n">
        <v>1430000</v>
      </c>
      <c r="E955" t="inlineStr">
        <is>
          <t>TC Mercado Pago</t>
        </is>
      </c>
      <c r="F955" t="inlineStr">
        <is>
          <t>VIAJES · regalo Chris Cumple 50 · MARPATAG SRL · Gmail Pago aprobado · gasto personal Sol</t>
        </is>
      </c>
    </row>
    <row r="956">
      <c r="A956" s="52" t="n">
        <v>46304</v>
      </c>
      <c r="B956" t="inlineStr">
        <is>
          <t>Octubre</t>
        </is>
      </c>
      <c r="C956" t="inlineStr">
        <is>
          <t>PELUQUERÍA</t>
        </is>
      </c>
      <c r="D956" t="n">
        <v>7000</v>
      </c>
      <c r="E956" t="inlineStr">
        <is>
          <t>Mercado Pago</t>
        </is>
      </c>
      <c r="F956" t="inlineStr">
        <is>
          <t>PELUQUERÍA · Soy lashista · Gmail Pago aprobado (2 mails mismo monto; se carga 1)</t>
        </is>
      </c>
    </row>
    <row r="957">
      <c r="A957" s="52" t="n">
        <v>46306</v>
      </c>
      <c r="B957" t="inlineStr">
        <is>
          <t>Octubre</t>
        </is>
      </c>
      <c r="C957" t="inlineStr">
        <is>
          <t>VIAJES</t>
        </is>
      </c>
      <c r="D957" t="n">
        <v>1143000</v>
      </c>
      <c r="E957" t="inlineStr">
        <is>
          <t>BBVA Crédito ****3200</t>
        </is>
      </c>
      <c r="F957" t="inlineStr">
        <is>
          <t>VIAJES · regalo Chris Cumple 50 · Patagonia Chic Excursiones · Gmail Pago aprobado · 1 cuota · gasto personal Sol</t>
        </is>
      </c>
    </row>
    <row r="958">
      <c r="A958" s="52" t="n">
        <v>46254</v>
      </c>
      <c r="B958" t="inlineStr">
        <is>
          <t>Agosto</t>
        </is>
      </c>
      <c r="C958" t="inlineStr">
        <is>
          <t>Courier</t>
        </is>
      </c>
      <c r="D958" t="n">
        <v>24000</v>
      </c>
      <c r="E958" t="inlineStr">
        <is>
          <t>Mercado Pago</t>
        </is>
      </c>
      <c r="F958" t="inlineStr">
        <is>
          <t>Courier · Correo Oficial · Gmail Pago aprobado · $24.000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46269</v>
      </c>
      <c r="C252" t="inlineStr">
        <is>
          <t>AVA Palpa · cuota 10 · septiembre 2026</t>
        </is>
      </c>
      <c r="D252" t="inlineStr">
        <is>
          <t>AVA FIDEICOMISO</t>
        </is>
      </c>
      <c r="E252" t="n">
        <v>10</v>
      </c>
      <c r="F252" t="n">
        <v>32</v>
      </c>
      <c r="G252" t="n">
        <v>3134720</v>
      </c>
      <c r="H252" t="inlineStr">
        <is>
          <t>Septiembre 2026</t>
        </is>
      </c>
      <c r="I252" t="inlineStr">
        <is>
          <t>2026-09</t>
        </is>
      </c>
      <c r="J252" t="inlineStr">
        <is>
          <t>PAGADO</t>
        </is>
      </c>
      <c r="K252" t="inlineStr">
        <is>
          <t>50% Sol de $6,269,440 · TC MEP 1525.39 · ya en Gasto Personal Sol</t>
        </is>
      </c>
      <c r="L252" t="inlineStr">
        <is>
          <t>Sol 50% (TBD)</t>
        </is>
      </c>
    </row>
    <row r="253">
      <c r="A253" t="inlineStr">
        <is>
          <t>AVA Fideicomiso</t>
        </is>
      </c>
      <c r="B253" s="52" t="n">
        <v>46300</v>
      </c>
      <c r="C253" t="inlineStr">
        <is>
          <t>AVA Palpa · cuota 11 · octubre 2026</t>
        </is>
      </c>
      <c r="D253" t="inlineStr">
        <is>
          <t>AVA FIDEICOMISO</t>
        </is>
      </c>
      <c r="E253" t="n">
        <v>11</v>
      </c>
      <c r="F253" t="n">
        <v>32</v>
      </c>
      <c r="G253" t="n">
        <v>3275207</v>
      </c>
      <c r="H253" t="inlineStr">
        <is>
          <t>Octubre 2026</t>
        </is>
      </c>
      <c r="I253" t="inlineStr">
        <is>
          <t>2026-10</t>
        </is>
      </c>
      <c r="J253" t="inlineStr">
        <is>
          <t>PENDIENTE</t>
        </is>
      </c>
      <c r="K253" t="inlineStr">
        <is>
          <t>50% Sol de $6,550,413 · factura Cobranza 24/09 · TC MEP 1549.26 (02/10) · NO pagar duplicado en GPS hasta abonar</t>
        </is>
      </c>
      <c r="L253" t="inlineStr">
        <is>
          <t>Sol 50% (TBD)</t>
        </is>
      </c>
    </row>
    <row r="254">
      <c r="A254" t="inlineStr">
        <is>
          <t>AVA Fideicomiso</t>
        </is>
      </c>
      <c r="B254" s="52" t="n">
        <v>46331</v>
      </c>
      <c r="C254" t="inlineStr">
        <is>
          <t>AVA Palpa · cuota 12 · pendiente factura</t>
        </is>
      </c>
      <c r="D254" t="inlineStr">
        <is>
          <t>AVA FIDEICOMISO</t>
        </is>
      </c>
      <c r="E254" t="n">
        <v>12</v>
      </c>
      <c r="F254" t="n">
        <v>32</v>
      </c>
      <c r="H254" t="inlineStr">
        <is>
          <t>Noviembre 2026</t>
        </is>
      </c>
      <c r="I254" t="inlineStr">
        <is>
          <t>2026-11</t>
        </is>
      </c>
      <c r="J254" t="inlineStr">
        <is>
          <t>PENDIENTE</t>
        </is>
      </c>
      <c r="K254" t="inlineStr">
        <is>
          <t>Compromiso AVA · monto a confirmar · 50% Sol / 50% Chris</t>
        </is>
      </c>
      <c r="L254" t="inlineStr">
        <is>
          <t>Sol 50% (TBD)</t>
        </is>
      </c>
    </row>
    <row r="255">
      <c r="A255" t="inlineStr">
        <is>
          <t>AVA Fideicomiso</t>
        </is>
      </c>
      <c r="B255" s="52" t="n">
        <v>46361</v>
      </c>
      <c r="C255" t="inlineStr">
        <is>
          <t>AVA Palpa · cuota 13 · pendiente factura</t>
        </is>
      </c>
      <c r="D255" t="inlineStr">
        <is>
          <t>AVA FIDEICOMISO</t>
        </is>
      </c>
      <c r="E255" t="n">
        <v>13</v>
      </c>
      <c r="F255" t="n">
        <v>32</v>
      </c>
      <c r="H255" t="inlineStr">
        <is>
          <t>Diciembre 2026</t>
        </is>
      </c>
      <c r="I255" t="inlineStr">
        <is>
          <t>2026-12</t>
        </is>
      </c>
      <c r="J255" t="inlineStr">
        <is>
          <t>PENDIENTE</t>
        </is>
      </c>
      <c r="K255" t="inlineStr">
        <is>
          <t>Compromiso AVA · monto a confirmar · 50% Sol / 50% Chris</t>
        </is>
      </c>
      <c r="L255" t="inlineStr">
        <is>
          <t>Sol 50% (TBD)</t>
        </is>
      </c>
    </row>
    <row r="256">
      <c r="A256" t="inlineStr">
        <is>
          <t>AVA Fideicomiso</t>
        </is>
      </c>
      <c r="B256" s="52" t="n">
        <v>46392</v>
      </c>
      <c r="C256" t="inlineStr">
        <is>
          <t>AVA Palpa · cuota 14 · pendiente factura</t>
        </is>
      </c>
      <c r="D256" t="inlineStr">
        <is>
          <t>AVA FIDEICOMISO</t>
        </is>
      </c>
      <c r="E256" t="n">
        <v>14</v>
      </c>
      <c r="F256" t="n">
        <v>32</v>
      </c>
      <c r="H256" t="inlineStr">
        <is>
          <t>Enero 2027</t>
        </is>
      </c>
      <c r="I256" t="inlineStr">
        <is>
          <t>2027-01</t>
        </is>
      </c>
      <c r="J256" t="inlineStr">
        <is>
          <t>PENDIENTE</t>
        </is>
      </c>
      <c r="K256" t="inlineStr">
        <is>
          <t>Compromiso AVA · monto a confirmar · 50% Sol / 50% Chris</t>
        </is>
      </c>
      <c r="L256" t="inlineStr">
        <is>
          <t>Sol 50% (TBD)</t>
        </is>
      </c>
    </row>
    <row r="257">
      <c r="A257" t="inlineStr">
        <is>
          <t>AVA Fideicomiso</t>
        </is>
      </c>
      <c r="B257" s="52" t="n">
        <v>46423</v>
      </c>
      <c r="C257" t="inlineStr">
        <is>
          <t>AVA Palpa · cuota 15 · pendiente factura</t>
        </is>
      </c>
      <c r="D257" t="inlineStr">
        <is>
          <t>AVA FIDEICOMISO</t>
        </is>
      </c>
      <c r="E257" t="n">
        <v>15</v>
      </c>
      <c r="F257" t="n">
        <v>32</v>
      </c>
      <c r="H257" t="inlineStr">
        <is>
          <t>Febrero 2027</t>
        </is>
      </c>
      <c r="I257" t="inlineStr">
        <is>
          <t>2027-02</t>
        </is>
      </c>
      <c r="J257" t="inlineStr">
        <is>
          <t>PENDIENTE</t>
        </is>
      </c>
      <c r="K257" t="inlineStr">
        <is>
          <t>Compromiso AVA · monto a confirmar · 50% Sol / 50% Chris</t>
        </is>
      </c>
      <c r="L257" t="inlineStr">
        <is>
          <t>Sol 50% (TBD)</t>
        </is>
      </c>
    </row>
    <row r="258">
      <c r="A258" t="inlineStr">
        <is>
          <t>AVA Fideicomiso</t>
        </is>
      </c>
      <c r="B258" s="52" t="n">
        <v>46451</v>
      </c>
      <c r="C258" t="inlineStr">
        <is>
          <t>AVA Palpa · cuota 16 · pendiente factura</t>
        </is>
      </c>
      <c r="D258" t="inlineStr">
        <is>
          <t>AVA FIDEICOMISO</t>
        </is>
      </c>
      <c r="E258" t="n">
        <v>16</v>
      </c>
      <c r="F258" t="n">
        <v>32</v>
      </c>
      <c r="H258" t="inlineStr">
        <is>
          <t>Marzo 2027</t>
        </is>
      </c>
      <c r="I258" t="inlineStr">
        <is>
          <t>2027-03</t>
        </is>
      </c>
      <c r="J258" t="inlineStr">
        <is>
          <t>PENDIENTE</t>
        </is>
      </c>
      <c r="K258" t="inlineStr">
        <is>
          <t>Compromiso AVA · monto a confirmar · 50% Sol / 50% Chris</t>
        </is>
      </c>
      <c r="L258" t="inlineStr">
        <is>
          <t>Sol 50% (TBD)</t>
        </is>
      </c>
    </row>
    <row r="259">
      <c r="A259" t="inlineStr">
        <is>
          <t>AVA Fideicomiso</t>
        </is>
      </c>
      <c r="B259" s="52" t="n">
        <v>46482</v>
      </c>
      <c r="C259" t="inlineStr">
        <is>
          <t>AVA Palpa · cuota 17 · pendiente factura</t>
        </is>
      </c>
      <c r="D259" t="inlineStr">
        <is>
          <t>AVA FIDEICOMISO</t>
        </is>
      </c>
      <c r="E259" t="n">
        <v>17</v>
      </c>
      <c r="F259" t="n">
        <v>32</v>
      </c>
      <c r="H259" t="inlineStr">
        <is>
          <t>Abril 2027</t>
        </is>
      </c>
      <c r="I259" t="inlineStr">
        <is>
          <t>2027-04</t>
        </is>
      </c>
      <c r="J259" t="inlineStr">
        <is>
          <t>PENDIENTE</t>
        </is>
      </c>
      <c r="K259" t="inlineStr">
        <is>
          <t>Compromiso AVA · monto a confirmar · 50% Sol / 50% Chris</t>
        </is>
      </c>
      <c r="L259" t="inlineStr">
        <is>
          <t>Sol 50% (TBD)</t>
        </is>
      </c>
    </row>
    <row r="260">
      <c r="A260" t="inlineStr">
        <is>
          <t>AVA Fideicomiso</t>
        </is>
      </c>
      <c r="B260" s="52" t="n">
        <v>46512</v>
      </c>
      <c r="C260" t="inlineStr">
        <is>
          <t>AVA Palpa · cuota 18 · pendiente factura</t>
        </is>
      </c>
      <c r="D260" t="inlineStr">
        <is>
          <t>AVA FIDEICOMISO</t>
        </is>
      </c>
      <c r="E260" t="n">
        <v>18</v>
      </c>
      <c r="F260" t="n">
        <v>32</v>
      </c>
      <c r="H260" t="inlineStr">
        <is>
          <t>Mayo 2027</t>
        </is>
      </c>
      <c r="I260" t="inlineStr">
        <is>
          <t>2027-05</t>
        </is>
      </c>
      <c r="J260" t="inlineStr">
        <is>
          <t>PENDIENTE</t>
        </is>
      </c>
      <c r="K260" t="inlineStr">
        <is>
          <t>Compromiso AVA · monto a confirmar · 50% Sol / 50% Chris</t>
        </is>
      </c>
      <c r="L260" t="inlineStr">
        <is>
          <t>Sol 50% (TBD)</t>
        </is>
      </c>
    </row>
    <row r="261">
      <c r="A261" t="inlineStr">
        <is>
          <t>AVA Fideicomiso</t>
        </is>
      </c>
      <c r="B261" s="52" t="n">
        <v>46543</v>
      </c>
      <c r="C261" t="inlineStr">
        <is>
          <t>AVA Palpa · cuota 19 · pendiente factura</t>
        </is>
      </c>
      <c r="D261" t="inlineStr">
        <is>
          <t>AVA FIDEICOMISO</t>
        </is>
      </c>
      <c r="E261" t="n">
        <v>19</v>
      </c>
      <c r="F261" t="n">
        <v>32</v>
      </c>
      <c r="H261" t="inlineStr">
        <is>
          <t>Junio 2027</t>
        </is>
      </c>
      <c r="I261" t="inlineStr">
        <is>
          <t>2027-06</t>
        </is>
      </c>
      <c r="J261" t="inlineStr">
        <is>
          <t>PENDIENTE</t>
        </is>
      </c>
      <c r="K261" t="inlineStr">
        <is>
          <t>Compromiso AVA · monto a confirmar · 50% Sol / 50% Chris</t>
        </is>
      </c>
      <c r="L261" t="inlineStr">
        <is>
          <t>Sol 50% (TBD)</t>
        </is>
      </c>
    </row>
    <row r="262">
      <c r="A262" t="inlineStr">
        <is>
          <t>AVA Fideicomiso</t>
        </is>
      </c>
      <c r="B262" s="52" t="n">
        <v>46573</v>
      </c>
      <c r="C262" t="inlineStr">
        <is>
          <t>AVA Palpa · cuota 20 · pendiente factura</t>
        </is>
      </c>
      <c r="D262" t="inlineStr">
        <is>
          <t>AVA FIDEICOMISO</t>
        </is>
      </c>
      <c r="E262" t="n">
        <v>20</v>
      </c>
      <c r="F262" t="n">
        <v>32</v>
      </c>
      <c r="H262" t="inlineStr">
        <is>
          <t>Julio 2027</t>
        </is>
      </c>
      <c r="I262" t="inlineStr">
        <is>
          <t>2027-07</t>
        </is>
      </c>
      <c r="J262" t="inlineStr">
        <is>
          <t>PENDIENTE</t>
        </is>
      </c>
      <c r="K262" t="inlineStr">
        <is>
          <t>Compromiso AVA · monto a confirmar · 50% Sol / 50% Chris</t>
        </is>
      </c>
      <c r="L262" t="inlineStr">
        <is>
          <t>Sol 50% (TBD)</t>
        </is>
      </c>
    </row>
    <row r="263">
      <c r="A263" t="inlineStr">
        <is>
          <t>AVA Fideicomiso</t>
        </is>
      </c>
      <c r="B263" s="52" t="n">
        <v>46604</v>
      </c>
      <c r="C263" t="inlineStr">
        <is>
          <t>AVA Palpa · cuota 21 · pendiente factura</t>
        </is>
      </c>
      <c r="D263" t="inlineStr">
        <is>
          <t>AVA FIDEICOMISO</t>
        </is>
      </c>
      <c r="E263" t="n">
        <v>21</v>
      </c>
      <c r="F263" t="n">
        <v>32</v>
      </c>
      <c r="H263" t="inlineStr">
        <is>
          <t>Agosto 2027</t>
        </is>
      </c>
      <c r="I263" t="inlineStr">
        <is>
          <t>2027-08</t>
        </is>
      </c>
      <c r="J263" t="inlineStr">
        <is>
          <t>PENDIENTE</t>
        </is>
      </c>
      <c r="K263" t="inlineStr">
        <is>
          <t>Compromiso AVA · monto a confirmar · 50% Sol / 50% Chris</t>
        </is>
      </c>
      <c r="L263" t="inlineStr">
        <is>
          <t>Sol 50% (TBD)</t>
        </is>
      </c>
    </row>
    <row r="264">
      <c r="A264" t="inlineStr">
        <is>
          <t>AVA Fideicomiso</t>
        </is>
      </c>
      <c r="B264" s="52" t="n">
        <v>46635</v>
      </c>
      <c r="C264" t="inlineStr">
        <is>
          <t>AVA Palpa · cuota 22 · pendiente factura</t>
        </is>
      </c>
      <c r="D264" t="inlineStr">
        <is>
          <t>AVA FIDEICOMISO</t>
        </is>
      </c>
      <c r="E264" t="n">
        <v>22</v>
      </c>
      <c r="F264" t="n">
        <v>32</v>
      </c>
      <c r="H264" t="inlineStr">
        <is>
          <t>Septiembre 2027</t>
        </is>
      </c>
      <c r="I264" t="inlineStr">
        <is>
          <t>2027-09</t>
        </is>
      </c>
      <c r="J264" t="inlineStr">
        <is>
          <t>PENDIENTE</t>
        </is>
      </c>
      <c r="K264" t="inlineStr">
        <is>
          <t>Compromiso AVA · monto a confirmar · 50% Sol / 50% Chris</t>
        </is>
      </c>
      <c r="L264" t="inlineStr">
        <is>
          <t>Sol 50% (TBD)</t>
        </is>
      </c>
    </row>
    <row r="265">
      <c r="A265" t="inlineStr">
        <is>
          <t>AVA Fideicomiso</t>
        </is>
      </c>
      <c r="B265" s="52" t="n">
        <v>46665</v>
      </c>
      <c r="C265" t="inlineStr">
        <is>
          <t>AVA Palpa · cuota 23 · pendiente factura</t>
        </is>
      </c>
      <c r="D265" t="inlineStr">
        <is>
          <t>AVA FIDEICOMISO</t>
        </is>
      </c>
      <c r="E265" t="n">
        <v>23</v>
      </c>
      <c r="F265" t="n">
        <v>32</v>
      </c>
      <c r="H265" t="inlineStr">
        <is>
          <t>Octubre 2027</t>
        </is>
      </c>
      <c r="I265" t="inlineStr">
        <is>
          <t>2027-10</t>
        </is>
      </c>
      <c r="J265" t="inlineStr">
        <is>
          <t>PENDIENTE</t>
        </is>
      </c>
      <c r="K265" t="inlineStr">
        <is>
          <t>Compromiso AVA · monto a confirmar · 50% Sol / 50% Chris</t>
        </is>
      </c>
      <c r="L265" t="inlineStr">
        <is>
          <t>Sol 50% (TBD)</t>
        </is>
      </c>
    </row>
    <row r="266">
      <c r="A266" t="inlineStr">
        <is>
          <t>AVA Fideicomiso</t>
        </is>
      </c>
      <c r="B266" s="52" t="n">
        <v>46696</v>
      </c>
      <c r="C266" t="inlineStr">
        <is>
          <t>AVA Palpa · cuota 24 · pendiente factura</t>
        </is>
      </c>
      <c r="D266" t="inlineStr">
        <is>
          <t>AVA FIDEICOMISO</t>
        </is>
      </c>
      <c r="E266" t="n">
        <v>24</v>
      </c>
      <c r="F266" t="n">
        <v>32</v>
      </c>
      <c r="H266" t="inlineStr">
        <is>
          <t>Noviembre 2027</t>
        </is>
      </c>
      <c r="I266" t="inlineStr">
        <is>
          <t>2027-11</t>
        </is>
      </c>
      <c r="J266" t="inlineStr">
        <is>
          <t>PENDIENTE</t>
        </is>
      </c>
      <c r="K266" t="inlineStr">
        <is>
          <t>Compromiso AVA · monto a confirmar · 50% Sol / 50% Chris</t>
        </is>
      </c>
      <c r="L266" t="inlineStr">
        <is>
          <t>Sol 50% (TBD)</t>
        </is>
      </c>
    </row>
    <row r="267">
      <c r="A267" t="inlineStr">
        <is>
          <t>AVA Fideicomiso</t>
        </is>
      </c>
      <c r="B267" s="52" t="n">
        <v>46726</v>
      </c>
      <c r="C267" t="inlineStr">
        <is>
          <t>AVA Palpa · cuota 25 · pendiente factura</t>
        </is>
      </c>
      <c r="D267" t="inlineStr">
        <is>
          <t>AVA FIDEICOMISO</t>
        </is>
      </c>
      <c r="E267" t="n">
        <v>25</v>
      </c>
      <c r="F267" t="n">
        <v>32</v>
      </c>
      <c r="H267" t="inlineStr">
        <is>
          <t>Diciembre 2027</t>
        </is>
      </c>
      <c r="I267" t="inlineStr">
        <is>
          <t>2027-12</t>
        </is>
      </c>
      <c r="J267" t="inlineStr">
        <is>
          <t>PENDIENTE</t>
        </is>
      </c>
      <c r="K267" t="inlineStr">
        <is>
          <t>Compromiso AVA · monto a confirmar · 50% Sol / 50% Chris</t>
        </is>
      </c>
      <c r="L267" t="inlineStr">
        <is>
          <t>Sol 50% (TBD)</t>
        </is>
      </c>
    </row>
    <row r="268">
      <c r="A268" t="inlineStr">
        <is>
          <t>AVA Fideicomiso</t>
        </is>
      </c>
      <c r="B268" s="52" t="n">
        <v>46757</v>
      </c>
      <c r="C268" t="inlineStr">
        <is>
          <t>AVA Palpa · cuota 26 · pendiente factura</t>
        </is>
      </c>
      <c r="D268" t="inlineStr">
        <is>
          <t>AVA FIDEICOMISO</t>
        </is>
      </c>
      <c r="E268" t="n">
        <v>26</v>
      </c>
      <c r="F268" t="n">
        <v>32</v>
      </c>
      <c r="H268" t="inlineStr">
        <is>
          <t>Enero 2028</t>
        </is>
      </c>
      <c r="I268" t="inlineStr">
        <is>
          <t>2028-01</t>
        </is>
      </c>
      <c r="J268" t="inlineStr">
        <is>
          <t>PENDIENTE</t>
        </is>
      </c>
      <c r="K268" t="inlineStr">
        <is>
          <t>Compromiso AVA · monto a confirmar · 50% Sol / 50% Chris</t>
        </is>
      </c>
      <c r="L268" t="inlineStr">
        <is>
          <t>Sol 50% (TBD)</t>
        </is>
      </c>
    </row>
    <row r="269">
      <c r="A269" t="inlineStr">
        <is>
          <t>AVA Fideicomiso</t>
        </is>
      </c>
      <c r="B269" s="52" t="n">
        <v>46788</v>
      </c>
      <c r="C269" t="inlineStr">
        <is>
          <t>AVA Palpa · cuota 27 · pendiente factura</t>
        </is>
      </c>
      <c r="D269" t="inlineStr">
        <is>
          <t>AVA FIDEICOMISO</t>
        </is>
      </c>
      <c r="E269" t="n">
        <v>27</v>
      </c>
      <c r="F269" t="n">
        <v>32</v>
      </c>
      <c r="H269" t="inlineStr">
        <is>
          <t>Febrero 2028</t>
        </is>
      </c>
      <c r="I269" t="inlineStr">
        <is>
          <t>2028-02</t>
        </is>
      </c>
      <c r="J269" t="inlineStr">
        <is>
          <t>PENDIENTE</t>
        </is>
      </c>
      <c r="K269" t="inlineStr">
        <is>
          <t>Compromiso AVA · monto a confirmar · 50% Sol / 50% Chris</t>
        </is>
      </c>
      <c r="L269" t="inlineStr">
        <is>
          <t>Sol 50% (TBD)</t>
        </is>
      </c>
    </row>
    <row r="270">
      <c r="A270" t="inlineStr">
        <is>
          <t>AVA Fideicomiso</t>
        </is>
      </c>
      <c r="B270" s="52" t="n">
        <v>46817</v>
      </c>
      <c r="C270" t="inlineStr">
        <is>
          <t>AVA Palpa · cuota 28 · pendiente factura</t>
        </is>
      </c>
      <c r="D270" t="inlineStr">
        <is>
          <t>AVA FIDEICOMISO</t>
        </is>
      </c>
      <c r="E270" t="n">
        <v>28</v>
      </c>
      <c r="F270" t="n">
        <v>32</v>
      </c>
      <c r="H270" t="inlineStr">
        <is>
          <t>Marzo 2028</t>
        </is>
      </c>
      <c r="I270" t="inlineStr">
        <is>
          <t>2028-03</t>
        </is>
      </c>
      <c r="J270" t="inlineStr">
        <is>
          <t>PENDIENTE</t>
        </is>
      </c>
      <c r="K270" t="inlineStr">
        <is>
          <t>Compromiso AVA · monto a confirmar · 50% Sol / 50% Chris</t>
        </is>
      </c>
      <c r="L270" t="inlineStr">
        <is>
          <t>Sol 50% (TBD)</t>
        </is>
      </c>
    </row>
    <row r="271">
      <c r="A271" t="inlineStr">
        <is>
          <t>AVA Fideicomiso</t>
        </is>
      </c>
      <c r="B271" s="52" t="n">
        <v>46848</v>
      </c>
      <c r="C271" t="inlineStr">
        <is>
          <t>AVA Palpa · cuota 29 · pendiente factura</t>
        </is>
      </c>
      <c r="D271" t="inlineStr">
        <is>
          <t>AVA FIDEICOMISO</t>
        </is>
      </c>
      <c r="E271" t="n">
        <v>29</v>
      </c>
      <c r="F271" t="n">
        <v>32</v>
      </c>
      <c r="H271" t="inlineStr">
        <is>
          <t>Abril 2028</t>
        </is>
      </c>
      <c r="I271" t="inlineStr">
        <is>
          <t>2028-04</t>
        </is>
      </c>
      <c r="J271" t="inlineStr">
        <is>
          <t>PENDIENTE</t>
        </is>
      </c>
      <c r="K271" t="inlineStr">
        <is>
          <t>Compromiso AVA · monto a confirmar · 50% Sol / 50% Chris</t>
        </is>
      </c>
      <c r="L271" t="inlineStr">
        <is>
          <t>Sol 50% (TBD)</t>
        </is>
      </c>
    </row>
    <row r="272">
      <c r="A272" t="inlineStr">
        <is>
          <t>AVA Fideicomiso</t>
        </is>
      </c>
      <c r="B272" s="52" t="n">
        <v>46878</v>
      </c>
      <c r="C272" t="inlineStr">
        <is>
          <t>AVA Palpa · cuota 30 · pendiente factura</t>
        </is>
      </c>
      <c r="D272" t="inlineStr">
        <is>
          <t>AVA FIDEICOMISO</t>
        </is>
      </c>
      <c r="E272" t="n">
        <v>30</v>
      </c>
      <c r="F272" t="n">
        <v>32</v>
      </c>
      <c r="H272" t="inlineStr">
        <is>
          <t>Mayo 2028</t>
        </is>
      </c>
      <c r="I272" t="inlineStr">
        <is>
          <t>2028-05</t>
        </is>
      </c>
      <c r="J272" t="inlineStr">
        <is>
          <t>PENDIENTE</t>
        </is>
      </c>
      <c r="K272" t="inlineStr">
        <is>
          <t>Compromiso AVA · monto a confirmar · 50% Sol / 50% Chris</t>
        </is>
      </c>
      <c r="L272" t="inlineStr">
        <is>
          <t>Sol 50% (TBD)</t>
        </is>
      </c>
    </row>
    <row r="273">
      <c r="A273" t="inlineStr">
        <is>
          <t>AVA Fideicomiso</t>
        </is>
      </c>
      <c r="B273" s="52" t="n">
        <v>46909</v>
      </c>
      <c r="C273" t="inlineStr">
        <is>
          <t>AVA Palpa · cuota 31 · pendiente factura</t>
        </is>
      </c>
      <c r="D273" t="inlineStr">
        <is>
          <t>AVA FIDEICOMISO</t>
        </is>
      </c>
      <c r="E273" t="n">
        <v>31</v>
      </c>
      <c r="F273" t="n">
        <v>32</v>
      </c>
      <c r="H273" t="inlineStr">
        <is>
          <t>Junio 2028</t>
        </is>
      </c>
      <c r="I273" t="inlineStr">
        <is>
          <t>2028-06</t>
        </is>
      </c>
      <c r="J273" t="inlineStr">
        <is>
          <t>PENDIENTE</t>
        </is>
      </c>
      <c r="K273" t="inlineStr">
        <is>
          <t>Compromiso AVA · monto a confirmar · 50% Sol / 50% Chris</t>
        </is>
      </c>
      <c r="L273" t="inlineStr">
        <is>
          <t>Sol 50% (TBD)</t>
        </is>
      </c>
    </row>
    <row r="274">
      <c r="A274" t="inlineStr">
        <is>
          <t>AVA Fideicomiso</t>
        </is>
      </c>
      <c r="B274" s="52" t="n">
        <v>46939</v>
      </c>
      <c r="C274" t="inlineStr">
        <is>
          <t>AVA Palpa · cuota 32 · pendiente factura</t>
        </is>
      </c>
      <c r="D274" t="inlineStr">
        <is>
          <t>AVA FIDEICOMISO</t>
        </is>
      </c>
      <c r="E274" t="n">
        <v>32</v>
      </c>
      <c r="F274" t="n">
        <v>32</v>
      </c>
      <c r="H274" t="inlineStr">
        <is>
          <t>Julio 2028</t>
        </is>
      </c>
      <c r="I274" t="inlineStr">
        <is>
          <t>2028-07</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10</v>
      </c>
      <c r="C279" t="n">
        <v>27859451</v>
      </c>
    </row>
    <row r="280">
      <c r="A280" t="inlineStr">
        <is>
          <t>AVA Fideicomiso PENDIENTE (cuotas futuras)</t>
        </is>
      </c>
      <c r="B280" t="n">
        <v>22</v>
      </c>
      <c r="C280" t="n">
        <v>3275207</v>
      </c>
    </row>
    <row r="281">
      <c r="A281" t="inlineStr">
        <is>
          <t>COMPROMISO NUMÉRICO ACTUAL (BBVA pendiente con monto)</t>
        </is>
      </c>
      <c r="B281" t="n">
        <v>92</v>
      </c>
      <c r="C281" t="n">
        <v>9156618</v>
      </c>
    </row>
    <row r="282">
      <c r="A282" t="inlineStr">
        <is>
          <t>Notas: AVA 50% Sol PAGADO ya está en Gasto Personal Sol (no duplicar). Cuota 11 factura conocida $6,550,413 (50% Sol $3,275,207) PENDIENTE de pago · vto 05/10/2026. Resúmenes oficiales prevalecen sobre texto de chat.</t>
        </is>
      </c>
    </row>
  </sheetData>
  <mergeCells count="1">
    <mergeCell ref="A282:H28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34"/>
  <sheetViews>
    <sheetView showGridLines="0" workbookViewId="0">
      <pane ySplit="7" topLeftCell="A8" activePane="bottomLeft" state="frozen"/>
      <selection pane="bottomLeft" activeCell="A1" sqref="A1"/>
    </sheetView>
  </sheetViews>
  <sheetFormatPr baseColWidth="8" defaultRowHeight="15"/>
  <cols>
    <col width="14" customWidth="1" min="1" max="1"/>
    <col width="22" customWidth="1" min="2" max="2"/>
    <col width="28" customWidth="1" min="3" max="3"/>
    <col width="28" customWidth="1" min="4" max="4"/>
    <col width="12" customWidth="1" min="5" max="5"/>
    <col width="12" customWidth="1" min="6" max="6"/>
    <col width="28" customWidth="1" min="7" max="7"/>
    <col width="12" customWidth="1" min="8" max="8"/>
    <col width="55" customWidth="1" min="9" max="9"/>
  </cols>
  <sheetData>
    <row r="1" ht="22" customHeight="1">
      <c r="A1" s="64" t="inlineStr">
        <is>
          <t>Sol Dollar Mdp</t>
        </is>
      </c>
    </row>
    <row r="2" ht="36" customHeight="1">
      <c r="A2" s="2" t="inlineStr">
        <is>
          <t>Stock de dólares de Sol. Las compras de dólar con BBVA Mastercard NO son gasto (no van a Gasto Personal Sol ni a la matriz 2026). Consumos USD de MC tampoco se imputan como gasto ARS. Percepciones USD (RG 5617 / IVA / IIBB) sí siguen en GPS.</t>
        </is>
      </c>
    </row>
    <row r="4">
      <c r="A4" s="11" t="inlineStr">
        <is>
          <t>Saldo USD a la fecha</t>
        </is>
      </c>
      <c r="B4" s="54" t="n">
        <v>46295</v>
      </c>
      <c r="C4" s="65" t="n">
        <v>1.68</v>
      </c>
      <c r="D4" t="inlineStr">
        <is>
          <t>USD</t>
        </is>
      </c>
      <c r="E4" t="inlineStr">
        <is>
          <t>Resumen oficial tenencias USD MP · saldo final 1–30 sep = US$ 1,68 (detalle de movimientos del PDF cierra en 2002,21 → ajuste REVISAR)</t>
        </is>
      </c>
    </row>
    <row r="6">
      <c r="A6" s="59" t="inlineStr">
        <is>
          <t>Detalle de movimientos</t>
        </is>
      </c>
    </row>
    <row r="7" ht="30" customHeight="1">
      <c r="A7" s="66" t="inlineStr">
        <is>
          <t>Fecha</t>
        </is>
      </c>
      <c r="B7" s="66" t="inlineStr">
        <is>
          <t>Tipo</t>
        </is>
      </c>
      <c r="C7" s="66" t="inlineStr">
        <is>
          <t>Origen</t>
        </is>
      </c>
      <c r="D7" s="66" t="inlineStr">
        <is>
          <t>Descripción</t>
        </is>
      </c>
      <c r="E7" s="66" t="inlineStr">
        <is>
          <t>USD</t>
        </is>
      </c>
      <c r="F7" s="66" t="inlineStr">
        <is>
          <t>TC MEP</t>
        </is>
      </c>
      <c r="G7" s="66" t="inlineStr">
        <is>
          <t>ARS informativo (no es gasto)</t>
        </is>
      </c>
      <c r="H7" s="66" t="inlineStr">
        <is>
          <t>Saldo USD</t>
        </is>
      </c>
      <c r="I7" s="66" t="inlineStr">
        <is>
          <t>Comentario</t>
        </is>
      </c>
    </row>
    <row r="8">
      <c r="A8" s="67" t="n">
        <v>46266</v>
      </c>
      <c r="B8" s="68" t="inlineStr">
        <is>
          <t>Saldo inicial</t>
        </is>
      </c>
      <c r="C8" s="68" t="inlineStr">
        <is>
          <t>Tenencias MP</t>
        </is>
      </c>
      <c r="D8" s="68" t="inlineStr">
        <is>
          <t>Stock USD inicio septiembre</t>
        </is>
      </c>
      <c r="E8" s="69" t="n">
        <v>3159.41</v>
      </c>
      <c r="F8" s="68" t="n"/>
      <c r="G8" s="68" t="n"/>
      <c r="H8" s="69" t="n">
        <v>3159.41</v>
      </c>
      <c r="I8" s="68" t="inlineStr">
        <is>
          <t>Saldo inicial oficial tenencias USD</t>
        </is>
      </c>
    </row>
    <row r="9">
      <c r="A9" s="52" t="n">
        <v>46266</v>
      </c>
      <c r="B9" t="inlineStr">
        <is>
          <t>Rendimiento</t>
        </is>
      </c>
      <c r="C9" t="inlineStr">
        <is>
          <t>Mercado Pago</t>
        </is>
      </c>
      <c r="D9" t="inlineStr">
        <is>
          <t>Rendimientos USD</t>
        </is>
      </c>
      <c r="E9" t="n">
        <v>0.06</v>
      </c>
      <c r="H9" t="n">
        <v>3159.47</v>
      </c>
      <c r="I9" t="inlineStr">
        <is>
          <t>Tenencias USD · resumen oficial cuenta MP 1–30 sep 2026</t>
        </is>
      </c>
    </row>
    <row r="10">
      <c r="A10" s="52" t="n">
        <v>46266</v>
      </c>
      <c r="B10" t="inlineStr">
        <is>
          <t>Venta</t>
        </is>
      </c>
      <c r="C10" t="inlineStr">
        <is>
          <t>Mercado Pago</t>
        </is>
      </c>
      <c r="D10" t="inlineStr">
        <is>
          <t>Venta de dólar MEP</t>
        </is>
      </c>
      <c r="E10" t="n">
        <v>-1135.23</v>
      </c>
      <c r="F10" t="n">
        <v>1511.25</v>
      </c>
      <c r="G10" t="n">
        <v>1715612</v>
      </c>
      <c r="H10" t="n">
        <v>2024.24</v>
      </c>
      <c r="I10" t="inlineStr">
        <is>
          <t>Venta MEP · US$ -1.135,23 · ARS ceil 1.715.611,40 · resumen oficial cuenta MP 1–30 sep 2026</t>
        </is>
      </c>
    </row>
    <row r="11">
      <c r="A11" s="52" t="n">
        <v>46272</v>
      </c>
      <c r="B11" t="inlineStr">
        <is>
          <t>Entrada</t>
        </is>
      </c>
      <c r="C11" t="inlineStr">
        <is>
          <t>Mercado Pago</t>
        </is>
      </c>
      <c r="D11" t="inlineStr">
        <is>
          <t>Dinero retirado Gastos (USD)</t>
        </is>
      </c>
      <c r="E11" t="n">
        <v>2001.2</v>
      </c>
      <c r="H11" t="n">
        <v>4025.44</v>
      </c>
      <c r="I11" t="inlineStr">
        <is>
          <t>Dinero retirado Gastos US$ 2.001,20 · resumen oficial cuenta MP 1–30 sep 2026</t>
        </is>
      </c>
    </row>
    <row r="12">
      <c r="A12" s="52" t="n">
        <v>46273</v>
      </c>
      <c r="B12" t="inlineStr">
        <is>
          <t>Rendimiento</t>
        </is>
      </c>
      <c r="C12" t="inlineStr">
        <is>
          <t>Mercado Pago</t>
        </is>
      </c>
      <c r="D12" t="inlineStr">
        <is>
          <t>Rendimientos USD</t>
        </is>
      </c>
      <c r="E12" t="n">
        <v>0.1</v>
      </c>
      <c r="H12" t="n">
        <v>4025.54</v>
      </c>
      <c r="I12" t="inlineStr">
        <is>
          <t>Tenencias USD · resumen oficial cuenta MP 1–30 sep 2026</t>
        </is>
      </c>
    </row>
    <row r="13">
      <c r="A13" s="52" t="n">
        <v>46274</v>
      </c>
      <c r="B13" t="inlineStr">
        <is>
          <t>Rendimiento</t>
        </is>
      </c>
      <c r="C13" t="inlineStr">
        <is>
          <t>Mercado Pago</t>
        </is>
      </c>
      <c r="D13" t="inlineStr">
        <is>
          <t>Rendimientos USD</t>
        </is>
      </c>
      <c r="E13" t="n">
        <v>0.1</v>
      </c>
      <c r="H13" t="n">
        <v>4025.64</v>
      </c>
      <c r="I13" t="inlineStr">
        <is>
          <t>Tenencias USD · resumen oficial cuenta MP 1–30 sep 2026</t>
        </is>
      </c>
    </row>
    <row r="14">
      <c r="A14" s="52" t="n">
        <v>46275</v>
      </c>
      <c r="B14" t="inlineStr">
        <is>
          <t>Rendimiento</t>
        </is>
      </c>
      <c r="C14" t="inlineStr">
        <is>
          <t>Mercado Pago</t>
        </is>
      </c>
      <c r="D14" t="inlineStr">
        <is>
          <t>Rendimientos USD</t>
        </is>
      </c>
      <c r="E14" t="n">
        <v>0.1</v>
      </c>
      <c r="H14" t="n">
        <v>4025.74</v>
      </c>
      <c r="I14" t="inlineStr">
        <is>
          <t>Tenencias USD · resumen oficial cuenta MP 1–30 sep 2026</t>
        </is>
      </c>
    </row>
    <row r="15">
      <c r="A15" s="52" t="n">
        <v>46275</v>
      </c>
      <c r="B15" t="inlineStr">
        <is>
          <t>Venta</t>
        </is>
      </c>
      <c r="C15" t="inlineStr">
        <is>
          <t>Mercado Pago</t>
        </is>
      </c>
      <c r="D15" t="inlineStr">
        <is>
          <t>Venta de dólar MEP</t>
        </is>
      </c>
      <c r="E15" t="n">
        <v>-1984.17</v>
      </c>
      <c r="F15" t="n">
        <v>1506.78</v>
      </c>
      <c r="G15" t="n">
        <v>2989714</v>
      </c>
      <c r="H15" t="n">
        <v>2041.57</v>
      </c>
      <c r="I15" t="inlineStr">
        <is>
          <t>Venta MEP · US$ -1.984,17 · ARS ceil 2.989.713,19 · resumen oficial cuenta MP 1–30 sep 2026</t>
        </is>
      </c>
    </row>
    <row r="16">
      <c r="A16" s="52" t="n">
        <v>46280</v>
      </c>
      <c r="B16" t="inlineStr">
        <is>
          <t>Rendimiento</t>
        </is>
      </c>
      <c r="C16" t="inlineStr">
        <is>
          <t>Mercado Pago</t>
        </is>
      </c>
      <c r="D16" t="inlineStr">
        <is>
          <t>Rendimientos USD</t>
        </is>
      </c>
      <c r="E16" t="n">
        <v>0.01</v>
      </c>
      <c r="H16" t="n">
        <v>2041.58</v>
      </c>
      <c r="I16" t="inlineStr">
        <is>
          <t>Tenencias USD · resumen oficial cuenta MP 1–30 sep 2026</t>
        </is>
      </c>
    </row>
    <row r="17">
      <c r="A17" s="52" t="n">
        <v>46280</v>
      </c>
      <c r="B17" t="inlineStr">
        <is>
          <t>Venta</t>
        </is>
      </c>
      <c r="C17" t="inlineStr">
        <is>
          <t>Mercado Pago</t>
        </is>
      </c>
      <c r="D17" t="inlineStr">
        <is>
          <t>Venta de dólar MEP</t>
        </is>
      </c>
      <c r="E17" t="n">
        <v>-39.37</v>
      </c>
      <c r="F17" t="n">
        <v>1507.08</v>
      </c>
      <c r="G17" t="n">
        <v>59334</v>
      </c>
      <c r="H17" t="n">
        <v>2002.21</v>
      </c>
      <c r="I17" t="inlineStr">
        <is>
          <t>Venta MEP · US$ -39,37 · ARS ceil 59.333,83 · resumen oficial cuenta MP 1–30 sep 2026</t>
        </is>
      </c>
    </row>
    <row r="18">
      <c r="A18" s="52" t="n">
        <v>46295</v>
      </c>
      <c r="B18" t="inlineStr">
        <is>
          <t>Ajuste</t>
        </is>
      </c>
      <c r="C18" t="inlineStr">
        <is>
          <t>Tenencias MP</t>
        </is>
      </c>
      <c r="D18" t="inlineStr">
        <is>
          <t>Ajuste a saldo final oficial</t>
        </is>
      </c>
      <c r="E18" t="n">
        <v>-2000.53</v>
      </c>
      <c r="H18" t="n">
        <v>1.68</v>
      </c>
      <c r="I18" t="inlineStr">
        <is>
          <t>REVISAR · detalle PDF termina en US$ 2002,21 pero saldo final del resumen = US$ 1,68 · resumen oficial cuenta MP 1–30 sep 2026</t>
        </is>
      </c>
    </row>
    <row r="20">
      <c r="A20" s="2" t="inlineStr">
        <is>
          <t>Consumos USD Mastercard excluidos de GPS (no mueven el stock; stock = US$ 1,68 al 30/09)</t>
        </is>
      </c>
    </row>
    <row r="21">
      <c r="A21" s="70" t="inlineStr">
        <is>
          <t>Fecha GPS</t>
        </is>
      </c>
      <c r="B21" s="70" t="inlineStr">
        <is>
          <t>Concepto</t>
        </is>
      </c>
      <c r="C21" s="70" t="inlineStr">
        <is>
          <t>USD / nota</t>
        </is>
      </c>
      <c r="D21" s="70" t="inlineStr">
        <is>
          <t>ARS que se sacó de GPS</t>
        </is>
      </c>
      <c r="E21" s="70" t="inlineStr">
        <is>
          <t>Medio</t>
        </is>
      </c>
    </row>
    <row r="22">
      <c r="A22" s="71" t="n">
        <v>46183</v>
      </c>
      <c r="B22" s="72" t="inlineStr">
        <is>
          <t>ROPA</t>
        </is>
      </c>
      <c r="C22" s="72" t="inlineStr">
        <is>
          <t>ROPA · gasto personal Sol · monto en USD (no convertido a AR</t>
        </is>
      </c>
      <c r="D22" s="72" t="n"/>
      <c r="E22" s="72" t="inlineStr">
        <is>
          <t>BBVA Mastercard · USD 3.807,01 (EUR 3.250)</t>
        </is>
      </c>
    </row>
    <row r="23">
      <c r="A23" s="71" t="n">
        <v>46163</v>
      </c>
      <c r="B23" s="72" t="inlineStr">
        <is>
          <t>SUSCRIPCIONES · IA</t>
        </is>
      </c>
      <c r="C23" s="73" t="n">
        <v>20</v>
      </c>
      <c r="D23" s="74" t="n">
        <v>28593</v>
      </c>
      <c r="E23" s="72" t="inlineStr">
        <is>
          <t>BBVA Mastercard · USD</t>
        </is>
      </c>
    </row>
    <row r="24">
      <c r="A24" s="71" t="n">
        <v>46163</v>
      </c>
      <c r="B24" s="72" t="inlineStr">
        <is>
          <t>SUSCRIPCIONES · IA</t>
        </is>
      </c>
      <c r="C24" s="73" t="n">
        <v>30</v>
      </c>
      <c r="D24" s="74" t="n">
        <v>42890</v>
      </c>
      <c r="E24" s="72" t="inlineStr">
        <is>
          <t>BBVA Mastercard · USD</t>
        </is>
      </c>
    </row>
    <row r="25">
      <c r="A25" s="71" t="n">
        <v>46194</v>
      </c>
      <c r="B25" s="72" t="inlineStr">
        <is>
          <t>SUSCRIPCIONES · IA</t>
        </is>
      </c>
      <c r="C25" s="73" t="n">
        <v>30</v>
      </c>
      <c r="D25" s="74" t="n">
        <v>43740</v>
      </c>
      <c r="E25" s="72" t="inlineStr">
        <is>
          <t>BBVA Mastercard · USD</t>
        </is>
      </c>
    </row>
    <row r="26">
      <c r="A26" s="71" t="n">
        <v>46029</v>
      </c>
      <c r="B26" s="72" t="inlineStr">
        <is>
          <t>SUSCRIPCIONES · IA</t>
        </is>
      </c>
      <c r="C26" s="73" t="n">
        <v>19.99</v>
      </c>
      <c r="D26" s="74" t="n">
        <v>30110</v>
      </c>
      <c r="E26" s="72" t="inlineStr">
        <is>
          <t>BBVA Mastercard · USD</t>
        </is>
      </c>
    </row>
    <row r="27">
      <c r="A27" s="71" t="n">
        <v>46060</v>
      </c>
      <c r="B27" s="72" t="inlineStr">
        <is>
          <t>SUSCRIPCIONES · IA</t>
        </is>
      </c>
      <c r="C27" s="73" t="n">
        <v>19.99</v>
      </c>
      <c r="D27" s="74" t="n">
        <v>29193</v>
      </c>
      <c r="E27" s="72" t="inlineStr">
        <is>
          <t>BBVA Mastercard · USD</t>
        </is>
      </c>
    </row>
    <row r="28">
      <c r="A28" s="71" t="n">
        <v>46088</v>
      </c>
      <c r="B28" s="72" t="inlineStr">
        <is>
          <t>SUSCRIPCIONES · IA</t>
        </is>
      </c>
      <c r="C28" s="73" t="n">
        <v>19.99</v>
      </c>
      <c r="D28" s="74" t="n">
        <v>28668</v>
      </c>
      <c r="E28" s="72" t="inlineStr">
        <is>
          <t>BBVA Mastercard · USD</t>
        </is>
      </c>
    </row>
    <row r="29">
      <c r="A29" s="71" t="n">
        <v>46119</v>
      </c>
      <c r="B29" s="72" t="inlineStr">
        <is>
          <t>SUSCRIPCIONES · IA</t>
        </is>
      </c>
      <c r="C29" s="73" t="n">
        <v>19.99</v>
      </c>
      <c r="D29" s="74" t="n">
        <v>28667</v>
      </c>
      <c r="E29" s="72" t="inlineStr">
        <is>
          <t>BBVA Mastercard · USD</t>
        </is>
      </c>
    </row>
    <row r="30">
      <c r="A30" s="71" t="n">
        <v>46057</v>
      </c>
      <c r="B30" s="72" t="inlineStr">
        <is>
          <t>SUSCRIPCIONES · IA</t>
        </is>
      </c>
      <c r="C30" s="72" t="inlineStr">
        <is>
          <t>SUSCRIPCIONES · IA · ChatGPT / OpenAI · gasto personal Sol</t>
        </is>
      </c>
      <c r="D30" s="74" t="n">
        <v>29208</v>
      </c>
      <c r="E30" s="72" t="inlineStr">
        <is>
          <t>BBVA</t>
        </is>
      </c>
    </row>
    <row r="31">
      <c r="A31" s="71" t="n">
        <v>46081</v>
      </c>
      <c r="B31" s="72" t="inlineStr">
        <is>
          <t>SUSCRIPCIONES · IA</t>
        </is>
      </c>
      <c r="C31" s="72" t="inlineStr">
        <is>
          <t>SUSCRIPCIONES · IA · ChatGPT / OpenAI · gasto personal Sol</t>
        </is>
      </c>
      <c r="D31" s="74" t="n">
        <v>29208</v>
      </c>
      <c r="E31" s="72" t="inlineStr">
        <is>
          <t>BBVA</t>
        </is>
      </c>
    </row>
    <row r="32">
      <c r="A32" s="71" t="n">
        <v>46117</v>
      </c>
      <c r="B32" s="72" t="inlineStr">
        <is>
          <t>SUSCRIPCIONES · IA</t>
        </is>
      </c>
      <c r="C32" s="72" t="inlineStr">
        <is>
          <t>SUSCRIPCIONES · IA · ChatGPT / OpenAI · gasto personal Sol</t>
        </is>
      </c>
      <c r="D32" s="74" t="n">
        <v>28681</v>
      </c>
      <c r="E32" s="72" t="inlineStr">
        <is>
          <t>BBVA</t>
        </is>
      </c>
    </row>
    <row r="33">
      <c r="A33" s="71" t="n">
        <v>46124</v>
      </c>
      <c r="B33" s="72" t="inlineStr">
        <is>
          <t>SUSCRIPCIONES · IA</t>
        </is>
      </c>
      <c r="C33" s="72" t="inlineStr">
        <is>
          <t>SUSCRIPCIONES · IA · metricscheck.com · REVISAR · metricsche</t>
        </is>
      </c>
      <c r="D33" s="74" t="n">
        <v>29</v>
      </c>
      <c r="E33" s="72" t="inlineStr">
        <is>
          <t>BBVA MASTERCARD</t>
        </is>
      </c>
    </row>
    <row r="34">
      <c r="A34" s="71" t="n">
        <v>46124</v>
      </c>
      <c r="B34" s="72" t="inlineStr">
        <is>
          <t>SUSCRIPCIONES · IA</t>
        </is>
      </c>
      <c r="C34" s="72" t="inlineStr">
        <is>
          <t>SUSCRIPCIONES · IA · metricscheck.com · REVISAR · metricsche</t>
        </is>
      </c>
      <c r="D34" s="74" t="n">
        <v>1</v>
      </c>
      <c r="E34" s="72" t="inlineStr">
        <is>
          <t>BBVA MASTERCARD</t>
        </is>
      </c>
    </row>
  </sheetData>
  <mergeCells count="2">
    <mergeCell ref="A1:I1"/>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2026-10-12T22:21:16Z</dcterms:modified>
</cp:coreProperties>
</file>
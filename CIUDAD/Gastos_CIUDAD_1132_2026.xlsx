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  <sheet name="Inversión" sheetId="5" state="visible" r:id="rId5"/>
    <sheet name="Transferencias recibidas" sheetId="6" state="visible" r:id="rId6"/>
    <sheet name="Expensas Consorcios" sheetId="7" state="visible" r:id="rId7"/>
  </sheets>
  <definedNames>
    <definedName name="_xlnm._FilterDatabase" localSheetId="2" hidden="1">'Detalle'!$A$3:$I$51</definedName>
    <definedName name="_xlnm._FilterDatabase" localSheetId="4" hidden="1">'Inversión'!$A$23:$J$223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13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  <font>
      <name val="Calibri"/>
      <b val="1"/>
      <color rgb="00FFFFFF"/>
    </font>
    <font>
      <name val="Calibri"/>
      <b val="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  <xf numFmtId="0" fontId="11" fillId="2" borderId="1" pivotButton="0" quotePrefix="0" xfId="0"/>
    <xf numFmtId="0" fontId="6" fillId="8" borderId="1" pivotButton="0" quotePrefix="0" xfId="0"/>
    <xf numFmtId="3" fontId="6" fillId="8" borderId="1" pivotButton="0" quotePrefix="0" xfId="0"/>
    <xf numFmtId="10" fontId="0" fillId="0" borderId="1" pivotButton="0" quotePrefix="0" xfId="0"/>
    <xf numFmtId="0" fontId="12" fillId="8" borderId="1" pivotButton="0" quotePrefix="0" xfId="0"/>
    <xf numFmtId="3" fontId="12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>
        <v>12435</v>
      </c>
      <c r="E9" s="5" t="n">
        <v>83757</v>
      </c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146046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s="10" t="inlineStr">
        <is>
          <t>TOTAL</t>
        </is>
      </c>
      <c r="B20" s="23" t="n"/>
      <c r="C20" s="24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2">
      <c r="A22" s="11" t="inlineStr">
        <is>
          <t>Notas</t>
        </is>
      </c>
    </row>
    <row r="23">
      <c r="A23" t="inlineStr">
        <is>
          <t>• Catálogo fijo de conceptos CIUDAD 1132</t>
        </is>
      </c>
    </row>
    <row r="24">
      <c r="A24" t="inlineStr">
        <is>
          <t>• Telecentro: $50.000 mensuales hasta nuevo aviso</t>
        </is>
      </c>
    </row>
    <row r="25">
      <c r="A25" t="inlineStr">
        <is>
          <t>• Montos enteros, siempre redondeados hacia arriba</t>
        </is>
      </c>
    </row>
    <row r="26">
      <c r="A26" t="inlineStr">
        <is>
          <t>• Expensas abril/mayo 2026: PENDIENTE</t>
        </is>
      </c>
    </row>
    <row r="27">
      <c r="A27" t="inlineStr">
        <is>
          <t>• En Detalle: Forma de pago, N° Cliente y N° Medidor cuando existan</t>
        </is>
      </c>
    </row>
    <row r="28">
      <c r="A28" t="inlineStr">
        <is>
          <t>• ALMACEN SOL / ALMACEN CHRIS: totales automáticos desde hoja "Almacen Detalle"</t>
        </is>
      </c>
    </row>
    <row r="29">
      <c r="A29" t="inlineStr">
        <is>
          <t>• TRANSPORTE: Cabify / Uber (Ebanx) / Didi — montos enteros ceil desde Mercado Pago</t>
        </is>
      </c>
    </row>
    <row r="30">
      <c r="A30" s="30" t="inlineStr">
        <is>
          <t>• Dinero retirado: hoja "Dinero Retirado" (no suma al TOTAL de gastos)</t>
        </is>
      </c>
    </row>
    <row r="31">
      <c r="A31" s="30" t="inlineStr">
        <is>
          <t>• FARMACIA: Farmacity / Farmacia Selma / Farmacia Maure — nombre de farmacia en comentario</t>
        </is>
      </c>
    </row>
    <row r="32">
      <c r="A32" s="30" t="inlineStr">
        <is>
          <t>• Personal (Pago directo): va a OHIGGINS → TV CABLE-INTERNET — no CIUDAD</t>
        </is>
      </c>
    </row>
    <row r="33">
      <c r="A33" s="30" t="inlineStr">
        <is>
          <t>• Inversión: hoja "Inversión" (bonos, plazos fijos y otros; no suma al TOTAL de gastos)</t>
        </is>
      </c>
    </row>
    <row r="34">
      <c r="A34" s="30" t="inlineStr">
        <is>
          <t>• Transferencias recibidas: hoja "Transferencias recibidas" (no suma al total de gastos)</t>
        </is>
      </c>
    </row>
    <row r="35">
      <c r="A35" s="30" t="inlineStr">
        <is>
          <t>• Expensas consorcios: hoja "Expensas Consorcios" (Consorcio De Propiet = CIUDAD; no ALMACEN SOL)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inlineStr">
        <is>
          <t>Enero</t>
        </is>
      </c>
      <c r="B7" s="17" t="n">
        <v>46051</v>
      </c>
      <c r="C7" s="14" t="inlineStr">
        <is>
          <t>Copetin Catering</t>
        </is>
      </c>
      <c r="D7" s="27" t="n">
        <v>9800</v>
      </c>
      <c r="E7" s="28" t="n"/>
      <c r="F7" s="15">
        <f>IF(OR(D7&lt;&gt;"",E7&lt;&gt;""),IF(D7="",0,D7)+IF(E7="",0,E7),"")</f>
        <v/>
      </c>
      <c r="G7" s="14" t="inlineStr">
        <is>
          <t>MP · catering</t>
        </is>
      </c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inlineStr">
        <is>
          <t>Enero</t>
        </is>
      </c>
      <c r="B10" s="17" t="n">
        <v>46049</v>
      </c>
      <c r="C10" s="14" t="inlineStr">
        <is>
          <t>Copetin Catering (27/1)</t>
        </is>
      </c>
      <c r="D10" s="27" t="n">
        <v>19550</v>
      </c>
      <c r="E10" s="28" t="n"/>
      <c r="F10" s="15">
        <f>IF(OR(D10&lt;&gt;"",E10&lt;&gt;""),IF(D10="",0,D10)+IF(E10="",0,E10),"")</f>
        <v/>
      </c>
      <c r="G10" s="14" t="inlineStr">
        <is>
          <t>MP · catering</t>
        </is>
      </c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inlineStr">
        <is>
          <t>Enero</t>
        </is>
      </c>
      <c r="B14" s="17" t="n">
        <v>46044</v>
      </c>
      <c r="C14" s="14" t="inlineStr">
        <is>
          <t>Copetin Catering (22/1)</t>
        </is>
      </c>
      <c r="D14" s="27" t="n">
        <v>11950</v>
      </c>
      <c r="E14" s="28" t="n"/>
      <c r="F14" s="15">
        <f>IF(OR(D14&lt;&gt;"",E14&lt;&gt;""),IF(D14="",0,D14)+IF(E14="",0,E14),"")</f>
        <v/>
      </c>
      <c r="G14" s="14" t="inlineStr">
        <is>
          <t>MP · catering</t>
        </is>
      </c>
    </row>
    <row r="15">
      <c r="A15" s="14" t="inlineStr">
        <is>
          <t>Enero</t>
        </is>
      </c>
      <c r="B15" s="17" t="n">
        <v>46042</v>
      </c>
      <c r="C15" s="14" t="inlineStr">
        <is>
          <t>Copetin Catering (20/1)</t>
        </is>
      </c>
      <c r="D15" s="27" t="n">
        <v>3585</v>
      </c>
      <c r="E15" s="28" t="n"/>
      <c r="F15" s="15">
        <f>IF(OR(D15&lt;&gt;"",E15&lt;&gt;""),IF(D15="",0,D15)+IF(E15="",0,E15),"")</f>
        <v/>
      </c>
      <c r="G15" s="14" t="inlineStr">
        <is>
          <t>MP · catering</t>
        </is>
      </c>
    </row>
    <row r="16">
      <c r="A16" s="14" t="inlineStr">
        <is>
          <t>Enero</t>
        </is>
      </c>
      <c r="B16" s="17" t="n">
        <v>46041</v>
      </c>
      <c r="C16" s="14" t="inlineStr">
        <is>
          <t>Copetin Catering (19/1)</t>
        </is>
      </c>
      <c r="D16" s="27" t="n">
        <v>3585</v>
      </c>
      <c r="E16" s="28" t="n"/>
      <c r="F16" s="15">
        <f>IF(OR(D16&lt;&gt;"",E16&lt;&gt;""),IF(D16="",0,D16)+IF(E16="",0,E16),"")</f>
        <v/>
      </c>
      <c r="G16" s="14" t="inlineStr">
        <is>
          <t>MP · catering</t>
        </is>
      </c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SUPERMERCADO · Carrefour</t>
        </is>
      </c>
    </row>
    <row r="18">
      <c r="A18" s="14" t="inlineStr">
        <is>
          <t>Enero</t>
        </is>
      </c>
      <c r="B18" s="17" t="n">
        <v>46035</v>
      </c>
      <c r="C18" s="14" t="inlineStr">
        <is>
          <t>Copetin Catering (13/1)</t>
        </is>
      </c>
      <c r="D18" s="27" t="n">
        <v>2940</v>
      </c>
      <c r="E18" s="28" t="n"/>
      <c r="F18" s="15">
        <f>IF(OR(D18&lt;&gt;"",E18&lt;&gt;""),IF(D18="",0,D18)+IF(E18="",0,E18),"")</f>
        <v/>
      </c>
      <c r="G18" s="14" t="inlineStr">
        <is>
          <t>MP · catering</t>
        </is>
      </c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MP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inlineStr">
        <is>
          <t>Enero</t>
        </is>
      </c>
      <c r="B23" s="17" t="n">
        <v>46030</v>
      </c>
      <c r="C23" s="14" t="inlineStr">
        <is>
          <t>Copetin Catering (8/1)</t>
        </is>
      </c>
      <c r="D23" s="27" t="n">
        <v>3585</v>
      </c>
      <c r="E23" s="28" t="n"/>
      <c r="F23" s="15">
        <f>IF(OR(D23&lt;&gt;"",E23&lt;&gt;""),IF(D23="",0,D23)+IF(E23="",0,E23),"")</f>
        <v/>
      </c>
      <c r="G23" s="14" t="inlineStr">
        <is>
          <t>MP · catering</t>
        </is>
      </c>
    </row>
    <row r="24">
      <c r="A24" s="14" t="inlineStr">
        <is>
          <t>Enero</t>
        </is>
      </c>
      <c r="B24" s="17" t="n">
        <v>46028</v>
      </c>
      <c r="C24" s="14" t="inlineStr">
        <is>
          <t>Copetin Catering (6/1)</t>
        </is>
      </c>
      <c r="D24" s="27" t="n">
        <v>645</v>
      </c>
      <c r="E24" s="28" t="n"/>
      <c r="F24" s="15">
        <f>IF(OR(D24&lt;&gt;"",E24&lt;&gt;""),IF(D24="",0,D24)+IF(E24="",0,E24),"")</f>
        <v/>
      </c>
      <c r="G24" s="14" t="inlineStr">
        <is>
          <t>MP · catering</t>
        </is>
      </c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SUPERMERCADO · Día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SUPERMERCADO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SUPERMERCADO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SUPERMERCADO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SUPERMERCADO · Día</t>
        </is>
      </c>
    </row>
    <row r="32">
      <c r="A32" s="14" t="inlineStr">
        <is>
          <t>Enero</t>
        </is>
      </c>
      <c r="B32" s="17" t="n">
        <v>46026</v>
      </c>
      <c r="C32" s="14" t="inlineStr">
        <is>
          <t>Verdulería (Noelia Caballero)</t>
        </is>
      </c>
      <c r="D32" s="27" t="n">
        <v>8180</v>
      </c>
      <c r="E32" s="28" t="n"/>
      <c r="F32" s="15">
        <f>IF(OR(D32&lt;&gt;"",E32&lt;&gt;""),IF(D32="",0,D32)+IF(E32="",0,E32),"")</f>
        <v/>
      </c>
      <c r="G32" s="14" t="inlineStr">
        <is>
          <t>COMIDA · VERDULERÍA</t>
        </is>
      </c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inlineStr">
        <is>
          <t>Febrero</t>
        </is>
      </c>
      <c r="B50" s="17" t="n">
        <v>46077</v>
      </c>
      <c r="C50" s="14" t="inlineStr">
        <is>
          <t>Copetin Catering</t>
        </is>
      </c>
      <c r="D50" s="27" t="n">
        <v>13500</v>
      </c>
      <c r="E50" s="28" t="n"/>
      <c r="F50" s="15">
        <f>IF(OR(D50&lt;&gt;"",E50&lt;&gt;""),IF(D50="",0,D50)+IF(E50="",0,E50),"")</f>
        <v/>
      </c>
      <c r="G50" s="14" t="inlineStr">
        <is>
          <t>MP · catering</t>
        </is>
      </c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MP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MP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SUPERMERCADO · Día</t>
        </is>
      </c>
    </row>
    <row r="54">
      <c r="A54" s="14" t="inlineStr">
        <is>
          <t>Febrero</t>
        </is>
      </c>
      <c r="B54" s="17" t="n">
        <v>46071</v>
      </c>
      <c r="C54" s="14" t="inlineStr">
        <is>
          <t>Copetin Catering</t>
        </is>
      </c>
      <c r="D54" s="27" t="n">
        <v>2703</v>
      </c>
      <c r="E54" s="28" t="n"/>
      <c r="F54" s="15">
        <f>IF(OR(D54&lt;&gt;"",E54&lt;&gt;""),IF(D54="",0,D54)+IF(E54="",0,E54),"")</f>
        <v/>
      </c>
      <c r="G54" s="14" t="inlineStr">
        <is>
          <t>MP · catering</t>
        </is>
      </c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SUPERMERCADO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inlineStr">
        <is>
          <t>Febrero</t>
        </is>
      </c>
      <c r="B57" s="17" t="n">
        <v>46063</v>
      </c>
      <c r="C57" s="14" t="inlineStr">
        <is>
          <t>Copetin Catering</t>
        </is>
      </c>
      <c r="D57" s="27" t="n">
        <v>2940</v>
      </c>
      <c r="E57" s="28" t="n"/>
      <c r="F57" s="15">
        <f>IF(OR(D57&lt;&gt;"",E57&lt;&gt;""),IF(D57="",0,D57)+IF(E57="",0,E57),"")</f>
        <v/>
      </c>
      <c r="G57" s="14" t="inlineStr">
        <is>
          <t>MP · catering</t>
        </is>
      </c>
    </row>
    <row r="58">
      <c r="A58" s="14" t="inlineStr">
        <is>
          <t>Febrero</t>
        </is>
      </c>
      <c r="B58" s="17" t="n">
        <v>46063</v>
      </c>
      <c r="C58" s="14" t="inlineStr">
        <is>
          <t>Copetin Catering (2)</t>
        </is>
      </c>
      <c r="D58" s="27" t="n">
        <v>1770</v>
      </c>
      <c r="E58" s="28" t="n"/>
      <c r="F58" s="15">
        <f>IF(OR(D58&lt;&gt;"",E58&lt;&gt;""),IF(D58="",0,D58)+IF(E58="",0,E58),"")</f>
        <v/>
      </c>
      <c r="G58" s="14" t="inlineStr">
        <is>
          <t>MP · catering</t>
        </is>
      </c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SUPERMERCADO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SUPERMERCADO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inlineStr">
        <is>
          <t>Febrero</t>
        </is>
      </c>
      <c r="B63" s="17" t="n">
        <v>46058</v>
      </c>
      <c r="C63" s="14" t="inlineStr">
        <is>
          <t>Copetin Catering (5/2)</t>
        </is>
      </c>
      <c r="D63" s="27" t="n">
        <v>2940</v>
      </c>
      <c r="E63" s="28" t="n"/>
      <c r="F63" s="15">
        <f>IF(OR(D63&lt;&gt;"",E63&lt;&gt;""),IF(D63="",0,D63)+IF(E63="",0,E63),"")</f>
        <v/>
      </c>
      <c r="G63" s="14" t="inlineStr">
        <is>
          <t>MP · catering</t>
        </is>
      </c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inlineStr">
        <is>
          <t>Febrero</t>
        </is>
      </c>
      <c r="B65" s="17" t="n">
        <v>46056</v>
      </c>
      <c r="C65" s="14" t="inlineStr">
        <is>
          <t>Copetin Catering (3/2)</t>
        </is>
      </c>
      <c r="D65" s="27" t="n">
        <v>3585</v>
      </c>
      <c r="E65" s="28" t="n"/>
      <c r="F65" s="15">
        <f>IF(OR(D65&lt;&gt;"",E65&lt;&gt;""),IF(D65="",0,D65)+IF(E65="",0,E65),"")</f>
        <v/>
      </c>
      <c r="G65" s="14" t="inlineStr">
        <is>
          <t>MP · catering</t>
        </is>
      </c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SUPERMERCADO · Día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SUPERMERCADO · Coto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SUPERMERCADO · Día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SUPERMERCADO · Día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SUPERMERCADO · Coto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SUPERMERCADO · Carrefour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SUPERMERCADO · Coto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SUPERMERCADO · Carrefour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SUPERMERCADO · Coto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inlineStr">
        <is>
          <t>SUPERMERCADO · Coto</t>
        </is>
      </c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inlineStr">
        <is>
          <t>SUPERMERCADO · Día</t>
        </is>
      </c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COMIDA · VALENTI SA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COMIDA · VALENTI SA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>
        <v>46220</v>
      </c>
      <c r="C270" s="14" t="inlineStr">
        <is>
          <t>Chocolates CHIAZZA (Florencia Londero)</t>
        </is>
      </c>
      <c r="D270" s="27" t="n">
        <v>8000</v>
      </c>
      <c r="E270" s="28" t="n"/>
      <c r="F270" s="15">
        <f>IF(OR(D270&lt;&gt;"",E270&lt;&gt;""),IF(D270="",0,D270)+IF(E270="",0,E270),"")</f>
        <v/>
      </c>
      <c r="G270" s="14" t="inlineStr">
        <is>
          <t>COMIDA · Chocolates CHIAZZA</t>
        </is>
      </c>
    </row>
    <row r="271">
      <c r="A271" s="14" t="inlineStr">
        <is>
          <t>Julio</t>
        </is>
      </c>
      <c r="B271" s="17" t="n">
        <v>46217</v>
      </c>
      <c r="C271" s="14" t="inlineStr">
        <is>
          <t>Verdulería (Noelia Caballero)</t>
        </is>
      </c>
      <c r="D271" s="27" t="n">
        <v>8977</v>
      </c>
      <c r="E271" s="28" t="n"/>
      <c r="F271" s="15">
        <f>IF(OR(D271&lt;&gt;"",E271&lt;&gt;""),IF(D271="",0,D271)+IF(E271="",0,E271),"")</f>
        <v/>
      </c>
      <c r="G271" s="14" t="inlineStr">
        <is>
          <t>COMIDA · VERDULERÍA</t>
        </is>
      </c>
    </row>
    <row r="272">
      <c r="A272" s="14" t="inlineStr">
        <is>
          <t>Julio</t>
        </is>
      </c>
      <c r="B272" s="17" t="n">
        <v>46214</v>
      </c>
      <c r="C272" s="14" t="inlineStr">
        <is>
          <t>Nemuri Sushi</t>
        </is>
      </c>
      <c r="D272" s="27" t="n">
        <v>195360</v>
      </c>
      <c r="E272" s="28" t="n"/>
      <c r="F272" s="15">
        <f>IF(OR(D272&lt;&gt;"",E272&lt;&gt;""),IF(D272="",0,D272)+IF(E272="",0,E272),"")</f>
        <v/>
      </c>
      <c r="G272" s="14" t="inlineStr">
        <is>
          <t>COMIDA · SUSHI</t>
        </is>
      </c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34" customWidth="1" min="5" max="5"/>
    <col width="15" customWidth="1" min="6" max="6"/>
    <col width="25" customWidth="1" min="7" max="7"/>
    <col width="15" customWidth="1" min="8" max="8"/>
    <col width="18" customWidth="1" min="9" max="9"/>
    <col width="42" customWidth="1" min="10" max="10"/>
  </cols>
  <sheetData>
    <row r="1">
      <c r="A1" s="1" t="inlineStr">
        <is>
          <t>CIUDAD 1132 — Inversión</t>
        </is>
      </c>
    </row>
    <row r="2">
      <c r="A2" s="30" t="inlineStr">
        <is>
          <t>Bonos, plazos fijos, fondos y otros movimientos de inversión.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Invertido</t>
        </is>
      </c>
      <c r="C5" s="34" t="inlineStr">
        <is>
          <t>Rescatado</t>
        </is>
      </c>
      <c r="D5" s="34" t="inlineStr">
        <is>
          <t>Rendimiento</t>
        </is>
      </c>
      <c r="E5" s="34" t="inlineStr">
        <is>
          <t>Neto</t>
        </is>
      </c>
    </row>
    <row r="6">
      <c r="A6" s="14" t="inlineStr">
        <is>
          <t>Enero</t>
        </is>
      </c>
      <c r="B6" s="15">
        <f>SUMIFS($F$24:$F$223,$B$24:$B$223,A6,$D$24:$D$223,"Inversión")</f>
        <v/>
      </c>
      <c r="C6" s="15">
        <f>SUMIFS($F$24:$F$223,$B$24:$B$223,A6,$D$24:$D$223,"Rescate")</f>
        <v/>
      </c>
      <c r="D6" s="15">
        <f>SUMIFS($F$24:$F$223,$B$24:$B$223,A6,$D$24:$D$223,"Rendimiento")</f>
        <v/>
      </c>
      <c r="E6" s="15">
        <f>C6+D6-B6</f>
        <v/>
      </c>
    </row>
    <row r="7">
      <c r="A7" s="14" t="inlineStr">
        <is>
          <t>Febrero</t>
        </is>
      </c>
      <c r="B7" s="15">
        <f>SUMIFS($F$24:$F$223,$B$24:$B$223,A7,$D$24:$D$223,"Inversión")</f>
        <v/>
      </c>
      <c r="C7" s="15">
        <f>SUMIFS($F$24:$F$223,$B$24:$B$223,A7,$D$24:$D$223,"Rescate")</f>
        <v/>
      </c>
      <c r="D7" s="15">
        <f>SUMIFS($F$24:$F$223,$B$24:$B$223,A7,$D$24:$D$223,"Rendimiento")</f>
        <v/>
      </c>
      <c r="E7" s="15">
        <f>C7+D7-B7</f>
        <v/>
      </c>
    </row>
    <row r="8">
      <c r="A8" s="14" t="inlineStr">
        <is>
          <t>Marzo</t>
        </is>
      </c>
      <c r="B8" s="15">
        <f>SUMIFS($F$24:$F$223,$B$24:$B$223,A8,$D$24:$D$223,"Inversión")</f>
        <v/>
      </c>
      <c r="C8" s="15">
        <f>SUMIFS($F$24:$F$223,$B$24:$B$223,A8,$D$24:$D$223,"Rescate")</f>
        <v/>
      </c>
      <c r="D8" s="15">
        <f>SUMIFS($F$24:$F$223,$B$24:$B$223,A8,$D$24:$D$223,"Rendimiento")</f>
        <v/>
      </c>
      <c r="E8" s="15">
        <f>C8+D8-B8</f>
        <v/>
      </c>
    </row>
    <row r="9">
      <c r="A9" s="14" t="inlineStr">
        <is>
          <t>Abril</t>
        </is>
      </c>
      <c r="B9" s="15">
        <f>SUMIFS($F$24:$F$223,$B$24:$B$223,A9,$D$24:$D$223,"Inversión")</f>
        <v/>
      </c>
      <c r="C9" s="15">
        <f>SUMIFS($F$24:$F$223,$B$24:$B$223,A9,$D$24:$D$223,"Rescate")</f>
        <v/>
      </c>
      <c r="D9" s="15">
        <f>SUMIFS($F$24:$F$223,$B$24:$B$223,A9,$D$24:$D$223,"Rendimiento")</f>
        <v/>
      </c>
      <c r="E9" s="15">
        <f>C9+D9-B9</f>
        <v/>
      </c>
    </row>
    <row r="10">
      <c r="A10" s="14" t="inlineStr">
        <is>
          <t>Mayo</t>
        </is>
      </c>
      <c r="B10" s="15">
        <f>SUMIFS($F$24:$F$223,$B$24:$B$223,A10,$D$24:$D$223,"Inversión")</f>
        <v/>
      </c>
      <c r="C10" s="15">
        <f>SUMIFS($F$24:$F$223,$B$24:$B$223,A10,$D$24:$D$223,"Rescate")</f>
        <v/>
      </c>
      <c r="D10" s="15">
        <f>SUMIFS($F$24:$F$223,$B$24:$B$223,A10,$D$24:$D$223,"Rendimiento")</f>
        <v/>
      </c>
      <c r="E10" s="15">
        <f>C10+D10-B10</f>
        <v/>
      </c>
    </row>
    <row r="11">
      <c r="A11" s="14" t="inlineStr">
        <is>
          <t>Junio</t>
        </is>
      </c>
      <c r="B11" s="15">
        <f>SUMIFS($F$24:$F$223,$B$24:$B$223,A11,$D$24:$D$223,"Inversión")</f>
        <v/>
      </c>
      <c r="C11" s="15">
        <f>SUMIFS($F$24:$F$223,$B$24:$B$223,A11,$D$24:$D$223,"Rescate")</f>
        <v/>
      </c>
      <c r="D11" s="15">
        <f>SUMIFS($F$24:$F$223,$B$24:$B$223,A11,$D$24:$D$223,"Rendimiento")</f>
        <v/>
      </c>
      <c r="E11" s="15">
        <f>C11+D11-B11</f>
        <v/>
      </c>
    </row>
    <row r="12">
      <c r="A12" s="14" t="inlineStr">
        <is>
          <t>Julio</t>
        </is>
      </c>
      <c r="B12" s="15">
        <f>SUMIFS($F$24:$F$223,$B$24:$B$223,A12,$D$24:$D$223,"Inversión")</f>
        <v/>
      </c>
      <c r="C12" s="15">
        <f>SUMIFS($F$24:$F$223,$B$24:$B$223,A12,$D$24:$D$223,"Rescate")</f>
        <v/>
      </c>
      <c r="D12" s="15">
        <f>SUMIFS($F$24:$F$223,$B$24:$B$223,A12,$D$24:$D$223,"Rendimiento")</f>
        <v/>
      </c>
      <c r="E12" s="15">
        <f>C12+D12-B12</f>
        <v/>
      </c>
    </row>
    <row r="13">
      <c r="A13" s="14" t="inlineStr">
        <is>
          <t>Agosto</t>
        </is>
      </c>
      <c r="B13" s="15">
        <f>SUMIFS($F$24:$F$223,$B$24:$B$223,A13,$D$24:$D$223,"Inversión")</f>
        <v/>
      </c>
      <c r="C13" s="15">
        <f>SUMIFS($F$24:$F$223,$B$24:$B$223,A13,$D$24:$D$223,"Rescate")</f>
        <v/>
      </c>
      <c r="D13" s="15">
        <f>SUMIFS($F$24:$F$223,$B$24:$B$223,A13,$D$24:$D$223,"Rendimiento")</f>
        <v/>
      </c>
      <c r="E13" s="15">
        <f>C13+D13-B13</f>
        <v/>
      </c>
    </row>
    <row r="14">
      <c r="A14" s="14" t="inlineStr">
        <is>
          <t>Septiembre</t>
        </is>
      </c>
      <c r="B14" s="15">
        <f>SUMIFS($F$24:$F$223,$B$24:$B$223,A14,$D$24:$D$223,"Inversión")</f>
        <v/>
      </c>
      <c r="C14" s="15">
        <f>SUMIFS($F$24:$F$223,$B$24:$B$223,A14,$D$24:$D$223,"Rescate")</f>
        <v/>
      </c>
      <c r="D14" s="15">
        <f>SUMIFS($F$24:$F$223,$B$24:$B$223,A14,$D$24:$D$223,"Rendimiento")</f>
        <v/>
      </c>
      <c r="E14" s="15">
        <f>C14+D14-B14</f>
        <v/>
      </c>
    </row>
    <row r="15">
      <c r="A15" s="14" t="inlineStr">
        <is>
          <t>Octubre</t>
        </is>
      </c>
      <c r="B15" s="15">
        <f>SUMIFS($F$24:$F$223,$B$24:$B$223,A15,$D$24:$D$223,"Inversión")</f>
        <v/>
      </c>
      <c r="C15" s="15">
        <f>SUMIFS($F$24:$F$223,$B$24:$B$223,A15,$D$24:$D$223,"Rescate")</f>
        <v/>
      </c>
      <c r="D15" s="15">
        <f>SUMIFS($F$24:$F$223,$B$24:$B$223,A15,$D$24:$D$223,"Rendimiento")</f>
        <v/>
      </c>
      <c r="E15" s="15">
        <f>C15+D15-B15</f>
        <v/>
      </c>
    </row>
    <row r="16">
      <c r="A16" s="14" t="inlineStr">
        <is>
          <t>Noviembre</t>
        </is>
      </c>
      <c r="B16" s="15">
        <f>SUMIFS($F$24:$F$223,$B$24:$B$223,A16,$D$24:$D$223,"Inversión")</f>
        <v/>
      </c>
      <c r="C16" s="15">
        <f>SUMIFS($F$24:$F$223,$B$24:$B$223,A16,$D$24:$D$223,"Rescate")</f>
        <v/>
      </c>
      <c r="D16" s="15">
        <f>SUMIFS($F$24:$F$223,$B$24:$B$223,A16,$D$24:$D$223,"Rendimiento")</f>
        <v/>
      </c>
      <c r="E16" s="15">
        <f>C16+D16-B16</f>
        <v/>
      </c>
    </row>
    <row r="17">
      <c r="A17" s="14" t="inlineStr">
        <is>
          <t>Diciembre</t>
        </is>
      </c>
      <c r="B17" s="15">
        <f>SUMIFS($F$24:$F$223,$B$24:$B$223,A17,$D$24:$D$223,"Inversión")</f>
        <v/>
      </c>
      <c r="C17" s="15">
        <f>SUMIFS($F$24:$F$223,$B$24:$B$223,A17,$D$24:$D$223,"Rescate")</f>
        <v/>
      </c>
      <c r="D17" s="15">
        <f>SUMIFS($F$24:$F$223,$B$24:$B$223,A17,$D$24:$D$223,"Rendimiento")</f>
        <v/>
      </c>
      <c r="E17" s="15">
        <f>C17+D17-B17</f>
        <v/>
      </c>
    </row>
    <row r="18">
      <c r="A18" s="35" t="inlineStr">
        <is>
          <t>TOTAL AÑO</t>
        </is>
      </c>
      <c r="B18" s="36">
        <f>SUM(B6:B17)</f>
        <v/>
      </c>
      <c r="C18" s="36">
        <f>SUM(C6:C17)</f>
        <v/>
      </c>
      <c r="D18" s="36">
        <f>SUM(D6:D17)</f>
        <v/>
      </c>
      <c r="E18" s="36">
        <f>SUM(E6:E17)</f>
        <v/>
      </c>
    </row>
    <row r="21">
      <c r="A21" s="31" t="inlineStr">
        <is>
          <t>Detalle</t>
        </is>
      </c>
    </row>
    <row r="23">
      <c r="A23" s="34" t="inlineStr">
        <is>
          <t>Fecha</t>
        </is>
      </c>
      <c r="B23" s="34" t="inlineStr">
        <is>
          <t>Mes</t>
        </is>
      </c>
      <c r="C23" s="34" t="inlineStr">
        <is>
          <t>Tipo</t>
        </is>
      </c>
      <c r="D23" s="34" t="inlineStr">
        <is>
          <t>Movimiento</t>
        </is>
      </c>
      <c r="E23" s="34" t="inlineStr">
        <is>
          <t>Instrumento / concepto</t>
        </is>
      </c>
      <c r="F23" s="34" t="inlineStr">
        <is>
          <t>Monto</t>
        </is>
      </c>
      <c r="G23" s="34" t="inlineStr">
        <is>
          <t>Entidad / medio</t>
        </is>
      </c>
      <c r="H23" s="34" t="inlineStr">
        <is>
          <t>Vencimiento</t>
        </is>
      </c>
      <c r="I23" s="34" t="inlineStr">
        <is>
          <t>Tasa / rendimiento</t>
        </is>
      </c>
      <c r="J23" s="34" t="inlineStr">
        <is>
          <t>Comentario</t>
        </is>
      </c>
    </row>
    <row r="24">
      <c r="A24" s="17" t="n"/>
      <c r="B24" s="14" t="n"/>
      <c r="C24" s="14" t="n"/>
      <c r="D24" s="14" t="n"/>
      <c r="E24" s="14" t="n"/>
      <c r="F24" s="15" t="n"/>
      <c r="G24" s="14" t="n"/>
      <c r="H24" s="17" t="n"/>
      <c r="I24" s="37" t="n"/>
      <c r="J24" s="14" t="n"/>
    </row>
    <row r="25">
      <c r="A25" s="17" t="n"/>
      <c r="B25" s="14" t="n"/>
      <c r="C25" s="14" t="n"/>
      <c r="D25" s="14" t="n"/>
      <c r="E25" s="14" t="n"/>
      <c r="F25" s="15" t="n"/>
      <c r="G25" s="14" t="n"/>
      <c r="H25" s="17" t="n"/>
      <c r="I25" s="37" t="n"/>
      <c r="J25" s="14" t="n"/>
    </row>
    <row r="26">
      <c r="A26" s="17" t="n"/>
      <c r="B26" s="14" t="n"/>
      <c r="C26" s="14" t="n"/>
      <c r="D26" s="14" t="n"/>
      <c r="E26" s="14" t="n"/>
      <c r="F26" s="15" t="n"/>
      <c r="G26" s="14" t="n"/>
      <c r="H26" s="17" t="n"/>
      <c r="I26" s="37" t="n"/>
      <c r="J26" s="14" t="n"/>
    </row>
    <row r="27">
      <c r="A27" s="17" t="n"/>
      <c r="B27" s="14" t="n"/>
      <c r="C27" s="14" t="n"/>
      <c r="D27" s="14" t="n"/>
      <c r="E27" s="14" t="n"/>
      <c r="F27" s="15" t="n"/>
      <c r="G27" s="14" t="n"/>
      <c r="H27" s="17" t="n"/>
      <c r="I27" s="37" t="n"/>
      <c r="J27" s="14" t="n"/>
    </row>
    <row r="28">
      <c r="A28" s="17" t="n"/>
      <c r="B28" s="14" t="n"/>
      <c r="C28" s="14" t="n"/>
      <c r="D28" s="14" t="n"/>
      <c r="E28" s="14" t="n"/>
      <c r="F28" s="15" t="n"/>
      <c r="G28" s="14" t="n"/>
      <c r="H28" s="17" t="n"/>
      <c r="I28" s="37" t="n"/>
      <c r="J28" s="14" t="n"/>
    </row>
    <row r="29">
      <c r="A29" s="17" t="n"/>
      <c r="B29" s="14" t="n"/>
      <c r="C29" s="14" t="n"/>
      <c r="D29" s="14" t="n"/>
      <c r="E29" s="14" t="n"/>
      <c r="F29" s="15" t="n"/>
      <c r="G29" s="14" t="n"/>
      <c r="H29" s="17" t="n"/>
      <c r="I29" s="37" t="n"/>
      <c r="J29" s="14" t="n"/>
    </row>
    <row r="30">
      <c r="A30" s="17" t="n"/>
      <c r="B30" s="14" t="n"/>
      <c r="C30" s="14" t="n"/>
      <c r="D30" s="14" t="n"/>
      <c r="E30" s="14" t="n"/>
      <c r="F30" s="15" t="n"/>
      <c r="G30" s="14" t="n"/>
      <c r="H30" s="17" t="n"/>
      <c r="I30" s="37" t="n"/>
      <c r="J30" s="14" t="n"/>
    </row>
    <row r="31">
      <c r="A31" s="17" t="n"/>
      <c r="B31" s="14" t="n"/>
      <c r="C31" s="14" t="n"/>
      <c r="D31" s="14" t="n"/>
      <c r="E31" s="14" t="n"/>
      <c r="F31" s="15" t="n"/>
      <c r="G31" s="14" t="n"/>
      <c r="H31" s="17" t="n"/>
      <c r="I31" s="37" t="n"/>
      <c r="J31" s="14" t="n"/>
    </row>
    <row r="32">
      <c r="A32" s="17" t="n"/>
      <c r="B32" s="14" t="n"/>
      <c r="C32" s="14" t="n"/>
      <c r="D32" s="14" t="n"/>
      <c r="E32" s="14" t="n"/>
      <c r="F32" s="15" t="n"/>
      <c r="G32" s="14" t="n"/>
      <c r="H32" s="17" t="n"/>
      <c r="I32" s="37" t="n"/>
      <c r="J32" s="14" t="n"/>
    </row>
    <row r="33">
      <c r="A33" s="17" t="n"/>
      <c r="B33" s="14" t="n"/>
      <c r="C33" s="14" t="n"/>
      <c r="D33" s="14" t="n"/>
      <c r="E33" s="14" t="n"/>
      <c r="F33" s="15" t="n"/>
      <c r="G33" s="14" t="n"/>
      <c r="H33" s="17" t="n"/>
      <c r="I33" s="37" t="n"/>
      <c r="J33" s="14" t="n"/>
    </row>
    <row r="34">
      <c r="A34" s="17" t="n"/>
      <c r="B34" s="14" t="n"/>
      <c r="C34" s="14" t="n"/>
      <c r="D34" s="14" t="n"/>
      <c r="E34" s="14" t="n"/>
      <c r="F34" s="15" t="n"/>
      <c r="G34" s="14" t="n"/>
      <c r="H34" s="17" t="n"/>
      <c r="I34" s="37" t="n"/>
      <c r="J34" s="14" t="n"/>
    </row>
    <row r="35">
      <c r="A35" s="17" t="n"/>
      <c r="B35" s="14" t="n"/>
      <c r="C35" s="14" t="n"/>
      <c r="D35" s="14" t="n"/>
      <c r="E35" s="14" t="n"/>
      <c r="F35" s="15" t="n"/>
      <c r="G35" s="14" t="n"/>
      <c r="H35" s="17" t="n"/>
      <c r="I35" s="37" t="n"/>
      <c r="J35" s="14" t="n"/>
    </row>
    <row r="36">
      <c r="A36" s="17" t="n"/>
      <c r="B36" s="14" t="n"/>
      <c r="C36" s="14" t="n"/>
      <c r="D36" s="14" t="n"/>
      <c r="E36" s="14" t="n"/>
      <c r="F36" s="15" t="n"/>
      <c r="G36" s="14" t="n"/>
      <c r="H36" s="17" t="n"/>
      <c r="I36" s="37" t="n"/>
      <c r="J36" s="14" t="n"/>
    </row>
    <row r="37">
      <c r="A37" s="17" t="n"/>
      <c r="B37" s="14" t="n"/>
      <c r="C37" s="14" t="n"/>
      <c r="D37" s="14" t="n"/>
      <c r="E37" s="14" t="n"/>
      <c r="F37" s="15" t="n"/>
      <c r="G37" s="14" t="n"/>
      <c r="H37" s="17" t="n"/>
      <c r="I37" s="37" t="n"/>
      <c r="J37" s="14" t="n"/>
    </row>
    <row r="38">
      <c r="A38" s="17" t="n"/>
      <c r="B38" s="14" t="n"/>
      <c r="C38" s="14" t="n"/>
      <c r="D38" s="14" t="n"/>
      <c r="E38" s="14" t="n"/>
      <c r="F38" s="15" t="n"/>
      <c r="G38" s="14" t="n"/>
      <c r="H38" s="17" t="n"/>
      <c r="I38" s="37" t="n"/>
      <c r="J38" s="14" t="n"/>
    </row>
    <row r="39">
      <c r="A39" s="17" t="n"/>
      <c r="B39" s="14" t="n"/>
      <c r="C39" s="14" t="n"/>
      <c r="D39" s="14" t="n"/>
      <c r="E39" s="14" t="n"/>
      <c r="F39" s="15" t="n"/>
      <c r="G39" s="14" t="n"/>
      <c r="H39" s="17" t="n"/>
      <c r="I39" s="37" t="n"/>
      <c r="J39" s="14" t="n"/>
    </row>
    <row r="40">
      <c r="A40" s="17" t="n"/>
      <c r="B40" s="14" t="n"/>
      <c r="C40" s="14" t="n"/>
      <c r="D40" s="14" t="n"/>
      <c r="E40" s="14" t="n"/>
      <c r="F40" s="15" t="n"/>
      <c r="G40" s="14" t="n"/>
      <c r="H40" s="17" t="n"/>
      <c r="I40" s="37" t="n"/>
      <c r="J40" s="14" t="n"/>
    </row>
    <row r="41">
      <c r="A41" s="17" t="n"/>
      <c r="B41" s="14" t="n"/>
      <c r="C41" s="14" t="n"/>
      <c r="D41" s="14" t="n"/>
      <c r="E41" s="14" t="n"/>
      <c r="F41" s="15" t="n"/>
      <c r="G41" s="14" t="n"/>
      <c r="H41" s="17" t="n"/>
      <c r="I41" s="37" t="n"/>
      <c r="J41" s="14" t="n"/>
    </row>
    <row r="42">
      <c r="A42" s="17" t="n"/>
      <c r="B42" s="14" t="n"/>
      <c r="C42" s="14" t="n"/>
      <c r="D42" s="14" t="n"/>
      <c r="E42" s="14" t="n"/>
      <c r="F42" s="15" t="n"/>
      <c r="G42" s="14" t="n"/>
      <c r="H42" s="17" t="n"/>
      <c r="I42" s="37" t="n"/>
      <c r="J42" s="14" t="n"/>
    </row>
    <row r="43">
      <c r="A43" s="17" t="n"/>
      <c r="B43" s="14" t="n"/>
      <c r="C43" s="14" t="n"/>
      <c r="D43" s="14" t="n"/>
      <c r="E43" s="14" t="n"/>
      <c r="F43" s="15" t="n"/>
      <c r="G43" s="14" t="n"/>
      <c r="H43" s="17" t="n"/>
      <c r="I43" s="37" t="n"/>
      <c r="J43" s="14" t="n"/>
    </row>
    <row r="44">
      <c r="A44" s="17" t="n"/>
      <c r="B44" s="14" t="n"/>
      <c r="C44" s="14" t="n"/>
      <c r="D44" s="14" t="n"/>
      <c r="E44" s="14" t="n"/>
      <c r="F44" s="15" t="n"/>
      <c r="G44" s="14" t="n"/>
      <c r="H44" s="17" t="n"/>
      <c r="I44" s="37" t="n"/>
      <c r="J44" s="14" t="n"/>
    </row>
    <row r="45">
      <c r="A45" s="17" t="n"/>
      <c r="B45" s="14" t="n"/>
      <c r="C45" s="14" t="n"/>
      <c r="D45" s="14" t="n"/>
      <c r="E45" s="14" t="n"/>
      <c r="F45" s="15" t="n"/>
      <c r="G45" s="14" t="n"/>
      <c r="H45" s="17" t="n"/>
      <c r="I45" s="37" t="n"/>
      <c r="J45" s="14" t="n"/>
    </row>
    <row r="46">
      <c r="A46" s="17" t="n"/>
      <c r="B46" s="14" t="n"/>
      <c r="C46" s="14" t="n"/>
      <c r="D46" s="14" t="n"/>
      <c r="E46" s="14" t="n"/>
      <c r="F46" s="15" t="n"/>
      <c r="G46" s="14" t="n"/>
      <c r="H46" s="17" t="n"/>
      <c r="I46" s="37" t="n"/>
      <c r="J46" s="14" t="n"/>
    </row>
    <row r="47">
      <c r="A47" s="17" t="n"/>
      <c r="B47" s="14" t="n"/>
      <c r="C47" s="14" t="n"/>
      <c r="D47" s="14" t="n"/>
      <c r="E47" s="14" t="n"/>
      <c r="F47" s="15" t="n"/>
      <c r="G47" s="14" t="n"/>
      <c r="H47" s="17" t="n"/>
      <c r="I47" s="37" t="n"/>
      <c r="J47" s="14" t="n"/>
    </row>
    <row r="48">
      <c r="A48" s="17" t="n"/>
      <c r="B48" s="14" t="n"/>
      <c r="C48" s="14" t="n"/>
      <c r="D48" s="14" t="n"/>
      <c r="E48" s="14" t="n"/>
      <c r="F48" s="15" t="n"/>
      <c r="G48" s="14" t="n"/>
      <c r="H48" s="17" t="n"/>
      <c r="I48" s="37" t="n"/>
      <c r="J48" s="14" t="n"/>
    </row>
    <row r="49">
      <c r="A49" s="17" t="n"/>
      <c r="B49" s="14" t="n"/>
      <c r="C49" s="14" t="n"/>
      <c r="D49" s="14" t="n"/>
      <c r="E49" s="14" t="n"/>
      <c r="F49" s="15" t="n"/>
      <c r="G49" s="14" t="n"/>
      <c r="H49" s="17" t="n"/>
      <c r="I49" s="37" t="n"/>
      <c r="J49" s="14" t="n"/>
    </row>
    <row r="50">
      <c r="A50" s="17" t="n"/>
      <c r="B50" s="14" t="n"/>
      <c r="C50" s="14" t="n"/>
      <c r="D50" s="14" t="n"/>
      <c r="E50" s="14" t="n"/>
      <c r="F50" s="15" t="n"/>
      <c r="G50" s="14" t="n"/>
      <c r="H50" s="17" t="n"/>
      <c r="I50" s="37" t="n"/>
      <c r="J50" s="14" t="n"/>
    </row>
    <row r="51">
      <c r="A51" s="17" t="n"/>
      <c r="B51" s="14" t="n"/>
      <c r="C51" s="14" t="n"/>
      <c r="D51" s="14" t="n"/>
      <c r="E51" s="14" t="n"/>
      <c r="F51" s="15" t="n"/>
      <c r="G51" s="14" t="n"/>
      <c r="H51" s="17" t="n"/>
      <c r="I51" s="37" t="n"/>
      <c r="J51" s="14" t="n"/>
    </row>
    <row r="52">
      <c r="A52" s="17" t="n"/>
      <c r="B52" s="14" t="n"/>
      <c r="C52" s="14" t="n"/>
      <c r="D52" s="14" t="n"/>
      <c r="E52" s="14" t="n"/>
      <c r="F52" s="15" t="n"/>
      <c r="G52" s="14" t="n"/>
      <c r="H52" s="17" t="n"/>
      <c r="I52" s="37" t="n"/>
      <c r="J52" s="14" t="n"/>
    </row>
    <row r="53">
      <c r="A53" s="17" t="n"/>
      <c r="B53" s="14" t="n"/>
      <c r="C53" s="14" t="n"/>
      <c r="D53" s="14" t="n"/>
      <c r="E53" s="14" t="n"/>
      <c r="F53" s="15" t="n"/>
      <c r="G53" s="14" t="n"/>
      <c r="H53" s="17" t="n"/>
      <c r="I53" s="37" t="n"/>
      <c r="J53" s="14" t="n"/>
    </row>
    <row r="54">
      <c r="A54" s="17" t="n"/>
      <c r="B54" s="14" t="n"/>
      <c r="C54" s="14" t="n"/>
      <c r="D54" s="14" t="n"/>
      <c r="E54" s="14" t="n"/>
      <c r="F54" s="15" t="n"/>
      <c r="G54" s="14" t="n"/>
      <c r="H54" s="17" t="n"/>
      <c r="I54" s="37" t="n"/>
      <c r="J54" s="14" t="n"/>
    </row>
    <row r="55">
      <c r="A55" s="17" t="n"/>
      <c r="B55" s="14" t="n"/>
      <c r="C55" s="14" t="n"/>
      <c r="D55" s="14" t="n"/>
      <c r="E55" s="14" t="n"/>
      <c r="F55" s="15" t="n"/>
      <c r="G55" s="14" t="n"/>
      <c r="H55" s="17" t="n"/>
      <c r="I55" s="37" t="n"/>
      <c r="J55" s="14" t="n"/>
    </row>
    <row r="56">
      <c r="A56" s="17" t="n"/>
      <c r="B56" s="14" t="n"/>
      <c r="C56" s="14" t="n"/>
      <c r="D56" s="14" t="n"/>
      <c r="E56" s="14" t="n"/>
      <c r="F56" s="15" t="n"/>
      <c r="G56" s="14" t="n"/>
      <c r="H56" s="17" t="n"/>
      <c r="I56" s="37" t="n"/>
      <c r="J56" s="14" t="n"/>
    </row>
    <row r="57">
      <c r="A57" s="17" t="n"/>
      <c r="B57" s="14" t="n"/>
      <c r="C57" s="14" t="n"/>
      <c r="D57" s="14" t="n"/>
      <c r="E57" s="14" t="n"/>
      <c r="F57" s="15" t="n"/>
      <c r="G57" s="14" t="n"/>
      <c r="H57" s="17" t="n"/>
      <c r="I57" s="37" t="n"/>
      <c r="J57" s="14" t="n"/>
    </row>
    <row r="58">
      <c r="A58" s="17" t="n"/>
      <c r="B58" s="14" t="n"/>
      <c r="C58" s="14" t="n"/>
      <c r="D58" s="14" t="n"/>
      <c r="E58" s="14" t="n"/>
      <c r="F58" s="15" t="n"/>
      <c r="G58" s="14" t="n"/>
      <c r="H58" s="17" t="n"/>
      <c r="I58" s="37" t="n"/>
      <c r="J58" s="14" t="n"/>
    </row>
    <row r="59">
      <c r="A59" s="17" t="n"/>
      <c r="B59" s="14" t="n"/>
      <c r="C59" s="14" t="n"/>
      <c r="D59" s="14" t="n"/>
      <c r="E59" s="14" t="n"/>
      <c r="F59" s="15" t="n"/>
      <c r="G59" s="14" t="n"/>
      <c r="H59" s="17" t="n"/>
      <c r="I59" s="37" t="n"/>
      <c r="J59" s="14" t="n"/>
    </row>
    <row r="60">
      <c r="A60" s="17" t="n"/>
      <c r="B60" s="14" t="n"/>
      <c r="C60" s="14" t="n"/>
      <c r="D60" s="14" t="n"/>
      <c r="E60" s="14" t="n"/>
      <c r="F60" s="15" t="n"/>
      <c r="G60" s="14" t="n"/>
      <c r="H60" s="17" t="n"/>
      <c r="I60" s="37" t="n"/>
      <c r="J60" s="14" t="n"/>
    </row>
    <row r="61">
      <c r="A61" s="17" t="n"/>
      <c r="B61" s="14" t="n"/>
      <c r="C61" s="14" t="n"/>
      <c r="D61" s="14" t="n"/>
      <c r="E61" s="14" t="n"/>
      <c r="F61" s="15" t="n"/>
      <c r="G61" s="14" t="n"/>
      <c r="H61" s="17" t="n"/>
      <c r="I61" s="37" t="n"/>
      <c r="J61" s="14" t="n"/>
    </row>
    <row r="62">
      <c r="A62" s="17" t="n"/>
      <c r="B62" s="14" t="n"/>
      <c r="C62" s="14" t="n"/>
      <c r="D62" s="14" t="n"/>
      <c r="E62" s="14" t="n"/>
      <c r="F62" s="15" t="n"/>
      <c r="G62" s="14" t="n"/>
      <c r="H62" s="17" t="n"/>
      <c r="I62" s="37" t="n"/>
      <c r="J62" s="14" t="n"/>
    </row>
    <row r="63">
      <c r="A63" s="17" t="n"/>
      <c r="B63" s="14" t="n"/>
      <c r="C63" s="14" t="n"/>
      <c r="D63" s="14" t="n"/>
      <c r="E63" s="14" t="n"/>
      <c r="F63" s="15" t="n"/>
      <c r="G63" s="14" t="n"/>
      <c r="H63" s="17" t="n"/>
      <c r="I63" s="37" t="n"/>
      <c r="J63" s="14" t="n"/>
    </row>
    <row r="64">
      <c r="A64" s="17" t="n"/>
      <c r="B64" s="14" t="n"/>
      <c r="C64" s="14" t="n"/>
      <c r="D64" s="14" t="n"/>
      <c r="E64" s="14" t="n"/>
      <c r="F64" s="15" t="n"/>
      <c r="G64" s="14" t="n"/>
      <c r="H64" s="17" t="n"/>
      <c r="I64" s="37" t="n"/>
      <c r="J64" s="14" t="n"/>
    </row>
    <row r="65">
      <c r="A65" s="17" t="n"/>
      <c r="B65" s="14" t="n"/>
      <c r="C65" s="14" t="n"/>
      <c r="D65" s="14" t="n"/>
      <c r="E65" s="14" t="n"/>
      <c r="F65" s="15" t="n"/>
      <c r="G65" s="14" t="n"/>
      <c r="H65" s="17" t="n"/>
      <c r="I65" s="37" t="n"/>
      <c r="J65" s="14" t="n"/>
    </row>
    <row r="66">
      <c r="A66" s="17" t="n"/>
      <c r="B66" s="14" t="n"/>
      <c r="C66" s="14" t="n"/>
      <c r="D66" s="14" t="n"/>
      <c r="E66" s="14" t="n"/>
      <c r="F66" s="15" t="n"/>
      <c r="G66" s="14" t="n"/>
      <c r="H66" s="17" t="n"/>
      <c r="I66" s="37" t="n"/>
      <c r="J66" s="14" t="n"/>
    </row>
    <row r="67">
      <c r="A67" s="17" t="n"/>
      <c r="B67" s="14" t="n"/>
      <c r="C67" s="14" t="n"/>
      <c r="D67" s="14" t="n"/>
      <c r="E67" s="14" t="n"/>
      <c r="F67" s="15" t="n"/>
      <c r="G67" s="14" t="n"/>
      <c r="H67" s="17" t="n"/>
      <c r="I67" s="37" t="n"/>
      <c r="J67" s="14" t="n"/>
    </row>
    <row r="68">
      <c r="A68" s="17" t="n"/>
      <c r="B68" s="14" t="n"/>
      <c r="C68" s="14" t="n"/>
      <c r="D68" s="14" t="n"/>
      <c r="E68" s="14" t="n"/>
      <c r="F68" s="15" t="n"/>
      <c r="G68" s="14" t="n"/>
      <c r="H68" s="17" t="n"/>
      <c r="I68" s="37" t="n"/>
      <c r="J68" s="14" t="n"/>
    </row>
    <row r="69">
      <c r="A69" s="17" t="n"/>
      <c r="B69" s="14" t="n"/>
      <c r="C69" s="14" t="n"/>
      <c r="D69" s="14" t="n"/>
      <c r="E69" s="14" t="n"/>
      <c r="F69" s="15" t="n"/>
      <c r="G69" s="14" t="n"/>
      <c r="H69" s="17" t="n"/>
      <c r="I69" s="37" t="n"/>
      <c r="J69" s="14" t="n"/>
    </row>
    <row r="70">
      <c r="A70" s="17" t="n"/>
      <c r="B70" s="14" t="n"/>
      <c r="C70" s="14" t="n"/>
      <c r="D70" s="14" t="n"/>
      <c r="E70" s="14" t="n"/>
      <c r="F70" s="15" t="n"/>
      <c r="G70" s="14" t="n"/>
      <c r="H70" s="17" t="n"/>
      <c r="I70" s="37" t="n"/>
      <c r="J70" s="14" t="n"/>
    </row>
    <row r="71">
      <c r="A71" s="17" t="n"/>
      <c r="B71" s="14" t="n"/>
      <c r="C71" s="14" t="n"/>
      <c r="D71" s="14" t="n"/>
      <c r="E71" s="14" t="n"/>
      <c r="F71" s="15" t="n"/>
      <c r="G71" s="14" t="n"/>
      <c r="H71" s="17" t="n"/>
      <c r="I71" s="37" t="n"/>
      <c r="J71" s="14" t="n"/>
    </row>
    <row r="72">
      <c r="A72" s="17" t="n"/>
      <c r="B72" s="14" t="n"/>
      <c r="C72" s="14" t="n"/>
      <c r="D72" s="14" t="n"/>
      <c r="E72" s="14" t="n"/>
      <c r="F72" s="15" t="n"/>
      <c r="G72" s="14" t="n"/>
      <c r="H72" s="17" t="n"/>
      <c r="I72" s="37" t="n"/>
      <c r="J72" s="14" t="n"/>
    </row>
    <row r="73">
      <c r="A73" s="17" t="n"/>
      <c r="B73" s="14" t="n"/>
      <c r="C73" s="14" t="n"/>
      <c r="D73" s="14" t="n"/>
      <c r="E73" s="14" t="n"/>
      <c r="F73" s="15" t="n"/>
      <c r="G73" s="14" t="n"/>
      <c r="H73" s="17" t="n"/>
      <c r="I73" s="37" t="n"/>
      <c r="J73" s="14" t="n"/>
    </row>
    <row r="74">
      <c r="A74" s="17" t="n"/>
      <c r="B74" s="14" t="n"/>
      <c r="C74" s="14" t="n"/>
      <c r="D74" s="14" t="n"/>
      <c r="E74" s="14" t="n"/>
      <c r="F74" s="15" t="n"/>
      <c r="G74" s="14" t="n"/>
      <c r="H74" s="17" t="n"/>
      <c r="I74" s="37" t="n"/>
      <c r="J74" s="14" t="n"/>
    </row>
    <row r="75">
      <c r="A75" s="17" t="n"/>
      <c r="B75" s="14" t="n"/>
      <c r="C75" s="14" t="n"/>
      <c r="D75" s="14" t="n"/>
      <c r="E75" s="14" t="n"/>
      <c r="F75" s="15" t="n"/>
      <c r="G75" s="14" t="n"/>
      <c r="H75" s="17" t="n"/>
      <c r="I75" s="37" t="n"/>
      <c r="J75" s="14" t="n"/>
    </row>
    <row r="76">
      <c r="A76" s="17" t="n"/>
      <c r="B76" s="14" t="n"/>
      <c r="C76" s="14" t="n"/>
      <c r="D76" s="14" t="n"/>
      <c r="E76" s="14" t="n"/>
      <c r="F76" s="15" t="n"/>
      <c r="G76" s="14" t="n"/>
      <c r="H76" s="17" t="n"/>
      <c r="I76" s="37" t="n"/>
      <c r="J76" s="14" t="n"/>
    </row>
    <row r="77">
      <c r="A77" s="17" t="n"/>
      <c r="B77" s="14" t="n"/>
      <c r="C77" s="14" t="n"/>
      <c r="D77" s="14" t="n"/>
      <c r="E77" s="14" t="n"/>
      <c r="F77" s="15" t="n"/>
      <c r="G77" s="14" t="n"/>
      <c r="H77" s="17" t="n"/>
      <c r="I77" s="37" t="n"/>
      <c r="J77" s="14" t="n"/>
    </row>
    <row r="78">
      <c r="A78" s="17" t="n"/>
      <c r="B78" s="14" t="n"/>
      <c r="C78" s="14" t="n"/>
      <c r="D78" s="14" t="n"/>
      <c r="E78" s="14" t="n"/>
      <c r="F78" s="15" t="n"/>
      <c r="G78" s="14" t="n"/>
      <c r="H78" s="17" t="n"/>
      <c r="I78" s="37" t="n"/>
      <c r="J78" s="14" t="n"/>
    </row>
    <row r="79">
      <c r="A79" s="17" t="n"/>
      <c r="B79" s="14" t="n"/>
      <c r="C79" s="14" t="n"/>
      <c r="D79" s="14" t="n"/>
      <c r="E79" s="14" t="n"/>
      <c r="F79" s="15" t="n"/>
      <c r="G79" s="14" t="n"/>
      <c r="H79" s="17" t="n"/>
      <c r="I79" s="37" t="n"/>
      <c r="J79" s="14" t="n"/>
    </row>
    <row r="80">
      <c r="A80" s="17" t="n"/>
      <c r="B80" s="14" t="n"/>
      <c r="C80" s="14" t="n"/>
      <c r="D80" s="14" t="n"/>
      <c r="E80" s="14" t="n"/>
      <c r="F80" s="15" t="n"/>
      <c r="G80" s="14" t="n"/>
      <c r="H80" s="17" t="n"/>
      <c r="I80" s="37" t="n"/>
      <c r="J80" s="14" t="n"/>
    </row>
    <row r="81">
      <c r="A81" s="17" t="n"/>
      <c r="B81" s="14" t="n"/>
      <c r="C81" s="14" t="n"/>
      <c r="D81" s="14" t="n"/>
      <c r="E81" s="14" t="n"/>
      <c r="F81" s="15" t="n"/>
      <c r="G81" s="14" t="n"/>
      <c r="H81" s="17" t="n"/>
      <c r="I81" s="37" t="n"/>
      <c r="J81" s="14" t="n"/>
    </row>
    <row r="82">
      <c r="A82" s="17" t="n"/>
      <c r="B82" s="14" t="n"/>
      <c r="C82" s="14" t="n"/>
      <c r="D82" s="14" t="n"/>
      <c r="E82" s="14" t="n"/>
      <c r="F82" s="15" t="n"/>
      <c r="G82" s="14" t="n"/>
      <c r="H82" s="17" t="n"/>
      <c r="I82" s="37" t="n"/>
      <c r="J82" s="14" t="n"/>
    </row>
    <row r="83">
      <c r="A83" s="17" t="n"/>
      <c r="B83" s="14" t="n"/>
      <c r="C83" s="14" t="n"/>
      <c r="D83" s="14" t="n"/>
      <c r="E83" s="14" t="n"/>
      <c r="F83" s="15" t="n"/>
      <c r="G83" s="14" t="n"/>
      <c r="H83" s="17" t="n"/>
      <c r="I83" s="37" t="n"/>
      <c r="J83" s="14" t="n"/>
    </row>
    <row r="84">
      <c r="A84" s="17" t="n"/>
      <c r="B84" s="14" t="n"/>
      <c r="C84" s="14" t="n"/>
      <c r="D84" s="14" t="n"/>
      <c r="E84" s="14" t="n"/>
      <c r="F84" s="15" t="n"/>
      <c r="G84" s="14" t="n"/>
      <c r="H84" s="17" t="n"/>
      <c r="I84" s="37" t="n"/>
      <c r="J84" s="14" t="n"/>
    </row>
    <row r="85">
      <c r="A85" s="17" t="n"/>
      <c r="B85" s="14" t="n"/>
      <c r="C85" s="14" t="n"/>
      <c r="D85" s="14" t="n"/>
      <c r="E85" s="14" t="n"/>
      <c r="F85" s="15" t="n"/>
      <c r="G85" s="14" t="n"/>
      <c r="H85" s="17" t="n"/>
      <c r="I85" s="37" t="n"/>
      <c r="J85" s="14" t="n"/>
    </row>
    <row r="86">
      <c r="A86" s="17" t="n"/>
      <c r="B86" s="14" t="n"/>
      <c r="C86" s="14" t="n"/>
      <c r="D86" s="14" t="n"/>
      <c r="E86" s="14" t="n"/>
      <c r="F86" s="15" t="n"/>
      <c r="G86" s="14" t="n"/>
      <c r="H86" s="17" t="n"/>
      <c r="I86" s="37" t="n"/>
      <c r="J86" s="14" t="n"/>
    </row>
    <row r="87">
      <c r="A87" s="17" t="n"/>
      <c r="B87" s="14" t="n"/>
      <c r="C87" s="14" t="n"/>
      <c r="D87" s="14" t="n"/>
      <c r="E87" s="14" t="n"/>
      <c r="F87" s="15" t="n"/>
      <c r="G87" s="14" t="n"/>
      <c r="H87" s="17" t="n"/>
      <c r="I87" s="37" t="n"/>
      <c r="J87" s="14" t="n"/>
    </row>
    <row r="88">
      <c r="A88" s="17" t="n"/>
      <c r="B88" s="14" t="n"/>
      <c r="C88" s="14" t="n"/>
      <c r="D88" s="14" t="n"/>
      <c r="E88" s="14" t="n"/>
      <c r="F88" s="15" t="n"/>
      <c r="G88" s="14" t="n"/>
      <c r="H88" s="17" t="n"/>
      <c r="I88" s="37" t="n"/>
      <c r="J88" s="14" t="n"/>
    </row>
    <row r="89">
      <c r="A89" s="17" t="n"/>
      <c r="B89" s="14" t="n"/>
      <c r="C89" s="14" t="n"/>
      <c r="D89" s="14" t="n"/>
      <c r="E89" s="14" t="n"/>
      <c r="F89" s="15" t="n"/>
      <c r="G89" s="14" t="n"/>
      <c r="H89" s="17" t="n"/>
      <c r="I89" s="37" t="n"/>
      <c r="J89" s="14" t="n"/>
    </row>
    <row r="90">
      <c r="A90" s="17" t="n"/>
      <c r="B90" s="14" t="n"/>
      <c r="C90" s="14" t="n"/>
      <c r="D90" s="14" t="n"/>
      <c r="E90" s="14" t="n"/>
      <c r="F90" s="15" t="n"/>
      <c r="G90" s="14" t="n"/>
      <c r="H90" s="17" t="n"/>
      <c r="I90" s="37" t="n"/>
      <c r="J90" s="14" t="n"/>
    </row>
    <row r="91">
      <c r="A91" s="17" t="n"/>
      <c r="B91" s="14" t="n"/>
      <c r="C91" s="14" t="n"/>
      <c r="D91" s="14" t="n"/>
      <c r="E91" s="14" t="n"/>
      <c r="F91" s="15" t="n"/>
      <c r="G91" s="14" t="n"/>
      <c r="H91" s="17" t="n"/>
      <c r="I91" s="37" t="n"/>
      <c r="J91" s="14" t="n"/>
    </row>
    <row r="92">
      <c r="A92" s="17" t="n"/>
      <c r="B92" s="14" t="n"/>
      <c r="C92" s="14" t="n"/>
      <c r="D92" s="14" t="n"/>
      <c r="E92" s="14" t="n"/>
      <c r="F92" s="15" t="n"/>
      <c r="G92" s="14" t="n"/>
      <c r="H92" s="17" t="n"/>
      <c r="I92" s="37" t="n"/>
      <c r="J92" s="14" t="n"/>
    </row>
    <row r="93">
      <c r="A93" s="17" t="n"/>
      <c r="B93" s="14" t="n"/>
      <c r="C93" s="14" t="n"/>
      <c r="D93" s="14" t="n"/>
      <c r="E93" s="14" t="n"/>
      <c r="F93" s="15" t="n"/>
      <c r="G93" s="14" t="n"/>
      <c r="H93" s="17" t="n"/>
      <c r="I93" s="37" t="n"/>
      <c r="J93" s="14" t="n"/>
    </row>
    <row r="94">
      <c r="A94" s="17" t="n"/>
      <c r="B94" s="14" t="n"/>
      <c r="C94" s="14" t="n"/>
      <c r="D94" s="14" t="n"/>
      <c r="E94" s="14" t="n"/>
      <c r="F94" s="15" t="n"/>
      <c r="G94" s="14" t="n"/>
      <c r="H94" s="17" t="n"/>
      <c r="I94" s="37" t="n"/>
      <c r="J94" s="14" t="n"/>
    </row>
    <row r="95">
      <c r="A95" s="17" t="n"/>
      <c r="B95" s="14" t="n"/>
      <c r="C95" s="14" t="n"/>
      <c r="D95" s="14" t="n"/>
      <c r="E95" s="14" t="n"/>
      <c r="F95" s="15" t="n"/>
      <c r="G95" s="14" t="n"/>
      <c r="H95" s="17" t="n"/>
      <c r="I95" s="37" t="n"/>
      <c r="J95" s="14" t="n"/>
    </row>
    <row r="96">
      <c r="A96" s="17" t="n"/>
      <c r="B96" s="14" t="n"/>
      <c r="C96" s="14" t="n"/>
      <c r="D96" s="14" t="n"/>
      <c r="E96" s="14" t="n"/>
      <c r="F96" s="15" t="n"/>
      <c r="G96" s="14" t="n"/>
      <c r="H96" s="17" t="n"/>
      <c r="I96" s="37" t="n"/>
      <c r="J96" s="14" t="n"/>
    </row>
    <row r="97">
      <c r="A97" s="17" t="n"/>
      <c r="B97" s="14" t="n"/>
      <c r="C97" s="14" t="n"/>
      <c r="D97" s="14" t="n"/>
      <c r="E97" s="14" t="n"/>
      <c r="F97" s="15" t="n"/>
      <c r="G97" s="14" t="n"/>
      <c r="H97" s="17" t="n"/>
      <c r="I97" s="37" t="n"/>
      <c r="J97" s="14" t="n"/>
    </row>
    <row r="98">
      <c r="A98" s="17" t="n"/>
      <c r="B98" s="14" t="n"/>
      <c r="C98" s="14" t="n"/>
      <c r="D98" s="14" t="n"/>
      <c r="E98" s="14" t="n"/>
      <c r="F98" s="15" t="n"/>
      <c r="G98" s="14" t="n"/>
      <c r="H98" s="17" t="n"/>
      <c r="I98" s="37" t="n"/>
      <c r="J98" s="14" t="n"/>
    </row>
    <row r="99">
      <c r="A99" s="17" t="n"/>
      <c r="B99" s="14" t="n"/>
      <c r="C99" s="14" t="n"/>
      <c r="D99" s="14" t="n"/>
      <c r="E99" s="14" t="n"/>
      <c r="F99" s="15" t="n"/>
      <c r="G99" s="14" t="n"/>
      <c r="H99" s="17" t="n"/>
      <c r="I99" s="37" t="n"/>
      <c r="J99" s="14" t="n"/>
    </row>
    <row r="100">
      <c r="A100" s="17" t="n"/>
      <c r="B100" s="14" t="n"/>
      <c r="C100" s="14" t="n"/>
      <c r="D100" s="14" t="n"/>
      <c r="E100" s="14" t="n"/>
      <c r="F100" s="15" t="n"/>
      <c r="G100" s="14" t="n"/>
      <c r="H100" s="17" t="n"/>
      <c r="I100" s="37" t="n"/>
      <c r="J100" s="14" t="n"/>
    </row>
    <row r="101">
      <c r="A101" s="17" t="n"/>
      <c r="B101" s="14" t="n"/>
      <c r="C101" s="14" t="n"/>
      <c r="D101" s="14" t="n"/>
      <c r="E101" s="14" t="n"/>
      <c r="F101" s="15" t="n"/>
      <c r="G101" s="14" t="n"/>
      <c r="H101" s="17" t="n"/>
      <c r="I101" s="37" t="n"/>
      <c r="J101" s="14" t="n"/>
    </row>
    <row r="102">
      <c r="A102" s="17" t="n"/>
      <c r="B102" s="14" t="n"/>
      <c r="C102" s="14" t="n"/>
      <c r="D102" s="14" t="n"/>
      <c r="E102" s="14" t="n"/>
      <c r="F102" s="15" t="n"/>
      <c r="G102" s="14" t="n"/>
      <c r="H102" s="17" t="n"/>
      <c r="I102" s="37" t="n"/>
      <c r="J102" s="14" t="n"/>
    </row>
    <row r="103">
      <c r="A103" s="17" t="n"/>
      <c r="B103" s="14" t="n"/>
      <c r="C103" s="14" t="n"/>
      <c r="D103" s="14" t="n"/>
      <c r="E103" s="14" t="n"/>
      <c r="F103" s="15" t="n"/>
      <c r="G103" s="14" t="n"/>
      <c r="H103" s="17" t="n"/>
      <c r="I103" s="37" t="n"/>
      <c r="J103" s="14" t="n"/>
    </row>
    <row r="104">
      <c r="A104" s="17" t="n"/>
      <c r="B104" s="14" t="n"/>
      <c r="C104" s="14" t="n"/>
      <c r="D104" s="14" t="n"/>
      <c r="E104" s="14" t="n"/>
      <c r="F104" s="15" t="n"/>
      <c r="G104" s="14" t="n"/>
      <c r="H104" s="17" t="n"/>
      <c r="I104" s="37" t="n"/>
      <c r="J104" s="14" t="n"/>
    </row>
    <row r="105">
      <c r="A105" s="17" t="n"/>
      <c r="B105" s="14" t="n"/>
      <c r="C105" s="14" t="n"/>
      <c r="D105" s="14" t="n"/>
      <c r="E105" s="14" t="n"/>
      <c r="F105" s="15" t="n"/>
      <c r="G105" s="14" t="n"/>
      <c r="H105" s="17" t="n"/>
      <c r="I105" s="37" t="n"/>
      <c r="J105" s="14" t="n"/>
    </row>
    <row r="106">
      <c r="A106" s="17" t="n"/>
      <c r="B106" s="14" t="n"/>
      <c r="C106" s="14" t="n"/>
      <c r="D106" s="14" t="n"/>
      <c r="E106" s="14" t="n"/>
      <c r="F106" s="15" t="n"/>
      <c r="G106" s="14" t="n"/>
      <c r="H106" s="17" t="n"/>
      <c r="I106" s="37" t="n"/>
      <c r="J106" s="14" t="n"/>
    </row>
    <row r="107">
      <c r="A107" s="17" t="n"/>
      <c r="B107" s="14" t="n"/>
      <c r="C107" s="14" t="n"/>
      <c r="D107" s="14" t="n"/>
      <c r="E107" s="14" t="n"/>
      <c r="F107" s="15" t="n"/>
      <c r="G107" s="14" t="n"/>
      <c r="H107" s="17" t="n"/>
      <c r="I107" s="37" t="n"/>
      <c r="J107" s="14" t="n"/>
    </row>
    <row r="108">
      <c r="A108" s="17" t="n"/>
      <c r="B108" s="14" t="n"/>
      <c r="C108" s="14" t="n"/>
      <c r="D108" s="14" t="n"/>
      <c r="E108" s="14" t="n"/>
      <c r="F108" s="15" t="n"/>
      <c r="G108" s="14" t="n"/>
      <c r="H108" s="17" t="n"/>
      <c r="I108" s="37" t="n"/>
      <c r="J108" s="14" t="n"/>
    </row>
    <row r="109">
      <c r="A109" s="17" t="n"/>
      <c r="B109" s="14" t="n"/>
      <c r="C109" s="14" t="n"/>
      <c r="D109" s="14" t="n"/>
      <c r="E109" s="14" t="n"/>
      <c r="F109" s="15" t="n"/>
      <c r="G109" s="14" t="n"/>
      <c r="H109" s="17" t="n"/>
      <c r="I109" s="37" t="n"/>
      <c r="J109" s="14" t="n"/>
    </row>
    <row r="110">
      <c r="A110" s="17" t="n"/>
      <c r="B110" s="14" t="n"/>
      <c r="C110" s="14" t="n"/>
      <c r="D110" s="14" t="n"/>
      <c r="E110" s="14" t="n"/>
      <c r="F110" s="15" t="n"/>
      <c r="G110" s="14" t="n"/>
      <c r="H110" s="17" t="n"/>
      <c r="I110" s="37" t="n"/>
      <c r="J110" s="14" t="n"/>
    </row>
    <row r="111">
      <c r="A111" s="17" t="n"/>
      <c r="B111" s="14" t="n"/>
      <c r="C111" s="14" t="n"/>
      <c r="D111" s="14" t="n"/>
      <c r="E111" s="14" t="n"/>
      <c r="F111" s="15" t="n"/>
      <c r="G111" s="14" t="n"/>
      <c r="H111" s="17" t="n"/>
      <c r="I111" s="37" t="n"/>
      <c r="J111" s="14" t="n"/>
    </row>
    <row r="112">
      <c r="A112" s="17" t="n"/>
      <c r="B112" s="14" t="n"/>
      <c r="C112" s="14" t="n"/>
      <c r="D112" s="14" t="n"/>
      <c r="E112" s="14" t="n"/>
      <c r="F112" s="15" t="n"/>
      <c r="G112" s="14" t="n"/>
      <c r="H112" s="17" t="n"/>
      <c r="I112" s="37" t="n"/>
      <c r="J112" s="14" t="n"/>
    </row>
    <row r="113">
      <c r="A113" s="17" t="n"/>
      <c r="B113" s="14" t="n"/>
      <c r="C113" s="14" t="n"/>
      <c r="D113" s="14" t="n"/>
      <c r="E113" s="14" t="n"/>
      <c r="F113" s="15" t="n"/>
      <c r="G113" s="14" t="n"/>
      <c r="H113" s="17" t="n"/>
      <c r="I113" s="37" t="n"/>
      <c r="J113" s="14" t="n"/>
    </row>
    <row r="114">
      <c r="A114" s="17" t="n"/>
      <c r="B114" s="14" t="n"/>
      <c r="C114" s="14" t="n"/>
      <c r="D114" s="14" t="n"/>
      <c r="E114" s="14" t="n"/>
      <c r="F114" s="15" t="n"/>
      <c r="G114" s="14" t="n"/>
      <c r="H114" s="17" t="n"/>
      <c r="I114" s="37" t="n"/>
      <c r="J114" s="14" t="n"/>
    </row>
    <row r="115">
      <c r="A115" s="17" t="n"/>
      <c r="B115" s="14" t="n"/>
      <c r="C115" s="14" t="n"/>
      <c r="D115" s="14" t="n"/>
      <c r="E115" s="14" t="n"/>
      <c r="F115" s="15" t="n"/>
      <c r="G115" s="14" t="n"/>
      <c r="H115" s="17" t="n"/>
      <c r="I115" s="37" t="n"/>
      <c r="J115" s="14" t="n"/>
    </row>
    <row r="116">
      <c r="A116" s="17" t="n"/>
      <c r="B116" s="14" t="n"/>
      <c r="C116" s="14" t="n"/>
      <c r="D116" s="14" t="n"/>
      <c r="E116" s="14" t="n"/>
      <c r="F116" s="15" t="n"/>
      <c r="G116" s="14" t="n"/>
      <c r="H116" s="17" t="n"/>
      <c r="I116" s="37" t="n"/>
      <c r="J116" s="14" t="n"/>
    </row>
    <row r="117">
      <c r="A117" s="17" t="n"/>
      <c r="B117" s="14" t="n"/>
      <c r="C117" s="14" t="n"/>
      <c r="D117" s="14" t="n"/>
      <c r="E117" s="14" t="n"/>
      <c r="F117" s="15" t="n"/>
      <c r="G117" s="14" t="n"/>
      <c r="H117" s="17" t="n"/>
      <c r="I117" s="37" t="n"/>
      <c r="J117" s="14" t="n"/>
    </row>
    <row r="118">
      <c r="A118" s="17" t="n"/>
      <c r="B118" s="14" t="n"/>
      <c r="C118" s="14" t="n"/>
      <c r="D118" s="14" t="n"/>
      <c r="E118" s="14" t="n"/>
      <c r="F118" s="15" t="n"/>
      <c r="G118" s="14" t="n"/>
      <c r="H118" s="17" t="n"/>
      <c r="I118" s="37" t="n"/>
      <c r="J118" s="14" t="n"/>
    </row>
    <row r="119">
      <c r="A119" s="17" t="n"/>
      <c r="B119" s="14" t="n"/>
      <c r="C119" s="14" t="n"/>
      <c r="D119" s="14" t="n"/>
      <c r="E119" s="14" t="n"/>
      <c r="F119" s="15" t="n"/>
      <c r="G119" s="14" t="n"/>
      <c r="H119" s="17" t="n"/>
      <c r="I119" s="37" t="n"/>
      <c r="J119" s="14" t="n"/>
    </row>
    <row r="120">
      <c r="A120" s="17" t="n"/>
      <c r="B120" s="14" t="n"/>
      <c r="C120" s="14" t="n"/>
      <c r="D120" s="14" t="n"/>
      <c r="E120" s="14" t="n"/>
      <c r="F120" s="15" t="n"/>
      <c r="G120" s="14" t="n"/>
      <c r="H120" s="17" t="n"/>
      <c r="I120" s="37" t="n"/>
      <c r="J120" s="14" t="n"/>
    </row>
    <row r="121">
      <c r="A121" s="17" t="n"/>
      <c r="B121" s="14" t="n"/>
      <c r="C121" s="14" t="n"/>
      <c r="D121" s="14" t="n"/>
      <c r="E121" s="14" t="n"/>
      <c r="F121" s="15" t="n"/>
      <c r="G121" s="14" t="n"/>
      <c r="H121" s="17" t="n"/>
      <c r="I121" s="37" t="n"/>
      <c r="J121" s="14" t="n"/>
    </row>
    <row r="122">
      <c r="A122" s="17" t="n"/>
      <c r="B122" s="14" t="n"/>
      <c r="C122" s="14" t="n"/>
      <c r="D122" s="14" t="n"/>
      <c r="E122" s="14" t="n"/>
      <c r="F122" s="15" t="n"/>
      <c r="G122" s="14" t="n"/>
      <c r="H122" s="17" t="n"/>
      <c r="I122" s="37" t="n"/>
      <c r="J122" s="14" t="n"/>
    </row>
    <row r="123">
      <c r="A123" s="17" t="n"/>
      <c r="B123" s="14" t="n"/>
      <c r="C123" s="14" t="n"/>
      <c r="D123" s="14" t="n"/>
      <c r="E123" s="14" t="n"/>
      <c r="F123" s="15" t="n"/>
      <c r="G123" s="14" t="n"/>
      <c r="H123" s="17" t="n"/>
      <c r="I123" s="37" t="n"/>
      <c r="J123" s="14" t="n"/>
    </row>
    <row r="124">
      <c r="A124" s="17" t="n"/>
      <c r="B124" s="14" t="n"/>
      <c r="C124" s="14" t="n"/>
      <c r="D124" s="14" t="n"/>
      <c r="E124" s="14" t="n"/>
      <c r="F124" s="15" t="n"/>
      <c r="G124" s="14" t="n"/>
      <c r="H124" s="17" t="n"/>
      <c r="I124" s="37" t="n"/>
      <c r="J124" s="14" t="n"/>
    </row>
    <row r="125">
      <c r="A125" s="17" t="n"/>
      <c r="B125" s="14" t="n"/>
      <c r="C125" s="14" t="n"/>
      <c r="D125" s="14" t="n"/>
      <c r="E125" s="14" t="n"/>
      <c r="F125" s="15" t="n"/>
      <c r="G125" s="14" t="n"/>
      <c r="H125" s="17" t="n"/>
      <c r="I125" s="37" t="n"/>
      <c r="J125" s="14" t="n"/>
    </row>
    <row r="126">
      <c r="A126" s="17" t="n"/>
      <c r="B126" s="14" t="n"/>
      <c r="C126" s="14" t="n"/>
      <c r="D126" s="14" t="n"/>
      <c r="E126" s="14" t="n"/>
      <c r="F126" s="15" t="n"/>
      <c r="G126" s="14" t="n"/>
      <c r="H126" s="17" t="n"/>
      <c r="I126" s="37" t="n"/>
      <c r="J126" s="14" t="n"/>
    </row>
    <row r="127">
      <c r="A127" s="17" t="n"/>
      <c r="B127" s="14" t="n"/>
      <c r="C127" s="14" t="n"/>
      <c r="D127" s="14" t="n"/>
      <c r="E127" s="14" t="n"/>
      <c r="F127" s="15" t="n"/>
      <c r="G127" s="14" t="n"/>
      <c r="H127" s="17" t="n"/>
      <c r="I127" s="37" t="n"/>
      <c r="J127" s="14" t="n"/>
    </row>
    <row r="128">
      <c r="A128" s="17" t="n"/>
      <c r="B128" s="14" t="n"/>
      <c r="C128" s="14" t="n"/>
      <c r="D128" s="14" t="n"/>
      <c r="E128" s="14" t="n"/>
      <c r="F128" s="15" t="n"/>
      <c r="G128" s="14" t="n"/>
      <c r="H128" s="17" t="n"/>
      <c r="I128" s="37" t="n"/>
      <c r="J128" s="14" t="n"/>
    </row>
    <row r="129">
      <c r="A129" s="17" t="n"/>
      <c r="B129" s="14" t="n"/>
      <c r="C129" s="14" t="n"/>
      <c r="D129" s="14" t="n"/>
      <c r="E129" s="14" t="n"/>
      <c r="F129" s="15" t="n"/>
      <c r="G129" s="14" t="n"/>
      <c r="H129" s="17" t="n"/>
      <c r="I129" s="37" t="n"/>
      <c r="J129" s="14" t="n"/>
    </row>
    <row r="130">
      <c r="A130" s="17" t="n"/>
      <c r="B130" s="14" t="n"/>
      <c r="C130" s="14" t="n"/>
      <c r="D130" s="14" t="n"/>
      <c r="E130" s="14" t="n"/>
      <c r="F130" s="15" t="n"/>
      <c r="G130" s="14" t="n"/>
      <c r="H130" s="17" t="n"/>
      <c r="I130" s="37" t="n"/>
      <c r="J130" s="14" t="n"/>
    </row>
    <row r="131">
      <c r="A131" s="17" t="n"/>
      <c r="B131" s="14" t="n"/>
      <c r="C131" s="14" t="n"/>
      <c r="D131" s="14" t="n"/>
      <c r="E131" s="14" t="n"/>
      <c r="F131" s="15" t="n"/>
      <c r="G131" s="14" t="n"/>
      <c r="H131" s="17" t="n"/>
      <c r="I131" s="37" t="n"/>
      <c r="J131" s="14" t="n"/>
    </row>
    <row r="132">
      <c r="A132" s="17" t="n"/>
      <c r="B132" s="14" t="n"/>
      <c r="C132" s="14" t="n"/>
      <c r="D132" s="14" t="n"/>
      <c r="E132" s="14" t="n"/>
      <c r="F132" s="15" t="n"/>
      <c r="G132" s="14" t="n"/>
      <c r="H132" s="17" t="n"/>
      <c r="I132" s="37" t="n"/>
      <c r="J132" s="14" t="n"/>
    </row>
    <row r="133">
      <c r="A133" s="17" t="n"/>
      <c r="B133" s="14" t="n"/>
      <c r="C133" s="14" t="n"/>
      <c r="D133" s="14" t="n"/>
      <c r="E133" s="14" t="n"/>
      <c r="F133" s="15" t="n"/>
      <c r="G133" s="14" t="n"/>
      <c r="H133" s="17" t="n"/>
      <c r="I133" s="37" t="n"/>
      <c r="J133" s="14" t="n"/>
    </row>
    <row r="134">
      <c r="A134" s="17" t="n"/>
      <c r="B134" s="14" t="n"/>
      <c r="C134" s="14" t="n"/>
      <c r="D134" s="14" t="n"/>
      <c r="E134" s="14" t="n"/>
      <c r="F134" s="15" t="n"/>
      <c r="G134" s="14" t="n"/>
      <c r="H134" s="17" t="n"/>
      <c r="I134" s="37" t="n"/>
      <c r="J134" s="14" t="n"/>
    </row>
    <row r="135">
      <c r="A135" s="17" t="n"/>
      <c r="B135" s="14" t="n"/>
      <c r="C135" s="14" t="n"/>
      <c r="D135" s="14" t="n"/>
      <c r="E135" s="14" t="n"/>
      <c r="F135" s="15" t="n"/>
      <c r="G135" s="14" t="n"/>
      <c r="H135" s="17" t="n"/>
      <c r="I135" s="37" t="n"/>
      <c r="J135" s="14" t="n"/>
    </row>
    <row r="136">
      <c r="A136" s="17" t="n"/>
      <c r="B136" s="14" t="n"/>
      <c r="C136" s="14" t="n"/>
      <c r="D136" s="14" t="n"/>
      <c r="E136" s="14" t="n"/>
      <c r="F136" s="15" t="n"/>
      <c r="G136" s="14" t="n"/>
      <c r="H136" s="17" t="n"/>
      <c r="I136" s="37" t="n"/>
      <c r="J136" s="14" t="n"/>
    </row>
    <row r="137">
      <c r="A137" s="17" t="n"/>
      <c r="B137" s="14" t="n"/>
      <c r="C137" s="14" t="n"/>
      <c r="D137" s="14" t="n"/>
      <c r="E137" s="14" t="n"/>
      <c r="F137" s="15" t="n"/>
      <c r="G137" s="14" t="n"/>
      <c r="H137" s="17" t="n"/>
      <c r="I137" s="37" t="n"/>
      <c r="J137" s="14" t="n"/>
    </row>
    <row r="138">
      <c r="A138" s="17" t="n"/>
      <c r="B138" s="14" t="n"/>
      <c r="C138" s="14" t="n"/>
      <c r="D138" s="14" t="n"/>
      <c r="E138" s="14" t="n"/>
      <c r="F138" s="15" t="n"/>
      <c r="G138" s="14" t="n"/>
      <c r="H138" s="17" t="n"/>
      <c r="I138" s="37" t="n"/>
      <c r="J138" s="14" t="n"/>
    </row>
    <row r="139">
      <c r="A139" s="17" t="n"/>
      <c r="B139" s="14" t="n"/>
      <c r="C139" s="14" t="n"/>
      <c r="D139" s="14" t="n"/>
      <c r="E139" s="14" t="n"/>
      <c r="F139" s="15" t="n"/>
      <c r="G139" s="14" t="n"/>
      <c r="H139" s="17" t="n"/>
      <c r="I139" s="37" t="n"/>
      <c r="J139" s="14" t="n"/>
    </row>
    <row r="140">
      <c r="A140" s="17" t="n"/>
      <c r="B140" s="14" t="n"/>
      <c r="C140" s="14" t="n"/>
      <c r="D140" s="14" t="n"/>
      <c r="E140" s="14" t="n"/>
      <c r="F140" s="15" t="n"/>
      <c r="G140" s="14" t="n"/>
      <c r="H140" s="17" t="n"/>
      <c r="I140" s="37" t="n"/>
      <c r="J140" s="14" t="n"/>
    </row>
    <row r="141">
      <c r="A141" s="17" t="n"/>
      <c r="B141" s="14" t="n"/>
      <c r="C141" s="14" t="n"/>
      <c r="D141" s="14" t="n"/>
      <c r="E141" s="14" t="n"/>
      <c r="F141" s="15" t="n"/>
      <c r="G141" s="14" t="n"/>
      <c r="H141" s="17" t="n"/>
      <c r="I141" s="37" t="n"/>
      <c r="J141" s="14" t="n"/>
    </row>
    <row r="142">
      <c r="A142" s="17" t="n"/>
      <c r="B142" s="14" t="n"/>
      <c r="C142" s="14" t="n"/>
      <c r="D142" s="14" t="n"/>
      <c r="E142" s="14" t="n"/>
      <c r="F142" s="15" t="n"/>
      <c r="G142" s="14" t="n"/>
      <c r="H142" s="17" t="n"/>
      <c r="I142" s="37" t="n"/>
      <c r="J142" s="14" t="n"/>
    </row>
    <row r="143">
      <c r="A143" s="17" t="n"/>
      <c r="B143" s="14" t="n"/>
      <c r="C143" s="14" t="n"/>
      <c r="D143" s="14" t="n"/>
      <c r="E143" s="14" t="n"/>
      <c r="F143" s="15" t="n"/>
      <c r="G143" s="14" t="n"/>
      <c r="H143" s="17" t="n"/>
      <c r="I143" s="37" t="n"/>
      <c r="J143" s="14" t="n"/>
    </row>
    <row r="144">
      <c r="A144" s="17" t="n"/>
      <c r="B144" s="14" t="n"/>
      <c r="C144" s="14" t="n"/>
      <c r="D144" s="14" t="n"/>
      <c r="E144" s="14" t="n"/>
      <c r="F144" s="15" t="n"/>
      <c r="G144" s="14" t="n"/>
      <c r="H144" s="17" t="n"/>
      <c r="I144" s="37" t="n"/>
      <c r="J144" s="14" t="n"/>
    </row>
    <row r="145">
      <c r="A145" s="17" t="n"/>
      <c r="B145" s="14" t="n"/>
      <c r="C145" s="14" t="n"/>
      <c r="D145" s="14" t="n"/>
      <c r="E145" s="14" t="n"/>
      <c r="F145" s="15" t="n"/>
      <c r="G145" s="14" t="n"/>
      <c r="H145" s="17" t="n"/>
      <c r="I145" s="37" t="n"/>
      <c r="J145" s="14" t="n"/>
    </row>
    <row r="146">
      <c r="A146" s="17" t="n"/>
      <c r="B146" s="14" t="n"/>
      <c r="C146" s="14" t="n"/>
      <c r="D146" s="14" t="n"/>
      <c r="E146" s="14" t="n"/>
      <c r="F146" s="15" t="n"/>
      <c r="G146" s="14" t="n"/>
      <c r="H146" s="17" t="n"/>
      <c r="I146" s="37" t="n"/>
      <c r="J146" s="14" t="n"/>
    </row>
    <row r="147">
      <c r="A147" s="17" t="n"/>
      <c r="B147" s="14" t="n"/>
      <c r="C147" s="14" t="n"/>
      <c r="D147" s="14" t="n"/>
      <c r="E147" s="14" t="n"/>
      <c r="F147" s="15" t="n"/>
      <c r="G147" s="14" t="n"/>
      <c r="H147" s="17" t="n"/>
      <c r="I147" s="37" t="n"/>
      <c r="J147" s="14" t="n"/>
    </row>
    <row r="148">
      <c r="A148" s="17" t="n"/>
      <c r="B148" s="14" t="n"/>
      <c r="C148" s="14" t="n"/>
      <c r="D148" s="14" t="n"/>
      <c r="E148" s="14" t="n"/>
      <c r="F148" s="15" t="n"/>
      <c r="G148" s="14" t="n"/>
      <c r="H148" s="17" t="n"/>
      <c r="I148" s="37" t="n"/>
      <c r="J148" s="14" t="n"/>
    </row>
    <row r="149">
      <c r="A149" s="17" t="n"/>
      <c r="B149" s="14" t="n"/>
      <c r="C149" s="14" t="n"/>
      <c r="D149" s="14" t="n"/>
      <c r="E149" s="14" t="n"/>
      <c r="F149" s="15" t="n"/>
      <c r="G149" s="14" t="n"/>
      <c r="H149" s="17" t="n"/>
      <c r="I149" s="37" t="n"/>
      <c r="J149" s="14" t="n"/>
    </row>
    <row r="150">
      <c r="A150" s="17" t="n"/>
      <c r="B150" s="14" t="n"/>
      <c r="C150" s="14" t="n"/>
      <c r="D150" s="14" t="n"/>
      <c r="E150" s="14" t="n"/>
      <c r="F150" s="15" t="n"/>
      <c r="G150" s="14" t="n"/>
      <c r="H150" s="17" t="n"/>
      <c r="I150" s="37" t="n"/>
      <c r="J150" s="14" t="n"/>
    </row>
    <row r="151">
      <c r="A151" s="17" t="n"/>
      <c r="B151" s="14" t="n"/>
      <c r="C151" s="14" t="n"/>
      <c r="D151" s="14" t="n"/>
      <c r="E151" s="14" t="n"/>
      <c r="F151" s="15" t="n"/>
      <c r="G151" s="14" t="n"/>
      <c r="H151" s="17" t="n"/>
      <c r="I151" s="37" t="n"/>
      <c r="J151" s="14" t="n"/>
    </row>
    <row r="152">
      <c r="A152" s="17" t="n"/>
      <c r="B152" s="14" t="n"/>
      <c r="C152" s="14" t="n"/>
      <c r="D152" s="14" t="n"/>
      <c r="E152" s="14" t="n"/>
      <c r="F152" s="15" t="n"/>
      <c r="G152" s="14" t="n"/>
      <c r="H152" s="17" t="n"/>
      <c r="I152" s="37" t="n"/>
      <c r="J152" s="14" t="n"/>
    </row>
    <row r="153">
      <c r="A153" s="17" t="n"/>
      <c r="B153" s="14" t="n"/>
      <c r="C153" s="14" t="n"/>
      <c r="D153" s="14" t="n"/>
      <c r="E153" s="14" t="n"/>
      <c r="F153" s="15" t="n"/>
      <c r="G153" s="14" t="n"/>
      <c r="H153" s="17" t="n"/>
      <c r="I153" s="37" t="n"/>
      <c r="J153" s="14" t="n"/>
    </row>
    <row r="154">
      <c r="A154" s="17" t="n"/>
      <c r="B154" s="14" t="n"/>
      <c r="C154" s="14" t="n"/>
      <c r="D154" s="14" t="n"/>
      <c r="E154" s="14" t="n"/>
      <c r="F154" s="15" t="n"/>
      <c r="G154" s="14" t="n"/>
      <c r="H154" s="17" t="n"/>
      <c r="I154" s="37" t="n"/>
      <c r="J154" s="14" t="n"/>
    </row>
    <row r="155">
      <c r="A155" s="17" t="n"/>
      <c r="B155" s="14" t="n"/>
      <c r="C155" s="14" t="n"/>
      <c r="D155" s="14" t="n"/>
      <c r="E155" s="14" t="n"/>
      <c r="F155" s="15" t="n"/>
      <c r="G155" s="14" t="n"/>
      <c r="H155" s="17" t="n"/>
      <c r="I155" s="37" t="n"/>
      <c r="J155" s="14" t="n"/>
    </row>
    <row r="156">
      <c r="A156" s="17" t="n"/>
      <c r="B156" s="14" t="n"/>
      <c r="C156" s="14" t="n"/>
      <c r="D156" s="14" t="n"/>
      <c r="E156" s="14" t="n"/>
      <c r="F156" s="15" t="n"/>
      <c r="G156" s="14" t="n"/>
      <c r="H156" s="17" t="n"/>
      <c r="I156" s="37" t="n"/>
      <c r="J156" s="14" t="n"/>
    </row>
    <row r="157">
      <c r="A157" s="17" t="n"/>
      <c r="B157" s="14" t="n"/>
      <c r="C157" s="14" t="n"/>
      <c r="D157" s="14" t="n"/>
      <c r="E157" s="14" t="n"/>
      <c r="F157" s="15" t="n"/>
      <c r="G157" s="14" t="n"/>
      <c r="H157" s="17" t="n"/>
      <c r="I157" s="37" t="n"/>
      <c r="J157" s="14" t="n"/>
    </row>
    <row r="158">
      <c r="A158" s="17" t="n"/>
      <c r="B158" s="14" t="n"/>
      <c r="C158" s="14" t="n"/>
      <c r="D158" s="14" t="n"/>
      <c r="E158" s="14" t="n"/>
      <c r="F158" s="15" t="n"/>
      <c r="G158" s="14" t="n"/>
      <c r="H158" s="17" t="n"/>
      <c r="I158" s="37" t="n"/>
      <c r="J158" s="14" t="n"/>
    </row>
    <row r="159">
      <c r="A159" s="17" t="n"/>
      <c r="B159" s="14" t="n"/>
      <c r="C159" s="14" t="n"/>
      <c r="D159" s="14" t="n"/>
      <c r="E159" s="14" t="n"/>
      <c r="F159" s="15" t="n"/>
      <c r="G159" s="14" t="n"/>
      <c r="H159" s="17" t="n"/>
      <c r="I159" s="37" t="n"/>
      <c r="J159" s="14" t="n"/>
    </row>
    <row r="160">
      <c r="A160" s="17" t="n"/>
      <c r="B160" s="14" t="n"/>
      <c r="C160" s="14" t="n"/>
      <c r="D160" s="14" t="n"/>
      <c r="E160" s="14" t="n"/>
      <c r="F160" s="15" t="n"/>
      <c r="G160" s="14" t="n"/>
      <c r="H160" s="17" t="n"/>
      <c r="I160" s="37" t="n"/>
      <c r="J160" s="14" t="n"/>
    </row>
    <row r="161">
      <c r="A161" s="17" t="n"/>
      <c r="B161" s="14" t="n"/>
      <c r="C161" s="14" t="n"/>
      <c r="D161" s="14" t="n"/>
      <c r="E161" s="14" t="n"/>
      <c r="F161" s="15" t="n"/>
      <c r="G161" s="14" t="n"/>
      <c r="H161" s="17" t="n"/>
      <c r="I161" s="37" t="n"/>
      <c r="J161" s="14" t="n"/>
    </row>
    <row r="162">
      <c r="A162" s="17" t="n"/>
      <c r="B162" s="14" t="n"/>
      <c r="C162" s="14" t="n"/>
      <c r="D162" s="14" t="n"/>
      <c r="E162" s="14" t="n"/>
      <c r="F162" s="15" t="n"/>
      <c r="G162" s="14" t="n"/>
      <c r="H162" s="17" t="n"/>
      <c r="I162" s="37" t="n"/>
      <c r="J162" s="14" t="n"/>
    </row>
    <row r="163">
      <c r="A163" s="17" t="n"/>
      <c r="B163" s="14" t="n"/>
      <c r="C163" s="14" t="n"/>
      <c r="D163" s="14" t="n"/>
      <c r="E163" s="14" t="n"/>
      <c r="F163" s="15" t="n"/>
      <c r="G163" s="14" t="n"/>
      <c r="H163" s="17" t="n"/>
      <c r="I163" s="37" t="n"/>
      <c r="J163" s="14" t="n"/>
    </row>
    <row r="164">
      <c r="A164" s="17" t="n"/>
      <c r="B164" s="14" t="n"/>
      <c r="C164" s="14" t="n"/>
      <c r="D164" s="14" t="n"/>
      <c r="E164" s="14" t="n"/>
      <c r="F164" s="15" t="n"/>
      <c r="G164" s="14" t="n"/>
      <c r="H164" s="17" t="n"/>
      <c r="I164" s="37" t="n"/>
      <c r="J164" s="14" t="n"/>
    </row>
    <row r="165">
      <c r="A165" s="17" t="n"/>
      <c r="B165" s="14" t="n"/>
      <c r="C165" s="14" t="n"/>
      <c r="D165" s="14" t="n"/>
      <c r="E165" s="14" t="n"/>
      <c r="F165" s="15" t="n"/>
      <c r="G165" s="14" t="n"/>
      <c r="H165" s="17" t="n"/>
      <c r="I165" s="37" t="n"/>
      <c r="J165" s="14" t="n"/>
    </row>
    <row r="166">
      <c r="A166" s="17" t="n"/>
      <c r="B166" s="14" t="n"/>
      <c r="C166" s="14" t="n"/>
      <c r="D166" s="14" t="n"/>
      <c r="E166" s="14" t="n"/>
      <c r="F166" s="15" t="n"/>
      <c r="G166" s="14" t="n"/>
      <c r="H166" s="17" t="n"/>
      <c r="I166" s="37" t="n"/>
      <c r="J166" s="14" t="n"/>
    </row>
    <row r="167">
      <c r="A167" s="17" t="n"/>
      <c r="B167" s="14" t="n"/>
      <c r="C167" s="14" t="n"/>
      <c r="D167" s="14" t="n"/>
      <c r="E167" s="14" t="n"/>
      <c r="F167" s="15" t="n"/>
      <c r="G167" s="14" t="n"/>
      <c r="H167" s="17" t="n"/>
      <c r="I167" s="37" t="n"/>
      <c r="J167" s="14" t="n"/>
    </row>
    <row r="168">
      <c r="A168" s="17" t="n"/>
      <c r="B168" s="14" t="n"/>
      <c r="C168" s="14" t="n"/>
      <c r="D168" s="14" t="n"/>
      <c r="E168" s="14" t="n"/>
      <c r="F168" s="15" t="n"/>
      <c r="G168" s="14" t="n"/>
      <c r="H168" s="17" t="n"/>
      <c r="I168" s="37" t="n"/>
      <c r="J168" s="14" t="n"/>
    </row>
    <row r="169">
      <c r="A169" s="17" t="n"/>
      <c r="B169" s="14" t="n"/>
      <c r="C169" s="14" t="n"/>
      <c r="D169" s="14" t="n"/>
      <c r="E169" s="14" t="n"/>
      <c r="F169" s="15" t="n"/>
      <c r="G169" s="14" t="n"/>
      <c r="H169" s="17" t="n"/>
      <c r="I169" s="37" t="n"/>
      <c r="J169" s="14" t="n"/>
    </row>
    <row r="170">
      <c r="A170" s="17" t="n"/>
      <c r="B170" s="14" t="n"/>
      <c r="C170" s="14" t="n"/>
      <c r="D170" s="14" t="n"/>
      <c r="E170" s="14" t="n"/>
      <c r="F170" s="15" t="n"/>
      <c r="G170" s="14" t="n"/>
      <c r="H170" s="17" t="n"/>
      <c r="I170" s="37" t="n"/>
      <c r="J170" s="14" t="n"/>
    </row>
    <row r="171">
      <c r="A171" s="17" t="n"/>
      <c r="B171" s="14" t="n"/>
      <c r="C171" s="14" t="n"/>
      <c r="D171" s="14" t="n"/>
      <c r="E171" s="14" t="n"/>
      <c r="F171" s="15" t="n"/>
      <c r="G171" s="14" t="n"/>
      <c r="H171" s="17" t="n"/>
      <c r="I171" s="37" t="n"/>
      <c r="J171" s="14" t="n"/>
    </row>
    <row r="172">
      <c r="A172" s="17" t="n"/>
      <c r="B172" s="14" t="n"/>
      <c r="C172" s="14" t="n"/>
      <c r="D172" s="14" t="n"/>
      <c r="E172" s="14" t="n"/>
      <c r="F172" s="15" t="n"/>
      <c r="G172" s="14" t="n"/>
      <c r="H172" s="17" t="n"/>
      <c r="I172" s="37" t="n"/>
      <c r="J172" s="14" t="n"/>
    </row>
    <row r="173">
      <c r="A173" s="17" t="n"/>
      <c r="B173" s="14" t="n"/>
      <c r="C173" s="14" t="n"/>
      <c r="D173" s="14" t="n"/>
      <c r="E173" s="14" t="n"/>
      <c r="F173" s="15" t="n"/>
      <c r="G173" s="14" t="n"/>
      <c r="H173" s="17" t="n"/>
      <c r="I173" s="37" t="n"/>
      <c r="J173" s="14" t="n"/>
    </row>
    <row r="174">
      <c r="A174" s="17" t="n"/>
      <c r="B174" s="14" t="n"/>
      <c r="C174" s="14" t="n"/>
      <c r="D174" s="14" t="n"/>
      <c r="E174" s="14" t="n"/>
      <c r="F174" s="15" t="n"/>
      <c r="G174" s="14" t="n"/>
      <c r="H174" s="17" t="n"/>
      <c r="I174" s="37" t="n"/>
      <c r="J174" s="14" t="n"/>
    </row>
    <row r="175">
      <c r="A175" s="17" t="n"/>
      <c r="B175" s="14" t="n"/>
      <c r="C175" s="14" t="n"/>
      <c r="D175" s="14" t="n"/>
      <c r="E175" s="14" t="n"/>
      <c r="F175" s="15" t="n"/>
      <c r="G175" s="14" t="n"/>
      <c r="H175" s="17" t="n"/>
      <c r="I175" s="37" t="n"/>
      <c r="J175" s="14" t="n"/>
    </row>
    <row r="176">
      <c r="A176" s="17" t="n"/>
      <c r="B176" s="14" t="n"/>
      <c r="C176" s="14" t="n"/>
      <c r="D176" s="14" t="n"/>
      <c r="E176" s="14" t="n"/>
      <c r="F176" s="15" t="n"/>
      <c r="G176" s="14" t="n"/>
      <c r="H176" s="17" t="n"/>
      <c r="I176" s="37" t="n"/>
      <c r="J176" s="14" t="n"/>
    </row>
    <row r="177">
      <c r="A177" s="17" t="n"/>
      <c r="B177" s="14" t="n"/>
      <c r="C177" s="14" t="n"/>
      <c r="D177" s="14" t="n"/>
      <c r="E177" s="14" t="n"/>
      <c r="F177" s="15" t="n"/>
      <c r="G177" s="14" t="n"/>
      <c r="H177" s="17" t="n"/>
      <c r="I177" s="37" t="n"/>
      <c r="J177" s="14" t="n"/>
    </row>
    <row r="178">
      <c r="A178" s="17" t="n"/>
      <c r="B178" s="14" t="n"/>
      <c r="C178" s="14" t="n"/>
      <c r="D178" s="14" t="n"/>
      <c r="E178" s="14" t="n"/>
      <c r="F178" s="15" t="n"/>
      <c r="G178" s="14" t="n"/>
      <c r="H178" s="17" t="n"/>
      <c r="I178" s="37" t="n"/>
      <c r="J178" s="14" t="n"/>
    </row>
    <row r="179">
      <c r="A179" s="17" t="n"/>
      <c r="B179" s="14" t="n"/>
      <c r="C179" s="14" t="n"/>
      <c r="D179" s="14" t="n"/>
      <c r="E179" s="14" t="n"/>
      <c r="F179" s="15" t="n"/>
      <c r="G179" s="14" t="n"/>
      <c r="H179" s="17" t="n"/>
      <c r="I179" s="37" t="n"/>
      <c r="J179" s="14" t="n"/>
    </row>
    <row r="180">
      <c r="A180" s="17" t="n"/>
      <c r="B180" s="14" t="n"/>
      <c r="C180" s="14" t="n"/>
      <c r="D180" s="14" t="n"/>
      <c r="E180" s="14" t="n"/>
      <c r="F180" s="15" t="n"/>
      <c r="G180" s="14" t="n"/>
      <c r="H180" s="17" t="n"/>
      <c r="I180" s="37" t="n"/>
      <c r="J180" s="14" t="n"/>
    </row>
    <row r="181">
      <c r="A181" s="17" t="n"/>
      <c r="B181" s="14" t="n"/>
      <c r="C181" s="14" t="n"/>
      <c r="D181" s="14" t="n"/>
      <c r="E181" s="14" t="n"/>
      <c r="F181" s="15" t="n"/>
      <c r="G181" s="14" t="n"/>
      <c r="H181" s="17" t="n"/>
      <c r="I181" s="37" t="n"/>
      <c r="J181" s="14" t="n"/>
    </row>
    <row r="182">
      <c r="A182" s="17" t="n"/>
      <c r="B182" s="14" t="n"/>
      <c r="C182" s="14" t="n"/>
      <c r="D182" s="14" t="n"/>
      <c r="E182" s="14" t="n"/>
      <c r="F182" s="15" t="n"/>
      <c r="G182" s="14" t="n"/>
      <c r="H182" s="17" t="n"/>
      <c r="I182" s="37" t="n"/>
      <c r="J182" s="14" t="n"/>
    </row>
    <row r="183">
      <c r="A183" s="17" t="n"/>
      <c r="B183" s="14" t="n"/>
      <c r="C183" s="14" t="n"/>
      <c r="D183" s="14" t="n"/>
      <c r="E183" s="14" t="n"/>
      <c r="F183" s="15" t="n"/>
      <c r="G183" s="14" t="n"/>
      <c r="H183" s="17" t="n"/>
      <c r="I183" s="37" t="n"/>
      <c r="J183" s="14" t="n"/>
    </row>
    <row r="184">
      <c r="A184" s="17" t="n"/>
      <c r="B184" s="14" t="n"/>
      <c r="C184" s="14" t="n"/>
      <c r="D184" s="14" t="n"/>
      <c r="E184" s="14" t="n"/>
      <c r="F184" s="15" t="n"/>
      <c r="G184" s="14" t="n"/>
      <c r="H184" s="17" t="n"/>
      <c r="I184" s="37" t="n"/>
      <c r="J184" s="14" t="n"/>
    </row>
    <row r="185">
      <c r="A185" s="17" t="n"/>
      <c r="B185" s="14" t="n"/>
      <c r="C185" s="14" t="n"/>
      <c r="D185" s="14" t="n"/>
      <c r="E185" s="14" t="n"/>
      <c r="F185" s="15" t="n"/>
      <c r="G185" s="14" t="n"/>
      <c r="H185" s="17" t="n"/>
      <c r="I185" s="37" t="n"/>
      <c r="J185" s="14" t="n"/>
    </row>
    <row r="186">
      <c r="A186" s="17" t="n"/>
      <c r="B186" s="14" t="n"/>
      <c r="C186" s="14" t="n"/>
      <c r="D186" s="14" t="n"/>
      <c r="E186" s="14" t="n"/>
      <c r="F186" s="15" t="n"/>
      <c r="G186" s="14" t="n"/>
      <c r="H186" s="17" t="n"/>
      <c r="I186" s="37" t="n"/>
      <c r="J186" s="14" t="n"/>
    </row>
    <row r="187">
      <c r="A187" s="17" t="n"/>
      <c r="B187" s="14" t="n"/>
      <c r="C187" s="14" t="n"/>
      <c r="D187" s="14" t="n"/>
      <c r="E187" s="14" t="n"/>
      <c r="F187" s="15" t="n"/>
      <c r="G187" s="14" t="n"/>
      <c r="H187" s="17" t="n"/>
      <c r="I187" s="37" t="n"/>
      <c r="J187" s="14" t="n"/>
    </row>
    <row r="188">
      <c r="A188" s="17" t="n"/>
      <c r="B188" s="14" t="n"/>
      <c r="C188" s="14" t="n"/>
      <c r="D188" s="14" t="n"/>
      <c r="E188" s="14" t="n"/>
      <c r="F188" s="15" t="n"/>
      <c r="G188" s="14" t="n"/>
      <c r="H188" s="17" t="n"/>
      <c r="I188" s="37" t="n"/>
      <c r="J188" s="14" t="n"/>
    </row>
    <row r="189">
      <c r="A189" s="17" t="n"/>
      <c r="B189" s="14" t="n"/>
      <c r="C189" s="14" t="n"/>
      <c r="D189" s="14" t="n"/>
      <c r="E189" s="14" t="n"/>
      <c r="F189" s="15" t="n"/>
      <c r="G189" s="14" t="n"/>
      <c r="H189" s="17" t="n"/>
      <c r="I189" s="37" t="n"/>
      <c r="J189" s="14" t="n"/>
    </row>
    <row r="190">
      <c r="A190" s="17" t="n"/>
      <c r="B190" s="14" t="n"/>
      <c r="C190" s="14" t="n"/>
      <c r="D190" s="14" t="n"/>
      <c r="E190" s="14" t="n"/>
      <c r="F190" s="15" t="n"/>
      <c r="G190" s="14" t="n"/>
      <c r="H190" s="17" t="n"/>
      <c r="I190" s="37" t="n"/>
      <c r="J190" s="14" t="n"/>
    </row>
    <row r="191">
      <c r="A191" s="17" t="n"/>
      <c r="B191" s="14" t="n"/>
      <c r="C191" s="14" t="n"/>
      <c r="D191" s="14" t="n"/>
      <c r="E191" s="14" t="n"/>
      <c r="F191" s="15" t="n"/>
      <c r="G191" s="14" t="n"/>
      <c r="H191" s="17" t="n"/>
      <c r="I191" s="37" t="n"/>
      <c r="J191" s="14" t="n"/>
    </row>
    <row r="192">
      <c r="A192" s="17" t="n"/>
      <c r="B192" s="14" t="n"/>
      <c r="C192" s="14" t="n"/>
      <c r="D192" s="14" t="n"/>
      <c r="E192" s="14" t="n"/>
      <c r="F192" s="15" t="n"/>
      <c r="G192" s="14" t="n"/>
      <c r="H192" s="17" t="n"/>
      <c r="I192" s="37" t="n"/>
      <c r="J192" s="14" t="n"/>
    </row>
    <row r="193">
      <c r="A193" s="17" t="n"/>
      <c r="B193" s="14" t="n"/>
      <c r="C193" s="14" t="n"/>
      <c r="D193" s="14" t="n"/>
      <c r="E193" s="14" t="n"/>
      <c r="F193" s="15" t="n"/>
      <c r="G193" s="14" t="n"/>
      <c r="H193" s="17" t="n"/>
      <c r="I193" s="37" t="n"/>
      <c r="J193" s="14" t="n"/>
    </row>
    <row r="194">
      <c r="A194" s="17" t="n"/>
      <c r="B194" s="14" t="n"/>
      <c r="C194" s="14" t="n"/>
      <c r="D194" s="14" t="n"/>
      <c r="E194" s="14" t="n"/>
      <c r="F194" s="15" t="n"/>
      <c r="G194" s="14" t="n"/>
      <c r="H194" s="17" t="n"/>
      <c r="I194" s="37" t="n"/>
      <c r="J194" s="14" t="n"/>
    </row>
    <row r="195">
      <c r="A195" s="17" t="n"/>
      <c r="B195" s="14" t="n"/>
      <c r="C195" s="14" t="n"/>
      <c r="D195" s="14" t="n"/>
      <c r="E195" s="14" t="n"/>
      <c r="F195" s="15" t="n"/>
      <c r="G195" s="14" t="n"/>
      <c r="H195" s="17" t="n"/>
      <c r="I195" s="37" t="n"/>
      <c r="J195" s="14" t="n"/>
    </row>
    <row r="196">
      <c r="A196" s="17" t="n"/>
      <c r="B196" s="14" t="n"/>
      <c r="C196" s="14" t="n"/>
      <c r="D196" s="14" t="n"/>
      <c r="E196" s="14" t="n"/>
      <c r="F196" s="15" t="n"/>
      <c r="G196" s="14" t="n"/>
      <c r="H196" s="17" t="n"/>
      <c r="I196" s="37" t="n"/>
      <c r="J196" s="14" t="n"/>
    </row>
    <row r="197">
      <c r="A197" s="17" t="n"/>
      <c r="B197" s="14" t="n"/>
      <c r="C197" s="14" t="n"/>
      <c r="D197" s="14" t="n"/>
      <c r="E197" s="14" t="n"/>
      <c r="F197" s="15" t="n"/>
      <c r="G197" s="14" t="n"/>
      <c r="H197" s="17" t="n"/>
      <c r="I197" s="37" t="n"/>
      <c r="J197" s="14" t="n"/>
    </row>
    <row r="198">
      <c r="A198" s="17" t="n"/>
      <c r="B198" s="14" t="n"/>
      <c r="C198" s="14" t="n"/>
      <c r="D198" s="14" t="n"/>
      <c r="E198" s="14" t="n"/>
      <c r="F198" s="15" t="n"/>
      <c r="G198" s="14" t="n"/>
      <c r="H198" s="17" t="n"/>
      <c r="I198" s="37" t="n"/>
      <c r="J198" s="14" t="n"/>
    </row>
    <row r="199">
      <c r="A199" s="17" t="n"/>
      <c r="B199" s="14" t="n"/>
      <c r="C199" s="14" t="n"/>
      <c r="D199" s="14" t="n"/>
      <c r="E199" s="14" t="n"/>
      <c r="F199" s="15" t="n"/>
      <c r="G199" s="14" t="n"/>
      <c r="H199" s="17" t="n"/>
      <c r="I199" s="37" t="n"/>
      <c r="J199" s="14" t="n"/>
    </row>
    <row r="200">
      <c r="A200" s="17" t="n"/>
      <c r="B200" s="14" t="n"/>
      <c r="C200" s="14" t="n"/>
      <c r="D200" s="14" t="n"/>
      <c r="E200" s="14" t="n"/>
      <c r="F200" s="15" t="n"/>
      <c r="G200" s="14" t="n"/>
      <c r="H200" s="17" t="n"/>
      <c r="I200" s="37" t="n"/>
      <c r="J200" s="14" t="n"/>
    </row>
    <row r="201">
      <c r="A201" s="17" t="n"/>
      <c r="B201" s="14" t="n"/>
      <c r="C201" s="14" t="n"/>
      <c r="D201" s="14" t="n"/>
      <c r="E201" s="14" t="n"/>
      <c r="F201" s="15" t="n"/>
      <c r="G201" s="14" t="n"/>
      <c r="H201" s="17" t="n"/>
      <c r="I201" s="37" t="n"/>
      <c r="J201" s="14" t="n"/>
    </row>
    <row r="202">
      <c r="A202" s="17" t="n"/>
      <c r="B202" s="14" t="n"/>
      <c r="C202" s="14" t="n"/>
      <c r="D202" s="14" t="n"/>
      <c r="E202" s="14" t="n"/>
      <c r="F202" s="15" t="n"/>
      <c r="G202" s="14" t="n"/>
      <c r="H202" s="17" t="n"/>
      <c r="I202" s="37" t="n"/>
      <c r="J202" s="14" t="n"/>
    </row>
    <row r="203">
      <c r="A203" s="17" t="n"/>
      <c r="B203" s="14" t="n"/>
      <c r="C203" s="14" t="n"/>
      <c r="D203" s="14" t="n"/>
      <c r="E203" s="14" t="n"/>
      <c r="F203" s="15" t="n"/>
      <c r="G203" s="14" t="n"/>
      <c r="H203" s="17" t="n"/>
      <c r="I203" s="37" t="n"/>
      <c r="J203" s="14" t="n"/>
    </row>
    <row r="204">
      <c r="A204" s="17" t="n"/>
      <c r="B204" s="14" t="n"/>
      <c r="C204" s="14" t="n"/>
      <c r="D204" s="14" t="n"/>
      <c r="E204" s="14" t="n"/>
      <c r="F204" s="15" t="n"/>
      <c r="G204" s="14" t="n"/>
      <c r="H204" s="17" t="n"/>
      <c r="I204" s="37" t="n"/>
      <c r="J204" s="14" t="n"/>
    </row>
    <row r="205">
      <c r="A205" s="17" t="n"/>
      <c r="B205" s="14" t="n"/>
      <c r="C205" s="14" t="n"/>
      <c r="D205" s="14" t="n"/>
      <c r="E205" s="14" t="n"/>
      <c r="F205" s="15" t="n"/>
      <c r="G205" s="14" t="n"/>
      <c r="H205" s="17" t="n"/>
      <c r="I205" s="37" t="n"/>
      <c r="J205" s="14" t="n"/>
    </row>
    <row r="206">
      <c r="A206" s="17" t="n"/>
      <c r="B206" s="14" t="n"/>
      <c r="C206" s="14" t="n"/>
      <c r="D206" s="14" t="n"/>
      <c r="E206" s="14" t="n"/>
      <c r="F206" s="15" t="n"/>
      <c r="G206" s="14" t="n"/>
      <c r="H206" s="17" t="n"/>
      <c r="I206" s="37" t="n"/>
      <c r="J206" s="14" t="n"/>
    </row>
    <row r="207">
      <c r="A207" s="17" t="n"/>
      <c r="B207" s="14" t="n"/>
      <c r="C207" s="14" t="n"/>
      <c r="D207" s="14" t="n"/>
      <c r="E207" s="14" t="n"/>
      <c r="F207" s="15" t="n"/>
      <c r="G207" s="14" t="n"/>
      <c r="H207" s="17" t="n"/>
      <c r="I207" s="37" t="n"/>
      <c r="J207" s="14" t="n"/>
    </row>
    <row r="208">
      <c r="A208" s="17" t="n"/>
      <c r="B208" s="14" t="n"/>
      <c r="C208" s="14" t="n"/>
      <c r="D208" s="14" t="n"/>
      <c r="E208" s="14" t="n"/>
      <c r="F208" s="15" t="n"/>
      <c r="G208" s="14" t="n"/>
      <c r="H208" s="17" t="n"/>
      <c r="I208" s="37" t="n"/>
      <c r="J208" s="14" t="n"/>
    </row>
    <row r="209">
      <c r="A209" s="17" t="n"/>
      <c r="B209" s="14" t="n"/>
      <c r="C209" s="14" t="n"/>
      <c r="D209" s="14" t="n"/>
      <c r="E209" s="14" t="n"/>
      <c r="F209" s="15" t="n"/>
      <c r="G209" s="14" t="n"/>
      <c r="H209" s="17" t="n"/>
      <c r="I209" s="37" t="n"/>
      <c r="J209" s="14" t="n"/>
    </row>
    <row r="210">
      <c r="A210" s="17" t="n"/>
      <c r="B210" s="14" t="n"/>
      <c r="C210" s="14" t="n"/>
      <c r="D210" s="14" t="n"/>
      <c r="E210" s="14" t="n"/>
      <c r="F210" s="15" t="n"/>
      <c r="G210" s="14" t="n"/>
      <c r="H210" s="17" t="n"/>
      <c r="I210" s="37" t="n"/>
      <c r="J210" s="14" t="n"/>
    </row>
    <row r="211">
      <c r="A211" s="17" t="n"/>
      <c r="B211" s="14" t="n"/>
      <c r="C211" s="14" t="n"/>
      <c r="D211" s="14" t="n"/>
      <c r="E211" s="14" t="n"/>
      <c r="F211" s="15" t="n"/>
      <c r="G211" s="14" t="n"/>
      <c r="H211" s="17" t="n"/>
      <c r="I211" s="37" t="n"/>
      <c r="J211" s="14" t="n"/>
    </row>
    <row r="212">
      <c r="A212" s="17" t="n"/>
      <c r="B212" s="14" t="n"/>
      <c r="C212" s="14" t="n"/>
      <c r="D212" s="14" t="n"/>
      <c r="E212" s="14" t="n"/>
      <c r="F212" s="15" t="n"/>
      <c r="G212" s="14" t="n"/>
      <c r="H212" s="17" t="n"/>
      <c r="I212" s="37" t="n"/>
      <c r="J212" s="14" t="n"/>
    </row>
    <row r="213">
      <c r="A213" s="17" t="n"/>
      <c r="B213" s="14" t="n"/>
      <c r="C213" s="14" t="n"/>
      <c r="D213" s="14" t="n"/>
      <c r="E213" s="14" t="n"/>
      <c r="F213" s="15" t="n"/>
      <c r="G213" s="14" t="n"/>
      <c r="H213" s="17" t="n"/>
      <c r="I213" s="37" t="n"/>
      <c r="J213" s="14" t="n"/>
    </row>
    <row r="214">
      <c r="A214" s="17" t="n"/>
      <c r="B214" s="14" t="n"/>
      <c r="C214" s="14" t="n"/>
      <c r="D214" s="14" t="n"/>
      <c r="E214" s="14" t="n"/>
      <c r="F214" s="15" t="n"/>
      <c r="G214" s="14" t="n"/>
      <c r="H214" s="17" t="n"/>
      <c r="I214" s="37" t="n"/>
      <c r="J214" s="14" t="n"/>
    </row>
    <row r="215">
      <c r="A215" s="17" t="n"/>
      <c r="B215" s="14" t="n"/>
      <c r="C215" s="14" t="n"/>
      <c r="D215" s="14" t="n"/>
      <c r="E215" s="14" t="n"/>
      <c r="F215" s="15" t="n"/>
      <c r="G215" s="14" t="n"/>
      <c r="H215" s="17" t="n"/>
      <c r="I215" s="37" t="n"/>
      <c r="J215" s="14" t="n"/>
    </row>
    <row r="216">
      <c r="A216" s="17" t="n"/>
      <c r="B216" s="14" t="n"/>
      <c r="C216" s="14" t="n"/>
      <c r="D216" s="14" t="n"/>
      <c r="E216" s="14" t="n"/>
      <c r="F216" s="15" t="n"/>
      <c r="G216" s="14" t="n"/>
      <c r="H216" s="17" t="n"/>
      <c r="I216" s="37" t="n"/>
      <c r="J216" s="14" t="n"/>
    </row>
    <row r="217">
      <c r="A217" s="17" t="n"/>
      <c r="B217" s="14" t="n"/>
      <c r="C217" s="14" t="n"/>
      <c r="D217" s="14" t="n"/>
      <c r="E217" s="14" t="n"/>
      <c r="F217" s="15" t="n"/>
      <c r="G217" s="14" t="n"/>
      <c r="H217" s="17" t="n"/>
      <c r="I217" s="37" t="n"/>
      <c r="J217" s="14" t="n"/>
    </row>
    <row r="218">
      <c r="A218" s="17" t="n"/>
      <c r="B218" s="14" t="n"/>
      <c r="C218" s="14" t="n"/>
      <c r="D218" s="14" t="n"/>
      <c r="E218" s="14" t="n"/>
      <c r="F218" s="15" t="n"/>
      <c r="G218" s="14" t="n"/>
      <c r="H218" s="17" t="n"/>
      <c r="I218" s="37" t="n"/>
      <c r="J218" s="14" t="n"/>
    </row>
    <row r="219">
      <c r="A219" s="17" t="n"/>
      <c r="B219" s="14" t="n"/>
      <c r="C219" s="14" t="n"/>
      <c r="D219" s="14" t="n"/>
      <c r="E219" s="14" t="n"/>
      <c r="F219" s="15" t="n"/>
      <c r="G219" s="14" t="n"/>
      <c r="H219" s="17" t="n"/>
      <c r="I219" s="37" t="n"/>
      <c r="J219" s="14" t="n"/>
    </row>
    <row r="220">
      <c r="A220" s="17" t="n"/>
      <c r="B220" s="14" t="n"/>
      <c r="C220" s="14" t="n"/>
      <c r="D220" s="14" t="n"/>
      <c r="E220" s="14" t="n"/>
      <c r="F220" s="15" t="n"/>
      <c r="G220" s="14" t="n"/>
      <c r="H220" s="17" t="n"/>
      <c r="I220" s="37" t="n"/>
      <c r="J220" s="14" t="n"/>
    </row>
    <row r="221">
      <c r="A221" s="17" t="n"/>
      <c r="B221" s="14" t="n"/>
      <c r="C221" s="14" t="n"/>
      <c r="D221" s="14" t="n"/>
      <c r="E221" s="14" t="n"/>
      <c r="F221" s="15" t="n"/>
      <c r="G221" s="14" t="n"/>
      <c r="H221" s="17" t="n"/>
      <c r="I221" s="37" t="n"/>
      <c r="J221" s="14" t="n"/>
    </row>
    <row r="222">
      <c r="A222" s="17" t="n"/>
      <c r="B222" s="14" t="n"/>
      <c r="C222" s="14" t="n"/>
      <c r="D222" s="14" t="n"/>
      <c r="E222" s="14" t="n"/>
      <c r="F222" s="15" t="n"/>
      <c r="G222" s="14" t="n"/>
      <c r="H222" s="17" t="n"/>
      <c r="I222" s="37" t="n"/>
      <c r="J222" s="14" t="n"/>
    </row>
    <row r="223">
      <c r="A223" s="17" t="n"/>
      <c r="B223" s="14" t="n"/>
      <c r="C223" s="14" t="n"/>
      <c r="D223" s="14" t="n"/>
      <c r="E223" s="14" t="n"/>
      <c r="F223" s="15" t="n"/>
      <c r="G223" s="14" t="n"/>
      <c r="H223" s="17" t="n"/>
      <c r="I223" s="37" t="n"/>
      <c r="J223" s="14" t="n"/>
    </row>
  </sheetData>
  <autoFilter ref="A23:J223"/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34" customWidth="1" min="5" max="5"/>
    <col width="42" customWidth="1" min="6" max="6"/>
  </cols>
  <sheetData>
    <row r="1">
      <c r="A1" s="1" t="inlineStr">
        <is>
          <t>CIUDAD 1132 — Transferencias recibidas</t>
        </is>
      </c>
    </row>
    <row r="2">
      <c r="A2" s="30" t="inlineStr">
        <is>
          <t>Movimientos Mercado Pago «Transferencia recibida». No entra en el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 recibido</t>
        </is>
      </c>
    </row>
    <row r="6">
      <c r="A6" s="14" t="inlineStr">
        <is>
          <t>Enero</t>
        </is>
      </c>
      <c r="B6" s="15">
        <f>SUMIF($B$23:$B$172,A6,$D$23:$D$172)</f>
        <v/>
      </c>
    </row>
    <row r="7">
      <c r="A7" s="14" t="inlineStr">
        <is>
          <t>Febrero</t>
        </is>
      </c>
      <c r="B7" s="15">
        <f>SUMIF($B$23:$B$172,A7,$D$23:$D$172)</f>
        <v/>
      </c>
    </row>
    <row r="8">
      <c r="A8" s="14" t="inlineStr">
        <is>
          <t>Marzo</t>
        </is>
      </c>
      <c r="B8" s="15">
        <f>SUMIF($B$23:$B$172,A8,$D$23:$D$172)</f>
        <v/>
      </c>
    </row>
    <row r="9">
      <c r="A9" s="14" t="inlineStr">
        <is>
          <t>Abril</t>
        </is>
      </c>
      <c r="B9" s="15">
        <f>SUMIF($B$23:$B$172,A9,$D$23:$D$172)</f>
        <v/>
      </c>
    </row>
    <row r="10">
      <c r="A10" s="14" t="inlineStr">
        <is>
          <t>Mayo</t>
        </is>
      </c>
      <c r="B10" s="15">
        <f>SUMIF($B$23:$B$172,A10,$D$23:$D$172)</f>
        <v/>
      </c>
    </row>
    <row r="11">
      <c r="A11" s="14" t="inlineStr">
        <is>
          <t>Junio</t>
        </is>
      </c>
      <c r="B11" s="15">
        <f>SUMIF($B$23:$B$172,A11,$D$23:$D$172)</f>
        <v/>
      </c>
    </row>
    <row r="12">
      <c r="A12" s="14" t="inlineStr">
        <is>
          <t>Julio</t>
        </is>
      </c>
      <c r="B12" s="15">
        <f>SUMIF($B$23:$B$172,A12,$D$23:$D$172)</f>
        <v/>
      </c>
    </row>
    <row r="13">
      <c r="A13" s="14" t="inlineStr">
        <is>
          <t>Agosto</t>
        </is>
      </c>
      <c r="B13" s="15">
        <f>SUMIF($B$23:$B$172,A13,$D$23:$D$172)</f>
        <v/>
      </c>
    </row>
    <row r="14">
      <c r="A14" s="14" t="inlineStr">
        <is>
          <t>Septiembre</t>
        </is>
      </c>
      <c r="B14" s="15">
        <f>SUMIF($B$23:$B$172,A14,$D$23:$D$172)</f>
        <v/>
      </c>
    </row>
    <row r="15">
      <c r="A15" s="14" t="inlineStr">
        <is>
          <t>Octubre</t>
        </is>
      </c>
      <c r="B15" s="15">
        <f>SUMIF($B$23:$B$172,A15,$D$23:$D$172)</f>
        <v/>
      </c>
    </row>
    <row r="16">
      <c r="A16" s="14" t="inlineStr">
        <is>
          <t>Noviembre</t>
        </is>
      </c>
      <c r="B16" s="15">
        <f>SUMIF($B$23:$B$172,A16,$D$23:$D$172)</f>
        <v/>
      </c>
    </row>
    <row r="17">
      <c r="A17" s="14" t="inlineStr">
        <is>
          <t>Diciembre</t>
        </is>
      </c>
      <c r="B17" s="15">
        <f>SUMIF($B$23:$B$172,A17,$D$23:$D$172)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Origen / 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17" t="n">
        <v>46030</v>
      </c>
      <c r="B23" s="14" t="inlineStr">
        <is>
          <t>Enero</t>
        </is>
      </c>
      <c r="C23" s="14" t="inlineStr">
        <is>
          <t>Florencia Ivana Risi</t>
        </is>
      </c>
      <c r="D23" s="15" t="n">
        <v>46300</v>
      </c>
      <c r="E23" s="14" t="inlineStr">
        <is>
          <t>Mercado Pago — Transferencia recibida</t>
        </is>
      </c>
      <c r="F23" s="14" t="inlineStr">
        <is>
          <t>ingreso recibido · hoja Transferencias recibidas (no gasto)</t>
        </is>
      </c>
    </row>
    <row r="24">
      <c r="A24" s="17" t="n">
        <v>46030</v>
      </c>
      <c r="B24" s="14" t="inlineStr">
        <is>
          <t>Enero</t>
        </is>
      </c>
      <c r="C24" s="14" t="inlineStr">
        <is>
          <t>Gabriela Reggio</t>
        </is>
      </c>
      <c r="D24" s="15" t="n">
        <v>46300</v>
      </c>
      <c r="E24" s="14" t="inlineStr">
        <is>
          <t>Mercado Pago — Transferencia recibida</t>
        </is>
      </c>
      <c r="F24" s="14" t="inlineStr">
        <is>
          <t>ingreso recibido · hoja Transferencias recibidas (no gasto)</t>
        </is>
      </c>
    </row>
    <row r="25">
      <c r="A25" s="17" t="n">
        <v>46030</v>
      </c>
      <c r="B25" s="14" t="inlineStr">
        <is>
          <t>Enero</t>
        </is>
      </c>
      <c r="C25" s="14" t="inlineStr">
        <is>
          <t>Maria Soledad Martinez</t>
        </is>
      </c>
      <c r="D25" s="15" t="n">
        <v>46300</v>
      </c>
      <c r="E25" s="14" t="inlineStr">
        <is>
          <t>Mercado Pago — Transferencia recibida</t>
        </is>
      </c>
      <c r="F25" s="14" t="inlineStr">
        <is>
          <t>ingreso recibido · hoja Transferencias recibidas (no gasto)</t>
        </is>
      </c>
    </row>
    <row r="26">
      <c r="A26" s="17" t="n">
        <v>46031</v>
      </c>
      <c r="B26" s="14" t="inlineStr">
        <is>
          <t>Enero</t>
        </is>
      </c>
      <c r="C26" s="14" t="inlineStr">
        <is>
          <t>Antonela Beatriz Guidobono</t>
        </is>
      </c>
      <c r="D26" s="15" t="n">
        <v>46300</v>
      </c>
      <c r="E26" s="14" t="inlineStr">
        <is>
          <t>Mercado Pago — Transferencia recibida</t>
        </is>
      </c>
      <c r="F26" s="14" t="inlineStr">
        <is>
          <t>ingreso recibido · hoja Transferencias recibidas (no gasto)</t>
        </is>
      </c>
    </row>
    <row r="27">
      <c r="A27" s="17" t="n">
        <v>46031</v>
      </c>
      <c r="B27" s="14" t="inlineStr">
        <is>
          <t>Enero</t>
        </is>
      </c>
      <c r="C27" s="14" t="inlineStr">
        <is>
          <t>Maria Lujan Paz</t>
        </is>
      </c>
      <c r="D27" s="15" t="n">
        <v>46300</v>
      </c>
      <c r="E27" s="14" t="inlineStr">
        <is>
          <t>Mercado Pago — Transferencia recibida</t>
        </is>
      </c>
      <c r="F27" s="14" t="inlineStr">
        <is>
          <t>ingreso recibido · hoja Transferencias recibidas (no gasto)</t>
        </is>
      </c>
    </row>
    <row r="28">
      <c r="A28" s="17" t="n">
        <v>46130</v>
      </c>
      <c r="B28" s="14" t="inlineStr">
        <is>
          <t>Abril</t>
        </is>
      </c>
      <c r="C28" s="14" t="inlineStr">
        <is>
          <t>ingresos varios</t>
        </is>
      </c>
      <c r="D28" s="15" t="n">
        <v>117000</v>
      </c>
      <c r="E28" s="14" t="inlineStr">
        <is>
          <t>Mercado Pago — Transferencia recibida</t>
        </is>
      </c>
      <c r="F28" s="14" t="inlineStr">
        <is>
          <t>recibidas 39k x3 · hoja Transferencias recibidas (no gasto)</t>
        </is>
      </c>
    </row>
    <row r="29">
      <c r="A29" s="17" t="n">
        <v>46140</v>
      </c>
      <c r="B29" s="14" t="inlineStr">
        <is>
          <t>Abril</t>
        </is>
      </c>
      <c r="C29" s="14" t="inlineStr">
        <is>
          <t>ingresos varios</t>
        </is>
      </c>
      <c r="D29" s="15" t="n">
        <v>35070</v>
      </c>
      <c r="E29" s="14" t="inlineStr">
        <is>
          <t>Mercado Pago — Transferencia recibida</t>
        </is>
      </c>
      <c r="F29" s="14" t="inlineStr">
        <is>
          <t>recibidas ~34k x6 · hoja Transferencias recibidas (no gasto)</t>
        </is>
      </c>
    </row>
    <row r="30">
      <c r="A30" s="17" t="n">
        <v>46144</v>
      </c>
      <c r="B30" s="14" t="inlineStr">
        <is>
          <t>Mayo</t>
        </is>
      </c>
      <c r="C30" s="14" t="inlineStr">
        <is>
          <t>Tamara Ginesin</t>
        </is>
      </c>
      <c r="D30" s="15" t="n">
        <v>3000</v>
      </c>
      <c r="E30" s="14" t="inlineStr">
        <is>
          <t>Mercado Pago — Transferencia recibida</t>
        </is>
      </c>
      <c r="F30" s="14" t="inlineStr">
        <is>
          <t>recibida · hoja Transferencias recibidas (no gasto)</t>
        </is>
      </c>
    </row>
    <row r="31">
      <c r="A31" s="17" t="n">
        <v>46150</v>
      </c>
      <c r="B31" s="14" t="inlineStr">
        <is>
          <t>Mayo</t>
        </is>
      </c>
      <c r="C31" s="14" t="inlineStr">
        <is>
          <t>Ana Magariños</t>
        </is>
      </c>
      <c r="D31" s="15" t="n">
        <v>5000</v>
      </c>
      <c r="E31" s="14" t="inlineStr">
        <is>
          <t>Mercado Pago — Transferencia recibida</t>
        </is>
      </c>
      <c r="F31" s="14" t="inlineStr">
        <is>
          <t>recibida · hoja Transferencias recibidas (no gasto)</t>
        </is>
      </c>
    </row>
    <row r="32">
      <c r="A32" s="17" t="n">
        <v>46153</v>
      </c>
      <c r="B32" s="14" t="inlineStr">
        <is>
          <t>Mayo</t>
        </is>
      </c>
      <c r="C32" s="14" t="inlineStr">
        <is>
          <t>Mercado Libre</t>
        </is>
      </c>
      <c r="D32" s="15" t="n">
        <v>4699990</v>
      </c>
      <c r="E32" s="14" t="inlineStr">
        <is>
          <t>Mercado Pago — Transferencia recibida</t>
        </is>
      </c>
      <c r="F32" s="14" t="inlineStr">
        <is>
          <t>reintegro ML · hoja Transferencias recibidas (no gasto)</t>
        </is>
      </c>
    </row>
    <row r="33">
      <c r="A33" s="17" t="n">
        <v>46200</v>
      </c>
      <c r="B33" s="14" t="inlineStr">
        <is>
          <t>Junio</t>
        </is>
      </c>
      <c r="C33" s="14" t="inlineStr">
        <is>
          <t>Carlos Farinella</t>
        </is>
      </c>
      <c r="D33" s="15" t="n">
        <v>110000</v>
      </c>
      <c r="E33" s="14" t="inlineStr">
        <is>
          <t>Mercado Pago — Transferencia recibida</t>
        </is>
      </c>
      <c r="F33" s="14" t="inlineStr">
        <is>
          <t>recibida · hoja Transferencias recibidas (no gasto)</t>
        </is>
      </c>
    </row>
    <row r="34">
      <c r="A34" s="17" t="n">
        <v>46212</v>
      </c>
      <c r="B34" s="14" t="inlineStr">
        <is>
          <t>Julio</t>
        </is>
      </c>
      <c r="C34" s="14" t="inlineStr">
        <is>
          <t>Carlos Farinella</t>
        </is>
      </c>
      <c r="D34" s="15" t="n">
        <v>80000</v>
      </c>
      <c r="E34" s="14" t="inlineStr">
        <is>
          <t>Mercado Pago — Transferencia recibida</t>
        </is>
      </c>
      <c r="F34" s="14" t="inlineStr">
        <is>
          <t>recibida · hoja Transferencias recibidas (no gasto)</t>
        </is>
      </c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  <row r="143">
      <c r="A143" s="17" t="n"/>
      <c r="B143" s="14" t="n"/>
      <c r="C143" s="14" t="n"/>
      <c r="D143" s="15" t="n"/>
      <c r="E143" s="14" t="n"/>
      <c r="F143" s="14" t="n"/>
    </row>
    <row r="144">
      <c r="A144" s="17" t="n"/>
      <c r="B144" s="14" t="n"/>
      <c r="C144" s="14" t="n"/>
      <c r="D144" s="15" t="n"/>
      <c r="E144" s="14" t="n"/>
      <c r="F144" s="14" t="n"/>
    </row>
    <row r="145">
      <c r="A145" s="17" t="n"/>
      <c r="B145" s="14" t="n"/>
      <c r="C145" s="14" t="n"/>
      <c r="D145" s="15" t="n"/>
      <c r="E145" s="14" t="n"/>
      <c r="F145" s="14" t="n"/>
    </row>
    <row r="146">
      <c r="A146" s="17" t="n"/>
      <c r="B146" s="14" t="n"/>
      <c r="C146" s="14" t="n"/>
      <c r="D146" s="15" t="n"/>
      <c r="E146" s="14" t="n"/>
      <c r="F146" s="14" t="n"/>
    </row>
    <row r="147">
      <c r="A147" s="17" t="n"/>
      <c r="B147" s="14" t="n"/>
      <c r="C147" s="14" t="n"/>
      <c r="D147" s="15" t="n"/>
      <c r="E147" s="14" t="n"/>
      <c r="F147" s="14" t="n"/>
    </row>
    <row r="148">
      <c r="A148" s="17" t="n"/>
      <c r="B148" s="14" t="n"/>
      <c r="C148" s="14" t="n"/>
      <c r="D148" s="15" t="n"/>
      <c r="E148" s="14" t="n"/>
      <c r="F148" s="14" t="n"/>
    </row>
    <row r="149">
      <c r="A149" s="17" t="n"/>
      <c r="B149" s="14" t="n"/>
      <c r="C149" s="14" t="n"/>
      <c r="D149" s="15" t="n"/>
      <c r="E149" s="14" t="n"/>
      <c r="F149" s="14" t="n"/>
    </row>
    <row r="150">
      <c r="A150" s="17" t="n"/>
      <c r="B150" s="14" t="n"/>
      <c r="C150" s="14" t="n"/>
      <c r="D150" s="15" t="n"/>
      <c r="E150" s="14" t="n"/>
      <c r="F150" s="14" t="n"/>
    </row>
    <row r="151">
      <c r="A151" s="17" t="n"/>
      <c r="B151" s="14" t="n"/>
      <c r="C151" s="14" t="n"/>
      <c r="D151" s="15" t="n"/>
      <c r="E151" s="14" t="n"/>
      <c r="F151" s="14" t="n"/>
    </row>
    <row r="152">
      <c r="A152" s="17" t="n"/>
      <c r="B152" s="14" t="n"/>
      <c r="C152" s="14" t="n"/>
      <c r="D152" s="15" t="n"/>
      <c r="E152" s="14" t="n"/>
      <c r="F152" s="14" t="n"/>
    </row>
    <row r="153">
      <c r="A153" s="17" t="n"/>
      <c r="B153" s="14" t="n"/>
      <c r="C153" s="14" t="n"/>
      <c r="D153" s="15" t="n"/>
      <c r="E153" s="14" t="n"/>
      <c r="F153" s="14" t="n"/>
    </row>
    <row r="154">
      <c r="A154" s="17" t="n"/>
      <c r="B154" s="14" t="n"/>
      <c r="C154" s="14" t="n"/>
      <c r="D154" s="15" t="n"/>
      <c r="E154" s="14" t="n"/>
      <c r="F154" s="14" t="n"/>
    </row>
    <row r="155">
      <c r="A155" s="17" t="n"/>
      <c r="B155" s="14" t="n"/>
      <c r="C155" s="14" t="n"/>
      <c r="D155" s="15" t="n"/>
      <c r="E155" s="14" t="n"/>
      <c r="F155" s="14" t="n"/>
    </row>
    <row r="156">
      <c r="A156" s="17" t="n"/>
      <c r="B156" s="14" t="n"/>
      <c r="C156" s="14" t="n"/>
      <c r="D156" s="15" t="n"/>
      <c r="E156" s="14" t="n"/>
      <c r="F156" s="14" t="n"/>
    </row>
    <row r="157">
      <c r="A157" s="17" t="n"/>
      <c r="B157" s="14" t="n"/>
      <c r="C157" s="14" t="n"/>
      <c r="D157" s="15" t="n"/>
      <c r="E157" s="14" t="n"/>
      <c r="F157" s="14" t="n"/>
    </row>
    <row r="158">
      <c r="A158" s="17" t="n"/>
      <c r="B158" s="14" t="n"/>
      <c r="C158" s="14" t="n"/>
      <c r="D158" s="15" t="n"/>
      <c r="E158" s="14" t="n"/>
      <c r="F158" s="14" t="n"/>
    </row>
    <row r="159">
      <c r="A159" s="17" t="n"/>
      <c r="B159" s="14" t="n"/>
      <c r="C159" s="14" t="n"/>
      <c r="D159" s="15" t="n"/>
      <c r="E159" s="14" t="n"/>
      <c r="F159" s="14" t="n"/>
    </row>
    <row r="160">
      <c r="A160" s="17" t="n"/>
      <c r="B160" s="14" t="n"/>
      <c r="C160" s="14" t="n"/>
      <c r="D160" s="15" t="n"/>
      <c r="E160" s="14" t="n"/>
      <c r="F160" s="14" t="n"/>
    </row>
    <row r="161">
      <c r="A161" s="17" t="n"/>
      <c r="B161" s="14" t="n"/>
      <c r="C161" s="14" t="n"/>
      <c r="D161" s="15" t="n"/>
      <c r="E161" s="14" t="n"/>
      <c r="F161" s="14" t="n"/>
    </row>
    <row r="162">
      <c r="A162" s="17" t="n"/>
      <c r="B162" s="14" t="n"/>
      <c r="C162" s="14" t="n"/>
      <c r="D162" s="15" t="n"/>
      <c r="E162" s="14" t="n"/>
      <c r="F162" s="14" t="n"/>
    </row>
    <row r="163">
      <c r="A163" s="17" t="n"/>
      <c r="B163" s="14" t="n"/>
      <c r="C163" s="14" t="n"/>
      <c r="D163" s="15" t="n"/>
      <c r="E163" s="14" t="n"/>
      <c r="F163" s="14" t="n"/>
    </row>
    <row r="164">
      <c r="A164" s="17" t="n"/>
      <c r="B164" s="14" t="n"/>
      <c r="C164" s="14" t="n"/>
      <c r="D164" s="15" t="n"/>
      <c r="E164" s="14" t="n"/>
      <c r="F164" s="14" t="n"/>
    </row>
    <row r="165">
      <c r="A165" s="17" t="n"/>
      <c r="B165" s="14" t="n"/>
      <c r="C165" s="14" t="n"/>
      <c r="D165" s="15" t="n"/>
      <c r="E165" s="14" t="n"/>
      <c r="F165" s="14" t="n"/>
    </row>
    <row r="166">
      <c r="A166" s="17" t="n"/>
      <c r="B166" s="14" t="n"/>
      <c r="C166" s="14" t="n"/>
      <c r="D166" s="15" t="n"/>
      <c r="E166" s="14" t="n"/>
      <c r="F166" s="14" t="n"/>
    </row>
    <row r="167">
      <c r="A167" s="17" t="n"/>
      <c r="B167" s="14" t="n"/>
      <c r="C167" s="14" t="n"/>
      <c r="D167" s="15" t="n"/>
      <c r="E167" s="14" t="n"/>
      <c r="F167" s="14" t="n"/>
    </row>
    <row r="168">
      <c r="A168" s="17" t="n"/>
      <c r="B168" s="14" t="n"/>
      <c r="C168" s="14" t="n"/>
      <c r="D168" s="15" t="n"/>
      <c r="E168" s="14" t="n"/>
      <c r="F168" s="14" t="n"/>
    </row>
    <row r="169">
      <c r="A169" s="17" t="n"/>
      <c r="B169" s="14" t="n"/>
      <c r="C169" s="14" t="n"/>
      <c r="D169" s="15" t="n"/>
      <c r="E169" s="14" t="n"/>
      <c r="F169" s="14" t="n"/>
    </row>
    <row r="170">
      <c r="A170" s="17" t="n"/>
      <c r="B170" s="14" t="n"/>
      <c r="C170" s="14" t="n"/>
      <c r="D170" s="15" t="n"/>
      <c r="E170" s="14" t="n"/>
      <c r="F170" s="14" t="n"/>
    </row>
    <row r="171">
      <c r="A171" s="17" t="n"/>
      <c r="B171" s="14" t="n"/>
      <c r="C171" s="14" t="n"/>
      <c r="D171" s="15" t="n"/>
      <c r="E171" s="14" t="n"/>
      <c r="F171" s="14" t="n"/>
    </row>
    <row r="172">
      <c r="A172" s="17" t="n"/>
      <c r="B172" s="14" t="n"/>
      <c r="C172" s="14" t="n"/>
      <c r="D172" s="15" t="n"/>
      <c r="E172" s="14" t="n"/>
      <c r="F17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9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16" customWidth="1" min="4" max="4"/>
    <col width="14" customWidth="1" min="5" max="5"/>
    <col width="28" customWidth="1" min="6" max="6"/>
    <col width="48" customWidth="1" min="7" max="7"/>
  </cols>
  <sheetData>
    <row r="1">
      <c r="A1" s="1" t="inlineStr">
        <is>
          <t>CIUDAD 1132 — Expensas Consorcios (Pago de Expensas)</t>
        </is>
      </c>
    </row>
    <row r="2">
      <c r="A2" s="30" t="inlineStr">
        <is>
          <t>Transferencias a consorcios. CIUDAD = Consorcio De Propietarios o destino Banco Patagonia CBU 0340116900116010765007 / CUIL 30714962473. No va a ALMACEN SOL.</t>
        </is>
      </c>
    </row>
    <row r="4">
      <c r="A4" s="31" t="inlineStr">
        <is>
          <t>Resumen por propiedad</t>
        </is>
      </c>
      <c r="D4" s="31" t="inlineStr">
        <is>
          <t>ID bancario CIUDAD</t>
        </is>
      </c>
    </row>
    <row r="5">
      <c r="A5" s="34" t="inlineStr">
        <is>
          <t>Propiedad</t>
        </is>
      </c>
      <c r="B5" s="34" t="inlineStr">
        <is>
          <t>Total</t>
        </is>
      </c>
      <c r="D5" t="inlineStr">
        <is>
          <t>Entidad</t>
        </is>
      </c>
      <c r="E5" t="inlineStr">
        <is>
          <t>Banco Patagonia</t>
        </is>
      </c>
    </row>
    <row r="6">
      <c r="A6" s="14" t="inlineStr">
        <is>
          <t>CIUDAD 1132</t>
        </is>
      </c>
      <c r="B6" s="15">
        <f>SUMIF($D$29:$D$148,A6,$E$29:$E$148)</f>
        <v/>
      </c>
      <c r="D6" t="inlineStr">
        <is>
          <t>CBU</t>
        </is>
      </c>
      <c r="E6" t="inlineStr">
        <is>
          <t>0340116900116010765007</t>
        </is>
      </c>
    </row>
    <row r="7">
      <c r="A7" s="14" t="inlineStr">
        <is>
          <t>BONORINO</t>
        </is>
      </c>
      <c r="B7" s="15">
        <f>SUMIF($D$29:$D$148,A7,$E$29:$E$148)</f>
        <v/>
      </c>
      <c r="D7" t="inlineStr">
        <is>
          <t>CUIL</t>
        </is>
      </c>
      <c r="E7" t="inlineStr">
        <is>
          <t>30714962473</t>
        </is>
      </c>
    </row>
    <row r="8">
      <c r="A8" s="14" t="inlineStr">
        <is>
          <t>AVA</t>
        </is>
      </c>
      <c r="B8" s="15">
        <f>SUMIF($D$29:$D$148,A8,$E$29:$E$148)</f>
        <v/>
      </c>
    </row>
    <row r="9">
      <c r="A9" s="14" t="inlineStr">
        <is>
          <t>A CONFIRMAR</t>
        </is>
      </c>
      <c r="B9" s="15">
        <f>SUMIF($D$29:$D$148,A9,$E$29:$E$148)</f>
        <v/>
      </c>
    </row>
    <row r="10">
      <c r="A10" s="31" t="inlineStr">
        <is>
          <t>Resumen por mes</t>
        </is>
      </c>
    </row>
    <row r="11">
      <c r="A11" s="34" t="inlineStr">
        <is>
          <t>Mes</t>
        </is>
      </c>
      <c r="B11" s="34" t="inlineStr">
        <is>
          <t>Total</t>
        </is>
      </c>
    </row>
    <row r="12">
      <c r="A12" s="14" t="inlineStr">
        <is>
          <t>Enero</t>
        </is>
      </c>
      <c r="B12" s="15">
        <f>SUMIF($B$29:$B$148,A12,$E$29:$E$148)</f>
        <v/>
      </c>
    </row>
    <row r="13">
      <c r="A13" s="14" t="inlineStr">
        <is>
          <t>Febrero</t>
        </is>
      </c>
      <c r="B13" s="15">
        <f>SUMIF($B$29:$B$148,A13,$E$29:$E$148)</f>
        <v/>
      </c>
    </row>
    <row r="14">
      <c r="A14" s="14" t="inlineStr">
        <is>
          <t>Marzo</t>
        </is>
      </c>
      <c r="B14" s="15">
        <f>SUMIF($B$29:$B$148,A14,$E$29:$E$148)</f>
        <v/>
      </c>
    </row>
    <row r="15">
      <c r="A15" s="14" t="inlineStr">
        <is>
          <t>Abril</t>
        </is>
      </c>
      <c r="B15" s="15">
        <f>SUMIF($B$29:$B$148,A15,$E$29:$E$148)</f>
        <v/>
      </c>
    </row>
    <row r="16">
      <c r="A16" s="14" t="inlineStr">
        <is>
          <t>Mayo</t>
        </is>
      </c>
      <c r="B16" s="15">
        <f>SUMIF($B$29:$B$148,A16,$E$29:$E$148)</f>
        <v/>
      </c>
    </row>
    <row r="17">
      <c r="A17" s="14" t="inlineStr">
        <is>
          <t>Junio</t>
        </is>
      </c>
      <c r="B17" s="15">
        <f>SUMIF($B$29:$B$148,A17,$E$29:$E$148)</f>
        <v/>
      </c>
    </row>
    <row r="18">
      <c r="A18" s="14" t="inlineStr">
        <is>
          <t>Julio</t>
        </is>
      </c>
      <c r="B18" s="15">
        <f>SUMIF($B$29:$B$148,A18,$E$29:$E$148)</f>
        <v/>
      </c>
    </row>
    <row r="19">
      <c r="A19" s="14" t="inlineStr">
        <is>
          <t>Agosto</t>
        </is>
      </c>
      <c r="B19" s="15">
        <f>SUMIF($B$29:$B$148,A19,$E$29:$E$148)</f>
        <v/>
      </c>
    </row>
    <row r="20">
      <c r="A20" s="14" t="inlineStr">
        <is>
          <t>Septiembre</t>
        </is>
      </c>
      <c r="B20" s="15">
        <f>SUMIF($B$29:$B$148,A20,$E$29:$E$148)</f>
        <v/>
      </c>
    </row>
    <row r="21">
      <c r="A21" s="14" t="inlineStr">
        <is>
          <t>Octubre</t>
        </is>
      </c>
      <c r="B21" s="15">
        <f>SUMIF($B$29:$B$148,A21,$E$29:$E$148)</f>
        <v/>
      </c>
    </row>
    <row r="22">
      <c r="A22" s="14" t="inlineStr">
        <is>
          <t>Noviembre</t>
        </is>
      </c>
      <c r="B22" s="15">
        <f>SUMIF($B$29:$B$148,A22,$E$29:$E$148)</f>
        <v/>
      </c>
    </row>
    <row r="23">
      <c r="A23" s="14" t="inlineStr">
        <is>
          <t>Diciembre</t>
        </is>
      </c>
      <c r="B23" s="15">
        <f>SUMIF($B$29:$B$148,A23,$E$29:$E$148)</f>
        <v/>
      </c>
    </row>
    <row r="24">
      <c r="A24" s="38" t="inlineStr">
        <is>
          <t>TOTAL AÑO</t>
        </is>
      </c>
      <c r="B24" s="39">
        <f>SUM(B12:B23)</f>
        <v/>
      </c>
    </row>
    <row r="27">
      <c r="A27" s="31" t="inlineStr">
        <is>
          <t>Detalle</t>
        </is>
      </c>
    </row>
    <row r="28">
      <c r="A28" s="34" t="inlineStr">
        <is>
          <t>Fecha</t>
        </is>
      </c>
      <c r="B28" s="34" t="inlineStr">
        <is>
          <t>Mes</t>
        </is>
      </c>
      <c r="C28" s="34" t="inlineStr">
        <is>
          <t>Consorcio</t>
        </is>
      </c>
      <c r="D28" s="34" t="inlineStr">
        <is>
          <t>Propiedad</t>
        </is>
      </c>
      <c r="E28" s="34" t="inlineStr">
        <is>
          <t>Monto</t>
        </is>
      </c>
      <c r="F28" s="34" t="inlineStr">
        <is>
          <t>Medio</t>
        </is>
      </c>
      <c r="G28" s="34" t="inlineStr">
        <is>
          <t>Comentario</t>
        </is>
      </c>
    </row>
    <row r="29">
      <c r="A29" s="17" t="n">
        <v>46029</v>
      </c>
      <c r="B29" s="14" t="inlineStr">
        <is>
          <t>Enero</t>
        </is>
      </c>
      <c r="C29" s="14" t="inlineStr">
        <is>
          <t>Consorcio De Propiet</t>
        </is>
      </c>
      <c r="D29" s="14" t="inlineStr">
        <is>
          <t>CIUDAD 1132</t>
        </is>
      </c>
      <c r="E29" s="15" t="n">
        <v>35260</v>
      </c>
      <c r="F29" s="14" t="inlineStr">
        <is>
          <t>Mercado Pago — Transferencia enviada</t>
        </is>
      </c>
      <c r="G29" s="14" t="inlineStr">
        <is>
          <t>Pago de Expensas · CIUDAD 1132 · Patagonia CBU 0340116900116010765007 / CUIL 30714962473</t>
        </is>
      </c>
    </row>
    <row r="30">
      <c r="A30" s="17" t="n">
        <v>46029</v>
      </c>
      <c r="B30" s="14" t="inlineStr">
        <is>
          <t>Enero</t>
        </is>
      </c>
      <c r="C30" s="14" t="inlineStr">
        <is>
          <t>Consorcio De Propiet</t>
        </is>
      </c>
      <c r="D30" s="14" t="inlineStr">
        <is>
          <t>CIUDAD 1132</t>
        </is>
      </c>
      <c r="E30" s="15" t="n">
        <v>238240</v>
      </c>
      <c r="F30" s="14" t="inlineStr">
        <is>
          <t>Mercado Pago — Transferencia enviada</t>
        </is>
      </c>
      <c r="G30" s="14" t="inlineStr">
        <is>
          <t>Pago de Expensas · CIUDAD 1132 · Patagonia CBU 0340116900116010765007 / CUIL 30714962473</t>
        </is>
      </c>
    </row>
    <row r="31">
      <c r="A31" s="17" t="n">
        <v>46031</v>
      </c>
      <c r="B31" s="14" t="inlineStr">
        <is>
          <t>Enero</t>
        </is>
      </c>
      <c r="C31" s="14" t="inlineStr">
        <is>
          <t>Consorcio De Copropi</t>
        </is>
      </c>
      <c r="D31" s="14" t="inlineStr">
        <is>
          <t>A CONFIRMAR</t>
        </is>
      </c>
      <c r="E31" s="15" t="n">
        <v>376564</v>
      </c>
      <c r="F31" s="14" t="inlineStr">
        <is>
          <t>Mercado Pago — Transferencia enviada</t>
        </is>
      </c>
      <c r="G31" s="14" t="inlineStr">
        <is>
          <t>Pago de Expensas · ¿propiedad? (Consorcio De Copropi)</t>
        </is>
      </c>
    </row>
    <row r="32">
      <c r="A32" s="17" t="n">
        <v>46059</v>
      </c>
      <c r="B32" s="14" t="inlineStr">
        <is>
          <t>Febrero</t>
        </is>
      </c>
      <c r="C32" s="14" t="inlineStr">
        <is>
          <t>Consorcio De Copropi</t>
        </is>
      </c>
      <c r="D32" s="14" t="inlineStr">
        <is>
          <t>A CONFIRMAR</t>
        </is>
      </c>
      <c r="E32" s="15" t="n">
        <v>395551</v>
      </c>
      <c r="F32" s="14" t="inlineStr">
        <is>
          <t>Mercado Pago — Transferencia enviada</t>
        </is>
      </c>
      <c r="G32" s="14" t="inlineStr">
        <is>
          <t>Pago de Expensas · ¿propiedad? (Consorcio De Copropi)</t>
        </is>
      </c>
    </row>
    <row r="33">
      <c r="A33" s="17" t="n">
        <v>46059</v>
      </c>
      <c r="B33" s="14" t="inlineStr">
        <is>
          <t>Febrero</t>
        </is>
      </c>
      <c r="C33" s="14" t="inlineStr">
        <is>
          <t>Consorcio De Propiet</t>
        </is>
      </c>
      <c r="D33" s="14" t="inlineStr">
        <is>
          <t>CIUDAD 1132</t>
        </is>
      </c>
      <c r="E33" s="15" t="n">
        <v>218800</v>
      </c>
      <c r="F33" s="14" t="inlineStr">
        <is>
          <t>Mercado Pago — Transferencia enviada</t>
        </is>
      </c>
      <c r="G33" s="14" t="inlineStr">
        <is>
          <t>Pago de Expensas · CIUDAD 1132 · Patagonia CBU 0340116900116010765007 / CUIL 30714962473</t>
        </is>
      </c>
    </row>
    <row r="34">
      <c r="A34" s="17" t="n">
        <v>46091</v>
      </c>
      <c r="B34" s="14" t="inlineStr">
        <is>
          <t>Marzo</t>
        </is>
      </c>
      <c r="C34" s="14" t="inlineStr">
        <is>
          <t>Consorcio De Copropi</t>
        </is>
      </c>
      <c r="D34" s="14" t="inlineStr">
        <is>
          <t>A CONFIRMAR</t>
        </is>
      </c>
      <c r="E34" s="15" t="n">
        <v>402934</v>
      </c>
      <c r="F34" s="14" t="inlineStr">
        <is>
          <t>Mercado Pago — Transferencia enviada</t>
        </is>
      </c>
      <c r="G34" s="14" t="inlineStr">
        <is>
          <t>Pago de Expensas · ¿propiedad? (Consorcio De Copropi)</t>
        </is>
      </c>
    </row>
    <row r="35">
      <c r="A35" s="17" t="n">
        <v>46091</v>
      </c>
      <c r="B35" s="14" t="inlineStr">
        <is>
          <t>Marzo</t>
        </is>
      </c>
      <c r="C35" s="14" t="inlineStr">
        <is>
          <t>Consorcio De Propiet</t>
        </is>
      </c>
      <c r="D35" s="14" t="inlineStr">
        <is>
          <t>CIUDAD 1132</t>
        </is>
      </c>
      <c r="E35" s="15" t="n">
        <v>218800</v>
      </c>
      <c r="F35" s="14" t="inlineStr">
        <is>
          <t>Mercado Pago — Transferencia enviada</t>
        </is>
      </c>
      <c r="G35" s="14" t="inlineStr">
        <is>
          <t>Pago de Expensas · CIUDAD 1132 · Patagonia CBU 0340116900116010765007 / CUIL 30714962473</t>
        </is>
      </c>
    </row>
    <row r="36">
      <c r="A36" s="17" t="n">
        <v>46154</v>
      </c>
      <c r="B36" s="14" t="inlineStr">
        <is>
          <t>Mayo</t>
        </is>
      </c>
      <c r="C36" s="14" t="inlineStr">
        <is>
          <t>Cons De Prop E Bonorino 82</t>
        </is>
      </c>
      <c r="D36" s="14" t="inlineStr">
        <is>
          <t>BONORINO</t>
        </is>
      </c>
      <c r="E36" s="15" t="n">
        <v>200340</v>
      </c>
      <c r="F36" s="14" t="inlineStr">
        <is>
          <t>Mercado Pago — Transferencia enviada</t>
        </is>
      </c>
      <c r="G36" s="14" t="inlineStr">
        <is>
          <t>Pago de Expensas · BONORINO</t>
        </is>
      </c>
    </row>
    <row r="37">
      <c r="A37" s="17" t="n">
        <v>46183</v>
      </c>
      <c r="B37" s="14" t="inlineStr">
        <is>
          <t>Junio</t>
        </is>
      </c>
      <c r="C37" s="14" t="inlineStr">
        <is>
          <t>Cons De Prop E Bonorino 82</t>
        </is>
      </c>
      <c r="D37" s="14" t="inlineStr">
        <is>
          <t>BONORINO</t>
        </is>
      </c>
      <c r="E37" s="15" t="n">
        <v>219145</v>
      </c>
      <c r="F37" s="14" t="inlineStr">
        <is>
          <t>Mercado Pago — Transferencia enviada</t>
        </is>
      </c>
      <c r="G37" s="14" t="inlineStr">
        <is>
          <t>Pago de Expensas · BONORINO</t>
        </is>
      </c>
    </row>
    <row r="38">
      <c r="A38" s="17" t="n">
        <v>46183</v>
      </c>
      <c r="B38" s="14" t="inlineStr">
        <is>
          <t>Junio</t>
        </is>
      </c>
      <c r="C38" s="14" t="inlineStr">
        <is>
          <t>Consorcio De Copropi</t>
        </is>
      </c>
      <c r="D38" s="14" t="inlineStr">
        <is>
          <t>A CONFIRMAR</t>
        </is>
      </c>
      <c r="E38" s="15" t="n">
        <v>666347</v>
      </c>
      <c r="F38" s="14" t="inlineStr">
        <is>
          <t>Mercado Pago — Transferencia enviada</t>
        </is>
      </c>
      <c r="G38" s="14" t="inlineStr">
        <is>
          <t>Pago de Expensas · ¿propiedad? (Consorcio De Copropi)</t>
        </is>
      </c>
    </row>
    <row r="39">
      <c r="A39" s="17" t="n">
        <v>46183</v>
      </c>
      <c r="B39" s="14" t="inlineStr">
        <is>
          <t>Junio</t>
        </is>
      </c>
      <c r="C39" s="14" t="inlineStr">
        <is>
          <t>Consorcio De Propiet</t>
        </is>
      </c>
      <c r="D39" s="14" t="inlineStr">
        <is>
          <t>CIUDAD 1132</t>
        </is>
      </c>
      <c r="E39" s="15" t="n">
        <v>246150</v>
      </c>
      <c r="F39" s="14" t="inlineStr">
        <is>
          <t>Mercado Pago — Transferencia enviada</t>
        </is>
      </c>
      <c r="G39" s="14" t="inlineStr">
        <is>
          <t>Pago de Expensas · CIUDAD 1132 · Patagonia CBU 0340116900116010765007 / CUIL 30714962473</t>
        </is>
      </c>
    </row>
    <row r="40">
      <c r="A40" s="17" t="n">
        <v>46212</v>
      </c>
      <c r="B40" s="14" t="inlineStr">
        <is>
          <t>Julio</t>
        </is>
      </c>
      <c r="C40" s="14" t="inlineStr">
        <is>
          <t>Cons De Prop E Bonorino 82</t>
        </is>
      </c>
      <c r="D40" s="14" t="inlineStr">
        <is>
          <t>BONORINO</t>
        </is>
      </c>
      <c r="E40" s="15" t="n">
        <v>209393</v>
      </c>
      <c r="F40" s="14" t="inlineStr">
        <is>
          <t>Mercado Pago — Transferencia enviada</t>
        </is>
      </c>
      <c r="G40" s="14" t="inlineStr">
        <is>
          <t>Pago de Expensas · BONORINO</t>
        </is>
      </c>
    </row>
    <row r="41">
      <c r="A41" s="17" t="n">
        <v>46212</v>
      </c>
      <c r="B41" s="14" t="inlineStr">
        <is>
          <t>Julio</t>
        </is>
      </c>
      <c r="C41" s="14" t="inlineStr">
        <is>
          <t>Consorcio De Copropi</t>
        </is>
      </c>
      <c r="D41" s="14" t="inlineStr">
        <is>
          <t>A CONFIRMAR</t>
        </is>
      </c>
      <c r="E41" s="15" t="n">
        <v>829490</v>
      </c>
      <c r="F41" s="14" t="inlineStr">
        <is>
          <t>Mercado Pago — Transferencia enviada</t>
        </is>
      </c>
      <c r="G41" s="14" t="inlineStr">
        <is>
          <t>Pago de Expensas · ¿propiedad? (Consorcio De Copropi)</t>
        </is>
      </c>
    </row>
    <row r="42">
      <c r="A42" s="17" t="n">
        <v>46212</v>
      </c>
      <c r="B42" s="14" t="inlineStr">
        <is>
          <t>Julio</t>
        </is>
      </c>
      <c r="C42" s="14" t="inlineStr">
        <is>
          <t>Consorcio De Propiet</t>
        </is>
      </c>
      <c r="D42" s="14" t="inlineStr">
        <is>
          <t>CIUDAD 1132</t>
        </is>
      </c>
      <c r="E42" s="15" t="n">
        <v>273500</v>
      </c>
      <c r="F42" s="14" t="inlineStr">
        <is>
          <t>Mercado Pago — Transferencia enviada</t>
        </is>
      </c>
      <c r="G42" s="14" t="inlineStr">
        <is>
          <t>Pago de Expensas · CIUDAD 1132 · Patagonia CBU 0340116900116010765007 / CUIL 30714962473</t>
        </is>
      </c>
    </row>
    <row r="43">
      <c r="A43" s="17" t="n"/>
      <c r="B43" s="14" t="n"/>
      <c r="C43" s="14" t="n"/>
      <c r="D43" s="14" t="n"/>
      <c r="E43" s="15" t="n"/>
      <c r="F43" s="14" t="n"/>
      <c r="G43" s="14" t="n"/>
    </row>
    <row r="44">
      <c r="A44" s="17" t="n"/>
      <c r="B44" s="14" t="n"/>
      <c r="C44" s="14" t="n"/>
      <c r="D44" s="14" t="n"/>
      <c r="E44" s="15" t="n"/>
      <c r="F44" s="14" t="n"/>
      <c r="G44" s="14" t="n"/>
    </row>
    <row r="45">
      <c r="A45" s="17" t="n"/>
      <c r="B45" s="14" t="n"/>
      <c r="C45" s="14" t="n"/>
      <c r="D45" s="14" t="n"/>
      <c r="E45" s="15" t="n"/>
      <c r="F45" s="14" t="n"/>
      <c r="G45" s="14" t="n"/>
    </row>
    <row r="46">
      <c r="A46" s="17" t="n"/>
      <c r="B46" s="14" t="n"/>
      <c r="C46" s="14" t="n"/>
      <c r="D46" s="14" t="n"/>
      <c r="E46" s="15" t="n"/>
      <c r="F46" s="14" t="n"/>
      <c r="G46" s="14" t="n"/>
    </row>
    <row r="47">
      <c r="A47" s="17" t="n"/>
      <c r="B47" s="14" t="n"/>
      <c r="C47" s="14" t="n"/>
      <c r="D47" s="14" t="n"/>
      <c r="E47" s="15" t="n"/>
      <c r="F47" s="14" t="n"/>
      <c r="G47" s="14" t="n"/>
    </row>
    <row r="48">
      <c r="A48" s="17" t="n"/>
      <c r="B48" s="14" t="n"/>
      <c r="C48" s="14" t="n"/>
      <c r="D48" s="14" t="n"/>
      <c r="E48" s="15" t="n"/>
      <c r="F48" s="14" t="n"/>
      <c r="G48" s="14" t="n"/>
    </row>
    <row r="49">
      <c r="A49" s="17" t="n"/>
      <c r="B49" s="14" t="n"/>
      <c r="C49" s="14" t="n"/>
      <c r="D49" s="14" t="n"/>
      <c r="E49" s="15" t="n"/>
      <c r="F49" s="14" t="n"/>
      <c r="G49" s="14" t="n"/>
    </row>
    <row r="50">
      <c r="A50" s="17" t="n"/>
      <c r="B50" s="14" t="n"/>
      <c r="C50" s="14" t="n"/>
      <c r="D50" s="14" t="n"/>
      <c r="E50" s="15" t="n"/>
      <c r="F50" s="14" t="n"/>
      <c r="G50" s="14" t="n"/>
    </row>
    <row r="51">
      <c r="A51" s="17" t="n"/>
      <c r="B51" s="14" t="n"/>
      <c r="C51" s="14" t="n"/>
      <c r="D51" s="14" t="n"/>
      <c r="E51" s="15" t="n"/>
      <c r="F51" s="14" t="n"/>
      <c r="G51" s="14" t="n"/>
    </row>
    <row r="52">
      <c r="A52" s="17" t="n"/>
      <c r="B52" s="14" t="n"/>
      <c r="C52" s="14" t="n"/>
      <c r="D52" s="14" t="n"/>
      <c r="E52" s="15" t="n"/>
      <c r="F52" s="14" t="n"/>
      <c r="G52" s="14" t="n"/>
    </row>
    <row r="53">
      <c r="A53" s="17" t="n"/>
      <c r="B53" s="14" t="n"/>
      <c r="C53" s="14" t="n"/>
      <c r="D53" s="14" t="n"/>
      <c r="E53" s="15" t="n"/>
      <c r="F53" s="14" t="n"/>
      <c r="G53" s="14" t="n"/>
    </row>
    <row r="54">
      <c r="A54" s="17" t="n"/>
      <c r="B54" s="14" t="n"/>
      <c r="C54" s="14" t="n"/>
      <c r="D54" s="14" t="n"/>
      <c r="E54" s="15" t="n"/>
      <c r="F54" s="14" t="n"/>
      <c r="G54" s="14" t="n"/>
    </row>
    <row r="55">
      <c r="A55" s="17" t="n"/>
      <c r="B55" s="14" t="n"/>
      <c r="C55" s="14" t="n"/>
      <c r="D55" s="14" t="n"/>
      <c r="E55" s="15" t="n"/>
      <c r="F55" s="14" t="n"/>
      <c r="G55" s="14" t="n"/>
    </row>
    <row r="56">
      <c r="A56" s="17" t="n"/>
      <c r="B56" s="14" t="n"/>
      <c r="C56" s="14" t="n"/>
      <c r="D56" s="14" t="n"/>
      <c r="E56" s="15" t="n"/>
      <c r="F56" s="14" t="n"/>
      <c r="G56" s="14" t="n"/>
    </row>
    <row r="57">
      <c r="A57" s="17" t="n"/>
      <c r="B57" s="14" t="n"/>
      <c r="C57" s="14" t="n"/>
      <c r="D57" s="14" t="n"/>
      <c r="E57" s="15" t="n"/>
      <c r="F57" s="14" t="n"/>
      <c r="G57" s="14" t="n"/>
    </row>
    <row r="58">
      <c r="A58" s="17" t="n"/>
      <c r="B58" s="14" t="n"/>
      <c r="C58" s="14" t="n"/>
      <c r="D58" s="14" t="n"/>
      <c r="E58" s="15" t="n"/>
      <c r="F58" s="14" t="n"/>
      <c r="G58" s="14" t="n"/>
    </row>
    <row r="59">
      <c r="A59" s="17" t="n"/>
      <c r="B59" s="14" t="n"/>
      <c r="C59" s="14" t="n"/>
      <c r="D59" s="14" t="n"/>
      <c r="E59" s="15" t="n"/>
      <c r="F59" s="14" t="n"/>
      <c r="G59" s="14" t="n"/>
    </row>
    <row r="60">
      <c r="A60" s="17" t="n"/>
      <c r="B60" s="14" t="n"/>
      <c r="C60" s="14" t="n"/>
      <c r="D60" s="14" t="n"/>
      <c r="E60" s="15" t="n"/>
      <c r="F60" s="14" t="n"/>
      <c r="G60" s="14" t="n"/>
    </row>
    <row r="61">
      <c r="A61" s="17" t="n"/>
      <c r="B61" s="14" t="n"/>
      <c r="C61" s="14" t="n"/>
      <c r="D61" s="14" t="n"/>
      <c r="E61" s="15" t="n"/>
      <c r="F61" s="14" t="n"/>
      <c r="G61" s="14" t="n"/>
    </row>
    <row r="62">
      <c r="A62" s="17" t="n"/>
      <c r="B62" s="14" t="n"/>
      <c r="C62" s="14" t="n"/>
      <c r="D62" s="14" t="n"/>
      <c r="E62" s="15" t="n"/>
      <c r="F62" s="14" t="n"/>
      <c r="G62" s="14" t="n"/>
    </row>
    <row r="63">
      <c r="A63" s="17" t="n"/>
      <c r="B63" s="14" t="n"/>
      <c r="C63" s="14" t="n"/>
      <c r="D63" s="14" t="n"/>
      <c r="E63" s="15" t="n"/>
      <c r="F63" s="14" t="n"/>
      <c r="G63" s="14" t="n"/>
    </row>
    <row r="64">
      <c r="A64" s="17" t="n"/>
      <c r="B64" s="14" t="n"/>
      <c r="C64" s="14" t="n"/>
      <c r="D64" s="14" t="n"/>
      <c r="E64" s="15" t="n"/>
      <c r="F64" s="14" t="n"/>
      <c r="G64" s="14" t="n"/>
    </row>
    <row r="65">
      <c r="A65" s="17" t="n"/>
      <c r="B65" s="14" t="n"/>
      <c r="C65" s="14" t="n"/>
      <c r="D65" s="14" t="n"/>
      <c r="E65" s="15" t="n"/>
      <c r="F65" s="14" t="n"/>
      <c r="G65" s="14" t="n"/>
    </row>
    <row r="66">
      <c r="A66" s="17" t="n"/>
      <c r="B66" s="14" t="n"/>
      <c r="C66" s="14" t="n"/>
      <c r="D66" s="14" t="n"/>
      <c r="E66" s="15" t="n"/>
      <c r="F66" s="14" t="n"/>
      <c r="G66" s="14" t="n"/>
    </row>
    <row r="67">
      <c r="A67" s="17" t="n"/>
      <c r="B67" s="14" t="n"/>
      <c r="C67" s="14" t="n"/>
      <c r="D67" s="14" t="n"/>
      <c r="E67" s="15" t="n"/>
      <c r="F67" s="14" t="n"/>
      <c r="G67" s="14" t="n"/>
    </row>
    <row r="68">
      <c r="A68" s="17" t="n"/>
      <c r="B68" s="14" t="n"/>
      <c r="C68" s="14" t="n"/>
      <c r="D68" s="14" t="n"/>
      <c r="E68" s="15" t="n"/>
      <c r="F68" s="14" t="n"/>
      <c r="G68" s="14" t="n"/>
    </row>
    <row r="69">
      <c r="A69" s="17" t="n"/>
      <c r="B69" s="14" t="n"/>
      <c r="C69" s="14" t="n"/>
      <c r="D69" s="14" t="n"/>
      <c r="E69" s="15" t="n"/>
      <c r="F69" s="14" t="n"/>
      <c r="G69" s="14" t="n"/>
    </row>
    <row r="70">
      <c r="A70" s="17" t="n"/>
      <c r="B70" s="14" t="n"/>
      <c r="C70" s="14" t="n"/>
      <c r="D70" s="14" t="n"/>
      <c r="E70" s="15" t="n"/>
      <c r="F70" s="14" t="n"/>
      <c r="G70" s="14" t="n"/>
    </row>
    <row r="71">
      <c r="A71" s="17" t="n"/>
      <c r="B71" s="14" t="n"/>
      <c r="C71" s="14" t="n"/>
      <c r="D71" s="14" t="n"/>
      <c r="E71" s="15" t="n"/>
      <c r="F71" s="14" t="n"/>
      <c r="G71" s="14" t="n"/>
    </row>
    <row r="72">
      <c r="A72" s="17" t="n"/>
      <c r="B72" s="14" t="n"/>
      <c r="C72" s="14" t="n"/>
      <c r="D72" s="14" t="n"/>
      <c r="E72" s="15" t="n"/>
      <c r="F72" s="14" t="n"/>
      <c r="G72" s="14" t="n"/>
    </row>
    <row r="73">
      <c r="A73" s="17" t="n"/>
      <c r="B73" s="14" t="n"/>
      <c r="C73" s="14" t="n"/>
      <c r="D73" s="14" t="n"/>
      <c r="E73" s="15" t="n"/>
      <c r="F73" s="14" t="n"/>
      <c r="G73" s="14" t="n"/>
    </row>
    <row r="74">
      <c r="A74" s="17" t="n"/>
      <c r="B74" s="14" t="n"/>
      <c r="C74" s="14" t="n"/>
      <c r="D74" s="14" t="n"/>
      <c r="E74" s="15" t="n"/>
      <c r="F74" s="14" t="n"/>
      <c r="G74" s="14" t="n"/>
    </row>
    <row r="75">
      <c r="A75" s="17" t="n"/>
      <c r="B75" s="14" t="n"/>
      <c r="C75" s="14" t="n"/>
      <c r="D75" s="14" t="n"/>
      <c r="E75" s="15" t="n"/>
      <c r="F75" s="14" t="n"/>
      <c r="G75" s="14" t="n"/>
    </row>
    <row r="76">
      <c r="A76" s="17" t="n"/>
      <c r="B76" s="14" t="n"/>
      <c r="C76" s="14" t="n"/>
      <c r="D76" s="14" t="n"/>
      <c r="E76" s="15" t="n"/>
      <c r="F76" s="14" t="n"/>
      <c r="G76" s="14" t="n"/>
    </row>
    <row r="77">
      <c r="A77" s="17" t="n"/>
      <c r="B77" s="14" t="n"/>
      <c r="C77" s="14" t="n"/>
      <c r="D77" s="14" t="n"/>
      <c r="E77" s="15" t="n"/>
      <c r="F77" s="14" t="n"/>
      <c r="G77" s="14" t="n"/>
    </row>
    <row r="78">
      <c r="A78" s="17" t="n"/>
      <c r="B78" s="14" t="n"/>
      <c r="C78" s="14" t="n"/>
      <c r="D78" s="14" t="n"/>
      <c r="E78" s="15" t="n"/>
      <c r="F78" s="14" t="n"/>
      <c r="G78" s="14" t="n"/>
    </row>
    <row r="79">
      <c r="A79" s="17" t="n"/>
      <c r="B79" s="14" t="n"/>
      <c r="C79" s="14" t="n"/>
      <c r="D79" s="14" t="n"/>
      <c r="E79" s="15" t="n"/>
      <c r="F79" s="14" t="n"/>
      <c r="G79" s="14" t="n"/>
    </row>
    <row r="80">
      <c r="A80" s="17" t="n"/>
      <c r="B80" s="14" t="n"/>
      <c r="C80" s="14" t="n"/>
      <c r="D80" s="14" t="n"/>
      <c r="E80" s="15" t="n"/>
      <c r="F80" s="14" t="n"/>
      <c r="G80" s="14" t="n"/>
    </row>
    <row r="81">
      <c r="A81" s="17" t="n"/>
      <c r="B81" s="14" t="n"/>
      <c r="C81" s="14" t="n"/>
      <c r="D81" s="14" t="n"/>
      <c r="E81" s="15" t="n"/>
      <c r="F81" s="14" t="n"/>
      <c r="G81" s="14" t="n"/>
    </row>
    <row r="82">
      <c r="A82" s="17" t="n"/>
      <c r="B82" s="14" t="n"/>
      <c r="C82" s="14" t="n"/>
      <c r="D82" s="14" t="n"/>
      <c r="E82" s="15" t="n"/>
      <c r="F82" s="14" t="n"/>
      <c r="G82" s="14" t="n"/>
    </row>
    <row r="83">
      <c r="A83" s="17" t="n"/>
      <c r="B83" s="14" t="n"/>
      <c r="C83" s="14" t="n"/>
      <c r="D83" s="14" t="n"/>
      <c r="E83" s="15" t="n"/>
      <c r="F83" s="14" t="n"/>
      <c r="G83" s="14" t="n"/>
    </row>
    <row r="84">
      <c r="A84" s="17" t="n"/>
      <c r="B84" s="14" t="n"/>
      <c r="C84" s="14" t="n"/>
      <c r="D84" s="14" t="n"/>
      <c r="E84" s="15" t="n"/>
      <c r="F84" s="14" t="n"/>
      <c r="G84" s="14" t="n"/>
    </row>
    <row r="85">
      <c r="A85" s="17" t="n"/>
      <c r="B85" s="14" t="n"/>
      <c r="C85" s="14" t="n"/>
      <c r="D85" s="14" t="n"/>
      <c r="E85" s="15" t="n"/>
      <c r="F85" s="14" t="n"/>
      <c r="G85" s="14" t="n"/>
    </row>
    <row r="86">
      <c r="A86" s="17" t="n"/>
      <c r="B86" s="14" t="n"/>
      <c r="C86" s="14" t="n"/>
      <c r="D86" s="14" t="n"/>
      <c r="E86" s="15" t="n"/>
      <c r="F86" s="14" t="n"/>
      <c r="G86" s="14" t="n"/>
    </row>
    <row r="87">
      <c r="A87" s="17" t="n"/>
      <c r="B87" s="14" t="n"/>
      <c r="C87" s="14" t="n"/>
      <c r="D87" s="14" t="n"/>
      <c r="E87" s="15" t="n"/>
      <c r="F87" s="14" t="n"/>
      <c r="G87" s="14" t="n"/>
    </row>
    <row r="88">
      <c r="A88" s="17" t="n"/>
      <c r="B88" s="14" t="n"/>
      <c r="C88" s="14" t="n"/>
      <c r="D88" s="14" t="n"/>
      <c r="E88" s="15" t="n"/>
      <c r="F88" s="14" t="n"/>
      <c r="G88" s="14" t="n"/>
    </row>
    <row r="89">
      <c r="A89" s="17" t="n"/>
      <c r="B89" s="14" t="n"/>
      <c r="C89" s="14" t="n"/>
      <c r="D89" s="14" t="n"/>
      <c r="E89" s="15" t="n"/>
      <c r="F89" s="14" t="n"/>
      <c r="G89" s="14" t="n"/>
    </row>
    <row r="90">
      <c r="A90" s="17" t="n"/>
      <c r="B90" s="14" t="n"/>
      <c r="C90" s="14" t="n"/>
      <c r="D90" s="14" t="n"/>
      <c r="E90" s="15" t="n"/>
      <c r="F90" s="14" t="n"/>
      <c r="G90" s="14" t="n"/>
    </row>
    <row r="91">
      <c r="A91" s="17" t="n"/>
      <c r="B91" s="14" t="n"/>
      <c r="C91" s="14" t="n"/>
      <c r="D91" s="14" t="n"/>
      <c r="E91" s="15" t="n"/>
      <c r="F91" s="14" t="n"/>
      <c r="G91" s="14" t="n"/>
    </row>
    <row r="92">
      <c r="A92" s="17" t="n"/>
      <c r="B92" s="14" t="n"/>
      <c r="C92" s="14" t="n"/>
      <c r="D92" s="14" t="n"/>
      <c r="E92" s="15" t="n"/>
      <c r="F92" s="14" t="n"/>
      <c r="G92" s="14" t="n"/>
    </row>
    <row r="93">
      <c r="A93" s="17" t="n"/>
      <c r="B93" s="14" t="n"/>
      <c r="C93" s="14" t="n"/>
      <c r="D93" s="14" t="n"/>
      <c r="E93" s="15" t="n"/>
      <c r="F93" s="14" t="n"/>
      <c r="G93" s="14" t="n"/>
    </row>
    <row r="94">
      <c r="A94" s="17" t="n"/>
      <c r="B94" s="14" t="n"/>
      <c r="C94" s="14" t="n"/>
      <c r="D94" s="14" t="n"/>
      <c r="E94" s="15" t="n"/>
      <c r="F94" s="14" t="n"/>
      <c r="G94" s="14" t="n"/>
    </row>
    <row r="95">
      <c r="A95" s="17" t="n"/>
      <c r="B95" s="14" t="n"/>
      <c r="C95" s="14" t="n"/>
      <c r="D95" s="14" t="n"/>
      <c r="E95" s="15" t="n"/>
      <c r="F95" s="14" t="n"/>
      <c r="G95" s="14" t="n"/>
    </row>
    <row r="96">
      <c r="A96" s="17" t="n"/>
      <c r="B96" s="14" t="n"/>
      <c r="C96" s="14" t="n"/>
      <c r="D96" s="14" t="n"/>
      <c r="E96" s="15" t="n"/>
      <c r="F96" s="14" t="n"/>
      <c r="G96" s="14" t="n"/>
    </row>
    <row r="97">
      <c r="A97" s="17" t="n"/>
      <c r="B97" s="14" t="n"/>
      <c r="C97" s="14" t="n"/>
      <c r="D97" s="14" t="n"/>
      <c r="E97" s="15" t="n"/>
      <c r="F97" s="14" t="n"/>
      <c r="G97" s="14" t="n"/>
    </row>
    <row r="98">
      <c r="A98" s="17" t="n"/>
      <c r="B98" s="14" t="n"/>
      <c r="C98" s="14" t="n"/>
      <c r="D98" s="14" t="n"/>
      <c r="E98" s="15" t="n"/>
      <c r="F98" s="14" t="n"/>
      <c r="G98" s="14" t="n"/>
    </row>
    <row r="99">
      <c r="A99" s="17" t="n"/>
      <c r="B99" s="14" t="n"/>
      <c r="C99" s="14" t="n"/>
      <c r="D99" s="14" t="n"/>
      <c r="E99" s="15" t="n"/>
      <c r="F99" s="14" t="n"/>
      <c r="G99" s="14" t="n"/>
    </row>
    <row r="100">
      <c r="A100" s="17" t="n"/>
      <c r="B100" s="14" t="n"/>
      <c r="C100" s="14" t="n"/>
      <c r="D100" s="14" t="n"/>
      <c r="E100" s="15" t="n"/>
      <c r="F100" s="14" t="n"/>
      <c r="G100" s="14" t="n"/>
    </row>
    <row r="101">
      <c r="A101" s="17" t="n"/>
      <c r="B101" s="14" t="n"/>
      <c r="C101" s="14" t="n"/>
      <c r="D101" s="14" t="n"/>
      <c r="E101" s="15" t="n"/>
      <c r="F101" s="14" t="n"/>
      <c r="G101" s="14" t="n"/>
    </row>
    <row r="102">
      <c r="A102" s="17" t="n"/>
      <c r="B102" s="14" t="n"/>
      <c r="C102" s="14" t="n"/>
      <c r="D102" s="14" t="n"/>
      <c r="E102" s="15" t="n"/>
      <c r="F102" s="14" t="n"/>
      <c r="G102" s="14" t="n"/>
    </row>
    <row r="103">
      <c r="A103" s="17" t="n"/>
      <c r="B103" s="14" t="n"/>
      <c r="C103" s="14" t="n"/>
      <c r="D103" s="14" t="n"/>
      <c r="E103" s="15" t="n"/>
      <c r="F103" s="14" t="n"/>
      <c r="G103" s="14" t="n"/>
    </row>
    <row r="104">
      <c r="A104" s="17" t="n"/>
      <c r="B104" s="14" t="n"/>
      <c r="C104" s="14" t="n"/>
      <c r="D104" s="14" t="n"/>
      <c r="E104" s="15" t="n"/>
      <c r="F104" s="14" t="n"/>
      <c r="G104" s="14" t="n"/>
    </row>
    <row r="105">
      <c r="A105" s="17" t="n"/>
      <c r="B105" s="14" t="n"/>
      <c r="C105" s="14" t="n"/>
      <c r="D105" s="14" t="n"/>
      <c r="E105" s="15" t="n"/>
      <c r="F105" s="14" t="n"/>
      <c r="G105" s="14" t="n"/>
    </row>
    <row r="106">
      <c r="A106" s="17" t="n"/>
      <c r="B106" s="14" t="n"/>
      <c r="C106" s="14" t="n"/>
      <c r="D106" s="14" t="n"/>
      <c r="E106" s="15" t="n"/>
      <c r="F106" s="14" t="n"/>
      <c r="G106" s="14" t="n"/>
    </row>
    <row r="107">
      <c r="A107" s="17" t="n"/>
      <c r="B107" s="14" t="n"/>
      <c r="C107" s="14" t="n"/>
      <c r="D107" s="14" t="n"/>
      <c r="E107" s="15" t="n"/>
      <c r="F107" s="14" t="n"/>
      <c r="G107" s="14" t="n"/>
    </row>
    <row r="108">
      <c r="A108" s="17" t="n"/>
      <c r="B108" s="14" t="n"/>
      <c r="C108" s="14" t="n"/>
      <c r="D108" s="14" t="n"/>
      <c r="E108" s="15" t="n"/>
      <c r="F108" s="14" t="n"/>
      <c r="G108" s="14" t="n"/>
    </row>
    <row r="109">
      <c r="A109" s="17" t="n"/>
      <c r="B109" s="14" t="n"/>
      <c r="C109" s="14" t="n"/>
      <c r="D109" s="14" t="n"/>
      <c r="E109" s="15" t="n"/>
      <c r="F109" s="14" t="n"/>
      <c r="G109" s="14" t="n"/>
    </row>
    <row r="110">
      <c r="A110" s="17" t="n"/>
      <c r="B110" s="14" t="n"/>
      <c r="C110" s="14" t="n"/>
      <c r="D110" s="14" t="n"/>
      <c r="E110" s="15" t="n"/>
      <c r="F110" s="14" t="n"/>
      <c r="G110" s="14" t="n"/>
    </row>
    <row r="111">
      <c r="A111" s="17" t="n"/>
      <c r="B111" s="14" t="n"/>
      <c r="C111" s="14" t="n"/>
      <c r="D111" s="14" t="n"/>
      <c r="E111" s="15" t="n"/>
      <c r="F111" s="14" t="n"/>
      <c r="G111" s="14" t="n"/>
    </row>
    <row r="112">
      <c r="A112" s="17" t="n"/>
      <c r="B112" s="14" t="n"/>
      <c r="C112" s="14" t="n"/>
      <c r="D112" s="14" t="n"/>
      <c r="E112" s="15" t="n"/>
      <c r="F112" s="14" t="n"/>
      <c r="G112" s="14" t="n"/>
    </row>
    <row r="113">
      <c r="A113" s="17" t="n"/>
      <c r="B113" s="14" t="n"/>
      <c r="C113" s="14" t="n"/>
      <c r="D113" s="14" t="n"/>
      <c r="E113" s="15" t="n"/>
      <c r="F113" s="14" t="n"/>
      <c r="G113" s="14" t="n"/>
    </row>
    <row r="114">
      <c r="A114" s="17" t="n"/>
      <c r="B114" s="14" t="n"/>
      <c r="C114" s="14" t="n"/>
      <c r="D114" s="14" t="n"/>
      <c r="E114" s="15" t="n"/>
      <c r="F114" s="14" t="n"/>
      <c r="G114" s="14" t="n"/>
    </row>
    <row r="115">
      <c r="A115" s="17" t="n"/>
      <c r="B115" s="14" t="n"/>
      <c r="C115" s="14" t="n"/>
      <c r="D115" s="14" t="n"/>
      <c r="E115" s="15" t="n"/>
      <c r="F115" s="14" t="n"/>
      <c r="G115" s="14" t="n"/>
    </row>
    <row r="116">
      <c r="A116" s="17" t="n"/>
      <c r="B116" s="14" t="n"/>
      <c r="C116" s="14" t="n"/>
      <c r="D116" s="14" t="n"/>
      <c r="E116" s="15" t="n"/>
      <c r="F116" s="14" t="n"/>
      <c r="G116" s="14" t="n"/>
    </row>
    <row r="117">
      <c r="A117" s="17" t="n"/>
      <c r="B117" s="14" t="n"/>
      <c r="C117" s="14" t="n"/>
      <c r="D117" s="14" t="n"/>
      <c r="E117" s="15" t="n"/>
      <c r="F117" s="14" t="n"/>
      <c r="G117" s="14" t="n"/>
    </row>
    <row r="118">
      <c r="A118" s="17" t="n"/>
      <c r="B118" s="14" t="n"/>
      <c r="C118" s="14" t="n"/>
      <c r="D118" s="14" t="n"/>
      <c r="E118" s="15" t="n"/>
      <c r="F118" s="14" t="n"/>
      <c r="G118" s="14" t="n"/>
    </row>
    <row r="119">
      <c r="A119" s="17" t="n"/>
      <c r="B119" s="14" t="n"/>
      <c r="C119" s="14" t="n"/>
      <c r="D119" s="14" t="n"/>
      <c r="E119" s="15" t="n"/>
      <c r="F119" s="14" t="n"/>
      <c r="G119" s="14" t="n"/>
    </row>
    <row r="120">
      <c r="A120" s="17" t="n"/>
      <c r="B120" s="14" t="n"/>
      <c r="C120" s="14" t="n"/>
      <c r="D120" s="14" t="n"/>
      <c r="E120" s="15" t="n"/>
      <c r="F120" s="14" t="n"/>
      <c r="G120" s="14" t="n"/>
    </row>
    <row r="121">
      <c r="A121" s="17" t="n"/>
      <c r="B121" s="14" t="n"/>
      <c r="C121" s="14" t="n"/>
      <c r="D121" s="14" t="n"/>
      <c r="E121" s="15" t="n"/>
      <c r="F121" s="14" t="n"/>
      <c r="G121" s="14" t="n"/>
    </row>
    <row r="122">
      <c r="A122" s="17" t="n"/>
      <c r="B122" s="14" t="n"/>
      <c r="C122" s="14" t="n"/>
      <c r="D122" s="14" t="n"/>
      <c r="E122" s="15" t="n"/>
      <c r="F122" s="14" t="n"/>
      <c r="G122" s="14" t="n"/>
    </row>
    <row r="123">
      <c r="A123" s="17" t="n"/>
      <c r="B123" s="14" t="n"/>
      <c r="C123" s="14" t="n"/>
      <c r="D123" s="14" t="n"/>
      <c r="E123" s="15" t="n"/>
      <c r="F123" s="14" t="n"/>
      <c r="G123" s="14" t="n"/>
    </row>
    <row r="124">
      <c r="A124" s="17" t="n"/>
      <c r="B124" s="14" t="n"/>
      <c r="C124" s="14" t="n"/>
      <c r="D124" s="14" t="n"/>
      <c r="E124" s="15" t="n"/>
      <c r="F124" s="14" t="n"/>
      <c r="G124" s="14" t="n"/>
    </row>
    <row r="125">
      <c r="A125" s="17" t="n"/>
      <c r="B125" s="14" t="n"/>
      <c r="C125" s="14" t="n"/>
      <c r="D125" s="14" t="n"/>
      <c r="E125" s="15" t="n"/>
      <c r="F125" s="14" t="n"/>
      <c r="G125" s="14" t="n"/>
    </row>
    <row r="126">
      <c r="A126" s="17" t="n"/>
      <c r="B126" s="14" t="n"/>
      <c r="C126" s="14" t="n"/>
      <c r="D126" s="14" t="n"/>
      <c r="E126" s="15" t="n"/>
      <c r="F126" s="14" t="n"/>
      <c r="G126" s="14" t="n"/>
    </row>
    <row r="127">
      <c r="A127" s="17" t="n"/>
      <c r="B127" s="14" t="n"/>
      <c r="C127" s="14" t="n"/>
      <c r="D127" s="14" t="n"/>
      <c r="E127" s="15" t="n"/>
      <c r="F127" s="14" t="n"/>
      <c r="G127" s="14" t="n"/>
    </row>
    <row r="128">
      <c r="A128" s="17" t="n"/>
      <c r="B128" s="14" t="n"/>
      <c r="C128" s="14" t="n"/>
      <c r="D128" s="14" t="n"/>
      <c r="E128" s="15" t="n"/>
      <c r="F128" s="14" t="n"/>
      <c r="G128" s="14" t="n"/>
    </row>
    <row r="129">
      <c r="A129" s="17" t="n"/>
      <c r="B129" s="14" t="n"/>
      <c r="C129" s="14" t="n"/>
      <c r="D129" s="14" t="n"/>
      <c r="E129" s="15" t="n"/>
      <c r="F129" s="14" t="n"/>
      <c r="G129" s="14" t="n"/>
    </row>
    <row r="130">
      <c r="A130" s="17" t="n"/>
      <c r="B130" s="14" t="n"/>
      <c r="C130" s="14" t="n"/>
      <c r="D130" s="14" t="n"/>
      <c r="E130" s="15" t="n"/>
      <c r="F130" s="14" t="n"/>
      <c r="G130" s="14" t="n"/>
    </row>
    <row r="131">
      <c r="A131" s="17" t="n"/>
      <c r="B131" s="14" t="n"/>
      <c r="C131" s="14" t="n"/>
      <c r="D131" s="14" t="n"/>
      <c r="E131" s="15" t="n"/>
      <c r="F131" s="14" t="n"/>
      <c r="G131" s="14" t="n"/>
    </row>
    <row r="132">
      <c r="A132" s="17" t="n"/>
      <c r="B132" s="14" t="n"/>
      <c r="C132" s="14" t="n"/>
      <c r="D132" s="14" t="n"/>
      <c r="E132" s="15" t="n"/>
      <c r="F132" s="14" t="n"/>
      <c r="G132" s="14" t="n"/>
    </row>
    <row r="133">
      <c r="A133" s="17" t="n"/>
      <c r="B133" s="14" t="n"/>
      <c r="C133" s="14" t="n"/>
      <c r="D133" s="14" t="n"/>
      <c r="E133" s="15" t="n"/>
      <c r="F133" s="14" t="n"/>
      <c r="G133" s="14" t="n"/>
    </row>
    <row r="134">
      <c r="A134" s="17" t="n"/>
      <c r="B134" s="14" t="n"/>
      <c r="C134" s="14" t="n"/>
      <c r="D134" s="14" t="n"/>
      <c r="E134" s="15" t="n"/>
      <c r="F134" s="14" t="n"/>
      <c r="G134" s="14" t="n"/>
    </row>
    <row r="135">
      <c r="A135" s="17" t="n"/>
      <c r="B135" s="14" t="n"/>
      <c r="C135" s="14" t="n"/>
      <c r="D135" s="14" t="n"/>
      <c r="E135" s="15" t="n"/>
      <c r="F135" s="14" t="n"/>
      <c r="G135" s="14" t="n"/>
    </row>
    <row r="136">
      <c r="A136" s="17" t="n"/>
      <c r="B136" s="14" t="n"/>
      <c r="C136" s="14" t="n"/>
      <c r="D136" s="14" t="n"/>
      <c r="E136" s="15" t="n"/>
      <c r="F136" s="14" t="n"/>
      <c r="G136" s="14" t="n"/>
    </row>
    <row r="137">
      <c r="A137" s="17" t="n"/>
      <c r="B137" s="14" t="n"/>
      <c r="C137" s="14" t="n"/>
      <c r="D137" s="14" t="n"/>
      <c r="E137" s="15" t="n"/>
      <c r="F137" s="14" t="n"/>
      <c r="G137" s="14" t="n"/>
    </row>
    <row r="138">
      <c r="A138" s="17" t="n"/>
      <c r="B138" s="14" t="n"/>
      <c r="C138" s="14" t="n"/>
      <c r="D138" s="14" t="n"/>
      <c r="E138" s="15" t="n"/>
      <c r="F138" s="14" t="n"/>
      <c r="G138" s="14" t="n"/>
    </row>
    <row r="139">
      <c r="A139" s="17" t="n"/>
      <c r="B139" s="14" t="n"/>
      <c r="C139" s="14" t="n"/>
      <c r="D139" s="14" t="n"/>
      <c r="E139" s="15" t="n"/>
      <c r="F139" s="14" t="n"/>
      <c r="G139" s="14" t="n"/>
    </row>
    <row r="140">
      <c r="A140" s="17" t="n"/>
      <c r="B140" s="14" t="n"/>
      <c r="C140" s="14" t="n"/>
      <c r="D140" s="14" t="n"/>
      <c r="E140" s="15" t="n"/>
      <c r="F140" s="14" t="n"/>
      <c r="G140" s="14" t="n"/>
    </row>
    <row r="141">
      <c r="A141" s="17" t="n"/>
      <c r="B141" s="14" t="n"/>
      <c r="C141" s="14" t="n"/>
      <c r="D141" s="14" t="n"/>
      <c r="E141" s="15" t="n"/>
      <c r="F141" s="14" t="n"/>
      <c r="G141" s="14" t="n"/>
    </row>
    <row r="142">
      <c r="A142" s="17" t="n"/>
      <c r="B142" s="14" t="n"/>
      <c r="C142" s="14" t="n"/>
      <c r="D142" s="14" t="n"/>
      <c r="E142" s="15" t="n"/>
      <c r="F142" s="14" t="n"/>
      <c r="G142" s="14" t="n"/>
    </row>
    <row r="143">
      <c r="A143" s="17" t="n"/>
      <c r="B143" s="14" t="n"/>
      <c r="C143" s="14" t="n"/>
      <c r="D143" s="14" t="n"/>
      <c r="E143" s="15" t="n"/>
      <c r="F143" s="14" t="n"/>
      <c r="G143" s="14" t="n"/>
    </row>
    <row r="144">
      <c r="A144" s="17" t="n"/>
      <c r="B144" s="14" t="n"/>
      <c r="C144" s="14" t="n"/>
      <c r="D144" s="14" t="n"/>
      <c r="E144" s="15" t="n"/>
      <c r="F144" s="14" t="n"/>
      <c r="G144" s="14" t="n"/>
    </row>
    <row r="145">
      <c r="A145" s="17" t="n"/>
      <c r="B145" s="14" t="n"/>
      <c r="C145" s="14" t="n"/>
      <c r="D145" s="14" t="n"/>
      <c r="E145" s="15" t="n"/>
      <c r="F145" s="14" t="n"/>
      <c r="G145" s="14" t="n"/>
    </row>
    <row r="146">
      <c r="A146" s="17" t="n"/>
      <c r="B146" s="14" t="n"/>
      <c r="C146" s="14" t="n"/>
      <c r="D146" s="14" t="n"/>
      <c r="E146" s="15" t="n"/>
      <c r="F146" s="14" t="n"/>
      <c r="G146" s="14" t="n"/>
    </row>
    <row r="147">
      <c r="A147" s="17" t="n"/>
      <c r="B147" s="14" t="n"/>
      <c r="C147" s="14" t="n"/>
      <c r="D147" s="14" t="n"/>
      <c r="E147" s="15" t="n"/>
      <c r="F147" s="14" t="n"/>
      <c r="G147" s="14" t="n"/>
    </row>
    <row r="148">
      <c r="A148" s="17" t="n"/>
      <c r="B148" s="14" t="n"/>
      <c r="C148" s="14" t="n"/>
      <c r="D148" s="14" t="n"/>
      <c r="E148" s="15" t="n"/>
      <c r="F148" s="14" t="n"/>
      <c r="G148" s="14" t="n"/>
    </row>
    <row r="149"/>
    <row r="150"/>
    <row r="151"/>
    <row r="152"/>
    <row r="153"/>
    <row r="154"/>
    <row r="155"/>
    <row r="156"/>
    <row r="157"/>
    <row r="158"/>
    <row r="159"/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2026-07-18T17:11:53Z</dcterms:modified>
</cp:coreProperties>
</file>
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82364</v>
      </c>
      <c r="L6" s="9" t="n">
        <v>69659</v>
      </c>
      <c r="M6" s="9" t="n">
        <v>70289</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146882</v>
      </c>
      <c r="L7" s="5" t="n">
        <v>105839</v>
      </c>
      <c r="M7" s="5" t="n">
        <v>106267</v>
      </c>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v>63980</v>
      </c>
      <c r="M8" s="9" t="n">
        <v>66400</v>
      </c>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v>4399</v>
      </c>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cobros BBVA reales (sep $69.659 · oct $70.289). El fijo $50.000 ya no aplica desde sep-2026.</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row r="50">
      <c r="A50" t="inlineStr">
        <is>
          <t>• LIQUIDACIÓN SEPTIEMBRE 2026: Christian (Chris) NO pagó su parte de los gastos de la casa (Pagado Christian = $0 / sin ALMACEN CHRIS ni Extras Chris). Pendiente Chris = fila CHRIS columna Septiembre (Cada uno − ALMACEN CHRIS). Registrado 2026-10-23 por verificación Sol.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PAGADO</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PAGADO</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PAGADO</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PAGADO</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PAGADO</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PAGADO</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PAGADO</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PAGADO</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PAGADO</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PAGADO</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PAGADO</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PAGADO</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PAGADO</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PAGADO</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PAGADO</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PAGADO</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PAGADO</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PAGADO</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PAGADO</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PAGADO</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PAGADO</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PAGADO</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PAGADO</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PAGADO</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PAGADO</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PAGADO</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PAGADO</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PAGADO</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PAGADO</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PAGADO</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PAGADO</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PAGADO</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PAGADO</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PAGADO</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PAGADO</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PAGADO</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PAGADO</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PAGADO</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PAGADO</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PAGADO</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PAGADO</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PAGADO</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PAGADO</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PAGADO</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PAGADO</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PAGADO</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PAGADO</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PAGADO</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PAGADO</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PAGADO</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PAGADO</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PAGADO</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PAGADO</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PAGADO</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PAGADO</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3"/>
    <row r="244"/>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2"/>
    <row r="273"/>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8"/>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53" t="n">
        <v>46235</v>
      </c>
      <c r="C314" s="14" t="inlineStr">
        <is>
          <t>RAMON · Comida</t>
        </is>
      </c>
      <c r="D314" s="27" t="n">
        <v>176000</v>
      </c>
      <c r="E314" s="28" t="n"/>
      <c r="F314" s="15">
        <f>IF(OR(D298&lt;&gt;"",E298&lt;&gt;""),IF(D298="",0,D298)+IF(E298="",0,E298),"")</f>
        <v/>
      </c>
      <c r="G314" s="14" t="inlineStr">
        <is>
          <t>MERPAGO*DRBARF · BBVA VISA · Gmail Compra aprobada</t>
        </is>
      </c>
    </row>
    <row r="315">
      <c r="A315" s="14" t="inlineStr">
        <is>
          <t>Agosto</t>
        </is>
      </c>
      <c r="B315" s="53" t="n">
        <v>46256</v>
      </c>
      <c r="C315" s="14" t="inlineStr">
        <is>
          <t>RAMON · Otros</t>
        </is>
      </c>
      <c r="D315" s="27" t="n">
        <v>77200</v>
      </c>
      <c r="E315" s="28" t="n"/>
      <c r="F315" s="15">
        <f>IF(OR(D299&lt;&gt;"",E299&lt;&gt;""),IF(D299="",0,D299)+IF(E299="",0,E299),"")</f>
        <v/>
      </c>
      <c r="G315" s="14" t="inlineStr">
        <is>
          <t>Paws Pet Market · BBVA VISA · Gmail Compra aprobada</t>
        </is>
      </c>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53" t="n">
        <v>46312</v>
      </c>
      <c r="C428" s="14" t="inlineStr">
        <is>
          <t>FARMACIA · Farmacity</t>
        </is>
      </c>
      <c r="D428" s="27" t="n">
        <v>81924</v>
      </c>
      <c r="E428" s="28" t="n"/>
      <c r="F428" s="15">
        <f>IF(OR(D382&lt;&gt;"",E382&lt;&gt;""),IF(D382="",0,D382)+IF(E382="",0,E382),"")</f>
        <v/>
      </c>
      <c r="G428" s="14" t="inlineStr">
        <is>
          <t>MERPAGO*FARMACITY · BBVA VISA · Gmail Compra aprobada</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7"/>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46255</v>
      </c>
      <c r="B35" s="14" t="inlineStr">
        <is>
          <t>Telecentro</t>
        </is>
      </c>
      <c r="C35" s="14" t="inlineStr">
        <is>
          <t>Telecentro CIUDAD — débito BBVA 21/08/2026</t>
        </is>
      </c>
      <c r="D35" s="15" t="n">
        <v>82364</v>
      </c>
      <c r="E35" s="14" t="inlineStr">
        <is>
          <t>Débito BBVA</t>
        </is>
      </c>
      <c r="F35" s="18" t="inlineStr"/>
      <c r="G35" s="18" t="inlineStr"/>
      <c r="H35" s="14" t="inlineStr">
        <is>
          <t>Gmail Compra aprobada BBVA · ARS 82.363,35 · mes=cobro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46318</v>
      </c>
      <c r="B37" s="14" t="inlineStr">
        <is>
          <t>Telecentro</t>
        </is>
      </c>
      <c r="C37" s="14" t="inlineStr">
        <is>
          <t>Telecentro CIUDAD — débito BBVA 23/10/2026</t>
        </is>
      </c>
      <c r="D37" s="15" t="n">
        <v>70289</v>
      </c>
      <c r="E37" s="14" t="inlineStr">
        <is>
          <t>Débito BBVA</t>
        </is>
      </c>
      <c r="F37" s="18" t="inlineStr"/>
      <c r="G37" s="18" t="inlineStr"/>
      <c r="H37" s="14" t="inlineStr">
        <is>
          <t>Gmail Compra aprobada BBVA · ARS 70.289 · mes=cobro; deja de aplicar fijo $50.000</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4" t="n">
        <v>46239</v>
      </c>
      <c r="B82" t="inlineStr">
        <is>
          <t>Metrogas</t>
        </is>
      </c>
      <c r="C82" t="inlineStr">
        <is>
          <t>Gas Metrogas CIUDAD — débito BBVA 05/08/2026</t>
        </is>
      </c>
      <c r="D82" t="n">
        <v>73695</v>
      </c>
      <c r="E82" t="inlineStr">
        <is>
          <t>Débito BBVA</t>
        </is>
      </c>
      <c r="F82" t="inlineStr">
        <is>
          <t>30010996459</t>
        </is>
      </c>
      <c r="H82" t="inlineStr">
        <is>
          <t>Gmail Compra aprobada · medidor 40049923</t>
        </is>
      </c>
      <c r="I82" t="inlineStr">
        <is>
          <t>Agosto</t>
        </is>
      </c>
    </row>
    <row r="83">
      <c r="A83" s="54" t="n">
        <v>46251</v>
      </c>
      <c r="B83" t="inlineStr">
        <is>
          <t>Metrogas</t>
        </is>
      </c>
      <c r="C83" t="inlineStr">
        <is>
          <t>Gas Metrogas CIUDAD — débito BBVA 17/08/2026</t>
        </is>
      </c>
      <c r="D83" t="n">
        <v>73187</v>
      </c>
      <c r="E83" t="inlineStr">
        <is>
          <t>Débito BBVA</t>
        </is>
      </c>
      <c r="F83" t="inlineStr">
        <is>
          <t>30010996459</t>
        </is>
      </c>
      <c r="H83" t="inlineStr">
        <is>
          <t>Gmail Compra aprobada · segundo cobro agosto</t>
        </is>
      </c>
      <c r="I83" t="inlineStr">
        <is>
          <t>Agosto</t>
        </is>
      </c>
    </row>
    <row r="84">
      <c r="A84" s="54" t="n">
        <v>46246</v>
      </c>
      <c r="B84" t="inlineStr">
        <is>
          <t>Edenor</t>
        </is>
      </c>
      <c r="C84" t="inlineStr">
        <is>
          <t>Luz Edenor CIUDAD — débito BBVA 12/08/2026 · Sanes</t>
        </is>
      </c>
      <c r="D84" t="n">
        <v>183272</v>
      </c>
      <c r="E84" t="inlineStr">
        <is>
          <t>Débito BBVA</t>
        </is>
      </c>
      <c r="F84" t="inlineStr">
        <is>
          <t>00008917502309</t>
        </is>
      </c>
      <c r="H84" t="inlineStr">
        <is>
          <t>Gmail Compra aprobada BBVA</t>
        </is>
      </c>
      <c r="I84" t="inlineStr">
        <is>
          <t>Agosto</t>
        </is>
      </c>
    </row>
    <row r="85">
      <c r="A85" s="54" t="n">
        <v>46262</v>
      </c>
      <c r="B85" t="inlineStr">
        <is>
          <t>Streaming</t>
        </is>
      </c>
      <c r="C85" t="inlineStr">
        <is>
          <t>Streaming música — Spotify · BBVA VISA 28/08/2026</t>
        </is>
      </c>
      <c r="D85" t="n">
        <v>4399</v>
      </c>
      <c r="E85" t="inlineStr">
        <is>
          <t>BBVA VISA</t>
        </is>
      </c>
      <c r="H85" t="inlineStr">
        <is>
          <t>Gmail Compra aprobada · ARS 4.399</t>
        </is>
      </c>
      <c r="I85" t="inlineStr">
        <is>
          <t>Agosto</t>
        </is>
      </c>
    </row>
    <row r="86">
      <c r="A86" s="54" t="n">
        <v>46313</v>
      </c>
      <c r="B86" t="inlineStr">
        <is>
          <t>Metrogas</t>
        </is>
      </c>
      <c r="C86" t="inlineStr">
        <is>
          <t>Gas Metrogas CIUDAD — débito BBVA 18/10/2026</t>
        </is>
      </c>
      <c r="D86" t="n">
        <v>106267</v>
      </c>
      <c r="E86" t="inlineStr">
        <is>
          <t>Débito BBVA</t>
        </is>
      </c>
      <c r="F86" t="inlineStr">
        <is>
          <t>30010996459</t>
        </is>
      </c>
      <c r="H86" t="inlineStr">
        <is>
          <t>Gmail Compra aprobada BBVA</t>
        </is>
      </c>
      <c r="I86" t="inlineStr">
        <is>
          <t>Octubre</t>
        </is>
      </c>
    </row>
    <row r="87">
      <c r="A87" s="54" t="n">
        <v>46307</v>
      </c>
      <c r="B87" t="inlineStr">
        <is>
          <t>Edenor</t>
        </is>
      </c>
      <c r="C87" t="inlineStr">
        <is>
          <t>Luz Edenor CIUDAD — débito BBVA 12/10/2026 · Sanes</t>
        </is>
      </c>
      <c r="D87" t="n">
        <v>66400</v>
      </c>
      <c r="E87" t="inlineStr">
        <is>
          <t>Débito BBVA</t>
        </is>
      </c>
      <c r="F87" t="inlineStr">
        <is>
          <t>00008917502309</t>
        </is>
      </c>
      <c r="H87" t="inlineStr">
        <is>
          <t>Gmail Compra aprobada BBVA</t>
        </is>
      </c>
      <c r="I87" t="inlineStr">
        <is>
          <t>Octubre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61"/>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t>
        </is>
      </c>
      <c r="F522" t="inlineStr">
        <is>
          <t>COBRADO resumen BBVA · C.03/06 · cashflow cuotas BBVA · gasto personal Sol</t>
        </is>
      </c>
    </row>
    <row r="523">
      <c r="A523" s="54" t="n">
        <v>46231</v>
      </c>
      <c r="B523" t="inlineStr">
        <is>
          <t>Julio</t>
        </is>
      </c>
      <c r="C523" t="inlineStr">
        <is>
          <t>VESTIMENTA</t>
        </is>
      </c>
      <c r="D523" t="n">
        <v>98334</v>
      </c>
      <c r="E523" t="inlineStr">
        <is>
          <t>BBVA VISA</t>
        </is>
      </c>
      <c r="F523" t="inlineStr">
        <is>
          <t>ROPA · Bokenvoreno · COBRADO resumen BBVA · C.03/06 · cashflow cuotas BBVA · gasto personal Sol</t>
        </is>
      </c>
    </row>
    <row r="524">
      <c r="A524" s="54" t="n">
        <v>46231</v>
      </c>
      <c r="B524" t="inlineStr">
        <is>
          <t>Julio</t>
        </is>
      </c>
      <c r="C524" t="inlineStr">
        <is>
          <t>HOGAR</t>
        </is>
      </c>
      <c r="D524" t="n">
        <v>329986</v>
      </c>
      <c r="E524" t="inlineStr">
        <is>
          <t>BBVA VISA</t>
        </is>
      </c>
      <c r="F524" t="inlineStr">
        <is>
          <t>COBRADO resumen BBVA · C.03/03 · cashflow cuotas BBVA · gasto personal Sol · ex `CAMBIODEAIRES`</t>
        </is>
      </c>
    </row>
    <row r="525">
      <c r="A525" s="54" t="n">
        <v>46231</v>
      </c>
      <c r="B525" t="inlineStr">
        <is>
          <t>Julio</t>
        </is>
      </c>
      <c r="C525" t="inlineStr">
        <is>
          <t>ROPA</t>
        </is>
      </c>
      <c r="D525" t="n">
        <v>80834</v>
      </c>
      <c r="E525" t="inlineStr">
        <is>
          <t>BBVA MASTERCARD</t>
        </is>
      </c>
      <c r="F525" t="inlineStr">
        <is>
          <t>COBRADO resumen BBVA · C.03/06 · cashflow cuotas BBVA · gasto personal Sol</t>
        </is>
      </c>
    </row>
    <row r="526">
      <c r="A526" s="54" t="n">
        <v>46231</v>
      </c>
      <c r="B526" t="inlineStr">
        <is>
          <t>Julio</t>
        </is>
      </c>
      <c r="C526" t="inlineStr">
        <is>
          <t>SALUD</t>
        </is>
      </c>
      <c r="D526" t="n">
        <v>54033</v>
      </c>
      <c r="E526" t="inlineStr">
        <is>
          <t>BBVA MASTERCARD</t>
        </is>
      </c>
      <c r="F526" t="inlineStr">
        <is>
          <t>SALUD · Laboratorio · COBRADO resumen BBVA · C.04/06 · cashflow cuotas BBVA · gasto personal Sol</t>
        </is>
      </c>
    </row>
    <row r="527">
      <c r="A527" s="54" t="n">
        <v>46231</v>
      </c>
      <c r="B527" t="inlineStr">
        <is>
          <t>Julio</t>
        </is>
      </c>
      <c r="C527" t="inlineStr">
        <is>
          <t>MERCADO LIBRE</t>
        </is>
      </c>
      <c r="D527" t="n">
        <v>275000</v>
      </c>
      <c r="E527" t="inlineStr">
        <is>
          <t>BBVA MASTERCARD</t>
        </is>
      </c>
      <c r="F527" t="inlineStr">
        <is>
          <t>COBRADO resumen BBVA · C.05/12 · cashflow cuotas BBVA · gasto personal Sol · ex `Mercado Libre · MERCADOLIBRE`</t>
        </is>
      </c>
    </row>
    <row r="528">
      <c r="A528" s="54" t="n">
        <v>46231</v>
      </c>
      <c r="B528" t="inlineStr">
        <is>
          <t>Julio</t>
        </is>
      </c>
      <c r="C528" t="inlineStr">
        <is>
          <t>MERCADO LIBRE</t>
        </is>
      </c>
      <c r="D528" t="n">
        <v>17360</v>
      </c>
      <c r="E528" t="inlineStr">
        <is>
          <t>BBVA MASTERCARD</t>
        </is>
      </c>
      <c r="F528" t="inlineStr">
        <is>
          <t>COBRADO resumen BBVA · C.06/09 · cashflow cuotas BBVA · gasto personal Sol · ex `Mercado Libre · MERCADOLIBRE`</t>
        </is>
      </c>
    </row>
    <row r="529">
      <c r="A529" s="54" t="n">
        <v>46231</v>
      </c>
      <c r="B529" t="inlineStr">
        <is>
          <t>Julio</t>
        </is>
      </c>
      <c r="C529" t="inlineStr">
        <is>
          <t>MERCADO LIBRE</t>
        </is>
      </c>
      <c r="D529" t="n">
        <v>16950</v>
      </c>
      <c r="E529" t="inlineStr">
        <is>
          <t>BBVA MASTERCARD</t>
        </is>
      </c>
      <c r="F529" t="inlineStr">
        <is>
          <t>COBRADO resumen BBVA · C.06/09 · cashflow cuotas BBVA · gasto personal Sol · ex `Mercado Libre · MERCADOLIBRE`</t>
        </is>
      </c>
    </row>
    <row r="530">
      <c r="A530" s="54" t="n">
        <v>46231</v>
      </c>
      <c r="B530" t="inlineStr">
        <is>
          <t>Julio</t>
        </is>
      </c>
      <c r="C530" t="inlineStr">
        <is>
          <t>ROPA</t>
        </is>
      </c>
      <c r="D530" t="n">
        <v>95984</v>
      </c>
      <c r="E530" t="inlineStr">
        <is>
          <t>BBVA MASTERCARD</t>
        </is>
      </c>
      <c r="F530" t="inlineStr">
        <is>
          <t>ROPA · Monofuk · COBRADO resumen BBVA · C.04/06 · cashflow cuotas BBVA · gasto personal Sol</t>
        </is>
      </c>
    </row>
    <row r="531">
      <c r="A531" s="54" t="n">
        <v>46231</v>
      </c>
      <c r="B531" t="inlineStr">
        <is>
          <t>Julio</t>
        </is>
      </c>
      <c r="C531" t="inlineStr">
        <is>
          <t>ROPA</t>
        </is>
      </c>
      <c r="D531" t="n">
        <v>73333</v>
      </c>
      <c r="E531" t="inlineStr">
        <is>
          <t>BBVA MASTERCARD</t>
        </is>
      </c>
      <c r="F531" t="inlineStr">
        <is>
          <t>COBRADO resumen BBVA · C.03/03 · cashflow cuotas BBVA · gasto personal Sol</t>
        </is>
      </c>
    </row>
    <row r="532">
      <c r="A532" s="54" t="n">
        <v>46231</v>
      </c>
      <c r="B532" t="inlineStr">
        <is>
          <t>Julio</t>
        </is>
      </c>
      <c r="C532" t="inlineStr">
        <is>
          <t>SALUD · Vitaminas</t>
        </is>
      </c>
      <c r="D532" t="n">
        <v>87900</v>
      </c>
      <c r="E532" t="inlineStr">
        <is>
          <t>BBVA VISA</t>
        </is>
      </c>
      <c r="F532" t="inlineStr">
        <is>
          <t>COBRADO resumen BBVA · SALUD · Vitaminas · Promarine · BBVA · C.04/06 · gasto personal Sol</t>
        </is>
      </c>
    </row>
    <row r="533">
      <c r="A533" s="54" t="n">
        <v>46231</v>
      </c>
      <c r="B533" t="inlineStr">
        <is>
          <t>Julio</t>
        </is>
      </c>
      <c r="C533" t="inlineStr">
        <is>
          <t>ROPA</t>
        </is>
      </c>
      <c r="D533" t="n">
        <v>36667</v>
      </c>
      <c r="E533" t="inlineStr">
        <is>
          <t>BBVA MASTERCARD</t>
        </is>
      </c>
      <c r="F533" t="inlineStr">
        <is>
          <t>COBRADO resumen BBVA · C.03/06 · cashflow cuotas BBVA · gasto personal Sol</t>
        </is>
      </c>
    </row>
    <row r="534">
      <c r="A534" s="54" t="n">
        <v>46231</v>
      </c>
      <c r="B534" t="inlineStr">
        <is>
          <t>Julio</t>
        </is>
      </c>
      <c r="C534" t="inlineStr">
        <is>
          <t>HOGAR</t>
        </is>
      </c>
      <c r="D534" t="n">
        <v>18334</v>
      </c>
      <c r="E534" t="inlineStr">
        <is>
          <t>BBVA MASTERCARD</t>
        </is>
      </c>
      <c r="F534" t="inlineStr">
        <is>
          <t>HOGAR · Stanley · COBRADO resumen BBVA · C.04/06 · cashflow cuotas BBVA · gasto personal Sol</t>
        </is>
      </c>
    </row>
    <row r="535">
      <c r="A535" s="54" t="n">
        <v>46231</v>
      </c>
      <c r="B535" t="inlineStr">
        <is>
          <t>Julio</t>
        </is>
      </c>
      <c r="C535" t="inlineStr">
        <is>
          <t>ROPA</t>
        </is>
      </c>
      <c r="D535" t="n">
        <v>84216</v>
      </c>
      <c r="E535" t="inlineStr">
        <is>
          <t>BBVA MASTERCARD</t>
        </is>
      </c>
      <c r="F535" t="inlineStr">
        <is>
          <t>COBRADO resumen BBVA · C.03/03 · cashflow cuotas BBVA · gasto personal Sol</t>
        </is>
      </c>
    </row>
    <row r="536">
      <c r="A536" s="54" t="n">
        <v>46231</v>
      </c>
      <c r="B536" t="inlineStr">
        <is>
          <t>Julio</t>
        </is>
      </c>
      <c r="C536" t="inlineStr">
        <is>
          <t>ROPA</t>
        </is>
      </c>
      <c r="D536" t="n">
        <v>60917</v>
      </c>
      <c r="E536" t="inlineStr">
        <is>
          <t>BBVA VISA</t>
        </is>
      </c>
      <c r="F536" t="inlineStr">
        <is>
          <t>COBRADO resumen BBVA · C.03/12 · cashflow cuotas BBVA · gasto personal Sol</t>
        </is>
      </c>
    </row>
    <row r="537">
      <c r="A537" s="54" t="n">
        <v>46231</v>
      </c>
      <c r="B537" t="inlineStr">
        <is>
          <t>Julio</t>
        </is>
      </c>
      <c r="C537" t="inlineStr">
        <is>
          <t>ROPA</t>
        </is>
      </c>
      <c r="D537" t="n">
        <v>69750</v>
      </c>
      <c r="E537" t="inlineStr">
        <is>
          <t>BBVA VISA</t>
        </is>
      </c>
      <c r="F537" t="inlineStr">
        <is>
          <t>COBRADO resumen BBVA · C.03/12 · cashflow cuotas BBVA · gasto personal Sol</t>
        </is>
      </c>
    </row>
    <row r="538">
      <c r="A538" s="54" t="n">
        <v>46231</v>
      </c>
      <c r="B538" t="inlineStr">
        <is>
          <t>Julio</t>
        </is>
      </c>
      <c r="C538" t="inlineStr">
        <is>
          <t>ROPA</t>
        </is>
      </c>
      <c r="D538" t="n">
        <v>40004</v>
      </c>
      <c r="E538" t="inlineStr">
        <is>
          <t>BBVA MASTERCARD</t>
        </is>
      </c>
      <c r="F538" t="inlineStr">
        <is>
          <t>COBRADO resumen BBVA · C.03/03 · cashflow cuotas BBVA · gasto personal Sol</t>
        </is>
      </c>
    </row>
    <row r="539">
      <c r="A539" s="54" t="n">
        <v>46262</v>
      </c>
      <c r="B539" t="inlineStr">
        <is>
          <t>Agosto</t>
        </is>
      </c>
      <c r="C539" t="inlineStr">
        <is>
          <t>ROPA</t>
        </is>
      </c>
      <c r="D539" t="n">
        <v>124667</v>
      </c>
      <c r="E539" t="inlineStr">
        <is>
          <t>BBVA VISA</t>
        </is>
      </c>
      <c r="F539" t="inlineStr">
        <is>
          <t>COBRADO resumen BBVA · C.04/06 · cashflow cuotas BBVA · gasto personal Sol</t>
        </is>
      </c>
    </row>
    <row r="540">
      <c r="A540" s="54" t="n">
        <v>46262</v>
      </c>
      <c r="B540" t="inlineStr">
        <is>
          <t>Agosto</t>
        </is>
      </c>
      <c r="C540" t="inlineStr">
        <is>
          <t>VESTIMENTA</t>
        </is>
      </c>
      <c r="D540" t="n">
        <v>98334</v>
      </c>
      <c r="E540" t="inlineStr">
        <is>
          <t>BBVA VISA</t>
        </is>
      </c>
      <c r="F540" t="inlineStr">
        <is>
          <t>ROPA · Bokenvoreno · COBRADO resumen BBVA · C.04/06 · cashflow cuotas BBVA · gasto personal Sol</t>
        </is>
      </c>
    </row>
    <row r="541">
      <c r="A541" s="54" t="n">
        <v>46262</v>
      </c>
      <c r="B541" t="inlineStr">
        <is>
          <t>Agosto</t>
        </is>
      </c>
      <c r="C541" t="inlineStr">
        <is>
          <t>ROPA</t>
        </is>
      </c>
      <c r="D541" t="n">
        <v>31700</v>
      </c>
      <c r="E541" t="inlineStr">
        <is>
          <t>BBVA VISA</t>
        </is>
      </c>
      <c r="F541" t="inlineStr">
        <is>
          <t>ROPA · Frivilli · COBRADO resumen BBVA · C.02/03 · cashflow cuotas BBVA · gasto personal Sol</t>
        </is>
      </c>
    </row>
    <row r="542">
      <c r="A542" s="54" t="n">
        <v>46262</v>
      </c>
      <c r="B542" t="inlineStr">
        <is>
          <t>Agosto</t>
        </is>
      </c>
      <c r="C542" t="inlineStr">
        <is>
          <t>ROPA</t>
        </is>
      </c>
      <c r="D542" t="n">
        <v>80834</v>
      </c>
      <c r="E542" t="inlineStr">
        <is>
          <t>BBVA MASTERCARD</t>
        </is>
      </c>
      <c r="F542" t="inlineStr">
        <is>
          <t>COBRADO resumen BBVA · C.04/06 · cashflow cuotas BBVA · gasto personal Sol</t>
        </is>
      </c>
    </row>
    <row r="543">
      <c r="A543" s="54" t="n">
        <v>46262</v>
      </c>
      <c r="B543" t="inlineStr">
        <is>
          <t>Agosto</t>
        </is>
      </c>
      <c r="C543" t="inlineStr">
        <is>
          <t>SALUD</t>
        </is>
      </c>
      <c r="D543" t="n">
        <v>54033</v>
      </c>
      <c r="E543" t="inlineStr">
        <is>
          <t>BBVA MASTERCARD</t>
        </is>
      </c>
      <c r="F543" t="inlineStr">
        <is>
          <t>SALUD · Laboratorio · COBRADO resumen BBVA · C.05/06 · cashflow cuotas BBVA · gasto personal Sol</t>
        </is>
      </c>
    </row>
    <row r="544">
      <c r="A544" s="54" t="n">
        <v>46262</v>
      </c>
      <c r="B544" t="inlineStr">
        <is>
          <t>Agosto</t>
        </is>
      </c>
      <c r="C544" t="inlineStr">
        <is>
          <t>MERCADO LIBRE</t>
        </is>
      </c>
      <c r="D544" t="n">
        <v>12084</v>
      </c>
      <c r="E544" t="inlineStr">
        <is>
          <t>BBVA VISA</t>
        </is>
      </c>
      <c r="F544" t="inlineStr">
        <is>
          <t>COBRADO resumen BBVA · C.02/06 · cashflow cuotas BBVA · gasto personal Sol · ex `Mercado Libre · MERCADOLIBRE`</t>
        </is>
      </c>
    </row>
    <row r="545">
      <c r="A545" s="54" t="n">
        <v>46262</v>
      </c>
      <c r="B545" t="inlineStr">
        <is>
          <t>Agosto</t>
        </is>
      </c>
      <c r="C545" t="inlineStr">
        <is>
          <t>MERCADO LIBRE</t>
        </is>
      </c>
      <c r="D545" t="n">
        <v>275000</v>
      </c>
      <c r="E545" t="inlineStr">
        <is>
          <t>BBVA MASTERCARD</t>
        </is>
      </c>
      <c r="F545" t="inlineStr">
        <is>
          <t>COBRADO resumen BBVA · C.06/12 · cashflow cuotas BBVA · gasto personal Sol · ex `Mercado Libre · MERCADOLIBRE`</t>
        </is>
      </c>
    </row>
    <row r="546">
      <c r="A546" s="54" t="n">
        <v>46262</v>
      </c>
      <c r="B546" t="inlineStr">
        <is>
          <t>Agosto</t>
        </is>
      </c>
      <c r="C546" t="inlineStr">
        <is>
          <t>MERCADO LIBRE</t>
        </is>
      </c>
      <c r="D546" t="n">
        <v>17360</v>
      </c>
      <c r="E546" t="inlineStr">
        <is>
          <t>BBVA MASTERCARD</t>
        </is>
      </c>
      <c r="F546" t="inlineStr">
        <is>
          <t>COBRADO resumen BBVA · C.07/09 · cashflow cuotas BBVA · gasto personal Sol · ex `Mercado Libre · MERCADOLIBRE`</t>
        </is>
      </c>
    </row>
    <row r="547">
      <c r="A547" s="54" t="n">
        <v>46262</v>
      </c>
      <c r="B547" t="inlineStr">
        <is>
          <t>Agosto</t>
        </is>
      </c>
      <c r="C547" t="inlineStr">
        <is>
          <t>MERCADO LIBRE</t>
        </is>
      </c>
      <c r="D547" t="n">
        <v>16950</v>
      </c>
      <c r="E547" t="inlineStr">
        <is>
          <t>BBVA MASTERCARD</t>
        </is>
      </c>
      <c r="F547" t="inlineStr">
        <is>
          <t>COBRADO resumen BBVA · C.07/09 · cashflow cuotas BBVA · gasto personal Sol · ex `Mercado Libre · MERCADOLIBRE`</t>
        </is>
      </c>
    </row>
    <row r="548">
      <c r="A548" s="54" t="n">
        <v>46262</v>
      </c>
      <c r="B548" t="inlineStr">
        <is>
          <t>Agosto</t>
        </is>
      </c>
      <c r="C548" t="inlineStr">
        <is>
          <t>ROPA</t>
        </is>
      </c>
      <c r="D548" t="n">
        <v>95984</v>
      </c>
      <c r="E548" t="inlineStr">
        <is>
          <t>BBVA MASTERCARD</t>
        </is>
      </c>
      <c r="F548" t="inlineStr">
        <is>
          <t>ROPA · Monofuk · COBRADO resumen BBVA · C.05/06 · cashflow cuotas BBVA · gasto personal Sol</t>
        </is>
      </c>
    </row>
    <row r="549">
      <c r="A549" s="54" t="n">
        <v>46262</v>
      </c>
      <c r="B549" t="inlineStr">
        <is>
          <t>Agosto</t>
        </is>
      </c>
      <c r="C549" t="inlineStr">
        <is>
          <t>ROPA</t>
        </is>
      </c>
      <c r="D549" t="n">
        <v>284794</v>
      </c>
      <c r="E549" t="inlineStr">
        <is>
          <t>BBVA VISA</t>
        </is>
      </c>
      <c r="F549" t="inlineStr">
        <is>
          <t>COBRADO resumen BBVA · C.02/06 · cashflow cuotas BBVA · gasto personal Sol</t>
        </is>
      </c>
    </row>
    <row r="550">
      <c r="A550" s="54" t="n">
        <v>46262</v>
      </c>
      <c r="B550" t="inlineStr">
        <is>
          <t>Agosto</t>
        </is>
      </c>
      <c r="C550" t="inlineStr">
        <is>
          <t>ROPA</t>
        </is>
      </c>
      <c r="D550" t="n">
        <v>73600</v>
      </c>
      <c r="E550" t="inlineStr">
        <is>
          <t>BBVA MASTERCARD</t>
        </is>
      </c>
      <c r="F550" t="inlineStr">
        <is>
          <t>COBRADO resumen BBVA · C.02/06 · cashflow cuotas BBVA · gasto personal Sol</t>
        </is>
      </c>
    </row>
    <row r="551">
      <c r="A551" s="54" t="n">
        <v>46262</v>
      </c>
      <c r="B551" t="inlineStr">
        <is>
          <t>Agosto</t>
        </is>
      </c>
      <c r="C551" t="inlineStr">
        <is>
          <t>SALUD · Vitaminas</t>
        </is>
      </c>
      <c r="D551" t="n">
        <v>87900</v>
      </c>
      <c r="E551" t="inlineStr">
        <is>
          <t>BBVA VISA</t>
        </is>
      </c>
      <c r="F551" t="inlineStr">
        <is>
          <t>COBRADO resumen BBVA · SALUD · Vitaminas · Promarine · BBVA · C.05/06 · gasto personal Sol</t>
        </is>
      </c>
    </row>
    <row r="552">
      <c r="A552" s="54" t="n">
        <v>46262</v>
      </c>
      <c r="B552" t="inlineStr">
        <is>
          <t>Agosto</t>
        </is>
      </c>
      <c r="C552" t="inlineStr">
        <is>
          <t>ROPA</t>
        </is>
      </c>
      <c r="D552" t="n">
        <v>36667</v>
      </c>
      <c r="E552" t="inlineStr">
        <is>
          <t>BBVA MASTERCARD</t>
        </is>
      </c>
      <c r="F552" t="inlineStr">
        <is>
          <t>COBRADO resumen BBVA · C.04/06 · cashflow cuotas BBVA · gasto personal Sol</t>
        </is>
      </c>
    </row>
    <row r="553">
      <c r="A553" s="54" t="n">
        <v>46262</v>
      </c>
      <c r="B553" t="inlineStr">
        <is>
          <t>Agosto</t>
        </is>
      </c>
      <c r="C553" t="inlineStr">
        <is>
          <t>HOGAR</t>
        </is>
      </c>
      <c r="D553" t="n">
        <v>18334</v>
      </c>
      <c r="E553" t="inlineStr">
        <is>
          <t>BBVA MASTERCARD</t>
        </is>
      </c>
      <c r="F553" t="inlineStr">
        <is>
          <t>HOGAR · Stanley · COBRADO resumen BBVA · C.05/06 · cashflow cuotas BBVA · gasto personal Sol</t>
        </is>
      </c>
    </row>
    <row r="554">
      <c r="A554" s="54" t="n">
        <v>46262</v>
      </c>
      <c r="B554" t="inlineStr">
        <is>
          <t>Agosto</t>
        </is>
      </c>
      <c r="C554" t="inlineStr">
        <is>
          <t>Eventos deportivos - River</t>
        </is>
      </c>
      <c r="D554" t="n">
        <v>169667</v>
      </c>
      <c r="E554" t="inlineStr">
        <is>
          <t>BBVA VISA</t>
        </is>
      </c>
      <c r="F554" t="inlineStr">
        <is>
          <t>COBRADO resumen BBVA · C.02/06 · cashflow cuotas BBVA · gasto personal Sol · Eventos deportivos - River</t>
        </is>
      </c>
    </row>
    <row r="555">
      <c r="A555" s="54" t="n">
        <v>46262</v>
      </c>
      <c r="B555" t="inlineStr">
        <is>
          <t>Agosto</t>
        </is>
      </c>
      <c r="C555" t="inlineStr">
        <is>
          <t>ROPA</t>
        </is>
      </c>
      <c r="D555" t="n">
        <v>60917</v>
      </c>
      <c r="E555" t="inlineStr">
        <is>
          <t>BBVA VISA</t>
        </is>
      </c>
      <c r="F555" t="inlineStr">
        <is>
          <t>COBRADO resumen BBVA · C.04/12 · cashflow cuotas BBVA · gasto personal Sol</t>
        </is>
      </c>
    </row>
    <row r="556">
      <c r="A556" s="54" t="n">
        <v>46262</v>
      </c>
      <c r="B556" t="inlineStr">
        <is>
          <t>Agosto</t>
        </is>
      </c>
      <c r="C556" t="inlineStr">
        <is>
          <t>ROPA</t>
        </is>
      </c>
      <c r="D556" t="n">
        <v>69750</v>
      </c>
      <c r="E556" t="inlineStr">
        <is>
          <t>BBVA VISA</t>
        </is>
      </c>
      <c r="F556" t="inlineStr">
        <is>
          <t>COBRADO resumen BBVA · C.04/12 · cashflow cuotas BBVA · gasto personal Sol</t>
        </is>
      </c>
    </row>
    <row r="557">
      <c r="A557" s="54" t="n">
        <v>46293</v>
      </c>
      <c r="B557" t="inlineStr">
        <is>
          <t>Septiembre</t>
        </is>
      </c>
      <c r="C557" t="inlineStr">
        <is>
          <t>ROPA</t>
        </is>
      </c>
      <c r="D557" t="n">
        <v>124667</v>
      </c>
      <c r="E557" t="inlineStr">
        <is>
          <t>BBVA VISA</t>
        </is>
      </c>
      <c r="F557" t="inlineStr">
        <is>
          <t>COBRADO resumen BBVA · C.05/06 · cashflow cuotas BBVA · gasto personal Sol</t>
        </is>
      </c>
    </row>
    <row r="558">
      <c r="A558" s="54" t="n">
        <v>46293</v>
      </c>
      <c r="B558" t="inlineStr">
        <is>
          <t>Septiembre</t>
        </is>
      </c>
      <c r="C558" t="inlineStr">
        <is>
          <t>VESTIMENTA</t>
        </is>
      </c>
      <c r="D558" t="n">
        <v>98334</v>
      </c>
      <c r="E558" t="inlineStr">
        <is>
          <t>BBVA VISA</t>
        </is>
      </c>
      <c r="F558" t="inlineStr">
        <is>
          <t>ROPA · Bokenvoreno · COBRADO resumen BBVA · C.05/06 · cashflow cuotas BBVA · gasto personal Sol</t>
        </is>
      </c>
    </row>
    <row r="559">
      <c r="A559" s="54" t="n">
        <v>46293</v>
      </c>
      <c r="B559" t="inlineStr">
        <is>
          <t>Septiembre</t>
        </is>
      </c>
      <c r="C559" t="inlineStr">
        <is>
          <t>ROPA</t>
        </is>
      </c>
      <c r="D559" t="n">
        <v>31700</v>
      </c>
      <c r="E559" t="inlineStr">
        <is>
          <t>BBVA VISA</t>
        </is>
      </c>
      <c r="F559" t="inlineStr">
        <is>
          <t>ROPA · Frivilli · COBRADO resumen BBVA · C.03/03 · cashflow cuotas BBVA · gasto personal Sol</t>
        </is>
      </c>
    </row>
    <row r="560">
      <c r="A560" s="54" t="n">
        <v>46293</v>
      </c>
      <c r="B560" t="inlineStr">
        <is>
          <t>Septiembre</t>
        </is>
      </c>
      <c r="C560" t="inlineStr">
        <is>
          <t>ROPA</t>
        </is>
      </c>
      <c r="D560" t="n">
        <v>80834</v>
      </c>
      <c r="E560" t="inlineStr">
        <is>
          <t>BBVA MASTERCARD</t>
        </is>
      </c>
      <c r="F560" t="inlineStr">
        <is>
          <t>COBRADO resumen BBVA · C.05/06 · cashflow cuotas BBVA · gasto personal Sol</t>
        </is>
      </c>
    </row>
    <row r="561">
      <c r="A561" s="54" t="n">
        <v>46293</v>
      </c>
      <c r="B561" t="inlineStr">
        <is>
          <t>Septiembre</t>
        </is>
      </c>
      <c r="C561" t="inlineStr">
        <is>
          <t>SALUD</t>
        </is>
      </c>
      <c r="D561" t="n">
        <v>54033</v>
      </c>
      <c r="E561" t="inlineStr">
        <is>
          <t>BBVA MASTERCARD</t>
        </is>
      </c>
      <c r="F561" t="inlineStr">
        <is>
          <t>SALUD · Laboratorio · COBRADO resumen BBVA · C.06/06 · cashflow cuotas BBVA · gasto personal Sol</t>
        </is>
      </c>
    </row>
    <row r="562">
      <c r="A562" s="54" t="n">
        <v>46293</v>
      </c>
      <c r="B562" t="inlineStr">
        <is>
          <t>Septiembre</t>
        </is>
      </c>
      <c r="C562" t="inlineStr">
        <is>
          <t>MERCADO LIBRE</t>
        </is>
      </c>
      <c r="D562" t="n">
        <v>12084</v>
      </c>
      <c r="E562" t="inlineStr">
        <is>
          <t>BBVA VISA</t>
        </is>
      </c>
      <c r="F562" t="inlineStr">
        <is>
          <t>COBRADO resumen BBVA · C.03/06 · cashflow cuotas BBVA · gasto personal Sol · ex `Mercado Libre · MERCADOLIBRE`</t>
        </is>
      </c>
    </row>
    <row r="563">
      <c r="A563" s="54" t="n">
        <v>46293</v>
      </c>
      <c r="B563" t="inlineStr">
        <is>
          <t>Septiembre</t>
        </is>
      </c>
      <c r="C563" t="inlineStr">
        <is>
          <t>MERCADO LIBRE</t>
        </is>
      </c>
      <c r="D563" t="n">
        <v>275000</v>
      </c>
      <c r="E563" t="inlineStr">
        <is>
          <t>BBVA MASTERCARD</t>
        </is>
      </c>
      <c r="F563" t="inlineStr">
        <is>
          <t>COBRADO resumen BBVA · C.07/12 · cashflow cuotas BBVA · gasto personal Sol · ex `Mercado Libre · MERCADOLIBRE`</t>
        </is>
      </c>
    </row>
    <row r="564">
      <c r="A564" s="54" t="n">
        <v>46293</v>
      </c>
      <c r="B564" t="inlineStr">
        <is>
          <t>Septiembre</t>
        </is>
      </c>
      <c r="C564" t="inlineStr">
        <is>
          <t>MERCADO LIBRE</t>
        </is>
      </c>
      <c r="D564" t="n">
        <v>17360</v>
      </c>
      <c r="E564" t="inlineStr">
        <is>
          <t>BBVA MASTERCARD</t>
        </is>
      </c>
      <c r="F564" t="inlineStr">
        <is>
          <t>COBRADO resumen BBVA · C.08/09 · cashflow cuotas BBVA · gasto personal Sol · ex `Mercado Libre · MERCADOLIBRE`</t>
        </is>
      </c>
    </row>
    <row r="565">
      <c r="A565" s="54" t="n">
        <v>46293</v>
      </c>
      <c r="B565" t="inlineStr">
        <is>
          <t>Septiembre</t>
        </is>
      </c>
      <c r="C565" t="inlineStr">
        <is>
          <t>MERCADO LIBRE</t>
        </is>
      </c>
      <c r="D565" t="n">
        <v>16950</v>
      </c>
      <c r="E565" t="inlineStr">
        <is>
          <t>BBVA MASTERCARD</t>
        </is>
      </c>
      <c r="F565" t="inlineStr">
        <is>
          <t>COBRADO resumen BBVA · C.08/09 · cashflow cuotas BBVA · gasto personal Sol · ex `Mercado Libre · MERCADOLIBRE`</t>
        </is>
      </c>
    </row>
    <row r="566">
      <c r="A566" s="54" t="n">
        <v>46293</v>
      </c>
      <c r="B566" t="inlineStr">
        <is>
          <t>Septiembre</t>
        </is>
      </c>
      <c r="C566" t="inlineStr">
        <is>
          <t>ROPA</t>
        </is>
      </c>
      <c r="D566" t="n">
        <v>95984</v>
      </c>
      <c r="E566" t="inlineStr">
        <is>
          <t>BBVA MASTERCARD</t>
        </is>
      </c>
      <c r="F566" t="inlineStr">
        <is>
          <t>ROPA · Monofuk · COBRADO resumen BBVA · C.06/06 · cashflow cuotas BBVA · gasto personal Sol</t>
        </is>
      </c>
    </row>
    <row r="567">
      <c r="A567" s="54" t="n">
        <v>46293</v>
      </c>
      <c r="B567" t="inlineStr">
        <is>
          <t>Septiembre</t>
        </is>
      </c>
      <c r="C567" t="inlineStr">
        <is>
          <t>ROPA</t>
        </is>
      </c>
      <c r="D567" t="n">
        <v>284794</v>
      </c>
      <c r="E567" t="inlineStr">
        <is>
          <t>BBVA VISA</t>
        </is>
      </c>
      <c r="F567" t="inlineStr">
        <is>
          <t>COBRADO resumen BBVA · C.03/06 · cashflow cuotas BBVA · gasto personal Sol</t>
        </is>
      </c>
    </row>
    <row r="568">
      <c r="A568" s="54" t="n">
        <v>46293</v>
      </c>
      <c r="B568" t="inlineStr">
        <is>
          <t>Septiembre</t>
        </is>
      </c>
      <c r="C568" t="inlineStr">
        <is>
          <t>ROPA</t>
        </is>
      </c>
      <c r="D568" t="n">
        <v>73600</v>
      </c>
      <c r="E568" t="inlineStr">
        <is>
          <t>BBVA MASTERCARD</t>
        </is>
      </c>
      <c r="F568" t="inlineStr">
        <is>
          <t>COBRADO resumen BBVA · C.03/06 · cashflow cuotas BBVA · gasto personal Sol</t>
        </is>
      </c>
    </row>
    <row r="569">
      <c r="A569" s="54" t="n">
        <v>46293</v>
      </c>
      <c r="B569" t="inlineStr">
        <is>
          <t>Septiembre</t>
        </is>
      </c>
      <c r="C569" t="inlineStr">
        <is>
          <t>SALUD · Vitaminas</t>
        </is>
      </c>
      <c r="D569" t="n">
        <v>87900</v>
      </c>
      <c r="E569" t="inlineStr">
        <is>
          <t>BBVA VISA</t>
        </is>
      </c>
      <c r="F569" t="inlineStr">
        <is>
          <t>COBRADO resumen BBVA · SALUD · Vitaminas · Promarine · BBVA · C.06/06 · gasto personal Sol</t>
        </is>
      </c>
    </row>
    <row r="570">
      <c r="A570" s="54" t="n">
        <v>46293</v>
      </c>
      <c r="B570" t="inlineStr">
        <is>
          <t>Septiembre</t>
        </is>
      </c>
      <c r="C570" t="inlineStr">
        <is>
          <t>ROPA</t>
        </is>
      </c>
      <c r="D570" t="n">
        <v>36667</v>
      </c>
      <c r="E570" t="inlineStr">
        <is>
          <t>BBVA MASTERCARD</t>
        </is>
      </c>
      <c r="F570" t="inlineStr">
        <is>
          <t>COBRADO resumen BBVA · C.05/06 · cashflow cuotas BBVA · gasto personal Sol</t>
        </is>
      </c>
    </row>
    <row r="571">
      <c r="A571" s="54" t="n">
        <v>46293</v>
      </c>
      <c r="B571" t="inlineStr">
        <is>
          <t>Septiembre</t>
        </is>
      </c>
      <c r="C571" t="inlineStr">
        <is>
          <t>HOGAR</t>
        </is>
      </c>
      <c r="D571" t="n">
        <v>18334</v>
      </c>
      <c r="E571" t="inlineStr">
        <is>
          <t>BBVA MASTERCARD</t>
        </is>
      </c>
      <c r="F571" t="inlineStr">
        <is>
          <t>HOGAR · Stanley · COBRADO resumen BBVA · C.06/06 · cashflow cuotas BBVA · gasto personal Sol</t>
        </is>
      </c>
    </row>
    <row r="572">
      <c r="A572" s="54" t="n">
        <v>46293</v>
      </c>
      <c r="B572" t="inlineStr">
        <is>
          <t>Septiembre</t>
        </is>
      </c>
      <c r="C572" t="inlineStr">
        <is>
          <t>Eventos deportivos - River</t>
        </is>
      </c>
      <c r="D572" t="n">
        <v>169667</v>
      </c>
      <c r="E572" t="inlineStr">
        <is>
          <t>BBVA VISA</t>
        </is>
      </c>
      <c r="F572" t="inlineStr">
        <is>
          <t>COBRADO resumen BBVA · C.03/06 · cashflow cuotas BBVA · gasto personal Sol · Eventos deportivos - River</t>
        </is>
      </c>
    </row>
    <row r="573">
      <c r="A573" s="54" t="n">
        <v>46293</v>
      </c>
      <c r="B573" t="inlineStr">
        <is>
          <t>Septiembre</t>
        </is>
      </c>
      <c r="C573" t="inlineStr">
        <is>
          <t>ROPA</t>
        </is>
      </c>
      <c r="D573" t="n">
        <v>60917</v>
      </c>
      <c r="E573" t="inlineStr">
        <is>
          <t>BBVA VISA</t>
        </is>
      </c>
      <c r="F573" t="inlineStr">
        <is>
          <t>COBRADO resumen BBVA · C.05/12 · cashflow cuotas BBVA · gasto personal Sol</t>
        </is>
      </c>
    </row>
    <row r="574">
      <c r="A574" s="54" t="n">
        <v>46293</v>
      </c>
      <c r="B574" t="inlineStr">
        <is>
          <t>Septiembre</t>
        </is>
      </c>
      <c r="C574" t="inlineStr">
        <is>
          <t>ROPA</t>
        </is>
      </c>
      <c r="D574" t="n">
        <v>69750</v>
      </c>
      <c r="E574" t="inlineStr">
        <is>
          <t>BBVA VISA</t>
        </is>
      </c>
      <c r="F574" t="inlineStr">
        <is>
          <t>COBRADO resumen BBVA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11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4" t="n">
        <v>46262</v>
      </c>
      <c r="B944" t="inlineStr">
        <is>
          <t>Agosto</t>
        </is>
      </c>
      <c r="C944" t="inlineStr">
        <is>
          <t>Eventos deportivos - River</t>
        </is>
      </c>
      <c r="D944" t="n">
        <v>35430</v>
      </c>
      <c r="E944" t="inlineStr">
        <is>
          <t>BBVA VISA</t>
        </is>
      </c>
      <c r="F944" t="inlineStr">
        <is>
          <t>Eventos deportivos - River · CLUB ATLETICO RIVE · Gmail Compra aprobada</t>
        </is>
      </c>
    </row>
    <row r="945">
      <c r="A945" s="54" t="n">
        <v>46240</v>
      </c>
      <c r="B945" t="inlineStr">
        <is>
          <t>Agosto</t>
        </is>
      </c>
      <c r="C945" t="inlineStr">
        <is>
          <t>SUSCRIPCIONES · IA</t>
        </is>
      </c>
      <c r="E945" t="inlineStr">
        <is>
          <t>BBVA VISA · USD</t>
        </is>
      </c>
      <c r="F945" t="inlineStr">
        <is>
          <t>SUSCRIPCIONES · IA · Google One / Gemini · USD 19.99 · alerta Gmail · ver resumen BBVA / Sol Dollar Mdp</t>
        </is>
      </c>
    </row>
    <row r="946">
      <c r="A946" s="54" t="n">
        <v>46245</v>
      </c>
      <c r="B946" t="inlineStr">
        <is>
          <t>Agosto</t>
        </is>
      </c>
      <c r="C946" t="inlineStr">
        <is>
          <t>SUSCRIPCIONES · IA</t>
        </is>
      </c>
      <c r="E946" t="inlineStr">
        <is>
          <t>BBVA VISA · USD</t>
        </is>
      </c>
      <c r="F946" t="inlineStr">
        <is>
          <t>SUSCRIPCIONES · IA · Vercel Domains · USD 11.25 · alerta Gmail · ver resumen BBVA</t>
        </is>
      </c>
    </row>
    <row r="947">
      <c r="A947" s="54" t="n">
        <v>46258</v>
      </c>
      <c r="B947" t="inlineStr">
        <is>
          <t>Agosto</t>
        </is>
      </c>
      <c r="C947" t="inlineStr">
        <is>
          <t>SUSCRIPCIONES · IA</t>
        </is>
      </c>
      <c r="E947" t="inlineStr">
        <is>
          <t>BBVA VISA · USD</t>
        </is>
      </c>
      <c r="F947" t="inlineStr">
        <is>
          <t>SUSCRIPCIONES · IA · Google One · USD 4.99 · alerta Gmail · ver resumen BBVA</t>
        </is>
      </c>
    </row>
    <row r="948">
      <c r="A948" s="54" t="n">
        <v>46261</v>
      </c>
      <c r="B948" t="inlineStr">
        <is>
          <t>Agosto</t>
        </is>
      </c>
      <c r="C948" t="inlineStr">
        <is>
          <t>SUSCRIPCIONES · IA</t>
        </is>
      </c>
      <c r="E948" t="inlineStr">
        <is>
          <t>BBVA VISA · USD</t>
        </is>
      </c>
      <c r="F948" t="inlineStr">
        <is>
          <t>SUSCRIPCIONES · IA · Cursor · USD 60.00 · alerta Gmail · ver resumen BBVA / ya hay fila si está cobrada en ARS</t>
        </is>
      </c>
    </row>
    <row r="949">
      <c r="A949" s="54" t="n">
        <v>46265</v>
      </c>
      <c r="B949" t="inlineStr">
        <is>
          <t>Agosto</t>
        </is>
      </c>
      <c r="C949" t="inlineStr">
        <is>
          <t>SUSCRIPCIONES · IA</t>
        </is>
      </c>
      <c r="E949" t="inlineStr">
        <is>
          <t>BBVA VISA · USD</t>
        </is>
      </c>
      <c r="F949" t="inlineStr">
        <is>
          <t>SUSCRIPCIONES · IA · ChatGPT / OpenAI · USD 20.00 · alerta Gmail · ver resumen BBVA</t>
        </is>
      </c>
    </row>
    <row r="950">
      <c r="A950" s="54" t="n">
        <v>46242</v>
      </c>
      <c r="B950" t="inlineStr">
        <is>
          <t>Agosto</t>
        </is>
      </c>
      <c r="C950" t="inlineStr">
        <is>
          <t>TRAÍDO DE MIAMI</t>
        </is>
      </c>
      <c r="E950" t="inlineStr">
        <is>
          <t>BBVA VISA · USD</t>
        </is>
      </c>
      <c r="F950" t="inlineStr">
        <is>
          <t>TRAÍDO DE MIAMI · DHgate · USD 196.75 · alerta Gmail · REVISAR vs resumen BBVA</t>
        </is>
      </c>
    </row>
    <row r="951">
      <c r="A951" s="54" t="n">
        <v>46297</v>
      </c>
      <c r="B951" t="inlineStr">
        <is>
          <t>Octubre</t>
        </is>
      </c>
      <c r="C951" t="inlineStr">
        <is>
          <t>Eventos deportivos - River</t>
        </is>
      </c>
      <c r="D951" t="n">
        <v>36030</v>
      </c>
      <c r="E951" t="inlineStr">
        <is>
          <t>BBVA VISA</t>
        </is>
      </c>
      <c r="F951" t="inlineStr">
        <is>
          <t>Eventos deportivos - River · CLUB ATLETICO RIVE · Gmail Compra aprobada</t>
        </is>
      </c>
    </row>
    <row r="952">
      <c r="A952" s="54" t="n">
        <v>46310</v>
      </c>
      <c r="B952" t="inlineStr">
        <is>
          <t>Octubre</t>
        </is>
      </c>
      <c r="C952" t="inlineStr">
        <is>
          <t>TRANSPORTE · Cabify</t>
        </is>
      </c>
      <c r="D952" t="n">
        <v>10824</v>
      </c>
      <c r="E952" t="inlineStr">
        <is>
          <t>BBVA VISA</t>
        </is>
      </c>
      <c r="F952" t="inlineStr">
        <is>
          <t>TRANSPORTE · Cabify · Gmail Compra aprobada</t>
        </is>
      </c>
    </row>
    <row r="953">
      <c r="A953" s="54" t="n">
        <v>46310</v>
      </c>
      <c r="B953" t="inlineStr">
        <is>
          <t>Octubre</t>
        </is>
      </c>
      <c r="C953" t="inlineStr">
        <is>
          <t>TRANSPORTE · Cabify</t>
        </is>
      </c>
      <c r="D953" t="n">
        <v>13447</v>
      </c>
      <c r="E953" t="inlineStr">
        <is>
          <t>BBVA VISA</t>
        </is>
      </c>
      <c r="F953" t="inlineStr">
        <is>
          <t>TRANSPORTE · Cabify · Gmail Compra aprobada</t>
        </is>
      </c>
    </row>
    <row r="954">
      <c r="A954" s="54" t="n">
        <v>46296</v>
      </c>
      <c r="B954" t="inlineStr">
        <is>
          <t>Octubre</t>
        </is>
      </c>
      <c r="C954" t="inlineStr">
        <is>
          <t>ROPA</t>
        </is>
      </c>
      <c r="D954" t="n">
        <v>710740</v>
      </c>
      <c r="E954" t="inlineStr">
        <is>
          <t>BBVA VISA</t>
        </is>
      </c>
      <c r="F954" t="inlineStr">
        <is>
          <t>ROPA · GlobalE / Onitsuka · Gmail Compra aprobada · REVISAR ítem</t>
        </is>
      </c>
    </row>
    <row r="955">
      <c r="A955" s="54" t="n">
        <v>46302</v>
      </c>
      <c r="B955" t="inlineStr">
        <is>
          <t>Octubre</t>
        </is>
      </c>
      <c r="C955" t="inlineStr">
        <is>
          <t>COMPRAS</t>
        </is>
      </c>
      <c r="D955" t="n">
        <v>151999</v>
      </c>
      <c r="E955" t="inlineStr">
        <is>
          <t>BBVA VISA</t>
        </is>
      </c>
      <c r="F955" t="inlineStr">
        <is>
          <t>COMPRAS · MERPAGO*DEERTECH · Gmail Compra aprobada · REVISAR ítem</t>
        </is>
      </c>
    </row>
    <row r="956">
      <c r="A956" s="54" t="n">
        <v>46306</v>
      </c>
      <c r="B956" t="inlineStr">
        <is>
          <t>Octubre</t>
        </is>
      </c>
      <c r="C956" t="inlineStr">
        <is>
          <t>COMPRAS</t>
        </is>
      </c>
      <c r="D956" t="n">
        <v>1143000</v>
      </c>
      <c r="E956" t="inlineStr">
        <is>
          <t>BBVA VISA</t>
        </is>
      </c>
      <c r="F956" t="inlineStr">
        <is>
          <t>COMPRAS · MERPAGO*PATAGONIAC · Gmail Compra aprobada · REVISAR ítem</t>
        </is>
      </c>
    </row>
    <row r="957">
      <c r="A957" s="54" t="n">
        <v>46306</v>
      </c>
      <c r="B957" t="inlineStr">
        <is>
          <t>Octubre</t>
        </is>
      </c>
      <c r="C957" t="inlineStr">
        <is>
          <t>COMPRAS</t>
        </is>
      </c>
      <c r="D957" t="n">
        <v>402000</v>
      </c>
      <c r="E957" t="inlineStr">
        <is>
          <t>BBVA VISA</t>
        </is>
      </c>
      <c r="F957" t="inlineStr">
        <is>
          <t>COMPRAS · BDP NIBEPO AIKE SC · Gmail Compra aprobada · REVISAR ítem</t>
        </is>
      </c>
    </row>
    <row r="958">
      <c r="A958" s="54" t="n">
        <v>46312</v>
      </c>
      <c r="B958" t="inlineStr">
        <is>
          <t>Octubre</t>
        </is>
      </c>
      <c r="C958" t="inlineStr">
        <is>
          <t>COMPRAS</t>
        </is>
      </c>
      <c r="D958" t="n">
        <v>199900</v>
      </c>
      <c r="E958" t="inlineStr">
        <is>
          <t>BBVA VISA</t>
        </is>
      </c>
      <c r="F958" t="inlineStr">
        <is>
          <t>COMPRAS · MERPAGO*DOTECOMSAS · Gmail Compra aprobada · REVISAR ítem</t>
        </is>
      </c>
    </row>
    <row r="959">
      <c r="A959" s="54" t="n">
        <v>46315</v>
      </c>
      <c r="B959" t="inlineStr">
        <is>
          <t>Octubre</t>
        </is>
      </c>
      <c r="C959" t="inlineStr">
        <is>
          <t>PROFESIONAL</t>
        </is>
      </c>
      <c r="D959" t="n">
        <v>54700</v>
      </c>
      <c r="E959" t="inlineStr">
        <is>
          <t>BBVA VISA</t>
        </is>
      </c>
      <c r="F959" t="inlineStr">
        <is>
          <t>PROFESIONAL · CPCECABA DEP-DAU · Gmail Compra aprobada</t>
        </is>
      </c>
    </row>
    <row r="960">
      <c r="A960" s="54" t="n">
        <v>46239</v>
      </c>
      <c r="B960" t="inlineStr">
        <is>
          <t>Agosto</t>
        </is>
      </c>
      <c r="C960" t="inlineStr">
        <is>
          <t>AVA FIDEICOMISO</t>
        </is>
      </c>
      <c r="D960" t="n">
        <v>3089261</v>
      </c>
      <c r="E960" t="inlineStr">
        <is>
          <t>Mercado Pago / TC MEP</t>
        </is>
      </c>
      <c r="F960" t="inlineStr">
        <is>
          <t>AVA Fideicomiso · cuota 10 · vto 2026-08-05 · total 6178522 · TC MEP venta 1518.45 · USD 4068.97 · 50% Sol · Gmail Sancor 22/07 · vto 05/08 · MEP Rava cierre</t>
        </is>
      </c>
    </row>
    <row r="961">
      <c r="A961" s="54" t="n">
        <v>46300</v>
      </c>
      <c r="B961" t="inlineStr">
        <is>
          <t>Octubre</t>
        </is>
      </c>
      <c r="C961" t="inlineStr">
        <is>
          <t>AVA FIDEICOMISO</t>
        </is>
      </c>
      <c r="D961" t="n">
        <v>3275207</v>
      </c>
      <c r="E961" t="inlineStr">
        <is>
          <t>Mercado Pago / TC MEP</t>
        </is>
      </c>
      <c r="F961" t="inlineStr">
        <is>
          <t>AVA Fideicomiso · cuota 12 · vto 2026-10-05 · total 6550413 · TC MEP venta 1538.39 · USD 4257.97 · 50% Sol · Gmail Sancor 24/09 · vto 05/10 · MEP Rava cierre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PAGADO</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PAGADO</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PAGADO</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PAGADO</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PAGADO</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PAGADO</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PAGADO</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PAGADO</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PAGADO</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PAGADO</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PAGADO</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PAGADO</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PAGADO</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PAGADO</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PAGADO</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PAGADO</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PAGADO</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PAGADO</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PAGADO</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PAGADO</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PAGADO</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PAGADO</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PAGADO</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PAGADO</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PAGADO</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PAGADO</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PAGADO</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PAGADO</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PAGADO</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PAGADO</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PAGADO</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PAGADO</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PAGADO</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PAGADO</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PAGADO</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PAGADO</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PAGADO</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PAGADO</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PAGADO</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PAGADO</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PAGADO</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PAGADO</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PAGADO</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PAGADO</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PAGADO</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PAGADO</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PAGADO</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PAGADO</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PAGADO</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PAGADO</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PAGADO</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PAGADO</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PAGADO</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PAGADO</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PAGADO</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5"/>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2026-10-23T17:32:18Z</dcterms:modified>
</cp:coreProperties>
</file>
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Pago de Tarjetas" sheetId="7" state="visible" r:id="rId7"/>
    <sheet name="Expensas Consorcios" sheetId="8" state="visible" r:id="rId8"/>
    <sheet name="Gasto Personal Sol" sheetId="9" state="visible" r:id="rId9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>
        <v>75000</v>
      </c>
      <c r="G11" s="5" t="n"/>
      <c r="H11" s="5" t="n">
        <v>125000</v>
      </c>
      <c r="I11" s="5" t="n">
        <v>135000</v>
      </c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Gasto personal Sol (Tuenti, Apple, ropa, ML, extras, transferencias a terceros): hoja "Gasto Personal Sol" (no suma al total CIUDAD)</t>
        </is>
      </c>
    </row>
    <row r="37">
      <c r="A37" t="inlineStr">
        <is>
          <t>• Pago de tarjetas: hoja "Pago de Tarjetas" (pago de resumen TC; no es gasto nuevo de la matriz)</t>
        </is>
      </c>
    </row>
    <row r="38">
      <c r="A38" t="inlineStr">
        <is>
          <t>• ALMACEN SOL: solo comida/súper/combustible en "Almacen Detalle". Resto personal → "Gasto Personal Sol"</t>
        </is>
      </c>
    </row>
    <row r="39">
      <c r="A39" t="inlineStr">
        <is>
          <t>• ABL CIUDAD: partida AGIP 397789 (OHIGGINS = 3016365 → otra carpeta)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A CONFIRMAR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SUMIF($B$23:$B$228,A6,$D$23:$D$228)</f>
        <v/>
      </c>
    </row>
    <row r="7">
      <c r="A7" s="14" t="inlineStr">
        <is>
          <t>Febrero</t>
        </is>
      </c>
      <c r="B7" s="15">
        <f>SUMIF($B$23:$B$228,A7,$D$23:$D$228)</f>
        <v/>
      </c>
    </row>
    <row r="8">
      <c r="A8" s="14" t="inlineStr">
        <is>
          <t>Marzo</t>
        </is>
      </c>
      <c r="B8" s="15">
        <f>SUMIF($B$23:$B$228,A8,$D$23:$D$228)</f>
        <v/>
      </c>
    </row>
    <row r="9">
      <c r="A9" s="14" t="inlineStr">
        <is>
          <t>Abril</t>
        </is>
      </c>
      <c r="B9" s="15">
        <f>SUMIF($B$23:$B$228,A9,$D$23:$D$228)</f>
        <v/>
      </c>
    </row>
    <row r="10">
      <c r="A10" s="14" t="inlineStr">
        <is>
          <t>Mayo</t>
        </is>
      </c>
      <c r="B10" s="15">
        <f>SUMIF($B$23:$B$228,A10,$D$23:$D$228)</f>
        <v/>
      </c>
    </row>
    <row r="11">
      <c r="A11" s="14" t="inlineStr">
        <is>
          <t>Junio</t>
        </is>
      </c>
      <c r="B11" s="15">
        <f>SUMIF($B$23:$B$228,A11,$D$23:$D$228)</f>
        <v/>
      </c>
    </row>
    <row r="12">
      <c r="A12" s="14" t="inlineStr">
        <is>
          <t>Julio</t>
        </is>
      </c>
      <c r="B12" s="15">
        <f>SUMIF($B$23:$B$228,A12,$D$23:$D$228)</f>
        <v/>
      </c>
    </row>
    <row r="13">
      <c r="A13" s="14" t="inlineStr">
        <is>
          <t>Agosto</t>
        </is>
      </c>
      <c r="B13" s="15">
        <f>SUMIF($B$23:$B$228,A13,$D$23:$D$228)</f>
        <v/>
      </c>
    </row>
    <row r="14">
      <c r="A14" s="14" t="inlineStr">
        <is>
          <t>Septiembre</t>
        </is>
      </c>
      <c r="B14" s="15">
        <f>SUMIF($B$23:$B$228,A14,$D$23:$D$228)</f>
        <v/>
      </c>
    </row>
    <row r="15">
      <c r="A15" s="14" t="inlineStr">
        <is>
          <t>Octubre</t>
        </is>
      </c>
      <c r="B15" s="15">
        <f>SUMIF($B$23:$B$228,A15,$D$23:$D$228)</f>
        <v/>
      </c>
    </row>
    <row r="16">
      <c r="A16" s="14" t="inlineStr">
        <is>
          <t>Noviembre</t>
        </is>
      </c>
      <c r="B16" s="15">
        <f>SUMIF($B$23:$B$228,A16,$D$23:$D$228)</f>
        <v/>
      </c>
    </row>
    <row r="17">
      <c r="A17" s="14" t="inlineStr">
        <is>
          <t>Diciembre</t>
        </is>
      </c>
      <c r="B17" s="15">
        <f>SUMIF($B$23:$B$228,A17,$D$23:$D$228)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tienda física ¿qué es? · gasto personal Sol (ex-PENDIENTE)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Edesur</t>
        </is>
      </c>
      <c r="D164" s="26" t="n">
        <v>1441</v>
      </c>
      <c r="E164" t="inlineStr">
        <is>
          <t>Mercado Pago</t>
        </is>
      </c>
      <c r="F164" t="inlineStr">
        <is>
          <t>luz ¿propiedad? · gasto personal Sol (ex-PENDIENTE)</t>
        </is>
      </c>
    </row>
    <row r="165">
      <c r="A165" s="44" t="n">
        <v>46160</v>
      </c>
      <c r="B165" t="inlineStr">
        <is>
          <t>Mayo</t>
        </is>
      </c>
      <c r="C165" t="inlineStr">
        <is>
          <t>Leocan</t>
        </is>
      </c>
      <c r="D165" s="26" t="n">
        <v>79924</v>
      </c>
      <c r="E165" t="inlineStr">
        <is>
          <t>Mercado Pago</t>
        </is>
      </c>
      <c r="F165" t="inlineStr">
        <is>
          <t>mascotas · gasto personal Sol</t>
        </is>
      </c>
    </row>
    <row r="166">
      <c r="A166" s="44" t="n">
        <v>46163</v>
      </c>
      <c r="B166" t="inlineStr">
        <is>
          <t>Mayo</t>
        </is>
      </c>
      <c r="C166" t="inlineStr">
        <is>
          <t>Federico Cabral</t>
        </is>
      </c>
      <c r="D166" s="26" t="n">
        <v>755800</v>
      </c>
      <c r="E166" t="inlineStr">
        <is>
          <t>Mercado Pago</t>
        </is>
      </c>
      <c r="F166" t="inlineStr">
        <is>
          <t>transferencia · gasto personal Sol (ex-PENDIENTE)</t>
        </is>
      </c>
    </row>
    <row r="167">
      <c r="A167" s="44" t="n">
        <v>46165</v>
      </c>
      <c r="B167" t="inlineStr">
        <is>
          <t>Mayo</t>
        </is>
      </c>
      <c r="C167" t="inlineStr">
        <is>
          <t>Bimba Y Lola</t>
        </is>
      </c>
      <c r="D167" s="26" t="n">
        <v>748000</v>
      </c>
      <c r="E167" t="inlineStr">
        <is>
          <t>Mercado Pago</t>
        </is>
      </c>
      <c r="F167" t="inlineStr">
        <is>
          <t>ropa · gasto personal Sol</t>
        </is>
      </c>
    </row>
    <row r="168">
      <c r="A168" s="44" t="n">
        <v>46165</v>
      </c>
      <c r="B168" t="inlineStr">
        <is>
          <t>Mayo</t>
        </is>
      </c>
      <c r="C168" t="inlineStr">
        <is>
          <t>Christian Ventura</t>
        </is>
      </c>
      <c r="D168" s="26" t="n">
        <v>300000</v>
      </c>
      <c r="E168" t="inlineStr">
        <is>
          <t>Mercado Pago</t>
        </is>
      </c>
      <c r="F168" t="inlineStr">
        <is>
          <t>transferencia · gasto personal Sol (ex-PENDIENTE)</t>
        </is>
      </c>
    </row>
    <row r="169">
      <c r="A169" s="44" t="n">
        <v>46165</v>
      </c>
      <c r="B169" t="inlineStr">
        <is>
          <t>Mayo</t>
        </is>
      </c>
      <c r="C169" t="inlineStr">
        <is>
          <t>Mercado Libre</t>
        </is>
      </c>
      <c r="D169" s="26" t="n">
        <v>35544</v>
      </c>
      <c r="E169" t="inlineStr">
        <is>
          <t>Mercado Pago</t>
        </is>
      </c>
      <c r="F169" t="inlineStr">
        <is>
          <t>ML · ML · gasto personal Sol (revisar)</t>
        </is>
      </c>
    </row>
    <row r="170">
      <c r="A170" s="44" t="n">
        <v>46165</v>
      </c>
      <c r="B170" t="inlineStr">
        <is>
          <t>Mayo</t>
        </is>
      </c>
      <c r="C170" t="inlineStr">
        <is>
          <t>Valeria Mele</t>
        </is>
      </c>
      <c r="D170" s="26" t="n">
        <v>112500</v>
      </c>
      <c r="E170" t="inlineStr">
        <is>
          <t>Mercado Pago</t>
        </is>
      </c>
      <c r="F170" t="inlineStr">
        <is>
          <t>transferencia · gasto personal Sol (ex-PENDIENTE)</t>
        </is>
      </c>
    </row>
    <row r="171">
      <c r="A171" s="44" t="n">
        <v>46168</v>
      </c>
      <c r="B171" t="inlineStr">
        <is>
          <t>Mayo</t>
        </is>
      </c>
      <c r="C171" t="inlineStr">
        <is>
          <t>Movistar Arena</t>
        </is>
      </c>
      <c r="D171" s="26" t="n">
        <v>19000</v>
      </c>
      <c r="E171" t="inlineStr">
        <is>
          <t>Mercado Pago</t>
        </is>
      </c>
      <c r="F171" t="inlineStr">
        <is>
          <t>evento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Magic Dragon</t>
        </is>
      </c>
      <c r="D172" s="26" t="n">
        <v>5790</v>
      </c>
      <c r="E172" t="inlineStr">
        <is>
          <t>Mercado Pago</t>
        </is>
      </c>
      <c r="F172" t="inlineStr">
        <is>
          <t>comida/salida · gasto personal Sol</t>
        </is>
      </c>
    </row>
    <row r="173">
      <c r="A173" s="44" t="n">
        <v>46169</v>
      </c>
      <c r="B173" t="inlineStr">
        <is>
          <t>Mayo</t>
        </is>
      </c>
      <c r="C173" t="inlineStr">
        <is>
          <t>Paws Pet Market</t>
        </is>
      </c>
      <c r="D173" s="26" t="n">
        <v>11100</v>
      </c>
      <c r="E173" t="inlineStr">
        <is>
          <t>Mercado Pago</t>
        </is>
      </c>
      <c r="F173" t="inlineStr">
        <is>
          <t>mascotas · gasto personal Sol</t>
        </is>
      </c>
    </row>
    <row r="174">
      <c r="A174" s="44" t="n">
        <v>46170</v>
      </c>
      <c r="B174" t="inlineStr">
        <is>
          <t>Mayo</t>
        </is>
      </c>
      <c r="C174" t="inlineStr">
        <is>
          <t>Zilver Sa</t>
        </is>
      </c>
      <c r="D174" s="26" t="n">
        <v>25971</v>
      </c>
      <c r="E174" t="inlineStr">
        <is>
          <t>Mercado Pago</t>
        </is>
      </c>
      <c r="F174" t="inlineStr">
        <is>
          <t>personal · gasto personal Sol</t>
        </is>
      </c>
    </row>
    <row r="175">
      <c r="A175" s="44" t="n">
        <v>46171</v>
      </c>
      <c r="B175" t="inlineStr">
        <is>
          <t>Mayo</t>
        </is>
      </c>
      <c r="C175" t="inlineStr">
        <is>
          <t>Servicios De Pagos Virtuales</t>
        </is>
      </c>
      <c r="D175" s="26" t="n">
        <v>630000</v>
      </c>
      <c r="E175" t="inlineStr">
        <is>
          <t>Mercado Pago</t>
        </is>
      </c>
      <c r="F175" t="inlineStr">
        <is>
          <t>¿qué es?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Andres Di Pasqua</t>
        </is>
      </c>
      <c r="D176" s="26" t="n">
        <v>32046</v>
      </c>
      <c r="E176" t="inlineStr">
        <is>
          <t>Mercado Pago</t>
        </is>
      </c>
      <c r="F176" t="inlineStr">
        <is>
          <t>compra · gasto personal Sol (ex-PENDIENTE)</t>
        </is>
      </c>
    </row>
    <row r="177">
      <c r="A177" s="44" t="n">
        <v>46175</v>
      </c>
      <c r="B177" t="inlineStr">
        <is>
          <t>Junio</t>
        </is>
      </c>
      <c r="C177" t="inlineStr">
        <is>
          <t>Correo Argentino</t>
        </is>
      </c>
      <c r="D177" s="26" t="n">
        <v>22500</v>
      </c>
      <c r="E177" t="inlineStr">
        <is>
          <t>Mercado Pago</t>
        </is>
      </c>
      <c r="F177" t="inlineStr">
        <is>
          <t>envíos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Fundacion Soplo De Vida</t>
        </is>
      </c>
      <c r="D178" s="26" t="n">
        <v>100000</v>
      </c>
      <c r="E178" t="inlineStr">
        <is>
          <t>Mercado Pago</t>
        </is>
      </c>
      <c r="F178" t="inlineStr">
        <is>
          <t>donación · gasto personal Sol</t>
        </is>
      </c>
    </row>
    <row r="179">
      <c r="A179" s="44" t="n">
        <v>46179</v>
      </c>
      <c r="B179" t="inlineStr">
        <is>
          <t>Junio</t>
        </is>
      </c>
      <c r="C179" t="inlineStr">
        <is>
          <t>Guillermo Galarraga</t>
        </is>
      </c>
      <c r="D179" s="26" t="n">
        <v>14500</v>
      </c>
      <c r="E179" t="inlineStr">
        <is>
          <t>Mercado Pago</t>
        </is>
      </c>
      <c r="F179" t="inlineStr">
        <is>
          <t>transferencia · gasto personal Sol (ex-PENDIENTE)</t>
        </is>
      </c>
    </row>
    <row r="180">
      <c r="A180" s="44" t="n">
        <v>46180</v>
      </c>
      <c r="B180" t="inlineStr">
        <is>
          <t>Junio</t>
        </is>
      </c>
      <c r="C180" t="inlineStr">
        <is>
          <t>ACA</t>
        </is>
      </c>
      <c r="D180" s="26" t="n">
        <v>711</v>
      </c>
      <c r="E180" t="inlineStr">
        <is>
          <t>Mercado Pago</t>
        </is>
      </c>
      <c r="F180" t="inlineStr">
        <is>
          <t>ACA · AUTO/ACA · gasto personal Sol</t>
        </is>
      </c>
    </row>
    <row r="181">
      <c r="A181" s="44" t="n">
        <v>46181</v>
      </c>
      <c r="B181" t="inlineStr">
        <is>
          <t>Junio</t>
        </is>
      </c>
      <c r="C181" t="inlineStr">
        <is>
          <t>Tuenti</t>
        </is>
      </c>
      <c r="D181" s="26" t="n">
        <v>17400</v>
      </c>
      <c r="E181" t="inlineStr">
        <is>
          <t>Mercado Pago</t>
        </is>
      </c>
      <c r="F181" t="inlineStr">
        <is>
          <t>Tuenti · gasto personal Sol · hoja Gasto Personal Sol</t>
        </is>
      </c>
    </row>
    <row r="182">
      <c r="A182" s="44" t="n">
        <v>46183</v>
      </c>
      <c r="B182" t="inlineStr">
        <is>
          <t>Junio</t>
        </is>
      </c>
      <c r="C182" t="inlineStr">
        <is>
          <t>Casa Godoy</t>
        </is>
      </c>
      <c r="D182" s="26" t="n">
        <v>806000</v>
      </c>
      <c r="E182" t="inlineStr">
        <is>
          <t>Mercado Pago</t>
        </is>
      </c>
      <c r="F182" t="inlineStr">
        <is>
          <t>¿obra/casa? · gasto personal Sol (ex-PENDIENTE)</t>
        </is>
      </c>
    </row>
    <row r="183">
      <c r="A183" s="44" t="n">
        <v>46183</v>
      </c>
      <c r="B183" t="inlineStr">
        <is>
          <t>Junio</t>
        </is>
      </c>
      <c r="C183" t="inlineStr">
        <is>
          <t>Karina Venturo</t>
        </is>
      </c>
      <c r="D183" s="26" t="n">
        <v>8293</v>
      </c>
      <c r="E183" t="inlineStr">
        <is>
          <t>Mercado Pago</t>
        </is>
      </c>
      <c r="F183" t="inlineStr">
        <is>
          <t>transferencia · gasto personal Sol (ex-PENDIENTE)</t>
        </is>
      </c>
    </row>
    <row r="184">
      <c r="A184" s="44" t="n">
        <v>46184</v>
      </c>
      <c r="B184" t="inlineStr">
        <is>
          <t>Junio</t>
        </is>
      </c>
      <c r="C184" t="inlineStr">
        <is>
          <t>Apple</t>
        </is>
      </c>
      <c r="D184" s="26" t="n">
        <v>331291</v>
      </c>
      <c r="E184" t="inlineStr">
        <is>
          <t>Mercado Pago</t>
        </is>
      </c>
      <c r="F184" t="inlineStr">
        <is>
          <t>Apple · gasto personal Sol · hoja Gasto Personal Sol</t>
        </is>
      </c>
    </row>
    <row r="185">
      <c r="A185" s="44" t="n">
        <v>46185</v>
      </c>
      <c r="B185" t="inlineStr">
        <is>
          <t>Junio</t>
        </is>
      </c>
      <c r="C185" t="inlineStr">
        <is>
          <t>Correo Argentino</t>
        </is>
      </c>
      <c r="D185" s="26" t="n">
        <v>48000</v>
      </c>
      <c r="E185" t="inlineStr">
        <is>
          <t>Mercado Pago</t>
        </is>
      </c>
      <c r="F185" t="inlineStr">
        <is>
          <t>envíos · gasto personal Sol</t>
        </is>
      </c>
    </row>
    <row r="186">
      <c r="A186" s="44" t="n">
        <v>46186</v>
      </c>
      <c r="B186" t="inlineStr">
        <is>
          <t>Junio</t>
        </is>
      </c>
      <c r="C186" t="inlineStr">
        <is>
          <t>Apple</t>
        </is>
      </c>
      <c r="D186" s="26" t="n">
        <v>18558</v>
      </c>
      <c r="E186" t="inlineStr">
        <is>
          <t>Mercado Pago</t>
        </is>
      </c>
      <c r="F186" t="inlineStr">
        <is>
          <t>Apple · gasto personal Sol · hoja Gasto Personal Sol</t>
        </is>
      </c>
    </row>
    <row r="187">
      <c r="A187" s="44" t="n">
        <v>46186</v>
      </c>
      <c r="B187" t="inlineStr">
        <is>
          <t>Junio</t>
        </is>
      </c>
      <c r="C187" t="inlineStr">
        <is>
          <t>Saphirus</t>
        </is>
      </c>
      <c r="D187" s="26" t="n">
        <v>79900</v>
      </c>
      <c r="E187" t="inlineStr">
        <is>
          <t>Mercado Pago</t>
        </is>
      </c>
      <c r="F187" t="inlineStr">
        <is>
          <t>¿hogar? · gasto personal Sol (ex-PENDIENTE)</t>
        </is>
      </c>
    </row>
    <row r="188">
      <c r="A188" s="44" t="n">
        <v>46188</v>
      </c>
      <c r="B188" t="inlineStr">
        <is>
          <t>Junio</t>
        </is>
      </c>
      <c r="C188" t="inlineStr">
        <is>
          <t>Madmuscles</t>
        </is>
      </c>
      <c r="D188" s="26" t="n">
        <v>99727</v>
      </c>
      <c r="E188" t="inlineStr">
        <is>
          <t>Mercado Pago</t>
        </is>
      </c>
      <c r="F188" t="inlineStr">
        <is>
          <t>fitness · gasto personal Sol</t>
        </is>
      </c>
    </row>
    <row r="189">
      <c r="A189" s="44" t="n">
        <v>46189</v>
      </c>
      <c r="B189" t="inlineStr">
        <is>
          <t>Junio</t>
        </is>
      </c>
      <c r="C189" t="inlineStr">
        <is>
          <t>Damaris Oliveira</t>
        </is>
      </c>
      <c r="D189" s="26" t="n">
        <v>2542970</v>
      </c>
      <c r="E189" t="inlineStr">
        <is>
          <t>Mercado Pago</t>
        </is>
      </c>
      <c r="F189" t="inlineStr">
        <is>
          <t>compra grande · gasto personal Sol (ex-PENDIENTE)</t>
        </is>
      </c>
    </row>
    <row r="190">
      <c r="A190" s="44" t="n">
        <v>46189</v>
      </c>
      <c r="B190" t="inlineStr">
        <is>
          <t>Junio</t>
        </is>
      </c>
      <c r="C190" t="inlineStr">
        <is>
          <t>Dermacycle</t>
        </is>
      </c>
      <c r="D190" s="26" t="n">
        <v>150000</v>
      </c>
      <c r="E190" t="inlineStr">
        <is>
          <t>Mercado Pago</t>
        </is>
      </c>
      <c r="F190" t="inlineStr">
        <is>
          <t>estética · gasto personal Sol</t>
        </is>
      </c>
    </row>
    <row r="191">
      <c r="A191" s="44" t="n">
        <v>46191</v>
      </c>
      <c r="B191" t="inlineStr">
        <is>
          <t>Junio</t>
        </is>
      </c>
      <c r="C191" t="inlineStr">
        <is>
          <t>Mercado Libre</t>
        </is>
      </c>
      <c r="D191" s="26" t="n">
        <v>67000</v>
      </c>
      <c r="E191" t="inlineStr">
        <is>
          <t>Mercado Pago</t>
        </is>
      </c>
      <c r="F191" t="inlineStr">
        <is>
          <t>ML · ML · gasto personal Sol (revisar)</t>
        </is>
      </c>
    </row>
    <row r="192">
      <c r="A192" s="44" t="n">
        <v>46192</v>
      </c>
      <c r="B192" t="inlineStr">
        <is>
          <t>Junio</t>
        </is>
      </c>
      <c r="C192" t="inlineStr">
        <is>
          <t>Edesur</t>
        </is>
      </c>
      <c r="D192" s="26" t="n">
        <v>2198</v>
      </c>
      <c r="E192" t="inlineStr">
        <is>
          <t>Mercado Pago</t>
        </is>
      </c>
      <c r="F192" t="inlineStr">
        <is>
          <t>luz ¿propiedad? · gasto personal Sol (ex-PENDIENTE)</t>
        </is>
      </c>
    </row>
    <row r="193">
      <c r="A193" s="44" t="n">
        <v>46193</v>
      </c>
      <c r="B193" t="inlineStr">
        <is>
          <t>Junio</t>
        </is>
      </c>
      <c r="C193" t="inlineStr">
        <is>
          <t>Christian Ventura</t>
        </is>
      </c>
      <c r="D193" s="26" t="n">
        <v>20000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Christian Ventura</t>
        </is>
      </c>
      <c r="D194" s="26" t="n">
        <v>150000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Karina Venturo</t>
        </is>
      </c>
      <c r="D195" s="26" t="n">
        <v>6030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46196</v>
      </c>
      <c r="B196" t="inlineStr">
        <is>
          <t>Junio</t>
        </is>
      </c>
      <c r="C196" t="inlineStr">
        <is>
          <t>Mazzeo Jose</t>
        </is>
      </c>
      <c r="D196" s="26" t="n">
        <v>6400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46196</v>
      </c>
      <c r="B197" t="inlineStr">
        <is>
          <t>Junio</t>
        </is>
      </c>
      <c r="C197" t="inlineStr">
        <is>
          <t>Omar Pastran</t>
        </is>
      </c>
      <c r="D197" s="26" t="n">
        <v>7000</v>
      </c>
      <c r="E197" t="inlineStr">
        <is>
          <t>Mercado Pago</t>
        </is>
      </c>
      <c r="F197" t="inlineStr">
        <is>
          <t>transferencia · gasto personal Sol (ex-PENDIENTE)</t>
        </is>
      </c>
    </row>
    <row r="198">
      <c r="A198" s="44" t="n">
        <v>46197</v>
      </c>
      <c r="B198" t="inlineStr">
        <is>
          <t>Junio</t>
        </is>
      </c>
      <c r="C198" t="inlineStr">
        <is>
          <t>Aylen Difeo</t>
        </is>
      </c>
      <c r="D198" s="26" t="n">
        <v>350000</v>
      </c>
      <c r="E198" t="inlineStr">
        <is>
          <t>Mercado Pago</t>
        </is>
      </c>
      <c r="F198" t="inlineStr">
        <is>
          <t>transferencia · gasto personal Sol (ex-PENDIENTE)</t>
        </is>
      </c>
    </row>
    <row r="199">
      <c r="A199" s="44" t="n">
        <v>46197</v>
      </c>
      <c r="B199" t="inlineStr">
        <is>
          <t>Junio</t>
        </is>
      </c>
      <c r="C199" t="inlineStr">
        <is>
          <t>Mercado Libre</t>
        </is>
      </c>
      <c r="D199" s="26" t="n">
        <v>175000</v>
      </c>
      <c r="E199" t="inlineStr">
        <is>
          <t>Mercado Pago</t>
        </is>
      </c>
      <c r="F199" t="inlineStr">
        <is>
          <t>ML · ML · gasto personal Sol (revisar)</t>
        </is>
      </c>
    </row>
    <row r="200">
      <c r="A200" s="44" t="n">
        <v>46198</v>
      </c>
      <c r="B200" t="inlineStr">
        <is>
          <t>Junio</t>
        </is>
      </c>
      <c r="C200" t="inlineStr">
        <is>
          <t>Fundacion Soplo De Vida</t>
        </is>
      </c>
      <c r="D200" s="26" t="n">
        <v>243000</v>
      </c>
      <c r="E200" t="inlineStr">
        <is>
          <t>Mercado Pago</t>
        </is>
      </c>
      <c r="F200" t="inlineStr">
        <is>
          <t>donación · gasto personal Sol</t>
        </is>
      </c>
    </row>
    <row r="201">
      <c r="A201" s="44" t="n">
        <v>46199</v>
      </c>
      <c r="B201" t="inlineStr">
        <is>
          <t>Junio</t>
        </is>
      </c>
      <c r="C201" t="inlineStr">
        <is>
          <t>Valeria Mele</t>
        </is>
      </c>
      <c r="D201" s="26" t="n">
        <v>48600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46200</v>
      </c>
      <c r="B202" t="inlineStr">
        <is>
          <t>Junio</t>
        </is>
      </c>
      <c r="C202" t="inlineStr">
        <is>
          <t>Belisario Roldán</t>
        </is>
      </c>
      <c r="D202" s="26" t="n">
        <v>206700</v>
      </c>
      <c r="E202" t="inlineStr">
        <is>
          <t>Mercado Pago</t>
        </is>
      </c>
      <c r="F202" t="inlineStr">
        <is>
          <t>salida/evento · gasto personal Sol</t>
        </is>
      </c>
    </row>
    <row r="203">
      <c r="A203" s="44" t="n">
        <v>46200</v>
      </c>
      <c r="B203" t="inlineStr">
        <is>
          <t>Junio</t>
        </is>
      </c>
      <c r="C203" t="inlineStr">
        <is>
          <t>Florencia De La Torre</t>
        </is>
      </c>
      <c r="D203" s="26" t="n">
        <v>20000</v>
      </c>
      <c r="E203" t="inlineStr">
        <is>
          <t>Mercado Pago</t>
        </is>
      </c>
      <c r="F203" t="inlineStr">
        <is>
          <t>transferencia · gasto personal Sol (ex-PENDIENTE)</t>
        </is>
      </c>
    </row>
    <row r="204">
      <c r="A204" s="44" t="n">
        <v>46203</v>
      </c>
      <c r="B204" t="inlineStr">
        <is>
          <t>Junio</t>
        </is>
      </c>
      <c r="C204" t="inlineStr">
        <is>
          <t>ACA</t>
        </is>
      </c>
      <c r="D204" s="26" t="n">
        <v>330</v>
      </c>
      <c r="E204" t="inlineStr">
        <is>
          <t>Mercado Pago</t>
        </is>
      </c>
      <c r="F204" t="inlineStr">
        <is>
          <t>ACA · AUTO/ACA · gasto personal Sol</t>
        </is>
      </c>
    </row>
    <row r="205">
      <c r="A205" s="44" t="n">
        <v>46205</v>
      </c>
      <c r="B205" t="inlineStr">
        <is>
          <t>Julio</t>
        </is>
      </c>
      <c r="C205" t="inlineStr">
        <is>
          <t>Veterinaria</t>
        </is>
      </c>
      <c r="D205" s="26" t="n">
        <v>107000</v>
      </c>
      <c r="E205" t="inlineStr">
        <is>
          <t>Mercado Pago</t>
        </is>
      </c>
      <c r="F205" t="inlineStr">
        <is>
          <t>veterinaria · gasto personal Sol</t>
        </is>
      </c>
    </row>
    <row r="206">
      <c r="A206" s="44" t="n">
        <v>46208</v>
      </c>
      <c r="B206" t="inlineStr">
        <is>
          <t>Julio</t>
        </is>
      </c>
      <c r="C206" t="inlineStr">
        <is>
          <t>Analia Veronica Roay</t>
        </is>
      </c>
      <c r="D206" s="26" t="n">
        <v>49000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46208</v>
      </c>
      <c r="B207" t="inlineStr">
        <is>
          <t>Julio</t>
        </is>
      </c>
      <c r="C207" t="inlineStr">
        <is>
          <t>Antonela Guidobono</t>
        </is>
      </c>
      <c r="D207" s="26" t="n">
        <v>38700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Analia Veronica Roay</t>
        </is>
      </c>
      <c r="D208" s="26" t="n">
        <v>8002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46209</v>
      </c>
      <c r="B209" t="inlineStr">
        <is>
          <t>Julio</t>
        </is>
      </c>
      <c r="C209" t="inlineStr">
        <is>
          <t>Federico Martinez Escariz</t>
        </is>
      </c>
      <c r="D209" s="26" t="n">
        <v>572005</v>
      </c>
      <c r="E209" t="inlineStr">
        <is>
          <t>Mercado Pago</t>
        </is>
      </c>
      <c r="F209" t="inlineStr">
        <is>
          <t>transferencia · gasto personal Sol (ex-PENDIENTE)</t>
        </is>
      </c>
    </row>
    <row r="210">
      <c r="A210" s="44" t="n">
        <v>46209</v>
      </c>
      <c r="B210" t="inlineStr">
        <is>
          <t>Julio</t>
        </is>
      </c>
      <c r="C210" t="inlineStr">
        <is>
          <t>Jose Cristian Montaño</t>
        </is>
      </c>
      <c r="D210" s="26" t="n">
        <v>2500</v>
      </c>
      <c r="E210" t="inlineStr">
        <is>
          <t>Mercado Pago</t>
        </is>
      </c>
      <c r="F210" t="inlineStr">
        <is>
          <t>transferencia · gasto personal Sol (ex-PENDIENTE)</t>
        </is>
      </c>
    </row>
    <row r="211">
      <c r="A211" s="44" t="n">
        <v>46211</v>
      </c>
      <c r="B211" t="inlineStr">
        <is>
          <t>Julio</t>
        </is>
      </c>
      <c r="C211" t="inlineStr">
        <is>
          <t>Mara Sikorski</t>
        </is>
      </c>
      <c r="D211" s="26" t="n">
        <v>159000</v>
      </c>
      <c r="E211" t="inlineStr">
        <is>
          <t>Mercado Pago</t>
        </is>
      </c>
      <c r="F211" t="inlineStr">
        <is>
          <t>personal · gasto personal Sol</t>
        </is>
      </c>
    </row>
    <row r="212">
      <c r="A212" s="44" t="n">
        <v>46211</v>
      </c>
      <c r="B212" t="inlineStr">
        <is>
          <t>Julio</t>
        </is>
      </c>
      <c r="C212" t="inlineStr">
        <is>
          <t>Tuenti</t>
        </is>
      </c>
      <c r="D212" s="26" t="n">
        <v>18000</v>
      </c>
      <c r="E212" t="inlineStr">
        <is>
          <t>Mercado Pago</t>
        </is>
      </c>
      <c r="F212" t="inlineStr">
        <is>
          <t>Tuenti · gasto personal Sol · hoja Gasto Personal Sol</t>
        </is>
      </c>
    </row>
    <row r="213">
      <c r="A213" s="44" t="n">
        <v>46213</v>
      </c>
      <c r="B213" t="inlineStr">
        <is>
          <t>Julio</t>
        </is>
      </c>
      <c r="C213" t="inlineStr">
        <is>
          <t>Sikorski Mara</t>
        </is>
      </c>
      <c r="D213" s="26" t="n">
        <v>5000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46214</v>
      </c>
      <c r="B214" t="inlineStr">
        <is>
          <t>Julio</t>
        </is>
      </c>
      <c r="C214" t="inlineStr">
        <is>
          <t>Comercio</t>
        </is>
      </c>
      <c r="D214" s="26" t="n">
        <v>18300</v>
      </c>
      <c r="E214" t="inlineStr">
        <is>
          <t>Mercado Pago</t>
        </is>
      </c>
      <c r="F214" t="inlineStr">
        <is>
          <t>tienda física · gasto personal Sol (ex-PENDIENTE)</t>
        </is>
      </c>
    </row>
    <row r="215">
      <c r="A215" s="44" t="n">
        <v>46214</v>
      </c>
      <c r="B215" t="inlineStr">
        <is>
          <t>Julio</t>
        </is>
      </c>
      <c r="C215" t="inlineStr">
        <is>
          <t>Franco Yonatan Britez</t>
        </is>
      </c>
      <c r="D215" s="26" t="n">
        <v>1500</v>
      </c>
      <c r="E215" t="inlineStr">
        <is>
          <t>Mercado Pago</t>
        </is>
      </c>
      <c r="F215" t="inlineStr">
        <is>
          <t>transferencia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Apple</t>
        </is>
      </c>
      <c r="D216" s="26" t="n">
        <v>19481</v>
      </c>
      <c r="E216" t="inlineStr">
        <is>
          <t>Mercado Pago</t>
        </is>
      </c>
      <c r="F216" t="inlineStr">
        <is>
          <t>Apple · gasto personal Sol · hoja Gasto Personal Sol</t>
        </is>
      </c>
    </row>
    <row r="217">
      <c r="A217" s="44" t="n">
        <v>46215</v>
      </c>
      <c r="B217" t="inlineStr">
        <is>
          <t>Julio</t>
        </is>
      </c>
      <c r="C217" t="inlineStr">
        <is>
          <t>Klash Pro</t>
        </is>
      </c>
      <c r="D217" s="26" t="n">
        <v>27000</v>
      </c>
      <c r="E217" t="inlineStr">
        <is>
          <t>Mercado Pago</t>
        </is>
      </c>
      <c r="F217" t="inlineStr">
        <is>
          <t>compra · gasto personal Sol (ex-PENDIENTE)</t>
        </is>
      </c>
    </row>
    <row r="218">
      <c r="A218" s="44" t="n">
        <v>46215</v>
      </c>
      <c r="B218" t="inlineStr">
        <is>
          <t>Julio</t>
        </is>
      </c>
      <c r="C218" t="inlineStr">
        <is>
          <t>Mercado Libre</t>
        </is>
      </c>
      <c r="D218" s="26" t="n">
        <v>24499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46217</v>
      </c>
      <c r="B219" t="inlineStr">
        <is>
          <t>Julio</t>
        </is>
      </c>
      <c r="C219" t="inlineStr">
        <is>
          <t>Carenzo Santiago P</t>
        </is>
      </c>
      <c r="D219" s="26" t="n">
        <v>398240</v>
      </c>
      <c r="E219" t="inlineStr">
        <is>
          <t>Mercado Pago</t>
        </is>
      </c>
      <c r="F219" t="inlineStr">
        <is>
          <t>transferencia · gasto personal Sol (ex-PENDIENTE)</t>
        </is>
      </c>
    </row>
    <row r="220">
      <c r="A220" s="44" t="n">
        <v>46218</v>
      </c>
      <c r="B220" t="inlineStr">
        <is>
          <t>Julio</t>
        </is>
      </c>
      <c r="C220" t="inlineStr">
        <is>
          <t>Mercado Libre</t>
        </is>
      </c>
      <c r="D220" s="26" t="n">
        <v>30318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46218</v>
      </c>
      <c r="B221" t="inlineStr">
        <is>
          <t>Julio</t>
        </is>
      </c>
      <c r="C221" t="inlineStr">
        <is>
          <t>Mercado Libre</t>
        </is>
      </c>
      <c r="D221" s="26" t="n">
        <v>18525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46219</v>
      </c>
      <c r="B222" t="inlineStr">
        <is>
          <t>Julio</t>
        </is>
      </c>
      <c r="C222" t="inlineStr">
        <is>
          <t>Mercado Libre</t>
        </is>
      </c>
      <c r="D222" s="26" t="n">
        <v>62900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>
        <v>46220</v>
      </c>
      <c r="B223" t="inlineStr">
        <is>
          <t>Julio</t>
        </is>
      </c>
      <c r="C223" t="inlineStr">
        <is>
          <t>Mercado Libre</t>
        </is>
      </c>
      <c r="D223" s="26" t="n">
        <v>11747</v>
      </c>
      <c r="E223" t="inlineStr">
        <is>
          <t>Mercado Pago</t>
        </is>
      </c>
      <c r="F223" t="inlineStr">
        <is>
          <t>ML · ML · gasto personal Sol (revisar)</t>
        </is>
      </c>
    </row>
    <row r="224">
      <c r="A224" s="44" t="n">
        <v>46220</v>
      </c>
      <c r="B224" t="inlineStr">
        <is>
          <t>Julio</t>
        </is>
      </c>
      <c r="C224" t="inlineStr">
        <is>
          <t>Mercado Libre</t>
        </is>
      </c>
      <c r="D224" s="26" t="n">
        <v>26311</v>
      </c>
      <c r="E224" t="inlineStr">
        <is>
          <t>Mercado Pago</t>
        </is>
      </c>
      <c r="F224" t="inlineStr">
        <is>
          <t>ML · ML · gasto personal Sol (revisar)</t>
        </is>
      </c>
    </row>
    <row r="225">
      <c r="A225" s="44" t="n"/>
      <c r="D225" s="26" t="n"/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2026-07-18T18:09:07Z</dcterms:modified>
</cp:coreProperties>
</file>
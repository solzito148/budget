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3"/>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v>300850</v>
      </c>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82364</v>
      </c>
      <c r="L6" s="9" t="n">
        <v>69659</v>
      </c>
      <c r="M6" s="9" t="n">
        <v>70289</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v>146882</v>
      </c>
      <c r="L7" s="5" t="n">
        <v>105839</v>
      </c>
      <c r="M7" s="5" t="n">
        <v>106267</v>
      </c>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v>183272</v>
      </c>
      <c r="L8" s="9" t="n">
        <v>63980</v>
      </c>
      <c r="M8" s="9" t="n">
        <v>66400</v>
      </c>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v>4399</v>
      </c>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Detalle'!D426</f>
        <v/>
      </c>
      <c r="M13" s="5">
        <f>'Almacen Detalle'!D468</f>
        <v/>
      </c>
      <c r="N13" s="5">
        <f>'Almacen Detalle'!D510</f>
        <v/>
      </c>
      <c r="O13" s="5">
        <f>'Almacen Detalle'!D552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Detalle'!E426</f>
        <v/>
      </c>
      <c r="M14" s="9">
        <f>'Almacen Detalle'!E468</f>
        <v/>
      </c>
      <c r="N14" s="9">
        <f>'Almacen Detalle'!E510</f>
        <v/>
      </c>
      <c r="O14" s="9">
        <f>'Almacen Detalle'!E552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cobros BBVA reales (sep $69.659 · oct $70.289). El fijo $50.000 ya no aplica desde sep-2026.</t>
        </is>
      </c>
    </row>
    <row r="30">
      <c r="A30" t="inlineStr">
        <is>
          <t>• Montos enteros, siempre redondeados hacia arriba</t>
        </is>
      </c>
    </row>
    <row r="31">
      <c r="A31" t="inlineStr">
        <is>
          <t>• Expensas CIUDAD (Defilippo / Gmail Sent comprobantes): may $246.150 (pago 10/06); jun $273.500 (pago 09/07); jul $300.850 (pago 10/08); ago $300.850 (pago 10/09); sep $328.200 (pago 10/10 MP → Consorcio De Propiet Patagonia). Período del cupón/recibo, no solo fecha de pago.</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row r="50">
      <c r="A50" t="inlineStr">
        <is>
          <t>• LIQUIDACIÓN SEPTIEMBRE 2026: Christian (Chris) NO pagó su parte de los gastos de la casa (Pagado Christian = $0 / sin ALMACEN CHRIS ni Extras Chris). Pendiente Chris = fila CHRIS columna Septiembre (Cada uno − ALMACEN CHRIS). Registrado 2026-10-23 por verificación Sol.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PAGADO</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PAGADO</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PAGADO</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PAGADO</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PAGADO</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PAGADO</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PAGADO</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PAGADO</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PAGADO</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PAGADO</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PAGADO</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PAGADO</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PAGADO</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PAGADO</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PAGADO</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PAGADO</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PAGADO</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PAGADO</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PAGADO</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PAGADO</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PAGADO</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PAGADO</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PAGADO</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PAGADO</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PAGADO</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PAGADO</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PAGADO</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PAGADO</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PAGADO</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PAGADO</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PAGADO</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PAGADO</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PAGADO</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PAGADO</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PAGADO</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PAGADO</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PAGADO</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PAGADO</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PAGADO</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PAGADO</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PAGADO</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PAGADO</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PAGADO</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PAGADO</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PAGADO</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PAGADO</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PAGADO</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PAGADO</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PAGADO</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PAGADO</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PAGADO</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PAGADO</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PAGADO</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PAGADO</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PAGADO</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5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SUMIFS($D$4:$D$800,$A$4:$A$800,"Enero")</f>
        <v/>
      </c>
      <c r="E47" s="7">
        <f>SUMIFS($E$4:$E$800,$A$4:$A$800,"Enero")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SUMIFS($D$4:$D$800,$A$4:$A$800,"Febrero")</f>
        <v/>
      </c>
      <c r="E87" s="7">
        <f>SUMIFS($E$4:$E$800,$A$4:$A$800,"Febrero")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SUMIFS($D$4:$D$800,$A$4:$A$800,"Marzo")</f>
        <v/>
      </c>
      <c r="E131" s="7">
        <f>SUMIFS($E$4:$E$800,$A$4:$A$800,"Marzo")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SUMIFS($D$4:$D$800,$A$4:$A$800,"Abril")</f>
        <v/>
      </c>
      <c r="E176" s="7">
        <f>SUMIFS($E$4:$E$800,$A$4:$A$800,"Abril")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SUMIFS($D$4:$D$800,$A$4:$A$800,"Mayo")</f>
        <v/>
      </c>
      <c r="E228" s="7">
        <f>SUMIFS($E$4:$E$800,$A$4:$A$800,"Mayo")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SUMIFS($D$4:$D$800,$A$4:$A$800,"Junio")</f>
        <v/>
      </c>
      <c r="E273" s="7">
        <f>SUMIFS($E$4:$E$800,$A$4:$A$800,"Junio")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SUMIFS($D$4:$D$800,$A$4:$A$800,"Julio")</f>
        <v/>
      </c>
      <c r="E312" s="7">
        <f>SUMIFS($E$4:$E$800,$A$4:$A$800,"Julio")</f>
        <v/>
      </c>
      <c r="F312" s="7">
        <f>D312+E312</f>
        <v/>
      </c>
      <c r="G312" s="22" t="n"/>
    </row>
    <row r="314">
      <c r="A314" s="14" t="inlineStr">
        <is>
          <t>Agosto</t>
        </is>
      </c>
      <c r="B314" s="53" t="n">
        <v>46235</v>
      </c>
      <c r="C314" s="14" t="inlineStr">
        <is>
          <t>RAMON · Comida</t>
        </is>
      </c>
      <c r="D314" s="27" t="n">
        <v>176000</v>
      </c>
      <c r="E314" s="28" t="n"/>
      <c r="F314" s="15">
        <f>IF(OR(D298&lt;&gt;"",E298&lt;&gt;""),IF(D298="",0,D298)+IF(E298="",0,E298),"")</f>
        <v/>
      </c>
      <c r="G314" s="14" t="inlineStr">
        <is>
          <t>MERPAGO*DRBARF · BBVA VISA · Gmail Compra aprobada</t>
        </is>
      </c>
    </row>
    <row r="315">
      <c r="A315" s="14" t="inlineStr">
        <is>
          <t>Agosto</t>
        </is>
      </c>
      <c r="B315" s="53" t="n">
        <v>46256</v>
      </c>
      <c r="C315" s="14" t="inlineStr">
        <is>
          <t>RAMON · Otros</t>
        </is>
      </c>
      <c r="D315" s="27" t="n">
        <v>77200</v>
      </c>
      <c r="E315" s="28" t="n"/>
      <c r="F315" s="15">
        <f>IF(OR(D299&lt;&gt;"",E299&lt;&gt;""),IF(D299="",0,D299)+IF(E299="",0,E299),"")</f>
        <v/>
      </c>
      <c r="G315" s="14" t="inlineStr">
        <is>
          <t>Paws Pet Market · BBVA VISA · Gmail Compra aprobada</t>
        </is>
      </c>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SUMIFS($D$4:$D$800,$A$4:$A$800,"Agosto")</f>
        <v/>
      </c>
      <c r="E354" s="7">
        <f>SUMIFS($E$4:$E$800,$A$4:$A$800,"Agosto")</f>
        <v/>
      </c>
      <c r="F354" s="7">
        <f>D354+E354</f>
        <v/>
      </c>
      <c r="G354" s="22" t="n"/>
    </row>
    <row r="356">
      <c r="A356" s="14" t="inlineStr">
        <is>
          <t>Septiembre</t>
        </is>
      </c>
      <c r="B356" s="17" t="n">
        <v>46268</v>
      </c>
      <c r="C356" s="14" t="inlineStr">
        <is>
          <t>SUPERMERCADO · Día</t>
        </is>
      </c>
      <c r="D356" s="27" t="n">
        <v>41139</v>
      </c>
      <c r="E356" s="28" t="n"/>
      <c r="F356" s="15">
        <f>IF(OR(D356&lt;&gt;"",E356&lt;&gt;""),IF(D356="",0,D356)+IF(E356="",0,E356),"")</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IF(OR(D357&lt;&gt;"",E357&lt;&gt;""),IF(D357="",0,D357)+IF(E357="",0,E357),"")</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IF(OR(D358&lt;&gt;"",E358&lt;&gt;""),IF(D358="",0,D358)+IF(E358="",0,E358),"")</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v>46295</v>
      </c>
      <c r="C386" s="14" t="inlineStr">
        <is>
          <t>SUPERMERCADO · Coto</t>
        </is>
      </c>
      <c r="D386" s="27" t="n"/>
      <c r="E386" s="28" t="n">
        <v>11436</v>
      </c>
      <c r="F386" s="15">
        <f>IF(OR(D386&lt;&gt;"",E386&lt;&gt;""),IF(D386="",0,D386)+IF(E386="",0,E386),"")</f>
        <v/>
      </c>
      <c r="G386" s="14" t="inlineStr">
        <is>
          <t>Chris · SUPERMERCADO · Coto · sin fecha día · REVISAR</t>
        </is>
      </c>
    </row>
    <row r="387">
      <c r="A387" s="14" t="inlineStr">
        <is>
          <t>Septiembre</t>
        </is>
      </c>
      <c r="B387" s="17" t="n">
        <v>46295</v>
      </c>
      <c r="C387" s="14" t="inlineStr">
        <is>
          <t>SUPERMERCADO · Día</t>
        </is>
      </c>
      <c r="D387" s="27" t="n"/>
      <c r="E387" s="28" t="n">
        <v>7264</v>
      </c>
      <c r="F387" s="15">
        <f>IF(OR(D387&lt;&gt;"",E387&lt;&gt;""),IF(D387="",0,D387)+IF(E387="",0,E387),"")</f>
        <v/>
      </c>
      <c r="G387" s="14" t="inlineStr">
        <is>
          <t>Chris · SUPERMERCADO · Día · SUPERDIA · sin fecha día · REVISAR</t>
        </is>
      </c>
    </row>
    <row r="388">
      <c r="A388" s="14" t="inlineStr">
        <is>
          <t>Septiembre</t>
        </is>
      </c>
      <c r="B388" s="17" t="n">
        <v>46295</v>
      </c>
      <c r="C388" s="14" t="inlineStr">
        <is>
          <t>SUPERMERCADO · Coto</t>
        </is>
      </c>
      <c r="D388" s="27" t="n"/>
      <c r="E388" s="28" t="n">
        <v>10000</v>
      </c>
      <c r="F388" s="15">
        <f>IF(OR(D388&lt;&gt;"",E388&lt;&gt;""),IF(D388="",0,D388)+IF(E388="",0,E388),"")</f>
        <v/>
      </c>
      <c r="G388" s="14" t="inlineStr">
        <is>
          <t>Chris · SUPERMERCADO · Coto · sin fecha día · REVISAR</t>
        </is>
      </c>
    </row>
    <row r="389">
      <c r="A389" s="14" t="inlineStr">
        <is>
          <t>Septiembre</t>
        </is>
      </c>
      <c r="B389" s="17" t="n">
        <v>46295</v>
      </c>
      <c r="C389" s="14" t="inlineStr">
        <is>
          <t>SUPERMERCADO · Coto</t>
        </is>
      </c>
      <c r="D389" s="27" t="n"/>
      <c r="E389" s="28" t="n">
        <v>11993</v>
      </c>
      <c r="F389" s="15">
        <f>IF(OR(D389&lt;&gt;"",E389&lt;&gt;""),IF(D389="",0,D389)+IF(E389="",0,E389),"")</f>
        <v/>
      </c>
      <c r="G389" s="14" t="inlineStr">
        <is>
          <t>Chris · SUPERMERCADO · Coto · sin fecha día · REVISAR</t>
        </is>
      </c>
    </row>
    <row r="390">
      <c r="A390" s="14" t="inlineStr">
        <is>
          <t>Septiembre</t>
        </is>
      </c>
      <c r="B390" s="17" t="n">
        <v>46295</v>
      </c>
      <c r="C390" s="14" t="inlineStr">
        <is>
          <t>SUPERMERCADO · Día</t>
        </is>
      </c>
      <c r="D390" s="27" t="n"/>
      <c r="E390" s="28" t="n">
        <v>9980</v>
      </c>
      <c r="F390" s="15">
        <f>IF(OR(D390&lt;&gt;"",E390&lt;&gt;""),IF(D390="",0,D390)+IF(E390="",0,E390),"")</f>
        <v/>
      </c>
      <c r="G390" s="14" t="inlineStr">
        <is>
          <t>Chris · SUPERMERCADO · Día · SUPERDIA · sin fecha día · REVISAR</t>
        </is>
      </c>
    </row>
    <row r="391">
      <c r="A391" s="14" t="inlineStr">
        <is>
          <t>Septiembre</t>
        </is>
      </c>
      <c r="B391" s="17" t="n">
        <v>46295</v>
      </c>
      <c r="C391" s="14" t="inlineStr">
        <is>
          <t>SUPERMERCADO · Día</t>
        </is>
      </c>
      <c r="D391" s="27" t="n"/>
      <c r="E391" s="28" t="n">
        <v>4152</v>
      </c>
      <c r="F391" s="15">
        <f>IF(OR(D391&lt;&gt;"",E391&lt;&gt;""),IF(D391="",0,D391)+IF(E391="",0,E391),"")</f>
        <v/>
      </c>
      <c r="G391" s="14" t="inlineStr">
        <is>
          <t>Chris · SUPERMERCADO · Día · SUPERDIA · sin fecha día · REVISAR</t>
        </is>
      </c>
    </row>
    <row r="392">
      <c r="A392" s="14" t="inlineStr">
        <is>
          <t>Septiembre</t>
        </is>
      </c>
      <c r="B392" s="17" t="n">
        <v>46295</v>
      </c>
      <c r="C392" s="14" t="inlineStr">
        <is>
          <t>SUPERMERCADO · Día</t>
        </is>
      </c>
      <c r="D392" s="27" t="n"/>
      <c r="E392" s="28" t="n">
        <v>7488</v>
      </c>
      <c r="F392" s="15">
        <f>IF(OR(D392&lt;&gt;"",E392&lt;&gt;""),IF(D392="",0,D392)+IF(E392="",0,E392),"")</f>
        <v/>
      </c>
      <c r="G392" s="14" t="inlineStr">
        <is>
          <t>Chris · SUPERMERCADO · Día · sin fecha día · REVISAR</t>
        </is>
      </c>
    </row>
    <row r="393">
      <c r="A393" s="14" t="inlineStr">
        <is>
          <t>Septiembre</t>
        </is>
      </c>
      <c r="B393" s="17" t="n">
        <v>46295</v>
      </c>
      <c r="C393" s="14" t="inlineStr">
        <is>
          <t>SUPERMERCADO · Coto</t>
        </is>
      </c>
      <c r="D393" s="27" t="n"/>
      <c r="E393" s="28" t="n">
        <v>1999</v>
      </c>
      <c r="F393" s="15">
        <f>IF(OR(D393&lt;&gt;"",E393&lt;&gt;""),IF(D393="",0,D393)+IF(E393="",0,E393),"")</f>
        <v/>
      </c>
      <c r="G393" s="14" t="inlineStr">
        <is>
          <t>Chris · SUPERMERCADO · Coto · sin fecha día · REVISAR</t>
        </is>
      </c>
    </row>
    <row r="394">
      <c r="A394" s="14" t="inlineStr">
        <is>
          <t>Septiembre</t>
        </is>
      </c>
      <c r="B394" s="17" t="n">
        <v>46295</v>
      </c>
      <c r="C394" s="14" t="inlineStr">
        <is>
          <t>SUPERMERCADO · Día</t>
        </is>
      </c>
      <c r="D394" s="27" t="n"/>
      <c r="E394" s="28" t="n">
        <v>5680</v>
      </c>
      <c r="F394" s="15">
        <f>IF(OR(D394&lt;&gt;"",E394&lt;&gt;""),IF(D394="",0,D394)+IF(E394="",0,E394),"")</f>
        <v/>
      </c>
      <c r="G394" s="14" t="inlineStr">
        <is>
          <t>Chris · SUPERMERCADO · Día · sin fecha día · REVISAR</t>
        </is>
      </c>
    </row>
    <row r="395">
      <c r="A395" s="14" t="inlineStr">
        <is>
          <t>Septiembre</t>
        </is>
      </c>
      <c r="B395" s="17" t="n">
        <v>46295</v>
      </c>
      <c r="C395" s="14" t="inlineStr">
        <is>
          <t>COMIDA · VERDULERÍA</t>
        </is>
      </c>
      <c r="D395" s="27" t="n"/>
      <c r="E395" s="28" t="n">
        <v>4101</v>
      </c>
      <c r="F395" s="15">
        <f>IF(OR(D395&lt;&gt;"",E395&lt;&gt;""),IF(D395="",0,D395)+IF(E395="",0,E395),"")</f>
        <v/>
      </c>
      <c r="G395" s="14" t="inlineStr">
        <is>
          <t>Chris · COMIDA · VERDULERÍA · sin fecha día · REVISAR</t>
        </is>
      </c>
    </row>
    <row r="396">
      <c r="A396" t="inlineStr">
        <is>
          <t>Septiembre</t>
        </is>
      </c>
      <c r="B396" s="52" t="n">
        <v>46295</v>
      </c>
      <c r="C396" t="inlineStr">
        <is>
          <t>SUPERMERCADO · Coto</t>
        </is>
      </c>
      <c r="E396" t="n">
        <v>7610</v>
      </c>
      <c r="F396">
        <f>IF(OR(D396&lt;&gt;"",E396&lt;&gt;""),IF(D396="",0,D396)+IF(E396="",0,E396),"")</f>
        <v/>
      </c>
      <c r="G396" t="inlineStr">
        <is>
          <t>Chris · SUPERMERCADO · Coto · sin fecha día · REVISAR</t>
        </is>
      </c>
    </row>
    <row r="397">
      <c r="A397" t="inlineStr">
        <is>
          <t>Septiembre</t>
        </is>
      </c>
      <c r="B397" s="52" t="n">
        <v>46295</v>
      </c>
      <c r="C397" t="inlineStr">
        <is>
          <t>SUPERMERCADO · Día</t>
        </is>
      </c>
      <c r="E397" t="n">
        <v>4796</v>
      </c>
      <c r="F397">
        <f>IF(OR(D397&lt;&gt;"",E397&lt;&gt;""),IF(D397="",0,D397)+IF(E397="",0,E397),"")</f>
        <v/>
      </c>
      <c r="G397" t="inlineStr">
        <is>
          <t>Chris · SUPERMERCADO · Día · sin fecha día · REVISAR</t>
        </is>
      </c>
    </row>
    <row r="398">
      <c r="A398" t="inlineStr">
        <is>
          <t>Septiembre</t>
        </is>
      </c>
      <c r="B398" s="52" t="n">
        <v>46295</v>
      </c>
      <c r="C398" t="inlineStr">
        <is>
          <t>SUPERMERCADO · Día</t>
        </is>
      </c>
      <c r="E398" t="n">
        <v>3952</v>
      </c>
      <c r="F398">
        <f>IF(OR(D398&lt;&gt;"",E398&lt;&gt;""),IF(D398="",0,D398)+IF(E398="",0,E398),"")</f>
        <v/>
      </c>
      <c r="G398" t="inlineStr">
        <is>
          <t>Chris · SUPERMERCADO · Día · sin fecha día · REVISAR</t>
        </is>
      </c>
    </row>
    <row r="399">
      <c r="A399" t="inlineStr">
        <is>
          <t>Septiembre</t>
        </is>
      </c>
      <c r="B399" s="52" t="n">
        <v>46295</v>
      </c>
      <c r="C399" t="inlineStr">
        <is>
          <t>COMIDA · pollo</t>
        </is>
      </c>
      <c r="E399" t="n">
        <v>10295</v>
      </c>
      <c r="F399">
        <f>IF(OR(D399&lt;&gt;"",E399&lt;&gt;""),IF(D399="",0,D399)+IF(E399="",0,E399),"")</f>
        <v/>
      </c>
      <c r="G399" t="inlineStr">
        <is>
          <t>Chris · COMIDA · pollo · sin fecha día · REVISAR</t>
        </is>
      </c>
    </row>
    <row r="400">
      <c r="A400" t="inlineStr">
        <is>
          <t>Septiembre</t>
        </is>
      </c>
      <c r="B400" s="52" t="n">
        <v>46295</v>
      </c>
      <c r="C400" t="inlineStr">
        <is>
          <t>SUPERMERCADO · Día</t>
        </is>
      </c>
      <c r="E400" t="n">
        <v>6480</v>
      </c>
      <c r="F400">
        <f>IF(OR(D400&lt;&gt;"",E400&lt;&gt;""),IF(D400="",0,D400)+IF(E400="",0,E400),"")</f>
        <v/>
      </c>
      <c r="G400" t="inlineStr">
        <is>
          <t>Chris · SUPERMERCADO · Día · sin fecha día · REVISAR</t>
        </is>
      </c>
    </row>
    <row r="401">
      <c r="A401" t="inlineStr">
        <is>
          <t>Septiembre</t>
        </is>
      </c>
      <c r="B401" s="52" t="n">
        <v>46295</v>
      </c>
      <c r="C401" t="inlineStr">
        <is>
          <t>SUPERMERCADO · Día</t>
        </is>
      </c>
      <c r="E401" t="n">
        <v>4739</v>
      </c>
      <c r="F401">
        <f>IF(OR(D401&lt;&gt;"",E401&lt;&gt;""),IF(D401="",0,D401)+IF(E401="",0,E401),"")</f>
        <v/>
      </c>
      <c r="G401" t="inlineStr">
        <is>
          <t>Chris · SUPERMERCADO · Día · sin fecha día · REVISAR</t>
        </is>
      </c>
    </row>
    <row r="402">
      <c r="A402" t="inlineStr">
        <is>
          <t>Septiembre</t>
        </is>
      </c>
      <c r="B402" s="52" t="n">
        <v>46295</v>
      </c>
      <c r="C402" t="inlineStr">
        <is>
          <t>PEDIDOS YA · COMIDA</t>
        </is>
      </c>
      <c r="E402" t="n">
        <v>23424</v>
      </c>
      <c r="F402">
        <f>IF(OR(D402&lt;&gt;"",E402&lt;&gt;""),IF(D402="",0,D402)+IF(E402="",0,E402),"")</f>
        <v/>
      </c>
      <c r="G402" t="inlineStr">
        <is>
          <t>Chris · PEDIDOS YA · COMIDA · sin fecha día · REVISAR · confirmar si Market</t>
        </is>
      </c>
    </row>
    <row r="403">
      <c r="A403" t="inlineStr">
        <is>
          <t>Septiembre</t>
        </is>
      </c>
      <c r="B403" s="52" t="n">
        <v>46295</v>
      </c>
      <c r="C403" t="inlineStr">
        <is>
          <t>SUPERMERCADO · Día</t>
        </is>
      </c>
      <c r="E403" t="n">
        <v>7439</v>
      </c>
      <c r="F403">
        <f>IF(OR(D403&lt;&gt;"",E403&lt;&gt;""),IF(D403="",0,D403)+IF(E403="",0,E403),"")</f>
        <v/>
      </c>
      <c r="G403" t="inlineStr">
        <is>
          <t>Chris · SUPERMERCADO · Día · sin fecha día · REVISAR</t>
        </is>
      </c>
    </row>
    <row r="404">
      <c r="A404" t="inlineStr">
        <is>
          <t>Septiembre</t>
        </is>
      </c>
      <c r="B404" s="52" t="n">
        <v>46295</v>
      </c>
      <c r="C404" t="inlineStr">
        <is>
          <t>SUPERMERCADO · Día</t>
        </is>
      </c>
      <c r="E404" t="n">
        <v>5716</v>
      </c>
      <c r="F404">
        <f>IF(OR(D404&lt;&gt;"",E404&lt;&gt;""),IF(D404="",0,D404)+IF(E404="",0,E404),"")</f>
        <v/>
      </c>
      <c r="G404" t="inlineStr">
        <is>
          <t>Chris · SUPERMERCADO · Día · sin fecha día · REVISAR</t>
        </is>
      </c>
    </row>
    <row r="405">
      <c r="A405" t="inlineStr">
        <is>
          <t>Septiembre</t>
        </is>
      </c>
      <c r="B405" s="52" t="n">
        <v>46295</v>
      </c>
      <c r="C405" t="inlineStr">
        <is>
          <t>SUPERMERCADO · Día</t>
        </is>
      </c>
      <c r="E405" t="n">
        <v>3768</v>
      </c>
      <c r="F405">
        <f>IF(OR(D405&lt;&gt;"",E405&lt;&gt;""),IF(D405="",0,D405)+IF(E405="",0,E405),"")</f>
        <v/>
      </c>
      <c r="G405" t="inlineStr">
        <is>
          <t>Chris · SUPERMERCADO · Día · sin fecha día · REVISAR</t>
        </is>
      </c>
    </row>
    <row r="406">
      <c r="A406" t="inlineStr">
        <is>
          <t>Septiembre</t>
        </is>
      </c>
      <c r="B406" s="52" t="n">
        <v>46295</v>
      </c>
      <c r="C406" t="inlineStr">
        <is>
          <t>COMIDA · Vinos</t>
        </is>
      </c>
      <c r="E406" t="n">
        <v>17780</v>
      </c>
      <c r="F406">
        <f>IF(OR(D406&lt;&gt;"",E406&lt;&gt;""),IF(D406="",0,D406)+IF(E406="",0,E406),"")</f>
        <v/>
      </c>
      <c r="G406" t="inlineStr">
        <is>
          <t>Chris · COMIDA · Vinos · sin fecha día · REVISAR</t>
        </is>
      </c>
    </row>
    <row r="407">
      <c r="A407" t="inlineStr">
        <is>
          <t>Septiembre</t>
        </is>
      </c>
      <c r="B407" s="52" t="n">
        <v>46295</v>
      </c>
      <c r="C407" t="inlineStr">
        <is>
          <t>REVISAR · sin comercio</t>
        </is>
      </c>
      <c r="E407" t="n">
        <v>48960</v>
      </c>
      <c r="F407">
        <f>IF(OR(D407&lt;&gt;"",E407&lt;&gt;""),IF(D407="",0,D407)+IF(E407="",0,E407),"")</f>
        <v/>
      </c>
      <c r="G407" t="inlineStr">
        <is>
          <t>Chris · REVISAR · monto sin comercio en listado · sin fecha día</t>
        </is>
      </c>
    </row>
    <row r="408">
      <c r="A408" t="inlineStr">
        <is>
          <t>Septiembre</t>
        </is>
      </c>
      <c r="B408" s="52" t="n">
        <v>46295</v>
      </c>
      <c r="C408" t="inlineStr">
        <is>
          <t>COMIDA · VERDULERÍA</t>
        </is>
      </c>
      <c r="E408" t="n">
        <v>7912</v>
      </c>
      <c r="F408">
        <f>IF(OR(D408&lt;&gt;"",E408&lt;&gt;""),IF(D408="",0,D408)+IF(E408="",0,E408),"")</f>
        <v/>
      </c>
      <c r="G408" t="inlineStr">
        <is>
          <t>Chris · COMIDA · VERDULERÍA · sin fecha día · REVISAR</t>
        </is>
      </c>
    </row>
    <row r="409">
      <c r="A409" t="inlineStr">
        <is>
          <t>Septiembre</t>
        </is>
      </c>
      <c r="B409" s="52" t="n">
        <v>46295</v>
      </c>
      <c r="C409" t="inlineStr">
        <is>
          <t>COMIDA · pollo</t>
        </is>
      </c>
      <c r="E409" t="n">
        <v>10140</v>
      </c>
      <c r="F409">
        <f>IF(OR(D409&lt;&gt;"",E409&lt;&gt;""),IF(D409="",0,D409)+IF(E409="",0,E409),"")</f>
        <v/>
      </c>
      <c r="G409" t="inlineStr">
        <is>
          <t>Chris · COMIDA · pollo · sin fecha día · REVISAR</t>
        </is>
      </c>
    </row>
    <row r="410">
      <c r="A410" t="inlineStr">
        <is>
          <t>Septiembre</t>
        </is>
      </c>
      <c r="F410">
        <f>IF(OR(D410&lt;&gt;"",E410&lt;&gt;""),IF(D410="",0,D410)+IF(E410="",0,E410),"")</f>
        <v/>
      </c>
    </row>
    <row r="411">
      <c r="A411" t="inlineStr">
        <is>
          <t>Septiembre</t>
        </is>
      </c>
      <c r="F411">
        <f>IF(OR(D411&lt;&gt;"",E411&lt;&gt;""),IF(D411="",0,D411)+IF(E411="",0,E411),"")</f>
        <v/>
      </c>
    </row>
    <row r="412">
      <c r="A412" t="inlineStr">
        <is>
          <t>Septiembre</t>
        </is>
      </c>
      <c r="F412">
        <f>IF(OR(D412&lt;&gt;"",E412&lt;&gt;""),IF(D412="",0,D412)+IF(E412="",0,E412),"")</f>
        <v/>
      </c>
    </row>
    <row r="413">
      <c r="A413" t="inlineStr">
        <is>
          <t>Septiembre</t>
        </is>
      </c>
      <c r="F413">
        <f>IF(OR(D413&lt;&gt;"",E413&lt;&gt;""),IF(D413="",0,D413)+IF(E413="",0,E413),"")</f>
        <v/>
      </c>
    </row>
    <row r="414">
      <c r="A414" t="inlineStr">
        <is>
          <t>Septiembre</t>
        </is>
      </c>
      <c r="F414">
        <f>IF(OR(D414&lt;&gt;"",E414&lt;&gt;""),IF(D414="",0,D414)+IF(E414="",0,E414),"")</f>
        <v/>
      </c>
    </row>
    <row r="415">
      <c r="A415" t="inlineStr">
        <is>
          <t>Septiembre</t>
        </is>
      </c>
      <c r="F415">
        <f>IF(OR(D415&lt;&gt;"",E415&lt;&gt;""),IF(D415="",0,D415)+IF(E415="",0,E415),"")</f>
        <v/>
      </c>
    </row>
    <row r="416">
      <c r="A416" t="inlineStr">
        <is>
          <t>Septiembre</t>
        </is>
      </c>
      <c r="F416">
        <f>IF(OR(D416&lt;&gt;"",E416&lt;&gt;""),IF(D416="",0,D416)+IF(E416="",0,E416),"")</f>
        <v/>
      </c>
    </row>
    <row r="417">
      <c r="A417" t="inlineStr">
        <is>
          <t>Septiembre</t>
        </is>
      </c>
      <c r="F417">
        <f>IF(OR(D417&lt;&gt;"",E417&lt;&gt;""),IF(D417="",0,D417)+IF(E417="",0,E417),"")</f>
        <v/>
      </c>
    </row>
    <row r="418">
      <c r="A418" t="inlineStr">
        <is>
          <t>Septiembre</t>
        </is>
      </c>
      <c r="F418">
        <f>IF(OR(D418&lt;&gt;"",E418&lt;&gt;""),IF(D418="",0,D418)+IF(E418="",0,E418),"")</f>
        <v/>
      </c>
    </row>
    <row r="419">
      <c r="A419" t="inlineStr">
        <is>
          <t>Septiembre</t>
        </is>
      </c>
      <c r="F419">
        <f>IF(OR(D419&lt;&gt;"",E419&lt;&gt;""),IF(D419="",0,D419)+IF(E419="",0,E419),"")</f>
        <v/>
      </c>
    </row>
    <row r="420">
      <c r="A420" t="inlineStr">
        <is>
          <t>Septiembre</t>
        </is>
      </c>
      <c r="F420">
        <f>IF(OR(D420&lt;&gt;"",E420&lt;&gt;""),IF(D420="",0,D420)+IF(E420="",0,E420),"")</f>
        <v/>
      </c>
    </row>
    <row r="421">
      <c r="A421" t="inlineStr">
        <is>
          <t>Septiembre</t>
        </is>
      </c>
      <c r="F421">
        <f>IF(OR(D421&lt;&gt;"",E421&lt;&gt;""),IF(D421="",0,D421)+IF(E421="",0,E421),"")</f>
        <v/>
      </c>
    </row>
    <row r="422">
      <c r="A422" t="inlineStr">
        <is>
          <t>Septiembre</t>
        </is>
      </c>
      <c r="F422">
        <f>IF(OR(D422&lt;&gt;"",E422&lt;&gt;""),IF(D422="",0,D422)+IF(E422="",0,E422),"")</f>
        <v/>
      </c>
    </row>
    <row r="423">
      <c r="A423" t="inlineStr">
        <is>
          <t>Septiembre</t>
        </is>
      </c>
      <c r="F423">
        <f>IF(OR(D423&lt;&gt;"",E423&lt;&gt;""),IF(D423="",0,D423)+IF(E423="",0,E423),"")</f>
        <v/>
      </c>
    </row>
    <row r="424">
      <c r="A424" t="inlineStr">
        <is>
          <t>Septiembre</t>
        </is>
      </c>
      <c r="F424">
        <f>IF(OR(D424&lt;&gt;"",E424&lt;&gt;""),IF(D424="",0,D424)+IF(E424="",0,E424),"")</f>
        <v/>
      </c>
    </row>
    <row r="425">
      <c r="A425" t="inlineStr">
        <is>
          <t>Septiembre</t>
        </is>
      </c>
      <c r="F425">
        <f>IF(OR(D425&lt;&gt;"",E425&lt;&gt;""),IF(D425="",0,D425)+IF(E425="",0,E425),"")</f>
        <v/>
      </c>
    </row>
    <row r="426">
      <c r="A426" s="10" t="inlineStr">
        <is>
          <t>TOTAL SEPTIEMBRE</t>
        </is>
      </c>
      <c r="B426" s="22" t="n"/>
      <c r="C426" s="29" t="inlineStr">
        <is>
          <t>Totales mes →</t>
        </is>
      </c>
      <c r="D426" s="7">
        <f>SUMIFS($D$4:$D$800,$A$4:$A$800,"Septiembre")</f>
        <v/>
      </c>
      <c r="E426" s="7">
        <f>SUMIFS($E$4:$E$800,$A$4:$A$800,"Septiembre")</f>
        <v/>
      </c>
      <c r="F426" s="7">
        <f>D426+E426</f>
        <v/>
      </c>
      <c r="G426" s="22" t="n"/>
    </row>
    <row r="428">
      <c r="A428" s="14" t="inlineStr">
        <is>
          <t>Octubre</t>
        </is>
      </c>
      <c r="B428" s="53" t="n">
        <v>46312</v>
      </c>
      <c r="C428" s="14" t="inlineStr">
        <is>
          <t>FARMACIA · Farmacity</t>
        </is>
      </c>
      <c r="D428" s="27" t="n">
        <v>81924</v>
      </c>
      <c r="E428" s="28" t="n"/>
      <c r="F428" s="15">
        <f>IF(OR(D382&lt;&gt;"",E382&lt;&gt;""),IF(D382="",0,D382)+IF(E382="",0,E382),"")</f>
        <v/>
      </c>
      <c r="G428" s="14" t="inlineStr">
        <is>
          <t>MERPAGO*FARMACITY · BBVA VISA · Gmail Compra aprobada</t>
        </is>
      </c>
    </row>
    <row r="429">
      <c r="A429" s="14" t="inlineStr">
        <is>
          <t>Octubre</t>
        </is>
      </c>
      <c r="B429" s="17" t="n"/>
      <c r="C429" s="14" t="n"/>
      <c r="D429" s="27" t="n"/>
      <c r="E429" s="28" t="n"/>
      <c r="F429" s="15">
        <f>IF(OR(D383&lt;&gt;"",E383&lt;&gt;""),IF(D383="",0,D383)+IF(E383="",0,E383),"")</f>
        <v/>
      </c>
      <c r="G429" s="14" t="n"/>
    </row>
    <row r="430">
      <c r="A430" s="14" t="inlineStr">
        <is>
          <t>Octubre</t>
        </is>
      </c>
      <c r="B430" s="17" t="n"/>
      <c r="C430" s="14" t="n"/>
      <c r="D430" s="27" t="n"/>
      <c r="E430" s="28" t="n"/>
      <c r="F430" s="15">
        <f>IF(OR(D384&lt;&gt;"",E384&lt;&gt;""),IF(D384="",0,D384)+IF(E384="",0,E384),"")</f>
        <v/>
      </c>
      <c r="G430" s="14" t="n"/>
    </row>
    <row r="431">
      <c r="A431" s="14" t="inlineStr">
        <is>
          <t>Octubre</t>
        </is>
      </c>
      <c r="B431" s="17" t="n"/>
      <c r="C431" s="14" t="n"/>
      <c r="D431" s="27" t="n"/>
      <c r="E431" s="28" t="n"/>
      <c r="F431" s="15">
        <f>IF(OR(D385&lt;&gt;"",E385&lt;&gt;""),IF(D385="",0,D385)+IF(E385="",0,E385),"")</f>
        <v/>
      </c>
      <c r="G431" s="14" t="n"/>
    </row>
    <row r="432">
      <c r="A432" s="14" t="inlineStr">
        <is>
          <t>Octubre</t>
        </is>
      </c>
      <c r="B432" s="17" t="n"/>
      <c r="C432" s="14" t="n"/>
      <c r="D432" s="27" t="n"/>
      <c r="E432" s="28" t="n"/>
      <c r="F432" s="15">
        <f>IF(OR(D386&lt;&gt;"",E386&lt;&gt;""),IF(D386="",0,D386)+IF(E386="",0,E386),"")</f>
        <v/>
      </c>
      <c r="G432" s="14" t="n"/>
    </row>
    <row r="433">
      <c r="A433" s="14" t="inlineStr">
        <is>
          <t>Octubre</t>
        </is>
      </c>
      <c r="B433" s="17" t="n"/>
      <c r="C433" s="14" t="n"/>
      <c r="D433" s="27" t="n"/>
      <c r="E433" s="28" t="n"/>
      <c r="F433" s="15">
        <f>IF(OR(D387&lt;&gt;"",E387&lt;&gt;""),IF(D387="",0,D387)+IF(E387="",0,E387),"")</f>
        <v/>
      </c>
      <c r="G433" s="14" t="n"/>
    </row>
    <row r="434">
      <c r="A434" s="14" t="inlineStr">
        <is>
          <t>Octubre</t>
        </is>
      </c>
      <c r="B434" s="17" t="n"/>
      <c r="C434" s="14" t="n"/>
      <c r="D434" s="27" t="n"/>
      <c r="E434" s="28" t="n"/>
      <c r="F434" s="15">
        <f>IF(OR(D388&lt;&gt;"",E388&lt;&gt;""),IF(D388="",0,D388)+IF(E388="",0,E388),"")</f>
        <v/>
      </c>
      <c r="G434" s="14" t="n"/>
    </row>
    <row r="435">
      <c r="A435" s="14" t="inlineStr">
        <is>
          <t>Octubre</t>
        </is>
      </c>
      <c r="B435" s="17" t="n"/>
      <c r="C435" s="14" t="n"/>
      <c r="D435" s="27" t="n"/>
      <c r="E435" s="28" t="n"/>
      <c r="F435" s="15">
        <f>IF(OR(D389&lt;&gt;"",E389&lt;&gt;""),IF(D389="",0,D389)+IF(E389="",0,E389),"")</f>
        <v/>
      </c>
      <c r="G435" s="14" t="n"/>
    </row>
    <row r="436">
      <c r="A436" s="14" t="inlineStr">
        <is>
          <t>Octubre</t>
        </is>
      </c>
      <c r="B436" s="17" t="n"/>
      <c r="C436" s="14" t="n"/>
      <c r="D436" s="27" t="n"/>
      <c r="E436" s="28" t="n"/>
      <c r="F436" s="15">
        <f>IF(OR(D390&lt;&gt;"",E390&lt;&gt;""),IF(D390="",0,D390)+IF(E390="",0,E390),"")</f>
        <v/>
      </c>
      <c r="G436" s="14" t="n"/>
    </row>
    <row r="437">
      <c r="A437" s="14" t="inlineStr">
        <is>
          <t>Octubre</t>
        </is>
      </c>
      <c r="B437" s="17" t="n"/>
      <c r="C437" s="14" t="n"/>
      <c r="D437" s="27" t="n"/>
      <c r="E437" s="28" t="n"/>
      <c r="F437" s="15">
        <f>IF(OR(D391&lt;&gt;"",E391&lt;&gt;""),IF(D391="",0,D391)+IF(E391="",0,E391),"")</f>
        <v/>
      </c>
      <c r="G437" s="14" t="n"/>
    </row>
    <row r="438">
      <c r="A438" s="14" t="inlineStr">
        <is>
          <t>Octubre</t>
        </is>
      </c>
      <c r="B438" s="17" t="n"/>
      <c r="C438" s="14" t="n"/>
      <c r="D438" s="27" t="n"/>
      <c r="E438" s="28" t="n"/>
      <c r="F438" s="15">
        <f>IF(OR(D392&lt;&gt;"",E392&lt;&gt;""),IF(D392="",0,D392)+IF(E392="",0,E392),"")</f>
        <v/>
      </c>
      <c r="G438" s="14" t="n"/>
    </row>
    <row r="439">
      <c r="A439" s="14" t="inlineStr">
        <is>
          <t>Octubre</t>
        </is>
      </c>
      <c r="B439" s="17" t="n"/>
      <c r="C439" s="14" t="n"/>
      <c r="D439" s="27" t="n"/>
      <c r="E439" s="28" t="n"/>
      <c r="F439" s="15">
        <f>IF(OR(D393&lt;&gt;"",E393&lt;&gt;""),IF(D393="",0,D393)+IF(E393="",0,E393),"")</f>
        <v/>
      </c>
      <c r="G439" s="14" t="n"/>
    </row>
    <row r="440">
      <c r="A440" s="14" t="inlineStr">
        <is>
          <t>Octubre</t>
        </is>
      </c>
      <c r="B440" s="17" t="n"/>
      <c r="C440" s="14" t="n"/>
      <c r="D440" s="27" t="n"/>
      <c r="E440" s="28" t="n"/>
      <c r="F440" s="15">
        <f>IF(OR(D394&lt;&gt;"",E394&lt;&gt;""),IF(D394="",0,D394)+IF(E394="",0,E394),"")</f>
        <v/>
      </c>
      <c r="G440" s="14" t="n"/>
    </row>
    <row r="441">
      <c r="A441" s="14" t="inlineStr">
        <is>
          <t>Octubre</t>
        </is>
      </c>
      <c r="B441" s="17" t="n"/>
      <c r="C441" s="14" t="n"/>
      <c r="D441" s="27" t="n"/>
      <c r="E441" s="28" t="n"/>
      <c r="F441" s="15">
        <f>IF(OR(D395&lt;&gt;"",E395&lt;&gt;""),IF(D395="",0,D395)+IF(E395="",0,E395),"")</f>
        <v/>
      </c>
      <c r="G441" s="14" t="n"/>
    </row>
    <row r="442">
      <c r="A442" s="14" t="inlineStr">
        <is>
          <t>Octubre</t>
        </is>
      </c>
      <c r="B442" s="17" t="n"/>
      <c r="C442" s="14" t="n"/>
      <c r="D442" s="27" t="n"/>
      <c r="E442" s="28" t="n"/>
      <c r="F442" s="15">
        <f>IF(OR(D396&lt;&gt;"",E396&lt;&gt;""),IF(D396="",0,D396)+IF(E396="",0,E396),"")</f>
        <v/>
      </c>
      <c r="G442" s="14" t="n"/>
    </row>
    <row r="443">
      <c r="A443" s="14" t="inlineStr">
        <is>
          <t>Octubre</t>
        </is>
      </c>
      <c r="B443" s="17" t="n"/>
      <c r="C443" s="14" t="n"/>
      <c r="D443" s="27" t="n"/>
      <c r="E443" s="28" t="n"/>
      <c r="F443" s="15">
        <f>IF(OR(D397&lt;&gt;"",E397&lt;&gt;""),IF(D397="",0,D397)+IF(E397="",0,E397),"")</f>
        <v/>
      </c>
      <c r="G443" s="14" t="n"/>
    </row>
    <row r="444">
      <c r="A444" s="14" t="inlineStr">
        <is>
          <t>Octubre</t>
        </is>
      </c>
      <c r="B444" s="17" t="n"/>
      <c r="C444" s="14" t="n"/>
      <c r="D444" s="27" t="n"/>
      <c r="E444" s="28" t="n"/>
      <c r="F444" s="15">
        <f>IF(OR(D398&lt;&gt;"",E398&lt;&gt;""),IF(D398="",0,D398)+IF(E398="",0,E398),"")</f>
        <v/>
      </c>
      <c r="G444" s="14" t="n"/>
    </row>
    <row r="445">
      <c r="A445" s="14" t="inlineStr">
        <is>
          <t>Octubre</t>
        </is>
      </c>
      <c r="B445" s="17" t="n"/>
      <c r="C445" s="14" t="n"/>
      <c r="D445" s="27" t="n"/>
      <c r="E445" s="28" t="n"/>
      <c r="F445" s="15">
        <f>IF(OR(D399&lt;&gt;"",E399&lt;&gt;""),IF(D399="",0,D399)+IF(E399="",0,E399),"")</f>
        <v/>
      </c>
      <c r="G445" s="14" t="n"/>
    </row>
    <row r="446">
      <c r="A446" s="14" t="inlineStr">
        <is>
          <t>Octubre</t>
        </is>
      </c>
      <c r="B446" s="17" t="n"/>
      <c r="C446" s="14" t="n"/>
      <c r="D446" s="27" t="n"/>
      <c r="E446" s="28" t="n"/>
      <c r="F446" s="15">
        <f>IF(OR(D400&lt;&gt;"",E400&lt;&gt;""),IF(D400="",0,D400)+IF(E400="",0,E400),"")</f>
        <v/>
      </c>
      <c r="G446" s="14" t="n"/>
    </row>
    <row r="447">
      <c r="A447" s="14" t="inlineStr">
        <is>
          <t>Octubre</t>
        </is>
      </c>
      <c r="B447" s="17" t="n"/>
      <c r="C447" s="14" t="n"/>
      <c r="D447" s="27" t="n"/>
      <c r="E447" s="28" t="n"/>
      <c r="F447" s="15">
        <f>IF(OR(D401&lt;&gt;"",E401&lt;&gt;""),IF(D401="",0,D401)+IF(E401="",0,E401),"")</f>
        <v/>
      </c>
      <c r="G447" s="14" t="n"/>
    </row>
    <row r="448">
      <c r="A448" s="14" t="inlineStr">
        <is>
          <t>Octubre</t>
        </is>
      </c>
      <c r="B448" s="17" t="n"/>
      <c r="C448" s="14" t="n"/>
      <c r="D448" s="27" t="n"/>
      <c r="E448" s="28" t="n"/>
      <c r="F448" s="15">
        <f>IF(OR(D402&lt;&gt;"",E402&lt;&gt;""),IF(D402="",0,D402)+IF(E402="",0,E402),"")</f>
        <v/>
      </c>
      <c r="G448" s="14" t="n"/>
    </row>
    <row r="449">
      <c r="A449" s="14" t="inlineStr">
        <is>
          <t>Octubre</t>
        </is>
      </c>
      <c r="B449" s="17" t="n"/>
      <c r="C449" s="14" t="n"/>
      <c r="D449" s="27" t="n"/>
      <c r="E449" s="28" t="n"/>
      <c r="F449" s="15">
        <f>IF(OR(D403&lt;&gt;"",E403&lt;&gt;""),IF(D403="",0,D403)+IF(E403="",0,E403),"")</f>
        <v/>
      </c>
      <c r="G449" s="14" t="n"/>
    </row>
    <row r="450">
      <c r="A450" s="14" t="inlineStr">
        <is>
          <t>Octubre</t>
        </is>
      </c>
      <c r="B450" s="17" t="n"/>
      <c r="C450" s="14" t="n"/>
      <c r="D450" s="27" t="n"/>
      <c r="E450" s="28" t="n"/>
      <c r="F450" s="15">
        <f>IF(OR(D404&lt;&gt;"",E404&lt;&gt;""),IF(D404="",0,D404)+IF(E404="",0,E404),"")</f>
        <v/>
      </c>
      <c r="G450" s="14" t="n"/>
    </row>
    <row r="451">
      <c r="A451" s="14" t="inlineStr">
        <is>
          <t>Octubre</t>
        </is>
      </c>
      <c r="B451" s="17" t="n"/>
      <c r="C451" s="14" t="n"/>
      <c r="D451" s="27" t="n"/>
      <c r="E451" s="28" t="n"/>
      <c r="F451" s="15">
        <f>IF(OR(D405&lt;&gt;"",E405&lt;&gt;""),IF(D405="",0,D405)+IF(E405="",0,E405),"")</f>
        <v/>
      </c>
      <c r="G451" s="14" t="n"/>
    </row>
    <row r="452">
      <c r="A452" s="14" t="inlineStr">
        <is>
          <t>Octubre</t>
        </is>
      </c>
      <c r="B452" s="17" t="n"/>
      <c r="C452" s="14" t="n"/>
      <c r="D452" s="27" t="n"/>
      <c r="E452" s="28" t="n"/>
      <c r="F452" s="15">
        <f>IF(OR(D406&lt;&gt;"",E406&lt;&gt;""),IF(D406="",0,D406)+IF(E406="",0,E406),"")</f>
        <v/>
      </c>
      <c r="G452" s="14" t="n"/>
    </row>
    <row r="453">
      <c r="A453" s="14" t="inlineStr">
        <is>
          <t>Octubre</t>
        </is>
      </c>
      <c r="B453" s="17" t="n"/>
      <c r="C453" s="14" t="n"/>
      <c r="D453" s="27" t="n"/>
      <c r="E453" s="28" t="n"/>
      <c r="F453" s="15">
        <f>IF(OR(D407&lt;&gt;"",E407&lt;&gt;""),IF(D407="",0,D407)+IF(E407="",0,E407),"")</f>
        <v/>
      </c>
      <c r="G453" s="14" t="n"/>
    </row>
    <row r="454">
      <c r="A454" s="14" t="inlineStr">
        <is>
          <t>Octubre</t>
        </is>
      </c>
      <c r="B454" s="17" t="n"/>
      <c r="C454" s="14" t="n"/>
      <c r="D454" s="27" t="n"/>
      <c r="E454" s="28" t="n"/>
      <c r="F454" s="15">
        <f>IF(OR(D408&lt;&gt;"",E408&lt;&gt;""),IF(D408="",0,D408)+IF(E408="",0,E408),"")</f>
        <v/>
      </c>
      <c r="G454" s="14" t="n"/>
    </row>
    <row r="455">
      <c r="A455" s="14" t="inlineStr">
        <is>
          <t>Octubre</t>
        </is>
      </c>
      <c r="B455" s="17" t="n"/>
      <c r="C455" s="14" t="n"/>
      <c r="D455" s="27" t="n"/>
      <c r="E455" s="28" t="n"/>
      <c r="F455" s="15">
        <f>IF(OR(D409&lt;&gt;"",E409&lt;&gt;""),IF(D409="",0,D409)+IF(E409="",0,E409),"")</f>
        <v/>
      </c>
      <c r="G455" s="14" t="n"/>
    </row>
    <row r="456">
      <c r="A456" s="14" t="inlineStr">
        <is>
          <t>Octubre</t>
        </is>
      </c>
      <c r="B456" s="17" t="n"/>
      <c r="C456" s="14" t="n"/>
      <c r="D456" s="27" t="n"/>
      <c r="E456" s="28" t="n"/>
      <c r="F456" s="15">
        <f>IF(OR(D410&lt;&gt;"",E410&lt;&gt;""),IF(D410="",0,D410)+IF(E410="",0,E410),"")</f>
        <v/>
      </c>
      <c r="G456" s="14" t="n"/>
    </row>
    <row r="457">
      <c r="A457" s="14" t="inlineStr">
        <is>
          <t>Octubre</t>
        </is>
      </c>
      <c r="B457" s="17" t="n"/>
      <c r="C457" s="14" t="n"/>
      <c r="D457" s="27" t="n"/>
      <c r="E457" s="28" t="n"/>
      <c r="F457" s="15">
        <f>IF(OR(D411&lt;&gt;"",E411&lt;&gt;""),IF(D411="",0,D411)+IF(E411="",0,E411),"")</f>
        <v/>
      </c>
      <c r="G457" s="14" t="n"/>
    </row>
    <row r="458">
      <c r="A458" s="14" t="inlineStr">
        <is>
          <t>Octubre</t>
        </is>
      </c>
      <c r="B458" s="17" t="n"/>
      <c r="C458" s="14" t="n"/>
      <c r="D458" s="27" t="n"/>
      <c r="E458" s="28" t="n"/>
      <c r="F458" s="15">
        <f>IF(OR(D412&lt;&gt;"",E412&lt;&gt;""),IF(D412="",0,D412)+IF(E412="",0,E412),"")</f>
        <v/>
      </c>
      <c r="G458" s="14" t="n"/>
    </row>
    <row r="459">
      <c r="A459" s="14" t="inlineStr">
        <is>
          <t>Octubre</t>
        </is>
      </c>
      <c r="B459" s="17" t="n"/>
      <c r="C459" s="14" t="n"/>
      <c r="D459" s="27" t="n"/>
      <c r="E459" s="28" t="n"/>
      <c r="F459" s="15">
        <f>IF(OR(D413&lt;&gt;"",E413&lt;&gt;""),IF(D413="",0,D413)+IF(E413="",0,E413),"")</f>
        <v/>
      </c>
      <c r="G459" s="14" t="n"/>
    </row>
    <row r="460">
      <c r="A460" s="14" t="inlineStr">
        <is>
          <t>Octubre</t>
        </is>
      </c>
      <c r="B460" s="17" t="n"/>
      <c r="C460" s="14" t="n"/>
      <c r="D460" s="27" t="n"/>
      <c r="E460" s="28" t="n"/>
      <c r="F460" s="15">
        <f>IF(OR(D414&lt;&gt;"",E414&lt;&gt;""),IF(D414="",0,D414)+IF(E414="",0,E414),"")</f>
        <v/>
      </c>
      <c r="G460" s="14" t="n"/>
    </row>
    <row r="461">
      <c r="A461" s="14" t="inlineStr">
        <is>
          <t>Octubre</t>
        </is>
      </c>
      <c r="B461" s="17" t="n"/>
      <c r="C461" s="14" t="n"/>
      <c r="D461" s="27" t="n"/>
      <c r="E461" s="28" t="n"/>
      <c r="F461" s="15">
        <f>IF(OR(D415&lt;&gt;"",E415&lt;&gt;""),IF(D415="",0,D415)+IF(E415="",0,E415),"")</f>
        <v/>
      </c>
      <c r="G461" s="14" t="n"/>
    </row>
    <row r="462">
      <c r="A462" s="14" t="inlineStr">
        <is>
          <t>Octubre</t>
        </is>
      </c>
      <c r="B462" s="17" t="n"/>
      <c r="C462" s="14" t="n"/>
      <c r="D462" s="27" t="n"/>
      <c r="E462" s="28" t="n"/>
      <c r="F462" s="15">
        <f>IF(OR(D416&lt;&gt;"",E416&lt;&gt;""),IF(D416="",0,D416)+IF(E416="",0,E416),"")</f>
        <v/>
      </c>
      <c r="G462" s="14" t="n"/>
    </row>
    <row r="463">
      <c r="A463" s="14" t="inlineStr">
        <is>
          <t>Octubre</t>
        </is>
      </c>
      <c r="B463" s="17" t="n"/>
      <c r="C463" s="14" t="n"/>
      <c r="D463" s="27" t="n"/>
      <c r="E463" s="28" t="n"/>
      <c r="F463" s="15">
        <f>IF(OR(D417&lt;&gt;"",E417&lt;&gt;""),IF(D417="",0,D417)+IF(E417="",0,E417),"")</f>
        <v/>
      </c>
      <c r="G463" s="14" t="n"/>
    </row>
    <row r="464">
      <c r="A464" s="14" t="inlineStr">
        <is>
          <t>Octubre</t>
        </is>
      </c>
      <c r="B464" s="17" t="n"/>
      <c r="C464" s="14" t="n"/>
      <c r="D464" s="27" t="n"/>
      <c r="E464" s="28" t="n"/>
      <c r="F464" s="15">
        <f>IF(OR(D418&lt;&gt;"",E418&lt;&gt;""),IF(D418="",0,D418)+IF(E418="",0,E418),"")</f>
        <v/>
      </c>
      <c r="G464" s="14" t="n"/>
    </row>
    <row r="465">
      <c r="A465" s="14" t="inlineStr">
        <is>
          <t>Octubre</t>
        </is>
      </c>
      <c r="B465" s="17" t="n"/>
      <c r="C465" s="14" t="n"/>
      <c r="D465" s="27" t="n"/>
      <c r="E465" s="28" t="n"/>
      <c r="F465" s="15">
        <f>IF(OR(D419&lt;&gt;"",E419&lt;&gt;""),IF(D419="",0,D419)+IF(E419="",0,E419),"")</f>
        <v/>
      </c>
      <c r="G465" s="14" t="n"/>
    </row>
    <row r="466">
      <c r="A466" s="14" t="inlineStr">
        <is>
          <t>Octubre</t>
        </is>
      </c>
      <c r="B466" s="17" t="n"/>
      <c r="C466" s="14" t="n"/>
      <c r="D466" s="27" t="n"/>
      <c r="E466" s="28" t="n"/>
      <c r="F466" s="15">
        <f>IF(OR(D420&lt;&gt;"",E420&lt;&gt;""),IF(D420="",0,D420)+IF(E420="",0,E420),"")</f>
        <v/>
      </c>
      <c r="G466" s="14" t="n"/>
    </row>
    <row r="467">
      <c r="A467" s="14" t="inlineStr">
        <is>
          <t>Octubre</t>
        </is>
      </c>
      <c r="B467" s="17" t="n"/>
      <c r="C467" s="14" t="n"/>
      <c r="D467" s="27" t="n"/>
      <c r="E467" s="28" t="n"/>
      <c r="F467" s="15">
        <f>IF(OR(D421&lt;&gt;"",E421&lt;&gt;""),IF(D421="",0,D421)+IF(E421="",0,E421),"")</f>
        <v/>
      </c>
      <c r="G467" s="14" t="n"/>
    </row>
    <row r="468">
      <c r="A468" s="10" t="inlineStr">
        <is>
          <t>TOTAL OCTUBRE</t>
        </is>
      </c>
      <c r="B468" s="22" t="n"/>
      <c r="C468" s="29" t="inlineStr">
        <is>
          <t>Totales mes →</t>
        </is>
      </c>
      <c r="D468" s="7">
        <f>SUMIFS($D$4:$D$800,$A$4:$A$800,"Octubre")</f>
        <v/>
      </c>
      <c r="E468" s="7">
        <f>SUMIFS($E$4:$E$800,$A$4:$A$800,"Octubre")</f>
        <v/>
      </c>
      <c r="F468" s="7">
        <f>D468+E468</f>
        <v/>
      </c>
      <c r="G468" s="22" t="n"/>
    </row>
    <row r="470">
      <c r="A470" s="14" t="inlineStr">
        <is>
          <t>Noviembre</t>
        </is>
      </c>
      <c r="B470" s="17" t="n"/>
      <c r="C470" s="14" t="n"/>
      <c r="D470" s="27" t="n"/>
      <c r="E470" s="28" t="n"/>
      <c r="F470" s="15">
        <f>IF(OR(D424&lt;&gt;"",E424&lt;&gt;""),IF(D424="",0,D424)+IF(E424="",0,E424),"")</f>
        <v/>
      </c>
      <c r="G470" s="14" t="n"/>
    </row>
    <row r="471">
      <c r="A471" s="14" t="inlineStr">
        <is>
          <t>Noviembre</t>
        </is>
      </c>
      <c r="B471" s="17" t="n"/>
      <c r="C471" s="14" t="n"/>
      <c r="D471" s="27" t="n"/>
      <c r="E471" s="28" t="n"/>
      <c r="F471" s="15">
        <f>IF(OR(D425&lt;&gt;"",E425&lt;&gt;""),IF(D425="",0,D425)+IF(E425="",0,E425),"")</f>
        <v/>
      </c>
      <c r="G471" s="14" t="n"/>
    </row>
    <row r="472">
      <c r="A472" s="14" t="inlineStr">
        <is>
          <t>Noviembre</t>
        </is>
      </c>
      <c r="B472" s="17" t="n"/>
      <c r="C472" s="14" t="n"/>
      <c r="D472" s="27" t="n"/>
      <c r="E472" s="28" t="n"/>
      <c r="F472" s="15">
        <f>IF(OR(D426&lt;&gt;"",E426&lt;&gt;""),IF(D426="",0,D426)+IF(E426="",0,E426),"")</f>
        <v/>
      </c>
      <c r="G472" s="14" t="n"/>
    </row>
    <row r="473">
      <c r="A473" s="14" t="inlineStr">
        <is>
          <t>Noviembre</t>
        </is>
      </c>
      <c r="B473" s="17" t="n"/>
      <c r="C473" s="14" t="n"/>
      <c r="D473" s="27" t="n"/>
      <c r="E473" s="28" t="n"/>
      <c r="F473" s="15">
        <f>IF(OR(D427&lt;&gt;"",E427&lt;&gt;""),IF(D427="",0,D427)+IF(E427="",0,E427),"")</f>
        <v/>
      </c>
      <c r="G473" s="14" t="n"/>
    </row>
    <row r="474">
      <c r="A474" s="14" t="inlineStr">
        <is>
          <t>Noviembre</t>
        </is>
      </c>
      <c r="B474" s="17" t="n"/>
      <c r="C474" s="14" t="n"/>
      <c r="D474" s="27" t="n"/>
      <c r="E474" s="28" t="n"/>
      <c r="F474" s="15">
        <f>IF(OR(D428&lt;&gt;"",E428&lt;&gt;""),IF(D428="",0,D428)+IF(E428="",0,E428),"")</f>
        <v/>
      </c>
      <c r="G474" s="14" t="n"/>
    </row>
    <row r="475">
      <c r="A475" s="14" t="inlineStr">
        <is>
          <t>Noviembre</t>
        </is>
      </c>
      <c r="B475" s="17" t="n"/>
      <c r="C475" s="14" t="n"/>
      <c r="D475" s="27" t="n"/>
      <c r="E475" s="28" t="n"/>
      <c r="F475" s="15">
        <f>IF(OR(D429&lt;&gt;"",E429&lt;&gt;""),IF(D429="",0,D429)+IF(E429="",0,E429),"")</f>
        <v/>
      </c>
      <c r="G475" s="14" t="n"/>
    </row>
    <row r="476">
      <c r="A476" s="14" t="inlineStr">
        <is>
          <t>Noviembre</t>
        </is>
      </c>
      <c r="B476" s="17" t="n"/>
      <c r="C476" s="14" t="n"/>
      <c r="D476" s="27" t="n"/>
      <c r="E476" s="28" t="n"/>
      <c r="F476" s="15">
        <f>IF(OR(D430&lt;&gt;"",E430&lt;&gt;""),IF(D430="",0,D430)+IF(E430="",0,E430),"")</f>
        <v/>
      </c>
      <c r="G476" s="14" t="n"/>
    </row>
    <row r="477">
      <c r="A477" s="14" t="inlineStr">
        <is>
          <t>Noviembre</t>
        </is>
      </c>
      <c r="B477" s="17" t="n"/>
      <c r="C477" s="14" t="n"/>
      <c r="D477" s="27" t="n"/>
      <c r="E477" s="28" t="n"/>
      <c r="F477" s="15">
        <f>IF(OR(D431&lt;&gt;"",E431&lt;&gt;""),IF(D431="",0,D431)+IF(E431="",0,E431),"")</f>
        <v/>
      </c>
      <c r="G477" s="14" t="n"/>
    </row>
    <row r="478">
      <c r="A478" s="14" t="inlineStr">
        <is>
          <t>Noviembre</t>
        </is>
      </c>
      <c r="B478" s="17" t="n"/>
      <c r="C478" s="14" t="n"/>
      <c r="D478" s="27" t="n"/>
      <c r="E478" s="28" t="n"/>
      <c r="F478" s="15">
        <f>IF(OR(D432&lt;&gt;"",E432&lt;&gt;""),IF(D432="",0,D432)+IF(E432="",0,E432),"")</f>
        <v/>
      </c>
      <c r="G478" s="14" t="n"/>
    </row>
    <row r="479">
      <c r="A479" s="14" t="inlineStr">
        <is>
          <t>Noviembre</t>
        </is>
      </c>
      <c r="B479" s="17" t="n"/>
      <c r="C479" s="14" t="n"/>
      <c r="D479" s="27" t="n"/>
      <c r="E479" s="28" t="n"/>
      <c r="F479" s="15">
        <f>IF(OR(D433&lt;&gt;"",E433&lt;&gt;""),IF(D433="",0,D433)+IF(E433="",0,E433),"")</f>
        <v/>
      </c>
      <c r="G479" s="14" t="n"/>
    </row>
    <row r="480">
      <c r="A480" s="14" t="inlineStr">
        <is>
          <t>Noviembre</t>
        </is>
      </c>
      <c r="B480" s="17" t="n"/>
      <c r="C480" s="14" t="n"/>
      <c r="D480" s="27" t="n"/>
      <c r="E480" s="28" t="n"/>
      <c r="F480" s="15">
        <f>IF(OR(D434&lt;&gt;"",E434&lt;&gt;""),IF(D434="",0,D434)+IF(E434="",0,E434),"")</f>
        <v/>
      </c>
      <c r="G480" s="14" t="n"/>
    </row>
    <row r="481">
      <c r="A481" s="14" t="inlineStr">
        <is>
          <t>Noviembre</t>
        </is>
      </c>
      <c r="B481" s="17" t="n"/>
      <c r="C481" s="14" t="n"/>
      <c r="D481" s="27" t="n"/>
      <c r="E481" s="28" t="n"/>
      <c r="F481" s="15">
        <f>IF(OR(D435&lt;&gt;"",E435&lt;&gt;""),IF(D435="",0,D435)+IF(E435="",0,E435),"")</f>
        <v/>
      </c>
      <c r="G481" s="14" t="n"/>
    </row>
    <row r="482">
      <c r="A482" s="14" t="inlineStr">
        <is>
          <t>Noviembre</t>
        </is>
      </c>
      <c r="B482" s="17" t="n"/>
      <c r="C482" s="14" t="n"/>
      <c r="D482" s="27" t="n"/>
      <c r="E482" s="28" t="n"/>
      <c r="F482" s="15">
        <f>IF(OR(D436&lt;&gt;"",E436&lt;&gt;""),IF(D436="",0,D436)+IF(E436="",0,E436),"")</f>
        <v/>
      </c>
      <c r="G482" s="14" t="n"/>
    </row>
    <row r="483">
      <c r="A483" s="14" t="inlineStr">
        <is>
          <t>Noviembre</t>
        </is>
      </c>
      <c r="B483" s="17" t="n"/>
      <c r="C483" s="14" t="n"/>
      <c r="D483" s="27" t="n"/>
      <c r="E483" s="28" t="n"/>
      <c r="F483" s="15">
        <f>IF(OR(D437&lt;&gt;"",E437&lt;&gt;""),IF(D437="",0,D437)+IF(E437="",0,E437),"")</f>
        <v/>
      </c>
      <c r="G483" s="14" t="n"/>
    </row>
    <row r="484">
      <c r="A484" s="14" t="inlineStr">
        <is>
          <t>Noviembre</t>
        </is>
      </c>
      <c r="B484" s="17" t="n"/>
      <c r="C484" s="14" t="n"/>
      <c r="D484" s="27" t="n"/>
      <c r="E484" s="28" t="n"/>
      <c r="F484" s="15">
        <f>IF(OR(D438&lt;&gt;"",E438&lt;&gt;""),IF(D438="",0,D438)+IF(E438="",0,E438),"")</f>
        <v/>
      </c>
      <c r="G484" s="14" t="n"/>
    </row>
    <row r="485">
      <c r="A485" s="14" t="inlineStr">
        <is>
          <t>Noviembre</t>
        </is>
      </c>
      <c r="B485" s="17" t="n"/>
      <c r="C485" s="14" t="n"/>
      <c r="D485" s="27" t="n"/>
      <c r="E485" s="28" t="n"/>
      <c r="F485" s="15">
        <f>IF(OR(D439&lt;&gt;"",E439&lt;&gt;""),IF(D439="",0,D439)+IF(E439="",0,E439),"")</f>
        <v/>
      </c>
      <c r="G485" s="14" t="n"/>
    </row>
    <row r="486">
      <c r="A486" s="14" t="inlineStr">
        <is>
          <t>Noviembre</t>
        </is>
      </c>
      <c r="B486" s="17" t="n"/>
      <c r="C486" s="14" t="n"/>
      <c r="D486" s="27" t="n"/>
      <c r="E486" s="28" t="n"/>
      <c r="F486" s="15">
        <f>IF(OR(D440&lt;&gt;"",E440&lt;&gt;""),IF(D440="",0,D440)+IF(E440="",0,E440),"")</f>
        <v/>
      </c>
      <c r="G486" s="14" t="n"/>
    </row>
    <row r="487">
      <c r="A487" s="14" t="inlineStr">
        <is>
          <t>Noviembre</t>
        </is>
      </c>
      <c r="B487" s="17" t="n"/>
      <c r="C487" s="14" t="n"/>
      <c r="D487" s="27" t="n"/>
      <c r="E487" s="28" t="n"/>
      <c r="F487" s="15">
        <f>IF(OR(D441&lt;&gt;"",E441&lt;&gt;""),IF(D441="",0,D441)+IF(E441="",0,E441),"")</f>
        <v/>
      </c>
      <c r="G487" s="14" t="n"/>
    </row>
    <row r="488">
      <c r="A488" s="14" t="inlineStr">
        <is>
          <t>Noviembre</t>
        </is>
      </c>
      <c r="B488" s="17" t="n"/>
      <c r="C488" s="14" t="n"/>
      <c r="D488" s="27" t="n"/>
      <c r="E488" s="28" t="n"/>
      <c r="F488" s="15">
        <f>IF(OR(D442&lt;&gt;"",E442&lt;&gt;""),IF(D442="",0,D442)+IF(E442="",0,E442),"")</f>
        <v/>
      </c>
      <c r="G488" s="14" t="n"/>
    </row>
    <row r="489">
      <c r="A489" s="14" t="inlineStr">
        <is>
          <t>Noviembre</t>
        </is>
      </c>
      <c r="B489" s="17" t="n"/>
      <c r="C489" s="14" t="n"/>
      <c r="D489" s="27" t="n"/>
      <c r="E489" s="28" t="n"/>
      <c r="F489" s="15">
        <f>IF(OR(D443&lt;&gt;"",E443&lt;&gt;""),IF(D443="",0,D443)+IF(E443="",0,E443),"")</f>
        <v/>
      </c>
      <c r="G489" s="14" t="n"/>
    </row>
    <row r="490">
      <c r="A490" s="14" t="inlineStr">
        <is>
          <t>Noviembre</t>
        </is>
      </c>
      <c r="B490" s="17" t="n"/>
      <c r="C490" s="14" t="n"/>
      <c r="D490" s="27" t="n"/>
      <c r="E490" s="28" t="n"/>
      <c r="F490" s="15">
        <f>IF(OR(D444&lt;&gt;"",E444&lt;&gt;""),IF(D444="",0,D444)+IF(E444="",0,E444),"")</f>
        <v/>
      </c>
      <c r="G490" s="14" t="n"/>
    </row>
    <row r="491">
      <c r="A491" s="14" t="inlineStr">
        <is>
          <t>Noviembre</t>
        </is>
      </c>
      <c r="B491" s="17" t="n"/>
      <c r="C491" s="14" t="n"/>
      <c r="D491" s="27" t="n"/>
      <c r="E491" s="28" t="n"/>
      <c r="F491" s="15">
        <f>IF(OR(D445&lt;&gt;"",E445&lt;&gt;""),IF(D445="",0,D445)+IF(E445="",0,E445),"")</f>
        <v/>
      </c>
      <c r="G491" s="14" t="n"/>
    </row>
    <row r="492">
      <c r="A492" s="14" t="inlineStr">
        <is>
          <t>Noviembre</t>
        </is>
      </c>
      <c r="B492" s="17" t="n"/>
      <c r="C492" s="14" t="n"/>
      <c r="D492" s="27" t="n"/>
      <c r="E492" s="28" t="n"/>
      <c r="F492" s="15">
        <f>IF(OR(D446&lt;&gt;"",E446&lt;&gt;""),IF(D446="",0,D446)+IF(E446="",0,E446),"")</f>
        <v/>
      </c>
      <c r="G492" s="14" t="n"/>
    </row>
    <row r="493">
      <c r="A493" s="14" t="inlineStr">
        <is>
          <t>Noviembre</t>
        </is>
      </c>
      <c r="B493" s="17" t="n"/>
      <c r="C493" s="14" t="n"/>
      <c r="D493" s="27" t="n"/>
      <c r="E493" s="28" t="n"/>
      <c r="F493" s="15">
        <f>IF(OR(D447&lt;&gt;"",E447&lt;&gt;""),IF(D447="",0,D447)+IF(E447="",0,E447),"")</f>
        <v/>
      </c>
      <c r="G493" s="14" t="n"/>
    </row>
    <row r="494">
      <c r="A494" s="14" t="inlineStr">
        <is>
          <t>Noviembre</t>
        </is>
      </c>
      <c r="B494" s="17" t="n"/>
      <c r="C494" s="14" t="n"/>
      <c r="D494" s="27" t="n"/>
      <c r="E494" s="28" t="n"/>
      <c r="F494" s="15">
        <f>IF(OR(D448&lt;&gt;"",E448&lt;&gt;""),IF(D448="",0,D448)+IF(E448="",0,E448),"")</f>
        <v/>
      </c>
      <c r="G494" s="14" t="n"/>
    </row>
    <row r="495">
      <c r="A495" s="14" t="inlineStr">
        <is>
          <t>Noviembre</t>
        </is>
      </c>
      <c r="B495" s="17" t="n"/>
      <c r="C495" s="14" t="n"/>
      <c r="D495" s="27" t="n"/>
      <c r="E495" s="28" t="n"/>
      <c r="F495" s="15">
        <f>IF(OR(D449&lt;&gt;"",E449&lt;&gt;""),IF(D449="",0,D449)+IF(E449="",0,E449),"")</f>
        <v/>
      </c>
      <c r="G495" s="14" t="n"/>
    </row>
    <row r="496">
      <c r="A496" s="14" t="inlineStr">
        <is>
          <t>Noviembre</t>
        </is>
      </c>
      <c r="B496" s="17" t="n"/>
      <c r="C496" s="14" t="n"/>
      <c r="D496" s="27" t="n"/>
      <c r="E496" s="28" t="n"/>
      <c r="F496" s="15">
        <f>IF(OR(D450&lt;&gt;"",E450&lt;&gt;""),IF(D450="",0,D450)+IF(E450="",0,E450),"")</f>
        <v/>
      </c>
      <c r="G496" s="14" t="n"/>
    </row>
    <row r="497">
      <c r="A497" s="14" t="inlineStr">
        <is>
          <t>Noviembre</t>
        </is>
      </c>
      <c r="B497" s="17" t="n"/>
      <c r="C497" s="14" t="n"/>
      <c r="D497" s="27" t="n"/>
      <c r="E497" s="28" t="n"/>
      <c r="F497" s="15">
        <f>IF(OR(D451&lt;&gt;"",E451&lt;&gt;""),IF(D451="",0,D451)+IF(E451="",0,E451),"")</f>
        <v/>
      </c>
      <c r="G497" s="14" t="n"/>
    </row>
    <row r="498">
      <c r="A498" s="14" t="inlineStr">
        <is>
          <t>Noviembre</t>
        </is>
      </c>
      <c r="B498" s="17" t="n"/>
      <c r="C498" s="14" t="n"/>
      <c r="D498" s="27" t="n"/>
      <c r="E498" s="28" t="n"/>
      <c r="F498" s="15">
        <f>IF(OR(D452&lt;&gt;"",E452&lt;&gt;""),IF(D452="",0,D452)+IF(E452="",0,E452),"")</f>
        <v/>
      </c>
      <c r="G498" s="14" t="n"/>
    </row>
    <row r="499">
      <c r="A499" s="14" t="inlineStr">
        <is>
          <t>Noviembre</t>
        </is>
      </c>
      <c r="B499" s="17" t="n"/>
      <c r="C499" s="14" t="n"/>
      <c r="D499" s="27" t="n"/>
      <c r="E499" s="28" t="n"/>
      <c r="F499" s="15">
        <f>IF(OR(D453&lt;&gt;"",E453&lt;&gt;""),IF(D453="",0,D453)+IF(E453="",0,E453),"")</f>
        <v/>
      </c>
      <c r="G499" s="14" t="n"/>
    </row>
    <row r="500">
      <c r="A500" s="14" t="inlineStr">
        <is>
          <t>Noviembre</t>
        </is>
      </c>
      <c r="B500" s="17" t="n"/>
      <c r="C500" s="14" t="n"/>
      <c r="D500" s="27" t="n"/>
      <c r="E500" s="28" t="n"/>
      <c r="F500" s="15">
        <f>IF(OR(D454&lt;&gt;"",E454&lt;&gt;""),IF(D454="",0,D454)+IF(E454="",0,E454),"")</f>
        <v/>
      </c>
      <c r="G500" s="14" t="n"/>
    </row>
    <row r="501">
      <c r="A501" s="14" t="inlineStr">
        <is>
          <t>Noviembre</t>
        </is>
      </c>
      <c r="B501" s="17" t="n"/>
      <c r="C501" s="14" t="n"/>
      <c r="D501" s="27" t="n"/>
      <c r="E501" s="28" t="n"/>
      <c r="F501" s="15">
        <f>IF(OR(D455&lt;&gt;"",E455&lt;&gt;""),IF(D455="",0,D455)+IF(E455="",0,E455),"")</f>
        <v/>
      </c>
      <c r="G501" s="14" t="n"/>
    </row>
    <row r="502">
      <c r="A502" s="14" t="inlineStr">
        <is>
          <t>Noviembre</t>
        </is>
      </c>
      <c r="B502" s="17" t="n"/>
      <c r="C502" s="14" t="n"/>
      <c r="D502" s="27" t="n"/>
      <c r="E502" s="28" t="n"/>
      <c r="F502" s="15">
        <f>IF(OR(D456&lt;&gt;"",E456&lt;&gt;""),IF(D456="",0,D456)+IF(E456="",0,E456),"")</f>
        <v/>
      </c>
      <c r="G502" s="14" t="n"/>
    </row>
    <row r="503">
      <c r="A503" s="14" t="inlineStr">
        <is>
          <t>Noviembre</t>
        </is>
      </c>
      <c r="B503" s="17" t="n"/>
      <c r="C503" s="14" t="n"/>
      <c r="D503" s="27" t="n"/>
      <c r="E503" s="28" t="n"/>
      <c r="F503" s="15">
        <f>IF(OR(D457&lt;&gt;"",E457&lt;&gt;""),IF(D457="",0,D457)+IF(E457="",0,E457),"")</f>
        <v/>
      </c>
      <c r="G503" s="14" t="n"/>
    </row>
    <row r="504">
      <c r="A504" s="14" t="inlineStr">
        <is>
          <t>Noviembre</t>
        </is>
      </c>
      <c r="B504" s="17" t="n"/>
      <c r="C504" s="14" t="n"/>
      <c r="D504" s="27" t="n"/>
      <c r="E504" s="28" t="n"/>
      <c r="F504" s="15">
        <f>IF(OR(D458&lt;&gt;"",E458&lt;&gt;""),IF(D458="",0,D458)+IF(E458="",0,E458),"")</f>
        <v/>
      </c>
      <c r="G504" s="14" t="n"/>
    </row>
    <row r="505">
      <c r="A505" s="14" t="inlineStr">
        <is>
          <t>Noviembre</t>
        </is>
      </c>
      <c r="B505" s="17" t="n"/>
      <c r="C505" s="14" t="n"/>
      <c r="D505" s="27" t="n"/>
      <c r="E505" s="28" t="n"/>
      <c r="F505" s="15">
        <f>IF(OR(D459&lt;&gt;"",E459&lt;&gt;""),IF(D459="",0,D459)+IF(E459="",0,E459),"")</f>
        <v/>
      </c>
      <c r="G505" s="14" t="n"/>
    </row>
    <row r="506">
      <c r="A506" s="14" t="inlineStr">
        <is>
          <t>Noviembre</t>
        </is>
      </c>
      <c r="B506" s="17" t="n"/>
      <c r="C506" s="14" t="n"/>
      <c r="D506" s="27" t="n"/>
      <c r="E506" s="28" t="n"/>
      <c r="F506" s="15">
        <f>IF(OR(D460&lt;&gt;"",E460&lt;&gt;""),IF(D460="",0,D460)+IF(E460="",0,E460),"")</f>
        <v/>
      </c>
      <c r="G506" s="14" t="n"/>
    </row>
    <row r="507">
      <c r="A507" s="14" t="inlineStr">
        <is>
          <t>Noviembre</t>
        </is>
      </c>
      <c r="B507" s="17" t="n"/>
      <c r="C507" s="14" t="n"/>
      <c r="D507" s="27" t="n"/>
      <c r="E507" s="28" t="n"/>
      <c r="F507" s="15">
        <f>IF(OR(D461&lt;&gt;"",E461&lt;&gt;""),IF(D461="",0,D461)+IF(E461="",0,E461),"")</f>
        <v/>
      </c>
      <c r="G507" s="14" t="n"/>
    </row>
    <row r="508">
      <c r="A508" s="14" t="inlineStr">
        <is>
          <t>Noviembre</t>
        </is>
      </c>
      <c r="B508" s="17" t="n"/>
      <c r="C508" s="14" t="n"/>
      <c r="D508" s="27" t="n"/>
      <c r="E508" s="28" t="n"/>
      <c r="F508" s="15">
        <f>IF(OR(D462&lt;&gt;"",E462&lt;&gt;""),IF(D462="",0,D462)+IF(E462="",0,E462),"")</f>
        <v/>
      </c>
      <c r="G508" s="14" t="n"/>
    </row>
    <row r="509">
      <c r="A509" s="14" t="inlineStr">
        <is>
          <t>Noviembre</t>
        </is>
      </c>
      <c r="B509" s="17" t="n"/>
      <c r="C509" s="14" t="n"/>
      <c r="D509" s="27" t="n"/>
      <c r="E509" s="28" t="n"/>
      <c r="F509" s="15">
        <f>IF(OR(D463&lt;&gt;"",E463&lt;&gt;""),IF(D463="",0,D463)+IF(E463="",0,E463),"")</f>
        <v/>
      </c>
      <c r="G509" s="14" t="n"/>
    </row>
    <row r="510">
      <c r="A510" s="10" t="inlineStr">
        <is>
          <t>TOTAL NOVIEMBRE</t>
        </is>
      </c>
      <c r="B510" s="22" t="n"/>
      <c r="C510" s="29" t="inlineStr">
        <is>
          <t>Totales mes →</t>
        </is>
      </c>
      <c r="D510" s="7">
        <f>SUMIFS($D$4:$D$800,$A$4:$A$800,"Noviembre")</f>
        <v/>
      </c>
      <c r="E510" s="7">
        <f>SUMIFS($E$4:$E$800,$A$4:$A$800,"Noviembre")</f>
        <v/>
      </c>
      <c r="F510" s="7">
        <f>D510+E510</f>
        <v/>
      </c>
      <c r="G510" s="22" t="n"/>
    </row>
    <row r="512">
      <c r="A512" s="14" t="inlineStr">
        <is>
          <t>Diciembre</t>
        </is>
      </c>
      <c r="B512" s="17" t="n"/>
      <c r="C512" s="14" t="n"/>
      <c r="D512" s="27" t="n"/>
      <c r="E512" s="28" t="n"/>
      <c r="F512" s="15">
        <f>IF(OR(D466&lt;&gt;"",E466&lt;&gt;""),IF(D466="",0,D466)+IF(E466="",0,E466),"")</f>
        <v/>
      </c>
      <c r="G512" s="14" t="n"/>
    </row>
    <row r="513">
      <c r="A513" s="14" t="inlineStr">
        <is>
          <t>Diciembre</t>
        </is>
      </c>
      <c r="B513" s="17" t="n"/>
      <c r="C513" s="14" t="n"/>
      <c r="D513" s="27" t="n"/>
      <c r="E513" s="28" t="n"/>
      <c r="F513" s="15">
        <f>IF(OR(D467&lt;&gt;"",E467&lt;&gt;""),IF(D467="",0,D467)+IF(E467="",0,E467),"")</f>
        <v/>
      </c>
      <c r="G513" s="14" t="n"/>
    </row>
    <row r="514">
      <c r="A514" s="14" t="inlineStr">
        <is>
          <t>Diciembre</t>
        </is>
      </c>
      <c r="B514" s="17" t="n"/>
      <c r="C514" s="14" t="n"/>
      <c r="D514" s="27" t="n"/>
      <c r="E514" s="28" t="n"/>
      <c r="F514" s="15">
        <f>IF(OR(D468&lt;&gt;"",E468&lt;&gt;""),IF(D468="",0,D468)+IF(E468="",0,E468),"")</f>
        <v/>
      </c>
      <c r="G514" s="14" t="n"/>
    </row>
    <row r="515">
      <c r="A515" s="14" t="inlineStr">
        <is>
          <t>Diciembre</t>
        </is>
      </c>
      <c r="B515" s="17" t="n"/>
      <c r="C515" s="14" t="n"/>
      <c r="D515" s="27" t="n"/>
      <c r="E515" s="28" t="n"/>
      <c r="F515" s="15">
        <f>IF(OR(D469&lt;&gt;"",E469&lt;&gt;""),IF(D469="",0,D469)+IF(E469="",0,E469),"")</f>
        <v/>
      </c>
      <c r="G515" s="14" t="n"/>
    </row>
    <row r="516">
      <c r="A516" s="14" t="inlineStr">
        <is>
          <t>Diciembre</t>
        </is>
      </c>
      <c r="B516" s="17" t="n"/>
      <c r="C516" s="14" t="n"/>
      <c r="D516" s="27" t="n"/>
      <c r="E516" s="28" t="n"/>
      <c r="F516" s="15">
        <f>IF(OR(D470&lt;&gt;"",E470&lt;&gt;""),IF(D470="",0,D470)+IF(E470="",0,E470),"")</f>
        <v/>
      </c>
      <c r="G516" s="14" t="n"/>
    </row>
    <row r="517">
      <c r="A517" s="14" t="inlineStr">
        <is>
          <t>Diciembre</t>
        </is>
      </c>
      <c r="B517" s="17" t="n"/>
      <c r="C517" s="14" t="n"/>
      <c r="D517" s="27" t="n"/>
      <c r="E517" s="28" t="n"/>
      <c r="F517" s="15">
        <f>IF(OR(D471&lt;&gt;"",E471&lt;&gt;""),IF(D471="",0,D471)+IF(E471="",0,E471),"")</f>
        <v/>
      </c>
      <c r="G517" s="14" t="n"/>
    </row>
    <row r="518">
      <c r="A518" s="14" t="inlineStr">
        <is>
          <t>Diciembre</t>
        </is>
      </c>
      <c r="B518" s="17" t="n"/>
      <c r="C518" s="14" t="n"/>
      <c r="D518" s="27" t="n"/>
      <c r="E518" s="28" t="n"/>
      <c r="F518" s="15">
        <f>IF(OR(D472&lt;&gt;"",E472&lt;&gt;""),IF(D472="",0,D472)+IF(E472="",0,E472),"")</f>
        <v/>
      </c>
      <c r="G518" s="14" t="n"/>
    </row>
    <row r="519">
      <c r="A519" s="14" t="inlineStr">
        <is>
          <t>Diciembre</t>
        </is>
      </c>
      <c r="B519" s="17" t="n"/>
      <c r="C519" s="14" t="n"/>
      <c r="D519" s="27" t="n"/>
      <c r="E519" s="28" t="n"/>
      <c r="F519" s="15">
        <f>IF(OR(D473&lt;&gt;"",E473&lt;&gt;""),IF(D473="",0,D473)+IF(E473="",0,E473),"")</f>
        <v/>
      </c>
      <c r="G519" s="14" t="n"/>
    </row>
    <row r="520">
      <c r="A520" s="14" t="inlineStr">
        <is>
          <t>Diciembre</t>
        </is>
      </c>
      <c r="B520" s="17" t="n"/>
      <c r="C520" s="14" t="n"/>
      <c r="D520" s="27" t="n"/>
      <c r="E520" s="28" t="n"/>
      <c r="F520" s="15">
        <f>IF(OR(D474&lt;&gt;"",E474&lt;&gt;""),IF(D474="",0,D474)+IF(E474="",0,E474),"")</f>
        <v/>
      </c>
      <c r="G520" s="14" t="n"/>
    </row>
    <row r="521">
      <c r="A521" s="14" t="inlineStr">
        <is>
          <t>Diciembre</t>
        </is>
      </c>
      <c r="B521" s="17" t="n"/>
      <c r="C521" s="14" t="n"/>
      <c r="D521" s="27" t="n"/>
      <c r="E521" s="28" t="n"/>
      <c r="F521" s="15">
        <f>IF(OR(D475&lt;&gt;"",E475&lt;&gt;""),IF(D475="",0,D475)+IF(E475="",0,E475),"")</f>
        <v/>
      </c>
      <c r="G521" s="14" t="n"/>
    </row>
    <row r="522">
      <c r="A522" s="14" t="inlineStr">
        <is>
          <t>Diciembre</t>
        </is>
      </c>
      <c r="B522" s="17" t="n"/>
      <c r="C522" s="14" t="n"/>
      <c r="D522" s="27" t="n"/>
      <c r="E522" s="28" t="n"/>
      <c r="F522" s="15">
        <f>IF(OR(D476&lt;&gt;"",E476&lt;&gt;""),IF(D476="",0,D476)+IF(E476="",0,E476),"")</f>
        <v/>
      </c>
      <c r="G522" s="14" t="n"/>
    </row>
    <row r="523">
      <c r="A523" s="14" t="inlineStr">
        <is>
          <t>Diciembre</t>
        </is>
      </c>
      <c r="B523" s="17" t="n"/>
      <c r="C523" s="14" t="n"/>
      <c r="D523" s="27" t="n"/>
      <c r="E523" s="28" t="n"/>
      <c r="F523" s="15">
        <f>IF(OR(D477&lt;&gt;"",E477&lt;&gt;""),IF(D477="",0,D477)+IF(E477="",0,E477),"")</f>
        <v/>
      </c>
      <c r="G523" s="14" t="n"/>
    </row>
    <row r="524">
      <c r="A524" s="14" t="inlineStr">
        <is>
          <t>Diciembre</t>
        </is>
      </c>
      <c r="B524" s="17" t="n"/>
      <c r="C524" s="14" t="n"/>
      <c r="D524" s="27" t="n"/>
      <c r="E524" s="28" t="n"/>
      <c r="F524" s="15">
        <f>IF(OR(D478&lt;&gt;"",E478&lt;&gt;""),IF(D478="",0,D478)+IF(E478="",0,E478),"")</f>
        <v/>
      </c>
      <c r="G524" s="14" t="n"/>
    </row>
    <row r="525">
      <c r="A525" s="14" t="inlineStr">
        <is>
          <t>Diciembre</t>
        </is>
      </c>
      <c r="B525" s="17" t="n"/>
      <c r="C525" s="14" t="n"/>
      <c r="D525" s="27" t="n"/>
      <c r="E525" s="28" t="n"/>
      <c r="F525" s="15">
        <f>IF(OR(D479&lt;&gt;"",E479&lt;&gt;""),IF(D479="",0,D479)+IF(E479="",0,E479),"")</f>
        <v/>
      </c>
      <c r="G525" s="14" t="n"/>
    </row>
    <row r="526">
      <c r="A526" s="14" t="inlineStr">
        <is>
          <t>Diciembre</t>
        </is>
      </c>
      <c r="B526" s="17" t="n"/>
      <c r="C526" s="14" t="n"/>
      <c r="D526" s="27" t="n"/>
      <c r="E526" s="28" t="n"/>
      <c r="F526" s="15">
        <f>IF(OR(D480&lt;&gt;"",E480&lt;&gt;""),IF(D480="",0,D480)+IF(E480="",0,E480),"")</f>
        <v/>
      </c>
      <c r="G526" s="14" t="n"/>
    </row>
    <row r="527">
      <c r="A527" s="14" t="inlineStr">
        <is>
          <t>Diciembre</t>
        </is>
      </c>
      <c r="B527" s="17" t="n"/>
      <c r="C527" s="14" t="n"/>
      <c r="D527" s="27" t="n"/>
      <c r="E527" s="28" t="n"/>
      <c r="F527" s="15">
        <f>IF(OR(D481&lt;&gt;"",E481&lt;&gt;""),IF(D481="",0,D481)+IF(E481="",0,E481),"")</f>
        <v/>
      </c>
      <c r="G527" s="14" t="n"/>
    </row>
    <row r="528">
      <c r="A528" s="14" t="inlineStr">
        <is>
          <t>Diciembre</t>
        </is>
      </c>
      <c r="B528" s="17" t="n"/>
      <c r="C528" s="14" t="n"/>
      <c r="D528" s="27" t="n"/>
      <c r="E528" s="28" t="n"/>
      <c r="F528" s="15">
        <f>IF(OR(D482&lt;&gt;"",E482&lt;&gt;""),IF(D482="",0,D482)+IF(E482="",0,E482),"")</f>
        <v/>
      </c>
      <c r="G528" s="14" t="n"/>
    </row>
    <row r="529">
      <c r="A529" s="14" t="inlineStr">
        <is>
          <t>Diciembre</t>
        </is>
      </c>
      <c r="B529" s="17" t="n"/>
      <c r="C529" s="14" t="n"/>
      <c r="D529" s="27" t="n"/>
      <c r="E529" s="28" t="n"/>
      <c r="F529" s="15">
        <f>IF(OR(D483&lt;&gt;"",E483&lt;&gt;""),IF(D483="",0,D483)+IF(E483="",0,E483),"")</f>
        <v/>
      </c>
      <c r="G529" s="14" t="n"/>
    </row>
    <row r="530">
      <c r="A530" s="14" t="inlineStr">
        <is>
          <t>Diciembre</t>
        </is>
      </c>
      <c r="B530" s="17" t="n"/>
      <c r="C530" s="14" t="n"/>
      <c r="D530" s="27" t="n"/>
      <c r="E530" s="28" t="n"/>
      <c r="F530" s="15">
        <f>IF(OR(D484&lt;&gt;"",E484&lt;&gt;""),IF(D484="",0,D484)+IF(E484="",0,E484),"")</f>
        <v/>
      </c>
      <c r="G530" s="14" t="n"/>
    </row>
    <row r="531">
      <c r="A531" s="14" t="inlineStr">
        <is>
          <t>Diciembre</t>
        </is>
      </c>
      <c r="B531" s="17" t="n"/>
      <c r="C531" s="14" t="n"/>
      <c r="D531" s="27" t="n"/>
      <c r="E531" s="28" t="n"/>
      <c r="F531" s="15">
        <f>IF(OR(D485&lt;&gt;"",E485&lt;&gt;""),IF(D485="",0,D485)+IF(E485="",0,E485),"")</f>
        <v/>
      </c>
      <c r="G531" s="14" t="n"/>
    </row>
    <row r="532">
      <c r="A532" s="14" t="inlineStr">
        <is>
          <t>Diciembre</t>
        </is>
      </c>
      <c r="B532" s="17" t="n"/>
      <c r="C532" s="14" t="n"/>
      <c r="D532" s="27" t="n"/>
      <c r="E532" s="28" t="n"/>
      <c r="F532" s="15">
        <f>IF(OR(D486&lt;&gt;"",E486&lt;&gt;""),IF(D486="",0,D486)+IF(E486="",0,E486),"")</f>
        <v/>
      </c>
      <c r="G532" s="14" t="n"/>
    </row>
    <row r="533">
      <c r="A533" s="14" t="inlineStr">
        <is>
          <t>Diciembre</t>
        </is>
      </c>
      <c r="B533" s="17" t="n"/>
      <c r="C533" s="14" t="n"/>
      <c r="D533" s="27" t="n"/>
      <c r="E533" s="28" t="n"/>
      <c r="F533" s="15">
        <f>IF(OR(D487&lt;&gt;"",E487&lt;&gt;""),IF(D487="",0,D487)+IF(E487="",0,E487),"")</f>
        <v/>
      </c>
      <c r="G533" s="14" t="n"/>
    </row>
    <row r="534">
      <c r="A534" s="14" t="inlineStr">
        <is>
          <t>Diciembre</t>
        </is>
      </c>
      <c r="B534" s="17" t="n"/>
      <c r="C534" s="14" t="n"/>
      <c r="D534" s="27" t="n"/>
      <c r="E534" s="28" t="n"/>
      <c r="F534" s="15">
        <f>IF(OR(D488&lt;&gt;"",E488&lt;&gt;""),IF(D488="",0,D488)+IF(E488="",0,E488),"")</f>
        <v/>
      </c>
      <c r="G534" s="14" t="n"/>
    </row>
    <row r="535">
      <c r="A535" s="14" t="inlineStr">
        <is>
          <t>Diciembre</t>
        </is>
      </c>
      <c r="B535" s="17" t="n"/>
      <c r="C535" s="14" t="n"/>
      <c r="D535" s="27" t="n"/>
      <c r="E535" s="28" t="n"/>
      <c r="F535" s="15">
        <f>IF(OR(D489&lt;&gt;"",E489&lt;&gt;""),IF(D489="",0,D489)+IF(E489="",0,E489),"")</f>
        <v/>
      </c>
      <c r="G535" s="14" t="n"/>
    </row>
    <row r="536">
      <c r="A536" s="14" t="inlineStr">
        <is>
          <t>Diciembre</t>
        </is>
      </c>
      <c r="B536" s="17" t="n"/>
      <c r="C536" s="14" t="n"/>
      <c r="D536" s="27" t="n"/>
      <c r="E536" s="28" t="n"/>
      <c r="F536" s="15">
        <f>IF(OR(D490&lt;&gt;"",E490&lt;&gt;""),IF(D490="",0,D490)+IF(E490="",0,E490),"")</f>
        <v/>
      </c>
      <c r="G536" s="14" t="n"/>
    </row>
    <row r="537">
      <c r="A537" s="14" t="inlineStr">
        <is>
          <t>Diciembre</t>
        </is>
      </c>
      <c r="B537" s="17" t="n"/>
      <c r="C537" s="14" t="n"/>
      <c r="D537" s="27" t="n"/>
      <c r="E537" s="28" t="n"/>
      <c r="F537" s="15">
        <f>IF(OR(D491&lt;&gt;"",E491&lt;&gt;""),IF(D491="",0,D491)+IF(E491="",0,E491),"")</f>
        <v/>
      </c>
      <c r="G537" s="14" t="n"/>
    </row>
    <row r="538">
      <c r="A538" s="14" t="inlineStr">
        <is>
          <t>Diciembre</t>
        </is>
      </c>
      <c r="B538" s="17" t="n"/>
      <c r="C538" s="14" t="n"/>
      <c r="D538" s="27" t="n"/>
      <c r="E538" s="28" t="n"/>
      <c r="F538" s="15">
        <f>IF(OR(D492&lt;&gt;"",E492&lt;&gt;""),IF(D492="",0,D492)+IF(E492="",0,E492),"")</f>
        <v/>
      </c>
      <c r="G538" s="14" t="n"/>
    </row>
    <row r="539">
      <c r="A539" s="14" t="inlineStr">
        <is>
          <t>Diciembre</t>
        </is>
      </c>
      <c r="B539" s="17" t="n"/>
      <c r="C539" s="14" t="n"/>
      <c r="D539" s="27" t="n"/>
      <c r="E539" s="28" t="n"/>
      <c r="F539" s="15">
        <f>IF(OR(D493&lt;&gt;"",E493&lt;&gt;""),IF(D493="",0,D493)+IF(E493="",0,E493),"")</f>
        <v/>
      </c>
      <c r="G539" s="14" t="n"/>
    </row>
    <row r="540">
      <c r="A540" s="14" t="inlineStr">
        <is>
          <t>Diciembre</t>
        </is>
      </c>
      <c r="B540" s="17" t="n"/>
      <c r="C540" s="14" t="n"/>
      <c r="D540" s="27" t="n"/>
      <c r="E540" s="28" t="n"/>
      <c r="F540" s="15">
        <f>IF(OR(D494&lt;&gt;"",E494&lt;&gt;""),IF(D494="",0,D494)+IF(E494="",0,E494),"")</f>
        <v/>
      </c>
      <c r="G540" s="14" t="n"/>
    </row>
    <row r="541">
      <c r="A541" s="14" t="inlineStr">
        <is>
          <t>Diciembre</t>
        </is>
      </c>
      <c r="B541" s="17" t="n"/>
      <c r="C541" s="14" t="n"/>
      <c r="D541" s="27" t="n"/>
      <c r="E541" s="28" t="n"/>
      <c r="F541" s="15">
        <f>IF(OR(D495&lt;&gt;"",E495&lt;&gt;""),IF(D495="",0,D495)+IF(E495="",0,E495),"")</f>
        <v/>
      </c>
      <c r="G541" s="14" t="n"/>
    </row>
    <row r="542">
      <c r="A542" s="14" t="inlineStr">
        <is>
          <t>Diciembre</t>
        </is>
      </c>
      <c r="B542" s="17" t="n"/>
      <c r="C542" s="14" t="n"/>
      <c r="D542" s="27" t="n"/>
      <c r="E542" s="28" t="n"/>
      <c r="F542" s="15">
        <f>IF(OR(D496&lt;&gt;"",E496&lt;&gt;""),IF(D496="",0,D496)+IF(E496="",0,E496),"")</f>
        <v/>
      </c>
      <c r="G542" s="14" t="n"/>
    </row>
    <row r="543">
      <c r="A543" s="14" t="inlineStr">
        <is>
          <t>Diciembre</t>
        </is>
      </c>
      <c r="B543" s="17" t="n"/>
      <c r="C543" s="14" t="n"/>
      <c r="D543" s="27" t="n"/>
      <c r="E543" s="28" t="n"/>
      <c r="F543" s="15">
        <f>IF(OR(D497&lt;&gt;"",E497&lt;&gt;""),IF(D497="",0,D497)+IF(E497="",0,E497),"")</f>
        <v/>
      </c>
      <c r="G543" s="14" t="n"/>
    </row>
    <row r="544">
      <c r="A544" s="14" t="inlineStr">
        <is>
          <t>Diciembre</t>
        </is>
      </c>
      <c r="B544" s="17" t="n"/>
      <c r="C544" s="14" t="n"/>
      <c r="D544" s="27" t="n"/>
      <c r="E544" s="28" t="n"/>
      <c r="F544" s="15">
        <f>IF(OR(D498&lt;&gt;"",E498&lt;&gt;""),IF(D498="",0,D498)+IF(E498="",0,E498),"")</f>
        <v/>
      </c>
      <c r="G544" s="14" t="n"/>
    </row>
    <row r="545">
      <c r="A545" s="14" t="inlineStr">
        <is>
          <t>Diciembre</t>
        </is>
      </c>
      <c r="B545" s="17" t="n"/>
      <c r="C545" s="14" t="n"/>
      <c r="D545" s="27" t="n"/>
      <c r="E545" s="28" t="n"/>
      <c r="F545" s="15">
        <f>IF(OR(D499&lt;&gt;"",E499&lt;&gt;""),IF(D499="",0,D499)+IF(E499="",0,E499),"")</f>
        <v/>
      </c>
      <c r="G545" s="14" t="n"/>
    </row>
    <row r="546">
      <c r="A546" s="14" t="inlineStr">
        <is>
          <t>Diciembre</t>
        </is>
      </c>
      <c r="B546" s="17" t="n"/>
      <c r="C546" s="14" t="n"/>
      <c r="D546" s="27" t="n"/>
      <c r="E546" s="28" t="n"/>
      <c r="F546" s="15">
        <f>IF(OR(D500&lt;&gt;"",E500&lt;&gt;""),IF(D500="",0,D500)+IF(E500="",0,E500),"")</f>
        <v/>
      </c>
      <c r="G546" s="14" t="n"/>
    </row>
    <row r="547">
      <c r="A547" s="14" t="inlineStr">
        <is>
          <t>Diciembre</t>
        </is>
      </c>
      <c r="B547" s="17" t="n"/>
      <c r="C547" s="14" t="n"/>
      <c r="D547" s="27" t="n"/>
      <c r="E547" s="28" t="n"/>
      <c r="F547" s="15">
        <f>IF(OR(D501&lt;&gt;"",E501&lt;&gt;""),IF(D501="",0,D501)+IF(E501="",0,E501),"")</f>
        <v/>
      </c>
      <c r="G547" s="14" t="n"/>
    </row>
    <row r="548">
      <c r="A548" s="14" t="inlineStr">
        <is>
          <t>Diciembre</t>
        </is>
      </c>
      <c r="B548" s="17" t="n"/>
      <c r="C548" s="14" t="n"/>
      <c r="D548" s="27" t="n"/>
      <c r="E548" s="28" t="n"/>
      <c r="F548" s="15">
        <f>IF(OR(D502&lt;&gt;"",E502&lt;&gt;""),IF(D502="",0,D502)+IF(E502="",0,E502),"")</f>
        <v/>
      </c>
      <c r="G548" s="14" t="n"/>
    </row>
    <row r="549">
      <c r="A549" s="14" t="inlineStr">
        <is>
          <t>Diciembre</t>
        </is>
      </c>
      <c r="B549" s="17" t="n"/>
      <c r="C549" s="14" t="n"/>
      <c r="D549" s="27" t="n"/>
      <c r="E549" s="28" t="n"/>
      <c r="F549" s="15">
        <f>IF(OR(D503&lt;&gt;"",E503&lt;&gt;""),IF(D503="",0,D503)+IF(E503="",0,E503),"")</f>
        <v/>
      </c>
      <c r="G549" s="14" t="n"/>
    </row>
    <row r="550">
      <c r="A550" s="14" t="inlineStr">
        <is>
          <t>Diciembre</t>
        </is>
      </c>
      <c r="B550" s="17" t="n"/>
      <c r="C550" s="14" t="n"/>
      <c r="D550" s="27" t="n"/>
      <c r="E550" s="28" t="n"/>
      <c r="F550" s="15">
        <f>IF(OR(D504&lt;&gt;"",E504&lt;&gt;""),IF(D504="",0,D504)+IF(E504="",0,E504),"")</f>
        <v/>
      </c>
      <c r="G550" s="14" t="n"/>
    </row>
    <row r="551">
      <c r="A551" s="14" t="inlineStr">
        <is>
          <t>Diciembre</t>
        </is>
      </c>
      <c r="B551" s="17" t="n"/>
      <c r="C551" s="14" t="n"/>
      <c r="D551" s="27" t="n"/>
      <c r="E551" s="28" t="n"/>
      <c r="F551" s="15">
        <f>IF(OR(D505&lt;&gt;"",E505&lt;&gt;""),IF(D505="",0,D505)+IF(E505="",0,E505),"")</f>
        <v/>
      </c>
      <c r="G551" s="14" t="n"/>
    </row>
    <row r="552">
      <c r="A552" s="10" t="inlineStr">
        <is>
          <t>TOTAL DICIEMBRE</t>
        </is>
      </c>
      <c r="B552" s="22" t="n"/>
      <c r="C552" s="29" t="inlineStr">
        <is>
          <t>Totales mes →</t>
        </is>
      </c>
      <c r="D552" s="7">
        <f>SUMIFS($D$4:$D$800,$A$4:$A$800,"Diciembre")</f>
        <v/>
      </c>
      <c r="E552" s="7">
        <f>SUMIFS($E$4:$E$800,$A$4:$A$800,"Diciembre")</f>
        <v/>
      </c>
      <c r="F552" s="7">
        <f>D552+E552</f>
        <v/>
      </c>
      <c r="G552" s="22" t="n"/>
    </row>
    <row r="553">
      <c r="A553" t="inlineStr">
        <is>
          <t>Enero</t>
        </is>
      </c>
      <c r="B553" s="54" t="n">
        <v>46034</v>
      </c>
      <c r="C553" t="inlineStr">
        <is>
          <t>SUPERMERCADO · Coto</t>
        </is>
      </c>
      <c r="D553" t="n">
        <v>337644</v>
      </c>
      <c r="F553">
        <f>IF(OR(D523&lt;&gt;"",E523&lt;&gt;""),IF(D523="",0,D523)+IF(E523="",0,E523),"")</f>
        <v/>
      </c>
      <c r="G553" t="inlineStr">
        <is>
          <t>SUPERMERCADO · Coto · TC Mercado Pago · compra 2025-12-22</t>
        </is>
      </c>
    </row>
    <row r="554">
      <c r="A554" t="inlineStr">
        <is>
          <t>Enero</t>
        </is>
      </c>
      <c r="B554" s="54" t="n">
        <v>46034</v>
      </c>
      <c r="C554" t="inlineStr">
        <is>
          <t>SUPERMERCADO · Coto</t>
        </is>
      </c>
      <c r="D554" t="n">
        <v>-49597</v>
      </c>
      <c r="F554">
        <f>IF(OR(D524&lt;&gt;"",E524&lt;&gt;""),IF(D524="",0,D524)+IF(E524="",0,E524),"")</f>
        <v/>
      </c>
      <c r="G55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7"/>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46183</v>
      </c>
      <c r="B22" s="14" t="inlineStr">
        <is>
          <t>Expensas</t>
        </is>
      </c>
      <c r="C22" s="14" t="inlineStr">
        <is>
          <t>Expensas — Mayo 2026 (pago Gmail Sent Defilippo 10/06)</t>
        </is>
      </c>
      <c r="D22" s="15" t="n">
        <v>246150</v>
      </c>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46212</v>
      </c>
      <c r="B31" s="14" t="inlineStr">
        <is>
          <t>Expensas</t>
        </is>
      </c>
      <c r="C31" s="14" t="inlineStr">
        <is>
          <t>Expensas — Junio 2026 (pago Gmail Sent Defilippo 09/07)</t>
        </is>
      </c>
      <c r="D31" s="15" t="n">
        <v>273500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46244</v>
      </c>
      <c r="B34" s="14" t="inlineStr">
        <is>
          <t>Expensas</t>
        </is>
      </c>
      <c r="C34" s="14" t="inlineStr">
        <is>
          <t>Expensas — Julio 2026 (pago Gmail Sent Defilippo 10/08 · cupón $300.850)</t>
        </is>
      </c>
      <c r="D34" s="15" t="n">
        <v>300850</v>
      </c>
      <c r="E34" s="14" t="inlineStr">
        <is>
          <t>Transferencia</t>
        </is>
      </c>
      <c r="F34" s="18" t="inlineStr"/>
      <c r="G34" s="18" t="inlineStr"/>
      <c r="H34" s="14" t="inlineStr">
        <is>
          <t>Consorcio de Propietarios · Pagado</t>
        </is>
      </c>
      <c r="I34" s="14" t="inlineStr">
        <is>
          <t>Julio</t>
        </is>
      </c>
    </row>
    <row r="35">
      <c r="A35" s="17" t="n">
        <v>46255</v>
      </c>
      <c r="B35" s="14" t="inlineStr">
        <is>
          <t>Telecentro</t>
        </is>
      </c>
      <c r="C35" s="14" t="inlineStr">
        <is>
          <t>Telecentro CIUDAD — débito BBVA 21/08/2026</t>
        </is>
      </c>
      <c r="D35" s="15" t="n">
        <v>82364</v>
      </c>
      <c r="E35" s="14" t="inlineStr">
        <is>
          <t>Débito BBVA</t>
        </is>
      </c>
      <c r="F35" s="18" t="inlineStr"/>
      <c r="G35" s="18" t="inlineStr"/>
      <c r="H35" s="14" t="inlineStr">
        <is>
          <t>Gmail Compra aprobada BBVA · ARS 82.363,35 · mes=cobro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46318</v>
      </c>
      <c r="B37" s="14" t="inlineStr">
        <is>
          <t>Telecentro</t>
        </is>
      </c>
      <c r="C37" s="14" t="inlineStr">
        <is>
          <t>Telecentro CIUDAD — débito BBVA 23/10/2026</t>
        </is>
      </c>
      <c r="D37" s="15" t="n">
        <v>70289</v>
      </c>
      <c r="E37" s="14" t="inlineStr">
        <is>
          <t>Débito BBVA</t>
        </is>
      </c>
      <c r="F37" s="18" t="inlineStr"/>
      <c r="G37" s="18" t="inlineStr"/>
      <c r="H37" s="14" t="inlineStr">
        <is>
          <t>Gmail Compra aprobada BBVA · ARS 70.289 · mes=cobro; deja de aplicar fijo $50.000</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46275</v>
      </c>
      <c r="B77" t="inlineStr">
        <is>
          <t>Expensas</t>
        </is>
      </c>
      <c r="C77" t="inlineStr">
        <is>
          <t>Expensas — Agosto 2026 (pago Gmail Sent Defilippo 10/09 · cupón $300.850)</t>
        </is>
      </c>
      <c r="D77" t="n">
        <v>300850</v>
      </c>
      <c r="E77" t="inlineStr">
        <is>
          <t>Transferencia</t>
        </is>
      </c>
      <c r="H77" t="inlineStr">
        <is>
          <t>Período agosto · De Filippo · UF 2 1-A · pagado septiembre</t>
        </is>
      </c>
      <c r="I77" t="inlineStr">
        <is>
          <t>Agosto</t>
        </is>
      </c>
    </row>
    <row r="78">
      <c r="A78" s="63" t="n">
        <v>46305</v>
      </c>
      <c r="B78" t="inlineStr">
        <is>
          <t>Expensas</t>
        </is>
      </c>
      <c r="C78" t="inlineStr">
        <is>
          <t>Expensas — Septiembre 2026 (pago Gmail Sent Defilippo 10/10 · MP $328.200 · cupón)</t>
        </is>
      </c>
      <c r="D78" t="n">
        <v>328200</v>
      </c>
      <c r="E78" t="inlineStr">
        <is>
          <t>Transferencia</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row r="82">
      <c r="A82" s="54" t="n">
        <v>46239</v>
      </c>
      <c r="B82" t="inlineStr">
        <is>
          <t>Metrogas</t>
        </is>
      </c>
      <c r="C82" t="inlineStr">
        <is>
          <t>Gas Metrogas CIUDAD — débito BBVA 05/08/2026</t>
        </is>
      </c>
      <c r="D82" t="n">
        <v>73695</v>
      </c>
      <c r="E82" t="inlineStr">
        <is>
          <t>Débito BBVA</t>
        </is>
      </c>
      <c r="F82" t="inlineStr">
        <is>
          <t>30010996459</t>
        </is>
      </c>
      <c r="H82" t="inlineStr">
        <is>
          <t>Gmail Compra aprobada · medidor 40049923</t>
        </is>
      </c>
      <c r="I82" t="inlineStr">
        <is>
          <t>Agosto</t>
        </is>
      </c>
    </row>
    <row r="83">
      <c r="A83" s="54" t="n">
        <v>46251</v>
      </c>
      <c r="B83" t="inlineStr">
        <is>
          <t>Metrogas</t>
        </is>
      </c>
      <c r="C83" t="inlineStr">
        <is>
          <t>Gas Metrogas CIUDAD — débito BBVA 17/08/2026</t>
        </is>
      </c>
      <c r="D83" t="n">
        <v>73187</v>
      </c>
      <c r="E83" t="inlineStr">
        <is>
          <t>Débito BBVA</t>
        </is>
      </c>
      <c r="F83" t="inlineStr">
        <is>
          <t>30010996459</t>
        </is>
      </c>
      <c r="H83" t="inlineStr">
        <is>
          <t>Gmail Compra aprobada · segundo cobro agosto</t>
        </is>
      </c>
      <c r="I83" t="inlineStr">
        <is>
          <t>Agosto</t>
        </is>
      </c>
    </row>
    <row r="84">
      <c r="A84" s="54" t="n">
        <v>46246</v>
      </c>
      <c r="B84" t="inlineStr">
        <is>
          <t>Edenor</t>
        </is>
      </c>
      <c r="C84" t="inlineStr">
        <is>
          <t>Luz Edenor CIUDAD — débito BBVA 12/08/2026 · Sanes</t>
        </is>
      </c>
      <c r="D84" t="n">
        <v>183272</v>
      </c>
      <c r="E84" t="inlineStr">
        <is>
          <t>Débito BBVA</t>
        </is>
      </c>
      <c r="F84" t="inlineStr">
        <is>
          <t>00008917502309</t>
        </is>
      </c>
      <c r="H84" t="inlineStr">
        <is>
          <t>Gmail Compra aprobada BBVA</t>
        </is>
      </c>
      <c r="I84" t="inlineStr">
        <is>
          <t>Agosto</t>
        </is>
      </c>
    </row>
    <row r="85">
      <c r="A85" s="54" t="n">
        <v>46262</v>
      </c>
      <c r="B85" t="inlineStr">
        <is>
          <t>Streaming</t>
        </is>
      </c>
      <c r="C85" t="inlineStr">
        <is>
          <t>Streaming música — Spotify · BBVA VISA 28/08/2026</t>
        </is>
      </c>
      <c r="D85" t="n">
        <v>4399</v>
      </c>
      <c r="E85" t="inlineStr">
        <is>
          <t>BBVA VISA</t>
        </is>
      </c>
      <c r="H85" t="inlineStr">
        <is>
          <t>Gmail Compra aprobada · ARS 4.399</t>
        </is>
      </c>
      <c r="I85" t="inlineStr">
        <is>
          <t>Agosto</t>
        </is>
      </c>
    </row>
    <row r="86">
      <c r="A86" s="54" t="n">
        <v>46313</v>
      </c>
      <c r="B86" t="inlineStr">
        <is>
          <t>Metrogas</t>
        </is>
      </c>
      <c r="C86" t="inlineStr">
        <is>
          <t>Gas Metrogas CIUDAD — débito BBVA 18/10/2026</t>
        </is>
      </c>
      <c r="D86" t="n">
        <v>106267</v>
      </c>
      <c r="E86" t="inlineStr">
        <is>
          <t>Débito BBVA</t>
        </is>
      </c>
      <c r="F86" t="inlineStr">
        <is>
          <t>30010996459</t>
        </is>
      </c>
      <c r="H86" t="inlineStr">
        <is>
          <t>Gmail Compra aprobada BBVA</t>
        </is>
      </c>
      <c r="I86" t="inlineStr">
        <is>
          <t>Octubre</t>
        </is>
      </c>
    </row>
    <row r="87">
      <c r="A87" s="54" t="n">
        <v>46307</v>
      </c>
      <c r="B87" t="inlineStr">
        <is>
          <t>Edenor</t>
        </is>
      </c>
      <c r="C87" t="inlineStr">
        <is>
          <t>Luz Edenor CIUDAD — débito BBVA 12/10/2026 · Sanes</t>
        </is>
      </c>
      <c r="D87" t="n">
        <v>66400</v>
      </c>
      <c r="E87" t="inlineStr">
        <is>
          <t>Débito BBVA</t>
        </is>
      </c>
      <c r="F87" t="inlineStr">
        <is>
          <t>00008917502309</t>
        </is>
      </c>
      <c r="H87" t="inlineStr">
        <is>
          <t>Gmail Compra aprobada BBVA</t>
        </is>
      </c>
      <c r="I87" t="inlineStr">
        <is>
          <t>Octubre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período junio 2026 · Gmail Sent Defilippo 09/07 · $273.500</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Mercado Pago — Transferencia enviada</t>
        </is>
      </c>
      <c r="G44" s="14" t="inlineStr">
        <is>
          <t>Pago de Expensas · CIUDAD 1132 · período agosto 2026 · Gmail Sent Defilippo 10/09 · cupón $300.850</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v>46244</v>
      </c>
      <c r="B48" s="14" t="inlineStr">
        <is>
          <t>Julio</t>
        </is>
      </c>
      <c r="C48" s="14" t="inlineStr">
        <is>
          <t>Consorcio De Propiet</t>
        </is>
      </c>
      <c r="D48" s="14" t="inlineStr">
        <is>
          <t>CIUDAD 1132</t>
        </is>
      </c>
      <c r="E48" s="15" t="n">
        <v>300850</v>
      </c>
      <c r="F48" s="14" t="inlineStr">
        <is>
          <t>Mercado Pago — Transferencia enviada</t>
        </is>
      </c>
      <c r="G48" s="14" t="inlineStr">
        <is>
          <t>Pago de Expensas · CIUDAD 1132 · período julio 2026 · Gmail Sent Defilippo 10/08 · cupón $300.850</t>
        </is>
      </c>
    </row>
    <row r="49">
      <c r="A49" s="17" t="n">
        <v>46305</v>
      </c>
      <c r="B49" s="14" t="inlineStr">
        <is>
          <t>Septiembre</t>
        </is>
      </c>
      <c r="C49" s="14" t="inlineStr">
        <is>
          <t>Consorcio De Propiet</t>
        </is>
      </c>
      <c r="D49" s="14" t="inlineStr">
        <is>
          <t>CIUDAD 1132</t>
        </is>
      </c>
      <c r="E49" s="15" t="n">
        <v>328200</v>
      </c>
      <c r="F49" s="14" t="inlineStr">
        <is>
          <t>Mercado Pago — Transferencia enviada</t>
        </is>
      </c>
      <c r="G49" s="14" t="inlineStr">
        <is>
          <t>Pago de Expensas · CIUDAD 1132 · período septiembre 2026 · Gmail Sent Defilippo 10/10 · MP op 183430766214</t>
        </is>
      </c>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61"/>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t>
        </is>
      </c>
      <c r="F522" t="inlineStr">
        <is>
          <t>COBRADO resumen BBVA · C.03/06 · cashflow cuotas BBVA · gasto personal Sol</t>
        </is>
      </c>
    </row>
    <row r="523">
      <c r="A523" s="54" t="n">
        <v>46231</v>
      </c>
      <c r="B523" t="inlineStr">
        <is>
          <t>Julio</t>
        </is>
      </c>
      <c r="C523" t="inlineStr">
        <is>
          <t>VESTIMENTA</t>
        </is>
      </c>
      <c r="D523" t="n">
        <v>98334</v>
      </c>
      <c r="E523" t="inlineStr">
        <is>
          <t>BBVA VISA</t>
        </is>
      </c>
      <c r="F523" t="inlineStr">
        <is>
          <t>ROPA · Bokenvoreno · COBRADO resumen BBVA · C.03/06 · cashflow cuotas BBVA · gasto personal Sol</t>
        </is>
      </c>
    </row>
    <row r="524">
      <c r="A524" s="54" t="n">
        <v>46231</v>
      </c>
      <c r="B524" t="inlineStr">
        <is>
          <t>Julio</t>
        </is>
      </c>
      <c r="C524" t="inlineStr">
        <is>
          <t>HOGAR</t>
        </is>
      </c>
      <c r="D524" t="n">
        <v>329986</v>
      </c>
      <c r="E524" t="inlineStr">
        <is>
          <t>BBVA VISA</t>
        </is>
      </c>
      <c r="F524" t="inlineStr">
        <is>
          <t>COBRADO resumen BBVA · C.03/03 · cashflow cuotas BBVA · gasto personal Sol · ex `CAMBIODEAIRES`</t>
        </is>
      </c>
    </row>
    <row r="525">
      <c r="A525" s="54" t="n">
        <v>46231</v>
      </c>
      <c r="B525" t="inlineStr">
        <is>
          <t>Julio</t>
        </is>
      </c>
      <c r="C525" t="inlineStr">
        <is>
          <t>ROPA</t>
        </is>
      </c>
      <c r="D525" t="n">
        <v>80834</v>
      </c>
      <c r="E525" t="inlineStr">
        <is>
          <t>BBVA MASTERCARD</t>
        </is>
      </c>
      <c r="F525" t="inlineStr">
        <is>
          <t>COBRADO resumen BBVA · C.03/06 · cashflow cuotas BBVA · gasto personal Sol</t>
        </is>
      </c>
    </row>
    <row r="526">
      <c r="A526" s="54" t="n">
        <v>46231</v>
      </c>
      <c r="B526" t="inlineStr">
        <is>
          <t>Julio</t>
        </is>
      </c>
      <c r="C526" t="inlineStr">
        <is>
          <t>SALUD</t>
        </is>
      </c>
      <c r="D526" t="n">
        <v>54033</v>
      </c>
      <c r="E526" t="inlineStr">
        <is>
          <t>BBVA MASTERCARD</t>
        </is>
      </c>
      <c r="F526" t="inlineStr">
        <is>
          <t>SALUD · Laboratorio · COBRADO resumen BBVA · C.04/06 · cashflow cuotas BBVA · gasto personal Sol</t>
        </is>
      </c>
    </row>
    <row r="527">
      <c r="A527" s="54" t="n">
        <v>46231</v>
      </c>
      <c r="B527" t="inlineStr">
        <is>
          <t>Julio</t>
        </is>
      </c>
      <c r="C527" t="inlineStr">
        <is>
          <t>MERCADO LIBRE</t>
        </is>
      </c>
      <c r="D527" t="n">
        <v>275000</v>
      </c>
      <c r="E527" t="inlineStr">
        <is>
          <t>BBVA MASTERCARD</t>
        </is>
      </c>
      <c r="F527" t="inlineStr">
        <is>
          <t>COBRADO resumen BBVA · C.05/12 · cashflow cuotas BBVA · gasto personal Sol · ex `Mercado Libre · MERCADOLIBRE`</t>
        </is>
      </c>
    </row>
    <row r="528">
      <c r="A528" s="54" t="n">
        <v>46231</v>
      </c>
      <c r="B528" t="inlineStr">
        <is>
          <t>Julio</t>
        </is>
      </c>
      <c r="C528" t="inlineStr">
        <is>
          <t>MERCADO LIBRE</t>
        </is>
      </c>
      <c r="D528" t="n">
        <v>17360</v>
      </c>
      <c r="E528" t="inlineStr">
        <is>
          <t>BBVA MASTERCARD</t>
        </is>
      </c>
      <c r="F528" t="inlineStr">
        <is>
          <t>COBRADO resumen BBVA · C.06/09 · cashflow cuotas BBVA · gasto personal Sol · ex `Mercado Libre · MERCADOLIBRE`</t>
        </is>
      </c>
    </row>
    <row r="529">
      <c r="A529" s="54" t="n">
        <v>46231</v>
      </c>
      <c r="B529" t="inlineStr">
        <is>
          <t>Julio</t>
        </is>
      </c>
      <c r="C529" t="inlineStr">
        <is>
          <t>MERCADO LIBRE</t>
        </is>
      </c>
      <c r="D529" t="n">
        <v>16950</v>
      </c>
      <c r="E529" t="inlineStr">
        <is>
          <t>BBVA MASTERCARD</t>
        </is>
      </c>
      <c r="F529" t="inlineStr">
        <is>
          <t>COBRADO resumen BBVA · C.06/09 · cashflow cuotas BBVA · gasto personal Sol · ex `Mercado Libre · MERCADOLIBRE`</t>
        </is>
      </c>
    </row>
    <row r="530">
      <c r="A530" s="54" t="n">
        <v>46231</v>
      </c>
      <c r="B530" t="inlineStr">
        <is>
          <t>Julio</t>
        </is>
      </c>
      <c r="C530" t="inlineStr">
        <is>
          <t>ROPA</t>
        </is>
      </c>
      <c r="D530" t="n">
        <v>95984</v>
      </c>
      <c r="E530" t="inlineStr">
        <is>
          <t>BBVA MASTERCARD</t>
        </is>
      </c>
      <c r="F530" t="inlineStr">
        <is>
          <t>ROPA · Monofuk · COBRADO resumen BBVA · C.04/06 · cashflow cuotas BBVA · gasto personal Sol</t>
        </is>
      </c>
    </row>
    <row r="531">
      <c r="A531" s="54" t="n">
        <v>46231</v>
      </c>
      <c r="B531" t="inlineStr">
        <is>
          <t>Julio</t>
        </is>
      </c>
      <c r="C531" t="inlineStr">
        <is>
          <t>ROPA</t>
        </is>
      </c>
      <c r="D531" t="n">
        <v>73333</v>
      </c>
      <c r="E531" t="inlineStr">
        <is>
          <t>BBVA MASTERCARD</t>
        </is>
      </c>
      <c r="F531" t="inlineStr">
        <is>
          <t>COBRADO resumen BBVA · C.03/03 · cashflow cuotas BBVA · gasto personal Sol</t>
        </is>
      </c>
    </row>
    <row r="532">
      <c r="A532" s="54" t="n">
        <v>46231</v>
      </c>
      <c r="B532" t="inlineStr">
        <is>
          <t>Julio</t>
        </is>
      </c>
      <c r="C532" t="inlineStr">
        <is>
          <t>SALUD · Vitaminas</t>
        </is>
      </c>
      <c r="D532" t="n">
        <v>87900</v>
      </c>
      <c r="E532" t="inlineStr">
        <is>
          <t>BBVA VISA</t>
        </is>
      </c>
      <c r="F532" t="inlineStr">
        <is>
          <t>COBRADO resumen BBVA · SALUD · Vitaminas · Promarine · BBVA · C.04/06 · gasto personal Sol</t>
        </is>
      </c>
    </row>
    <row r="533">
      <c r="A533" s="54" t="n">
        <v>46231</v>
      </c>
      <c r="B533" t="inlineStr">
        <is>
          <t>Julio</t>
        </is>
      </c>
      <c r="C533" t="inlineStr">
        <is>
          <t>ROPA</t>
        </is>
      </c>
      <c r="D533" t="n">
        <v>36667</v>
      </c>
      <c r="E533" t="inlineStr">
        <is>
          <t>BBVA MASTERCARD</t>
        </is>
      </c>
      <c r="F533" t="inlineStr">
        <is>
          <t>COBRADO resumen BBVA · C.03/06 · cashflow cuotas BBVA · gasto personal Sol</t>
        </is>
      </c>
    </row>
    <row r="534">
      <c r="A534" s="54" t="n">
        <v>46231</v>
      </c>
      <c r="B534" t="inlineStr">
        <is>
          <t>Julio</t>
        </is>
      </c>
      <c r="C534" t="inlineStr">
        <is>
          <t>HOGAR</t>
        </is>
      </c>
      <c r="D534" t="n">
        <v>18334</v>
      </c>
      <c r="E534" t="inlineStr">
        <is>
          <t>BBVA MASTERCARD</t>
        </is>
      </c>
      <c r="F534" t="inlineStr">
        <is>
          <t>HOGAR · Stanley · COBRADO resumen BBVA · C.04/06 · cashflow cuotas BBVA · gasto personal Sol</t>
        </is>
      </c>
    </row>
    <row r="535">
      <c r="A535" s="54" t="n">
        <v>46231</v>
      </c>
      <c r="B535" t="inlineStr">
        <is>
          <t>Julio</t>
        </is>
      </c>
      <c r="C535" t="inlineStr">
        <is>
          <t>ROPA</t>
        </is>
      </c>
      <c r="D535" t="n">
        <v>84216</v>
      </c>
      <c r="E535" t="inlineStr">
        <is>
          <t>BBVA MASTERCARD</t>
        </is>
      </c>
      <c r="F535" t="inlineStr">
        <is>
          <t>COBRADO resumen BBVA · C.03/03 · cashflow cuotas BBVA · gasto personal Sol</t>
        </is>
      </c>
    </row>
    <row r="536">
      <c r="A536" s="54" t="n">
        <v>46231</v>
      </c>
      <c r="B536" t="inlineStr">
        <is>
          <t>Julio</t>
        </is>
      </c>
      <c r="C536" t="inlineStr">
        <is>
          <t>ROPA</t>
        </is>
      </c>
      <c r="D536" t="n">
        <v>60917</v>
      </c>
      <c r="E536" t="inlineStr">
        <is>
          <t>BBVA VISA</t>
        </is>
      </c>
      <c r="F536" t="inlineStr">
        <is>
          <t>COBRADO resumen BBVA · C.03/12 · cashflow cuotas BBVA · gasto personal Sol</t>
        </is>
      </c>
    </row>
    <row r="537">
      <c r="A537" s="54" t="n">
        <v>46231</v>
      </c>
      <c r="B537" t="inlineStr">
        <is>
          <t>Julio</t>
        </is>
      </c>
      <c r="C537" t="inlineStr">
        <is>
          <t>ROPA</t>
        </is>
      </c>
      <c r="D537" t="n">
        <v>69750</v>
      </c>
      <c r="E537" t="inlineStr">
        <is>
          <t>BBVA VISA</t>
        </is>
      </c>
      <c r="F537" t="inlineStr">
        <is>
          <t>COBRADO resumen BBVA · C.03/12 · cashflow cuotas BBVA · gasto personal Sol</t>
        </is>
      </c>
    </row>
    <row r="538">
      <c r="A538" s="54" t="n">
        <v>46231</v>
      </c>
      <c r="B538" t="inlineStr">
        <is>
          <t>Julio</t>
        </is>
      </c>
      <c r="C538" t="inlineStr">
        <is>
          <t>ROPA</t>
        </is>
      </c>
      <c r="D538" t="n">
        <v>40004</v>
      </c>
      <c r="E538" t="inlineStr">
        <is>
          <t>BBVA MASTERCARD</t>
        </is>
      </c>
      <c r="F538" t="inlineStr">
        <is>
          <t>COBRADO resumen BBVA · C.03/03 · cashflow cuotas BBVA · gasto personal Sol</t>
        </is>
      </c>
    </row>
    <row r="539">
      <c r="A539" s="54" t="n">
        <v>46262</v>
      </c>
      <c r="B539" t="inlineStr">
        <is>
          <t>Agosto</t>
        </is>
      </c>
      <c r="C539" t="inlineStr">
        <is>
          <t>ROPA</t>
        </is>
      </c>
      <c r="D539" t="n">
        <v>124667</v>
      </c>
      <c r="E539" t="inlineStr">
        <is>
          <t>BBVA VISA</t>
        </is>
      </c>
      <c r="F539" t="inlineStr">
        <is>
          <t>COBRADO resumen BBVA · C.04/06 · cashflow cuotas BBVA · gasto personal Sol</t>
        </is>
      </c>
    </row>
    <row r="540">
      <c r="A540" s="54" t="n">
        <v>46262</v>
      </c>
      <c r="B540" t="inlineStr">
        <is>
          <t>Agosto</t>
        </is>
      </c>
      <c r="C540" t="inlineStr">
        <is>
          <t>VESTIMENTA</t>
        </is>
      </c>
      <c r="D540" t="n">
        <v>98334</v>
      </c>
      <c r="E540" t="inlineStr">
        <is>
          <t>BBVA VISA</t>
        </is>
      </c>
      <c r="F540" t="inlineStr">
        <is>
          <t>ROPA · Bokenvoreno · COBRADO resumen BBVA · C.04/06 · cashflow cuotas BBVA · gasto personal Sol</t>
        </is>
      </c>
    </row>
    <row r="541">
      <c r="A541" s="54" t="n">
        <v>46262</v>
      </c>
      <c r="B541" t="inlineStr">
        <is>
          <t>Agosto</t>
        </is>
      </c>
      <c r="C541" t="inlineStr">
        <is>
          <t>ROPA</t>
        </is>
      </c>
      <c r="D541" t="n">
        <v>31700</v>
      </c>
      <c r="E541" t="inlineStr">
        <is>
          <t>BBVA VISA</t>
        </is>
      </c>
      <c r="F541" t="inlineStr">
        <is>
          <t>ROPA · Frivilli · COBRADO resumen BBVA · C.02/03 · cashflow cuotas BBVA · gasto personal Sol</t>
        </is>
      </c>
    </row>
    <row r="542">
      <c r="A542" s="54" t="n">
        <v>46262</v>
      </c>
      <c r="B542" t="inlineStr">
        <is>
          <t>Agosto</t>
        </is>
      </c>
      <c r="C542" t="inlineStr">
        <is>
          <t>ROPA</t>
        </is>
      </c>
      <c r="D542" t="n">
        <v>80834</v>
      </c>
      <c r="E542" t="inlineStr">
        <is>
          <t>BBVA MASTERCARD</t>
        </is>
      </c>
      <c r="F542" t="inlineStr">
        <is>
          <t>COBRADO resumen BBVA · C.04/06 · cashflow cuotas BBVA · gasto personal Sol</t>
        </is>
      </c>
    </row>
    <row r="543">
      <c r="A543" s="54" t="n">
        <v>46262</v>
      </c>
      <c r="B543" t="inlineStr">
        <is>
          <t>Agosto</t>
        </is>
      </c>
      <c r="C543" t="inlineStr">
        <is>
          <t>SALUD</t>
        </is>
      </c>
      <c r="D543" t="n">
        <v>54033</v>
      </c>
      <c r="E543" t="inlineStr">
        <is>
          <t>BBVA MASTERCARD</t>
        </is>
      </c>
      <c r="F543" t="inlineStr">
        <is>
          <t>SALUD · Laboratorio · COBRADO resumen BBVA · C.05/06 · cashflow cuotas BBVA · gasto personal Sol</t>
        </is>
      </c>
    </row>
    <row r="544">
      <c r="A544" s="54" t="n">
        <v>46262</v>
      </c>
      <c r="B544" t="inlineStr">
        <is>
          <t>Agosto</t>
        </is>
      </c>
      <c r="C544" t="inlineStr">
        <is>
          <t>MERCADO LIBRE</t>
        </is>
      </c>
      <c r="D544" t="n">
        <v>12084</v>
      </c>
      <c r="E544" t="inlineStr">
        <is>
          <t>BBVA VISA</t>
        </is>
      </c>
      <c r="F544" t="inlineStr">
        <is>
          <t>COBRADO resumen BBVA · C.02/06 · cashflow cuotas BBVA · gasto personal Sol · ex `Mercado Libre · MERCADOLIBRE`</t>
        </is>
      </c>
    </row>
    <row r="545">
      <c r="A545" s="54" t="n">
        <v>46262</v>
      </c>
      <c r="B545" t="inlineStr">
        <is>
          <t>Agosto</t>
        </is>
      </c>
      <c r="C545" t="inlineStr">
        <is>
          <t>MERCADO LIBRE</t>
        </is>
      </c>
      <c r="D545" t="n">
        <v>275000</v>
      </c>
      <c r="E545" t="inlineStr">
        <is>
          <t>BBVA MASTERCARD</t>
        </is>
      </c>
      <c r="F545" t="inlineStr">
        <is>
          <t>COBRADO resumen BBVA · C.06/12 · cashflow cuotas BBVA · gasto personal Sol · ex `Mercado Libre · MERCADOLIBRE`</t>
        </is>
      </c>
    </row>
    <row r="546">
      <c r="A546" s="54" t="n">
        <v>46262</v>
      </c>
      <c r="B546" t="inlineStr">
        <is>
          <t>Agosto</t>
        </is>
      </c>
      <c r="C546" t="inlineStr">
        <is>
          <t>MERCADO LIBRE</t>
        </is>
      </c>
      <c r="D546" t="n">
        <v>17360</v>
      </c>
      <c r="E546" t="inlineStr">
        <is>
          <t>BBVA MASTERCARD</t>
        </is>
      </c>
      <c r="F546" t="inlineStr">
        <is>
          <t>COBRADO resumen BBVA · C.07/09 · cashflow cuotas BBVA · gasto personal Sol · ex `Mercado Libre · MERCADOLIBRE`</t>
        </is>
      </c>
    </row>
    <row r="547">
      <c r="A547" s="54" t="n">
        <v>46262</v>
      </c>
      <c r="B547" t="inlineStr">
        <is>
          <t>Agosto</t>
        </is>
      </c>
      <c r="C547" t="inlineStr">
        <is>
          <t>MERCADO LIBRE</t>
        </is>
      </c>
      <c r="D547" t="n">
        <v>16950</v>
      </c>
      <c r="E547" t="inlineStr">
        <is>
          <t>BBVA MASTERCARD</t>
        </is>
      </c>
      <c r="F547" t="inlineStr">
        <is>
          <t>COBRADO resumen BBVA · C.07/09 · cashflow cuotas BBVA · gasto personal Sol · ex `Mercado Libre · MERCADOLIBRE`</t>
        </is>
      </c>
    </row>
    <row r="548">
      <c r="A548" s="54" t="n">
        <v>46262</v>
      </c>
      <c r="B548" t="inlineStr">
        <is>
          <t>Agosto</t>
        </is>
      </c>
      <c r="C548" t="inlineStr">
        <is>
          <t>ROPA</t>
        </is>
      </c>
      <c r="D548" t="n">
        <v>95984</v>
      </c>
      <c r="E548" t="inlineStr">
        <is>
          <t>BBVA MASTERCARD</t>
        </is>
      </c>
      <c r="F548" t="inlineStr">
        <is>
          <t>ROPA · Monofuk · COBRADO resumen BBVA · C.05/06 · cashflow cuotas BBVA · gasto personal Sol</t>
        </is>
      </c>
    </row>
    <row r="549">
      <c r="A549" s="54" t="n">
        <v>46262</v>
      </c>
      <c r="B549" t="inlineStr">
        <is>
          <t>Agosto</t>
        </is>
      </c>
      <c r="C549" t="inlineStr">
        <is>
          <t>ROPA</t>
        </is>
      </c>
      <c r="D549" t="n">
        <v>284794</v>
      </c>
      <c r="E549" t="inlineStr">
        <is>
          <t>BBVA VISA</t>
        </is>
      </c>
      <c r="F549" t="inlineStr">
        <is>
          <t>COBRADO resumen BBVA · C.02/06 · cashflow cuotas BBVA · gasto personal Sol</t>
        </is>
      </c>
    </row>
    <row r="550">
      <c r="A550" s="54" t="n">
        <v>46262</v>
      </c>
      <c r="B550" t="inlineStr">
        <is>
          <t>Agosto</t>
        </is>
      </c>
      <c r="C550" t="inlineStr">
        <is>
          <t>ROPA</t>
        </is>
      </c>
      <c r="D550" t="n">
        <v>73600</v>
      </c>
      <c r="E550" t="inlineStr">
        <is>
          <t>BBVA MASTERCARD</t>
        </is>
      </c>
      <c r="F550" t="inlineStr">
        <is>
          <t>COBRADO resumen BBVA · C.02/06 · cashflow cuotas BBVA · gasto personal Sol</t>
        </is>
      </c>
    </row>
    <row r="551">
      <c r="A551" s="54" t="n">
        <v>46262</v>
      </c>
      <c r="B551" t="inlineStr">
        <is>
          <t>Agosto</t>
        </is>
      </c>
      <c r="C551" t="inlineStr">
        <is>
          <t>SALUD · Vitaminas</t>
        </is>
      </c>
      <c r="D551" t="n">
        <v>87900</v>
      </c>
      <c r="E551" t="inlineStr">
        <is>
          <t>BBVA VISA</t>
        </is>
      </c>
      <c r="F551" t="inlineStr">
        <is>
          <t>COBRADO resumen BBVA · SALUD · Vitaminas · Promarine · BBVA · C.05/06 · gasto personal Sol</t>
        </is>
      </c>
    </row>
    <row r="552">
      <c r="A552" s="54" t="n">
        <v>46262</v>
      </c>
      <c r="B552" t="inlineStr">
        <is>
          <t>Agosto</t>
        </is>
      </c>
      <c r="C552" t="inlineStr">
        <is>
          <t>ROPA</t>
        </is>
      </c>
      <c r="D552" t="n">
        <v>36667</v>
      </c>
      <c r="E552" t="inlineStr">
        <is>
          <t>BBVA MASTERCARD</t>
        </is>
      </c>
      <c r="F552" t="inlineStr">
        <is>
          <t>COBRADO resumen BBVA · C.04/06 · cashflow cuotas BBVA · gasto personal Sol</t>
        </is>
      </c>
    </row>
    <row r="553">
      <c r="A553" s="54" t="n">
        <v>46262</v>
      </c>
      <c r="B553" t="inlineStr">
        <is>
          <t>Agosto</t>
        </is>
      </c>
      <c r="C553" t="inlineStr">
        <is>
          <t>HOGAR</t>
        </is>
      </c>
      <c r="D553" t="n">
        <v>18334</v>
      </c>
      <c r="E553" t="inlineStr">
        <is>
          <t>BBVA MASTERCARD</t>
        </is>
      </c>
      <c r="F553" t="inlineStr">
        <is>
          <t>HOGAR · Stanley · COBRADO resumen BBVA · C.05/06 · cashflow cuotas BBVA · gasto personal Sol</t>
        </is>
      </c>
    </row>
    <row r="554">
      <c r="A554" s="54" t="n">
        <v>46262</v>
      </c>
      <c r="B554" t="inlineStr">
        <is>
          <t>Agosto</t>
        </is>
      </c>
      <c r="C554" t="inlineStr">
        <is>
          <t>Eventos deportivos - River</t>
        </is>
      </c>
      <c r="D554" t="n">
        <v>169667</v>
      </c>
      <c r="E554" t="inlineStr">
        <is>
          <t>BBVA VISA</t>
        </is>
      </c>
      <c r="F554" t="inlineStr">
        <is>
          <t>COBRADO resumen BBVA · C.02/06 · cashflow cuotas BBVA · gasto personal Sol · Eventos deportivos - River</t>
        </is>
      </c>
    </row>
    <row r="555">
      <c r="A555" s="54" t="n">
        <v>46262</v>
      </c>
      <c r="B555" t="inlineStr">
        <is>
          <t>Agosto</t>
        </is>
      </c>
      <c r="C555" t="inlineStr">
        <is>
          <t>ROPA</t>
        </is>
      </c>
      <c r="D555" t="n">
        <v>60917</v>
      </c>
      <c r="E555" t="inlineStr">
        <is>
          <t>BBVA VISA</t>
        </is>
      </c>
      <c r="F555" t="inlineStr">
        <is>
          <t>COBRADO resumen BBVA · C.04/12 · cashflow cuotas BBVA · gasto personal Sol</t>
        </is>
      </c>
    </row>
    <row r="556">
      <c r="A556" s="54" t="n">
        <v>46262</v>
      </c>
      <c r="B556" t="inlineStr">
        <is>
          <t>Agosto</t>
        </is>
      </c>
      <c r="C556" t="inlineStr">
        <is>
          <t>ROPA</t>
        </is>
      </c>
      <c r="D556" t="n">
        <v>69750</v>
      </c>
      <c r="E556" t="inlineStr">
        <is>
          <t>BBVA VISA</t>
        </is>
      </c>
      <c r="F556" t="inlineStr">
        <is>
          <t>COBRADO resumen BBVA · C.04/12 · cashflow cuotas BBVA · gasto personal Sol</t>
        </is>
      </c>
    </row>
    <row r="557">
      <c r="A557" s="54" t="n">
        <v>46293</v>
      </c>
      <c r="B557" t="inlineStr">
        <is>
          <t>Septiembre</t>
        </is>
      </c>
      <c r="C557" t="inlineStr">
        <is>
          <t>ROPA</t>
        </is>
      </c>
      <c r="D557" t="n">
        <v>124667</v>
      </c>
      <c r="E557" t="inlineStr">
        <is>
          <t>BBVA VISA</t>
        </is>
      </c>
      <c r="F557" t="inlineStr">
        <is>
          <t>COBRADO resumen BBVA · C.05/06 · cashflow cuotas BBVA · gasto personal Sol</t>
        </is>
      </c>
    </row>
    <row r="558">
      <c r="A558" s="54" t="n">
        <v>46293</v>
      </c>
      <c r="B558" t="inlineStr">
        <is>
          <t>Septiembre</t>
        </is>
      </c>
      <c r="C558" t="inlineStr">
        <is>
          <t>VESTIMENTA</t>
        </is>
      </c>
      <c r="D558" t="n">
        <v>98334</v>
      </c>
      <c r="E558" t="inlineStr">
        <is>
          <t>BBVA VISA</t>
        </is>
      </c>
      <c r="F558" t="inlineStr">
        <is>
          <t>ROPA · Bokenvoreno · COBRADO resumen BBVA · C.05/06 · cashflow cuotas BBVA · gasto personal Sol</t>
        </is>
      </c>
    </row>
    <row r="559">
      <c r="A559" s="54" t="n">
        <v>46293</v>
      </c>
      <c r="B559" t="inlineStr">
        <is>
          <t>Septiembre</t>
        </is>
      </c>
      <c r="C559" t="inlineStr">
        <is>
          <t>ROPA</t>
        </is>
      </c>
      <c r="D559" t="n">
        <v>31700</v>
      </c>
      <c r="E559" t="inlineStr">
        <is>
          <t>BBVA VISA</t>
        </is>
      </c>
      <c r="F559" t="inlineStr">
        <is>
          <t>ROPA · Frivilli · COBRADO resumen BBVA · C.03/03 · cashflow cuotas BBVA · gasto personal Sol</t>
        </is>
      </c>
    </row>
    <row r="560">
      <c r="A560" s="54" t="n">
        <v>46293</v>
      </c>
      <c r="B560" t="inlineStr">
        <is>
          <t>Septiembre</t>
        </is>
      </c>
      <c r="C560" t="inlineStr">
        <is>
          <t>ROPA</t>
        </is>
      </c>
      <c r="D560" t="n">
        <v>80834</v>
      </c>
      <c r="E560" t="inlineStr">
        <is>
          <t>BBVA MASTERCARD</t>
        </is>
      </c>
      <c r="F560" t="inlineStr">
        <is>
          <t>COBRADO resumen BBVA · C.05/06 · cashflow cuotas BBVA · gasto personal Sol</t>
        </is>
      </c>
    </row>
    <row r="561">
      <c r="A561" s="54" t="n">
        <v>46293</v>
      </c>
      <c r="B561" t="inlineStr">
        <is>
          <t>Septiembre</t>
        </is>
      </c>
      <c r="C561" t="inlineStr">
        <is>
          <t>SALUD</t>
        </is>
      </c>
      <c r="D561" t="n">
        <v>54033</v>
      </c>
      <c r="E561" t="inlineStr">
        <is>
          <t>BBVA MASTERCARD</t>
        </is>
      </c>
      <c r="F561" t="inlineStr">
        <is>
          <t>SALUD · Laboratorio · COBRADO resumen BBVA · C.06/06 · cashflow cuotas BBVA · gasto personal Sol</t>
        </is>
      </c>
    </row>
    <row r="562">
      <c r="A562" s="54" t="n">
        <v>46293</v>
      </c>
      <c r="B562" t="inlineStr">
        <is>
          <t>Septiembre</t>
        </is>
      </c>
      <c r="C562" t="inlineStr">
        <is>
          <t>MERCADO LIBRE</t>
        </is>
      </c>
      <c r="D562" t="n">
        <v>12084</v>
      </c>
      <c r="E562" t="inlineStr">
        <is>
          <t>BBVA VISA</t>
        </is>
      </c>
      <c r="F562" t="inlineStr">
        <is>
          <t>COBRADO resumen BBVA · C.03/06 · cashflow cuotas BBVA · gasto personal Sol · ex `Mercado Libre · MERCADOLIBRE`</t>
        </is>
      </c>
    </row>
    <row r="563">
      <c r="A563" s="54" t="n">
        <v>46293</v>
      </c>
      <c r="B563" t="inlineStr">
        <is>
          <t>Septiembre</t>
        </is>
      </c>
      <c r="C563" t="inlineStr">
        <is>
          <t>MERCADO LIBRE</t>
        </is>
      </c>
      <c r="D563" t="n">
        <v>275000</v>
      </c>
      <c r="E563" t="inlineStr">
        <is>
          <t>BBVA MASTERCARD</t>
        </is>
      </c>
      <c r="F563" t="inlineStr">
        <is>
          <t>COBRADO resumen BBVA · C.07/12 · cashflow cuotas BBVA · gasto personal Sol · ex `Mercado Libre · MERCADOLIBRE`</t>
        </is>
      </c>
    </row>
    <row r="564">
      <c r="A564" s="54" t="n">
        <v>46293</v>
      </c>
      <c r="B564" t="inlineStr">
        <is>
          <t>Septiembre</t>
        </is>
      </c>
      <c r="C564" t="inlineStr">
        <is>
          <t>MERCADO LIBRE</t>
        </is>
      </c>
      <c r="D564" t="n">
        <v>17360</v>
      </c>
      <c r="E564" t="inlineStr">
        <is>
          <t>BBVA MASTERCARD</t>
        </is>
      </c>
      <c r="F564" t="inlineStr">
        <is>
          <t>COBRADO resumen BBVA · C.08/09 · cashflow cuotas BBVA · gasto personal Sol · ex `Mercado Libre · MERCADOLIBRE`</t>
        </is>
      </c>
    </row>
    <row r="565">
      <c r="A565" s="54" t="n">
        <v>46293</v>
      </c>
      <c r="B565" t="inlineStr">
        <is>
          <t>Septiembre</t>
        </is>
      </c>
      <c r="C565" t="inlineStr">
        <is>
          <t>MERCADO LIBRE</t>
        </is>
      </c>
      <c r="D565" t="n">
        <v>16950</v>
      </c>
      <c r="E565" t="inlineStr">
        <is>
          <t>BBVA MASTERCARD</t>
        </is>
      </c>
      <c r="F565" t="inlineStr">
        <is>
          <t>COBRADO resumen BBVA · C.08/09 · cashflow cuotas BBVA · gasto personal Sol · ex `Mercado Libre · MERCADOLIBRE`</t>
        </is>
      </c>
    </row>
    <row r="566">
      <c r="A566" s="54" t="n">
        <v>46293</v>
      </c>
      <c r="B566" t="inlineStr">
        <is>
          <t>Septiembre</t>
        </is>
      </c>
      <c r="C566" t="inlineStr">
        <is>
          <t>ROPA</t>
        </is>
      </c>
      <c r="D566" t="n">
        <v>95984</v>
      </c>
      <c r="E566" t="inlineStr">
        <is>
          <t>BBVA MASTERCARD</t>
        </is>
      </c>
      <c r="F566" t="inlineStr">
        <is>
          <t>ROPA · Monofuk · COBRADO resumen BBVA · C.06/06 · cashflow cuotas BBVA · gasto personal Sol</t>
        </is>
      </c>
    </row>
    <row r="567">
      <c r="A567" s="54" t="n">
        <v>46293</v>
      </c>
      <c r="B567" t="inlineStr">
        <is>
          <t>Septiembre</t>
        </is>
      </c>
      <c r="C567" t="inlineStr">
        <is>
          <t>ROPA</t>
        </is>
      </c>
      <c r="D567" t="n">
        <v>284794</v>
      </c>
      <c r="E567" t="inlineStr">
        <is>
          <t>BBVA VISA</t>
        </is>
      </c>
      <c r="F567" t="inlineStr">
        <is>
          <t>COBRADO resumen BBVA · C.03/06 · cashflow cuotas BBVA · gasto personal Sol</t>
        </is>
      </c>
    </row>
    <row r="568">
      <c r="A568" s="54" t="n">
        <v>46293</v>
      </c>
      <c r="B568" t="inlineStr">
        <is>
          <t>Septiembre</t>
        </is>
      </c>
      <c r="C568" t="inlineStr">
        <is>
          <t>ROPA</t>
        </is>
      </c>
      <c r="D568" t="n">
        <v>73600</v>
      </c>
      <c r="E568" t="inlineStr">
        <is>
          <t>BBVA MASTERCARD</t>
        </is>
      </c>
      <c r="F568" t="inlineStr">
        <is>
          <t>COBRADO resumen BBVA · C.03/06 · cashflow cuotas BBVA · gasto personal Sol</t>
        </is>
      </c>
    </row>
    <row r="569">
      <c r="A569" s="54" t="n">
        <v>46293</v>
      </c>
      <c r="B569" t="inlineStr">
        <is>
          <t>Septiembre</t>
        </is>
      </c>
      <c r="C569" t="inlineStr">
        <is>
          <t>SALUD · Vitaminas</t>
        </is>
      </c>
      <c r="D569" t="n">
        <v>87900</v>
      </c>
      <c r="E569" t="inlineStr">
        <is>
          <t>BBVA VISA</t>
        </is>
      </c>
      <c r="F569" t="inlineStr">
        <is>
          <t>COBRADO resumen BBVA · SALUD · Vitaminas · Promarine · BBVA · C.06/06 · gasto personal Sol</t>
        </is>
      </c>
    </row>
    <row r="570">
      <c r="A570" s="54" t="n">
        <v>46293</v>
      </c>
      <c r="B570" t="inlineStr">
        <is>
          <t>Septiembre</t>
        </is>
      </c>
      <c r="C570" t="inlineStr">
        <is>
          <t>ROPA</t>
        </is>
      </c>
      <c r="D570" t="n">
        <v>36667</v>
      </c>
      <c r="E570" t="inlineStr">
        <is>
          <t>BBVA MASTERCARD</t>
        </is>
      </c>
      <c r="F570" t="inlineStr">
        <is>
          <t>COBRADO resumen BBVA · C.05/06 · cashflow cuotas BBVA · gasto personal Sol</t>
        </is>
      </c>
    </row>
    <row r="571">
      <c r="A571" s="54" t="n">
        <v>46293</v>
      </c>
      <c r="B571" t="inlineStr">
        <is>
          <t>Septiembre</t>
        </is>
      </c>
      <c r="C571" t="inlineStr">
        <is>
          <t>HOGAR</t>
        </is>
      </c>
      <c r="D571" t="n">
        <v>18334</v>
      </c>
      <c r="E571" t="inlineStr">
        <is>
          <t>BBVA MASTERCARD</t>
        </is>
      </c>
      <c r="F571" t="inlineStr">
        <is>
          <t>HOGAR · Stanley · COBRADO resumen BBVA · C.06/06 · cashflow cuotas BBVA · gasto personal Sol</t>
        </is>
      </c>
    </row>
    <row r="572">
      <c r="A572" s="54" t="n">
        <v>46293</v>
      </c>
      <c r="B572" t="inlineStr">
        <is>
          <t>Septiembre</t>
        </is>
      </c>
      <c r="C572" t="inlineStr">
        <is>
          <t>Eventos deportivos - River</t>
        </is>
      </c>
      <c r="D572" t="n">
        <v>169667</v>
      </c>
      <c r="E572" t="inlineStr">
        <is>
          <t>BBVA VISA</t>
        </is>
      </c>
      <c r="F572" t="inlineStr">
        <is>
          <t>COBRADO resumen BBVA · C.03/06 · cashflow cuotas BBVA · gasto personal Sol · Eventos deportivos - River</t>
        </is>
      </c>
    </row>
    <row r="573">
      <c r="A573" s="54" t="n">
        <v>46293</v>
      </c>
      <c r="B573" t="inlineStr">
        <is>
          <t>Septiembre</t>
        </is>
      </c>
      <c r="C573" t="inlineStr">
        <is>
          <t>ROPA</t>
        </is>
      </c>
      <c r="D573" t="n">
        <v>60917</v>
      </c>
      <c r="E573" t="inlineStr">
        <is>
          <t>BBVA VISA</t>
        </is>
      </c>
      <c r="F573" t="inlineStr">
        <is>
          <t>COBRADO resumen BBVA · C.05/12 · cashflow cuotas BBVA · gasto personal Sol</t>
        </is>
      </c>
    </row>
    <row r="574">
      <c r="A574" s="54" t="n">
        <v>46293</v>
      </c>
      <c r="B574" t="inlineStr">
        <is>
          <t>Septiembre</t>
        </is>
      </c>
      <c r="C574" t="inlineStr">
        <is>
          <t>ROPA</t>
        </is>
      </c>
      <c r="D574" t="n">
        <v>69750</v>
      </c>
      <c r="E574" t="inlineStr">
        <is>
          <t>BBVA VISA</t>
        </is>
      </c>
      <c r="F574" t="inlineStr">
        <is>
          <t>COBRADO resumen BBVA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11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Sol Estética</t>
        </is>
      </c>
      <c r="D942" t="n">
        <v>20000</v>
      </c>
      <c r="E942" t="inlineStr">
        <is>
          <t>Mercado Pago</t>
        </is>
      </c>
      <c r="F942" t="inlineStr">
        <is>
          <t>Sol Estética · Kelly · $20.000 · resumen oficial cuenta MP 1–30 sep 2026</t>
        </is>
      </c>
    </row>
    <row r="943">
      <c r="A943" s="52" t="n">
        <v>46295</v>
      </c>
      <c r="B943" t="inlineStr">
        <is>
          <t>Septiembre</t>
        </is>
      </c>
      <c r="C943" t="inlineStr">
        <is>
          <t>Sol Estética</t>
        </is>
      </c>
      <c r="D943" t="n">
        <v>86000</v>
      </c>
      <c r="E943" t="inlineStr">
        <is>
          <t>Mercado Pago</t>
        </is>
      </c>
      <c r="F943" t="inlineStr">
        <is>
          <t>Sol Estética · Kelly · $86.000 · resumen oficial cuenta MP 1–30 sep 2026</t>
        </is>
      </c>
    </row>
    <row r="944">
      <c r="A944" s="54" t="n">
        <v>46262</v>
      </c>
      <c r="B944" t="inlineStr">
        <is>
          <t>Agosto</t>
        </is>
      </c>
      <c r="C944" t="inlineStr">
        <is>
          <t>Eventos deportivos - River</t>
        </is>
      </c>
      <c r="D944" t="n">
        <v>35430</v>
      </c>
      <c r="E944" t="inlineStr">
        <is>
          <t>BBVA VISA</t>
        </is>
      </c>
      <c r="F944" t="inlineStr">
        <is>
          <t>Eventos deportivos - River · CLUB ATLETICO RIVE · Gmail Compra aprobada</t>
        </is>
      </c>
    </row>
    <row r="945">
      <c r="A945" s="54" t="n">
        <v>46240</v>
      </c>
      <c r="B945" t="inlineStr">
        <is>
          <t>Agosto</t>
        </is>
      </c>
      <c r="C945" t="inlineStr">
        <is>
          <t>SUSCRIPCIONES · IA</t>
        </is>
      </c>
      <c r="E945" t="inlineStr">
        <is>
          <t>BBVA VISA · USD</t>
        </is>
      </c>
      <c r="F945" t="inlineStr">
        <is>
          <t>SUSCRIPCIONES · IA · Google One / Gemini · USD 19.99 · alerta Gmail · ver resumen BBVA / Sol Dollar Mdp</t>
        </is>
      </c>
    </row>
    <row r="946">
      <c r="A946" s="54" t="n">
        <v>46245</v>
      </c>
      <c r="B946" t="inlineStr">
        <is>
          <t>Agosto</t>
        </is>
      </c>
      <c r="C946" t="inlineStr">
        <is>
          <t>SUSCRIPCIONES · IA</t>
        </is>
      </c>
      <c r="E946" t="inlineStr">
        <is>
          <t>BBVA VISA · USD</t>
        </is>
      </c>
      <c r="F946" t="inlineStr">
        <is>
          <t>SUSCRIPCIONES · IA · Vercel Domains · USD 11.25 · alerta Gmail · ver resumen BBVA</t>
        </is>
      </c>
    </row>
    <row r="947">
      <c r="A947" s="54" t="n">
        <v>46258</v>
      </c>
      <c r="B947" t="inlineStr">
        <is>
          <t>Agosto</t>
        </is>
      </c>
      <c r="C947" t="inlineStr">
        <is>
          <t>SUSCRIPCIONES · IA</t>
        </is>
      </c>
      <c r="E947" t="inlineStr">
        <is>
          <t>BBVA VISA · USD</t>
        </is>
      </c>
      <c r="F947" t="inlineStr">
        <is>
          <t>SUSCRIPCIONES · IA · Google One · USD 4.99 · alerta Gmail · ver resumen BBVA</t>
        </is>
      </c>
    </row>
    <row r="948">
      <c r="A948" s="54" t="n">
        <v>46261</v>
      </c>
      <c r="B948" t="inlineStr">
        <is>
          <t>Agosto</t>
        </is>
      </c>
      <c r="C948" t="inlineStr">
        <is>
          <t>SUSCRIPCIONES · IA</t>
        </is>
      </c>
      <c r="E948" t="inlineStr">
        <is>
          <t>BBVA VISA · USD</t>
        </is>
      </c>
      <c r="F948" t="inlineStr">
        <is>
          <t>SUSCRIPCIONES · IA · Cursor · USD 60.00 · alerta Gmail · ver resumen BBVA / ya hay fila si está cobrada en ARS</t>
        </is>
      </c>
    </row>
    <row r="949">
      <c r="A949" s="54" t="n">
        <v>46265</v>
      </c>
      <c r="B949" t="inlineStr">
        <is>
          <t>Agosto</t>
        </is>
      </c>
      <c r="C949" t="inlineStr">
        <is>
          <t>SUSCRIPCIONES · IA</t>
        </is>
      </c>
      <c r="E949" t="inlineStr">
        <is>
          <t>BBVA VISA · USD</t>
        </is>
      </c>
      <c r="F949" t="inlineStr">
        <is>
          <t>SUSCRIPCIONES · IA · ChatGPT / OpenAI · USD 20.00 · alerta Gmail · ver resumen BBVA</t>
        </is>
      </c>
    </row>
    <row r="950">
      <c r="A950" s="54" t="n">
        <v>46242</v>
      </c>
      <c r="B950" t="inlineStr">
        <is>
          <t>Agosto</t>
        </is>
      </c>
      <c r="C950" t="inlineStr">
        <is>
          <t>TRAÍDO DE MIAMI</t>
        </is>
      </c>
      <c r="E950" t="inlineStr">
        <is>
          <t>BBVA VISA · USD</t>
        </is>
      </c>
      <c r="F950" t="inlineStr">
        <is>
          <t>TRAÍDO DE MIAMI · DHgate · USD 196.75 · alerta Gmail · REVISAR vs resumen BBVA</t>
        </is>
      </c>
    </row>
    <row r="951">
      <c r="A951" s="54" t="n">
        <v>46297</v>
      </c>
      <c r="B951" t="inlineStr">
        <is>
          <t>Octubre</t>
        </is>
      </c>
      <c r="C951" t="inlineStr">
        <is>
          <t>Eventos deportivos - River</t>
        </is>
      </c>
      <c r="D951" t="n">
        <v>36030</v>
      </c>
      <c r="E951" t="inlineStr">
        <is>
          <t>BBVA VISA</t>
        </is>
      </c>
      <c r="F951" t="inlineStr">
        <is>
          <t>Eventos deportivos - River · CLUB ATLETICO RIVE · Gmail Compra aprobada</t>
        </is>
      </c>
    </row>
    <row r="952">
      <c r="A952" s="54" t="n">
        <v>46310</v>
      </c>
      <c r="B952" t="inlineStr">
        <is>
          <t>Octubre</t>
        </is>
      </c>
      <c r="C952" t="inlineStr">
        <is>
          <t>TRANSPORTE · Cabify</t>
        </is>
      </c>
      <c r="D952" t="n">
        <v>10824</v>
      </c>
      <c r="E952" t="inlineStr">
        <is>
          <t>BBVA VISA</t>
        </is>
      </c>
      <c r="F952" t="inlineStr">
        <is>
          <t>TRANSPORTE · Cabify · Gmail Compra aprobada</t>
        </is>
      </c>
    </row>
    <row r="953">
      <c r="A953" s="54" t="n">
        <v>46310</v>
      </c>
      <c r="B953" t="inlineStr">
        <is>
          <t>Octubre</t>
        </is>
      </c>
      <c r="C953" t="inlineStr">
        <is>
          <t>TRANSPORTE · Cabify</t>
        </is>
      </c>
      <c r="D953" t="n">
        <v>13447</v>
      </c>
      <c r="E953" t="inlineStr">
        <is>
          <t>BBVA VISA</t>
        </is>
      </c>
      <c r="F953" t="inlineStr">
        <is>
          <t>TRANSPORTE · Cabify · Gmail Compra aprobada</t>
        </is>
      </c>
    </row>
    <row r="954">
      <c r="A954" s="54" t="n">
        <v>46296</v>
      </c>
      <c r="B954" t="inlineStr">
        <is>
          <t>Octubre</t>
        </is>
      </c>
      <c r="C954" t="inlineStr">
        <is>
          <t>ROPA</t>
        </is>
      </c>
      <c r="D954" t="n">
        <v>710740</v>
      </c>
      <c r="E954" t="inlineStr">
        <is>
          <t>BBVA VISA</t>
        </is>
      </c>
      <c r="F954" t="inlineStr">
        <is>
          <t>ROPA · GlobalE / Onitsuka · Gmail Compra aprobada · REVISAR ítem</t>
        </is>
      </c>
    </row>
    <row r="955">
      <c r="A955" s="54" t="n">
        <v>46302</v>
      </c>
      <c r="B955" t="inlineStr">
        <is>
          <t>Octubre</t>
        </is>
      </c>
      <c r="C955" t="inlineStr">
        <is>
          <t>COMPRAS</t>
        </is>
      </c>
      <c r="D955" t="n">
        <v>151999</v>
      </c>
      <c r="E955" t="inlineStr">
        <is>
          <t>BBVA VISA</t>
        </is>
      </c>
      <c r="F955" t="inlineStr">
        <is>
          <t>COMPRAS · MERPAGO*DEERTECH · Gmail Compra aprobada · REVISAR ítem</t>
        </is>
      </c>
    </row>
    <row r="956">
      <c r="A956" s="54" t="n">
        <v>46306</v>
      </c>
      <c r="B956" t="inlineStr">
        <is>
          <t>Octubre</t>
        </is>
      </c>
      <c r="C956" t="inlineStr">
        <is>
          <t>COMPRAS</t>
        </is>
      </c>
      <c r="D956" t="n">
        <v>1143000</v>
      </c>
      <c r="E956" t="inlineStr">
        <is>
          <t>BBVA VISA</t>
        </is>
      </c>
      <c r="F956" t="inlineStr">
        <is>
          <t>COMPRAS · MERPAGO*PATAGONIAC · Gmail Compra aprobada · REVISAR ítem</t>
        </is>
      </c>
    </row>
    <row r="957">
      <c r="A957" s="54" t="n">
        <v>46306</v>
      </c>
      <c r="B957" t="inlineStr">
        <is>
          <t>Octubre</t>
        </is>
      </c>
      <c r="C957" t="inlineStr">
        <is>
          <t>COMPRAS</t>
        </is>
      </c>
      <c r="D957" t="n">
        <v>402000</v>
      </c>
      <c r="E957" t="inlineStr">
        <is>
          <t>BBVA VISA</t>
        </is>
      </c>
      <c r="F957" t="inlineStr">
        <is>
          <t>COMPRAS · BDP NIBEPO AIKE SC · Gmail Compra aprobada · REVISAR ítem</t>
        </is>
      </c>
    </row>
    <row r="958">
      <c r="A958" s="54" t="n">
        <v>46312</v>
      </c>
      <c r="B958" t="inlineStr">
        <is>
          <t>Octubre</t>
        </is>
      </c>
      <c r="C958" t="inlineStr">
        <is>
          <t>COMPRAS</t>
        </is>
      </c>
      <c r="D958" t="n">
        <v>199900</v>
      </c>
      <c r="E958" t="inlineStr">
        <is>
          <t>BBVA VISA</t>
        </is>
      </c>
      <c r="F958" t="inlineStr">
        <is>
          <t>COMPRAS · MERPAGO*DOTECOMSAS · Gmail Compra aprobada · REVISAR ítem</t>
        </is>
      </c>
    </row>
    <row r="959">
      <c r="A959" s="54" t="n">
        <v>46315</v>
      </c>
      <c r="B959" t="inlineStr">
        <is>
          <t>Octubre</t>
        </is>
      </c>
      <c r="C959" t="inlineStr">
        <is>
          <t>PROFESIONAL</t>
        </is>
      </c>
      <c r="D959" t="n">
        <v>54700</v>
      </c>
      <c r="E959" t="inlineStr">
        <is>
          <t>BBVA VISA</t>
        </is>
      </c>
      <c r="F959" t="inlineStr">
        <is>
          <t>PROFESIONAL · CPCECABA DEP-DAU · Gmail Compra aprobada</t>
        </is>
      </c>
    </row>
    <row r="960">
      <c r="A960" s="54" t="n">
        <v>46239</v>
      </c>
      <c r="B960" t="inlineStr">
        <is>
          <t>Agosto</t>
        </is>
      </c>
      <c r="C960" t="inlineStr">
        <is>
          <t>AVA FIDEICOMISO</t>
        </is>
      </c>
      <c r="D960" t="n">
        <v>3089261</v>
      </c>
      <c r="E960" t="inlineStr">
        <is>
          <t>Mercado Pago / TC MEP</t>
        </is>
      </c>
      <c r="F960" t="inlineStr">
        <is>
          <t>AVA Fideicomiso · cuota 10 · vto 2026-08-05 · total 6178522 · TC MEP venta 1518.45 · USD 4068.97 · 50% Sol · Gmail Sancor 22/07 · vto 05/08 · MEP Rava cierre</t>
        </is>
      </c>
    </row>
    <row r="961">
      <c r="A961" s="54" t="n">
        <v>46300</v>
      </c>
      <c r="B961" t="inlineStr">
        <is>
          <t>Octubre</t>
        </is>
      </c>
      <c r="C961" t="inlineStr">
        <is>
          <t>AVA FIDEICOMISO</t>
        </is>
      </c>
      <c r="D961" t="n">
        <v>3275207</v>
      </c>
      <c r="E961" t="inlineStr">
        <is>
          <t>Mercado Pago / TC MEP</t>
        </is>
      </c>
      <c r="F961" t="inlineStr">
        <is>
          <t>AVA Fideicomiso · cuota 12 · vto 2026-10-05 · total 6550413 · TC MEP venta 1538.39 · USD 4257.97 · 50% Sol · Gmail Sancor 24/09 · vto 05/10 · MEP Rava cierre</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PAGADO</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PAGADO</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PAGADO</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PAGADO</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PAGADO</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PAGADO</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PAGADO</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PAGADO</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PAGADO</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PAGADO</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PAGADO</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PAGADO</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PAGADO</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PAGADO</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PAGADO</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PAGADO</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PAGADO</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PAGADO</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PAGADO</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PAGADO</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PAGADO</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PAGADO</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PAGADO</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PAGADO</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PAGADO</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PAGADO</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PAGADO</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PAGADO</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PAGADO</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PAGADO</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PAGADO</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PAGADO</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PAGADO</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PAGADO</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PAGADO</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PAGADO</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PAGADO</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PAGADO</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PAGADO</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PAGADO</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PAGADO</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PAGADO</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PAGADO</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PAGADO</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PAGADO</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PAGADO</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PAGADO</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PAGADO</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PAGADO</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PAGADO</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PAGADO</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PAGADO</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PAGADO</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PAGADO</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PAGADO</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4"/>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2026-10-23T17:52:19Z</dcterms:modified>
</cp:coreProperties>
</file>
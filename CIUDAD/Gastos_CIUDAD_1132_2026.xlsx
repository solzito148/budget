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'MELI'!$A$78:$P$86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[$ARS] #,##0"/>
    <numFmt numFmtId="167" formatCode="[$ARS] #,##0.00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  <xf numFmtId="0" fontId="18" fillId="12" borderId="0" pivotButton="0" quotePrefix="0" xfId="0"/>
    <xf numFmtId="0" fontId="7" fillId="12" borderId="8" applyAlignment="1" pivotButton="0" quotePrefix="0" xfId="0">
      <alignment wrapText="1"/>
    </xf>
    <xf numFmtId="0" fontId="0" fillId="0" borderId="8" pivotButton="0" quotePrefix="0" xfId="0"/>
    <xf numFmtId="165" fontId="0" fillId="0" borderId="8" pivotButton="0" quotePrefix="0" xfId="0"/>
    <xf numFmtId="167" fontId="0" fillId="0" borderId="8" pivotButton="0" quotePrefix="0" xfId="0"/>
    <xf numFmtId="167" fontId="0" fillId="13" borderId="8" pivotButton="0" quotePrefix="0" xfId="0"/>
    <xf numFmtId="0" fontId="6" fillId="11" borderId="8" pivotButton="0" quotePrefix="0" xfId="0"/>
    <xf numFmtId="167" fontId="6" fillId="11" borderId="8" pivotButton="0" quotePrefix="0" xfId="0"/>
    <xf numFmtId="167" fontId="0" fillId="11" borderId="8" pivotButton="0" quotePrefix="0" xfId="0"/>
    <xf numFmtId="167" fontId="0" fillId="0" borderId="8" pivotButton="0" quotePrefix="0" xfId="0"/>
    <xf numFmtId="167" fontId="0" fillId="13" borderId="8" pivotButton="0" quotePrefix="0" xfId="0"/>
    <xf numFmtId="167" fontId="6" fillId="11" borderId="8" pivotButton="0" quotePrefix="0" xfId="0"/>
    <xf numFmtId="167" fontId="0" fillId="11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t="inlineStr">
        <is>
          <t>CASA</t>
        </is>
      </c>
      <c r="B20" t="inlineStr">
        <is>
          <t>AROMATIZANTES</t>
        </is>
      </c>
      <c r="C20" t="inlineStr">
        <is>
          <t>Saphirus — Aromatizantes</t>
        </is>
      </c>
      <c r="D20" s="26" t="n"/>
      <c r="E20" s="26" t="n"/>
      <c r="G20" s="26" t="n"/>
      <c r="H20" s="26" t="n"/>
      <c r="I20" t="n">
        <v>79900</v>
      </c>
      <c r="J20" s="26" t="n"/>
      <c r="P20" s="26">
        <f>SUM(D20:O20)</f>
        <v/>
      </c>
    </row>
    <row r="21">
      <c r="A21" s="10" t="inlineStr">
        <is>
          <t>TOTAL</t>
        </is>
      </c>
      <c r="B21" s="23" t="n"/>
      <c r="C21" s="24" t="n"/>
      <c r="D21" s="7">
        <f>SUM(D5:D20)</f>
        <v/>
      </c>
      <c r="E21" s="7">
        <f>SUM(E5:E20)</f>
        <v/>
      </c>
      <c r="F21" s="7">
        <f>SUM(F5:F20)</f>
        <v/>
      </c>
      <c r="G21" s="7">
        <f>SUM(G5:G20)</f>
        <v/>
      </c>
      <c r="H21" s="7">
        <f>SUM(H5:H20)</f>
        <v/>
      </c>
      <c r="I21" s="7">
        <f>SUM(I5:I20)</f>
        <v/>
      </c>
      <c r="J21" s="7">
        <f>SUM(J5:J20)</f>
        <v/>
      </c>
      <c r="K21" s="7">
        <f>SUM(K5:K20)</f>
        <v/>
      </c>
      <c r="L21" s="7">
        <f>SUM(L5:L20)</f>
        <v/>
      </c>
      <c r="M21" s="7">
        <f>SUM(M5:M20)</f>
        <v/>
      </c>
      <c r="N21" s="7">
        <f>SUM(N5:N20)</f>
        <v/>
      </c>
      <c r="O21" s="7">
        <f>SUM(O5:O20)</f>
        <v/>
      </c>
      <c r="P21" s="7">
        <f>SUM(P5:P20)</f>
        <v/>
      </c>
    </row>
    <row r="23">
      <c r="A23" s="11" t="inlineStr">
        <is>
          <t>Notas</t>
        </is>
      </c>
    </row>
    <row r="24">
      <c r="A24" t="inlineStr">
        <is>
          <t>• Catálogo fijo de conceptos CIUDAD 1132</t>
        </is>
      </c>
    </row>
    <row r="25">
      <c r="A25" t="inlineStr">
        <is>
          <t>• Telecentro: $50.000 mensuales hasta nuevo aviso</t>
        </is>
      </c>
    </row>
    <row r="26">
      <c r="A26" t="inlineStr">
        <is>
          <t>• Montos enteros, siempre redondeados hacia arriba</t>
        </is>
      </c>
    </row>
    <row r="27">
      <c r="A27" t="inlineStr">
        <is>
          <t>• Expensas: abr $235.210 (banco 7-abr → Consorcio De Propiet Patagonia); may/jun desde MP con período Gmail (pago jun=mayo, pago jul=junio). Julio período pendiente.</t>
        </is>
      </c>
    </row>
    <row r="28">
      <c r="A28" t="inlineStr">
        <is>
          <t>• En Detalle: Forma de pago, N° Cliente y N° Medidor cuando existan</t>
        </is>
      </c>
    </row>
    <row r="29">
      <c r="A29" t="inlineStr">
        <is>
          <t>• ALMACEN SOL / ALMACEN CHRIS: totales automáticos desde hoja "Almacen Detalle"</t>
        </is>
      </c>
    </row>
    <row r="30">
      <c r="A30" t="inlineStr">
        <is>
          <t>• TRANSPORTE: Cabify / Uber (Ebanx) / Didi — montos enteros ceil desde Mercado Pago</t>
        </is>
      </c>
    </row>
    <row r="31">
      <c r="A31" s="30" t="inlineStr">
        <is>
          <t>• Dinero retirado: hoja "Dinero Retirado" (no suma al TOTAL de gastos)</t>
        </is>
      </c>
    </row>
    <row r="32">
      <c r="A32" s="30" t="inlineStr">
        <is>
          <t>• FARMACIA: Farmacity / Farmacia Selma / Farmacia Maure — nombre de farmacia en comentario</t>
        </is>
      </c>
    </row>
    <row r="33">
      <c r="A33" s="30" t="inlineStr">
        <is>
          <t>• Personal (Pago directo): va a OHIGGINS → TV CABLE-INTERNET — no CIUDAD</t>
        </is>
      </c>
    </row>
    <row r="34">
      <c r="A34" s="30" t="inlineStr">
        <is>
          <t>• Inversión: hoja "Inversión" (bonos, plazos fijos y otros; no suma al TOTAL de gastos)</t>
        </is>
      </c>
    </row>
    <row r="35">
      <c r="A35" s="30" t="inlineStr">
        <is>
          <t>• Transferencias recibidas: hoja "Transferencias recibidas" (no suma al total de gastos)</t>
        </is>
      </c>
    </row>
    <row r="36">
      <c r="A36" s="30" t="inlineStr">
        <is>
          <t>• Expensas consorcios: hoja "Expensas Consorcios" (Consorcio De Propiet = CIUDAD; no ALMACEN SOL)</t>
        </is>
      </c>
    </row>
    <row r="37">
      <c r="A37" s="30" t="inlineStr">
        <is>
          <t>• Gasto personal Sol (Tuenti, Apple, ropa, ML, extras, transferencias a terceros): hoja "Gasto Personal Sol" (no suma al total CIUDAD)</t>
        </is>
      </c>
    </row>
    <row r="38">
      <c r="A38" t="inlineStr">
        <is>
          <t>• Pago de tarjetas: hoja "Pago de Tarjetas" (pago de resumen TC; no es gasto nuevo de la matriz)</t>
        </is>
      </c>
    </row>
    <row r="39">
      <c r="A39" t="inlineStr">
        <is>
          <t>• ALMACEN SOL: solo comida/súper/combustible en "Almacen Detalle". Resto personal → "Gasto Personal Sol"</t>
        </is>
      </c>
    </row>
    <row r="40">
      <c r="A40" t="inlineStr">
        <is>
          <t>• ABL CIUDAD: partida AGIP 397789 (OHIGGINS = 3016365 → otra carpeta)</t>
        </is>
      </c>
    </row>
    <row r="41">
      <c r="A41" t="inlineStr">
        <is>
          <t>• Edesur → BONORINO. Edenor: Sanes=CIUDAD; Ivilmar/Marta Chagas=OHIGGINS. Telecentro=CIUDAD.</t>
        </is>
      </c>
    </row>
    <row r="42">
      <c r="A42" t="inlineStr">
        <is>
          <t>• Ingresos Sol: básico anterior ARS 11.305.702; +12% desde 01/07 → ARS 12.662.387 (cobro 01/08). No suma al total de gastos.</t>
        </is>
      </c>
    </row>
    <row r="43">
      <c r="A43" t="inlineStr">
        <is>
          <t>• MELI: simulador + detalle real de recibos 2026 (sueldos, bono y SAC). No suma al total de gastos.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  <row r="61">
      <c r="A61" s="44" t="n">
        <v>46186</v>
      </c>
      <c r="B61" t="inlineStr">
        <is>
          <t>AROMATIZANTES</t>
        </is>
      </c>
      <c r="C61" t="inlineStr">
        <is>
          <t>CASA — Aromatizantes Saphirus</t>
        </is>
      </c>
      <c r="D61" s="26" t="n">
        <v>79900</v>
      </c>
      <c r="E61" t="inlineStr">
        <is>
          <t>Mercado Pago</t>
        </is>
      </c>
      <c r="H61" t="inlineStr">
        <is>
          <t>CASA · AROMATIZANTES · Saphirus · CIUDAD</t>
        </is>
      </c>
      <c r="I61" t="inlineStr">
        <is>
          <t>Junio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12662387</v>
      </c>
      <c r="C6" s="51" t="inlineStr">
        <is>
          <t>ARS · vigente desde 01/07/2026 · básico anterior +12%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49" t="inlineStr">
        <is>
          <t>Bruto anterior confirmado</t>
        </is>
      </c>
      <c r="B10" s="50" t="n">
        <v>11305702</v>
      </c>
      <c r="C10" s="51" t="inlineStr">
        <is>
          <t>Recibos MELI marzo–junio 2026</t>
        </is>
      </c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12662387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básico anterior ARS 11.305.702 + 12% · vigente 01/07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12662387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desde julio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12662387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desde julio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12662387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desde julio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12662387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desde julio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12662387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desde julio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  <col width="20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20" customWidth="1" min="12" max="12"/>
    <col width="20" customWidth="1" min="13" max="13"/>
    <col width="20" customWidth="1" min="14" max="14"/>
    <col width="22" customWidth="1" min="15" max="15"/>
    <col width="18" customWidth="1" min="16" max="16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Básico: ARS 11.305.702 + 12% desde julio</t>
        </is>
      </c>
      <c r="D5" s="68" t="n"/>
    </row>
    <row r="6" ht="20" customHeight="1">
      <c r="A6" s="68" t="inlineStr">
        <is>
          <t>Car allowance mensual</t>
        </is>
      </c>
      <c r="B6" s="69" t="n">
        <v>349440</v>
      </c>
      <c r="C6" s="68" t="inlineStr">
        <is>
          <t>ARS 312.000 + 12% desde 01/07/2026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34" customHeight="1">
      <c r="A75" s="83" t="inlineStr">
        <is>
          <t>• Car allowance: ARS 312.000 hasta junio; +12% desde julio = ARS 349.440. Bruto mensual total proyectado: ARS 13.011.827.</t>
        </is>
      </c>
    </row>
    <row r="77">
      <c r="A77" s="84" t="inlineStr">
        <is>
          <t>RECIBOS MELI REALES 2026 — SUELDOS, BONO Y SAC</t>
        </is>
      </c>
    </row>
    <row r="78">
      <c r="A78" s="85" t="inlineStr">
        <is>
          <t>Período</t>
        </is>
      </c>
      <c r="B78" s="85" t="inlineStr">
        <is>
          <t>Tipo</t>
        </is>
      </c>
      <c r="C78" s="85" t="inlineStr">
        <is>
          <t>Fecha pago</t>
        </is>
      </c>
      <c r="D78" s="85" t="inlineStr">
        <is>
          <t>Básico</t>
        </is>
      </c>
      <c r="E78" s="85" t="inlineStr">
        <is>
          <t>Otros haberes netos</t>
        </is>
      </c>
      <c r="F78" s="85" t="inlineStr">
        <is>
          <t>Haberes totales</t>
        </is>
      </c>
      <c r="G78" s="85" t="inlineStr">
        <is>
          <t>SIJP</t>
        </is>
      </c>
      <c r="H78" s="85" t="inlineStr">
        <is>
          <t>PAMI</t>
        </is>
      </c>
      <c r="I78" s="85" t="inlineStr">
        <is>
          <t>Obra social</t>
        </is>
      </c>
      <c r="J78" s="85" t="inlineStr">
        <is>
          <t>Ganancias</t>
        </is>
      </c>
      <c r="K78" s="85" t="inlineStr">
        <is>
          <t>Otros descuentos</t>
        </is>
      </c>
      <c r="L78" s="85" t="inlineStr">
        <is>
          <t>Ajustes / devoluciones</t>
        </is>
      </c>
      <c r="M78" s="85" t="inlineStr">
        <is>
          <t>Descuentos netos</t>
        </is>
      </c>
      <c r="N78" s="85" t="inlineStr">
        <is>
          <t>Neto pagado</t>
        </is>
      </c>
      <c r="O78" s="85" t="inlineStr">
        <is>
          <t>Archivo fuente</t>
        </is>
      </c>
      <c r="P78" s="85" t="inlineStr">
        <is>
          <t>Conciliación</t>
        </is>
      </c>
    </row>
    <row r="79">
      <c r="A79" s="86" t="inlineStr">
        <is>
          <t>Enero</t>
        </is>
      </c>
      <c r="B79" s="75" t="inlineStr">
        <is>
          <t>Sueldo</t>
        </is>
      </c>
      <c r="C79" s="87" t="n">
        <v>46054</v>
      </c>
      <c r="D79" s="93" t="n">
        <v>7906085</v>
      </c>
      <c r="E79" s="93" t="n">
        <v>180000</v>
      </c>
      <c r="F79" s="93" t="n">
        <v>8086085</v>
      </c>
      <c r="G79" s="93" t="n">
        <v>420571.02</v>
      </c>
      <c r="H79" s="93" t="n">
        <v>114701.19</v>
      </c>
      <c r="I79" s="93" t="n">
        <v>114701.19</v>
      </c>
      <c r="J79" s="93" t="n">
        <v>1221703.83</v>
      </c>
      <c r="K79" s="93" t="n">
        <v>21900</v>
      </c>
      <c r="L79" s="93" t="n">
        <v>0</v>
      </c>
      <c r="M79" s="93" t="n">
        <v>1893577.23</v>
      </c>
      <c r="N79" s="94" t="n">
        <v>6192507.77</v>
      </c>
      <c r="O79" s="86" t="inlineStr">
        <is>
          <t>ENERO.pdf</t>
        </is>
      </c>
      <c r="P79" s="93">
        <f>ROUND(F79-M79-N79,2)</f>
        <v/>
      </c>
    </row>
    <row r="80">
      <c r="A80" s="86" t="inlineStr">
        <is>
          <t>Febrero</t>
        </is>
      </c>
      <c r="B80" s="75" t="inlineStr">
        <is>
          <t>Sueldo</t>
        </is>
      </c>
      <c r="C80" s="87" t="n">
        <v>46082</v>
      </c>
      <c r="D80" s="93" t="n">
        <v>7906085</v>
      </c>
      <c r="E80" s="93" t="n">
        <v>208000</v>
      </c>
      <c r="F80" s="93" t="n">
        <v>8114085</v>
      </c>
      <c r="G80" s="93" t="n">
        <v>432557.3</v>
      </c>
      <c r="H80" s="93" t="n">
        <v>117970.17</v>
      </c>
      <c r="I80" s="93" t="n">
        <v>117970.17</v>
      </c>
      <c r="J80" s="93" t="n">
        <v>1425004.25</v>
      </c>
      <c r="K80" s="93" t="n">
        <v>21900</v>
      </c>
      <c r="L80" s="93" t="n">
        <v>0</v>
      </c>
      <c r="M80" s="93" t="n">
        <v>2115401.89</v>
      </c>
      <c r="N80" s="94" t="n">
        <v>5998683.11</v>
      </c>
      <c r="O80" s="86" t="inlineStr">
        <is>
          <t>FEBRERO.pdf</t>
        </is>
      </c>
      <c r="P80" s="93">
        <f>ROUND(F80-M80-N80,2)</f>
        <v/>
      </c>
    </row>
    <row r="81">
      <c r="A81" s="86" t="inlineStr">
        <is>
          <t>Marzo</t>
        </is>
      </c>
      <c r="B81" s="75" t="inlineStr">
        <is>
          <t>Sueldo + retroactivo</t>
        </is>
      </c>
      <c r="C81" s="87" t="n">
        <v>46113</v>
      </c>
      <c r="D81" s="93" t="n">
        <v>11305702</v>
      </c>
      <c r="E81" s="93" t="n">
        <v>7007234</v>
      </c>
      <c r="F81" s="93" t="n">
        <v>18312936</v>
      </c>
      <c r="G81" s="93" t="n">
        <v>445014.95</v>
      </c>
      <c r="H81" s="93" t="n">
        <v>121367.71</v>
      </c>
      <c r="I81" s="93" t="n">
        <v>121367.71</v>
      </c>
      <c r="J81" s="93" t="n">
        <v>4658857.2</v>
      </c>
      <c r="K81" s="93" t="n">
        <v>21900</v>
      </c>
      <c r="L81" s="93" t="n">
        <v>0</v>
      </c>
      <c r="M81" s="93" t="n">
        <v>5368507.57</v>
      </c>
      <c r="N81" s="94" t="n">
        <v>12944428.43</v>
      </c>
      <c r="O81" s="86" t="inlineStr">
        <is>
          <t>MARZO.pdf</t>
        </is>
      </c>
      <c r="P81" s="93">
        <f>ROUND(F81-M81-N81,2)</f>
        <v/>
      </c>
    </row>
    <row r="82">
      <c r="A82" s="86" t="inlineStr">
        <is>
          <t>Abril</t>
        </is>
      </c>
      <c r="B82" s="75" t="inlineStr">
        <is>
          <t>Bono anual / transición</t>
        </is>
      </c>
      <c r="C82" s="87" t="n">
        <v>46118</v>
      </c>
      <c r="D82" s="93" t="n">
        <v>0</v>
      </c>
      <c r="E82" s="93" t="n">
        <v>23717162.5</v>
      </c>
      <c r="F82" s="93" t="n">
        <v>23717162.5</v>
      </c>
      <c r="G82" s="93" t="n">
        <v>445014.95</v>
      </c>
      <c r="H82" s="93" t="n">
        <v>121367.71</v>
      </c>
      <c r="I82" s="93" t="n">
        <v>121367.71</v>
      </c>
      <c r="J82" s="93" t="n">
        <v>3120893.08</v>
      </c>
      <c r="K82" s="93" t="n">
        <v>0</v>
      </c>
      <c r="L82" s="93" t="n">
        <v>0</v>
      </c>
      <c r="M82" s="93" t="n">
        <v>3808643.45</v>
      </c>
      <c r="N82" s="94" t="n">
        <v>19908519.05</v>
      </c>
      <c r="O82" s="86" t="inlineStr">
        <is>
          <t>ABRIL BONO.pdf</t>
        </is>
      </c>
      <c r="P82" s="93">
        <f>ROUND(F82-M82-N82,2)</f>
        <v/>
      </c>
    </row>
    <row r="83">
      <c r="A83" s="86" t="inlineStr">
        <is>
          <t>Abril</t>
        </is>
      </c>
      <c r="B83" s="75" t="inlineStr">
        <is>
          <t>Sueldo + vacaciones</t>
        </is>
      </c>
      <c r="C83" s="87" t="n">
        <v>46143</v>
      </c>
      <c r="D83" s="93" t="n">
        <v>11305702</v>
      </c>
      <c r="E83" s="93" t="n">
        <v>2168752.32</v>
      </c>
      <c r="F83" s="93" t="n">
        <v>13474454.32</v>
      </c>
      <c r="G83" s="93" t="n">
        <v>12905.43</v>
      </c>
      <c r="H83" s="93" t="n">
        <v>3519.66</v>
      </c>
      <c r="I83" s="93" t="n">
        <v>3519.66</v>
      </c>
      <c r="J83" s="93" t="n">
        <v>3813479.69</v>
      </c>
      <c r="K83" s="93" t="n">
        <v>23400</v>
      </c>
      <c r="L83" s="93" t="n">
        <v>-3564748.04</v>
      </c>
      <c r="M83" s="93" t="n">
        <v>292076.4</v>
      </c>
      <c r="N83" s="94" t="n">
        <v>13182377.92</v>
      </c>
      <c r="O83" s="86" t="inlineStr">
        <is>
          <t>ABRIL.pdf</t>
        </is>
      </c>
      <c r="P83" s="93">
        <f>ROUND(F83-M83-N83,2)</f>
        <v/>
      </c>
    </row>
    <row r="84">
      <c r="A84" s="86" t="inlineStr">
        <is>
          <t>Mayo</t>
        </is>
      </c>
      <c r="B84" s="75" t="inlineStr">
        <is>
          <t>Sueldo</t>
        </is>
      </c>
      <c r="C84" s="87" t="n">
        <v>46174</v>
      </c>
      <c r="D84" s="93" t="n">
        <v>11305702</v>
      </c>
      <c r="E84" s="93" t="n">
        <v>312000</v>
      </c>
      <c r="F84" s="93" t="n">
        <v>11617702</v>
      </c>
      <c r="G84" s="93" t="n">
        <v>473398.09</v>
      </c>
      <c r="H84" s="93" t="n">
        <v>129108.57</v>
      </c>
      <c r="I84" s="93" t="n">
        <v>129108.57</v>
      </c>
      <c r="J84" s="93" t="n">
        <v>3415603.09</v>
      </c>
      <c r="K84" s="93" t="n">
        <v>23400</v>
      </c>
      <c r="L84" s="93" t="n">
        <v>0</v>
      </c>
      <c r="M84" s="93" t="n">
        <v>4170618.32</v>
      </c>
      <c r="N84" s="94" t="n">
        <v>7447083.68</v>
      </c>
      <c r="O84" s="86" t="inlineStr">
        <is>
          <t>MAYO.pdf</t>
        </is>
      </c>
      <c r="P84" s="93">
        <f>ROUND(F84-M84-N84,2)</f>
        <v/>
      </c>
    </row>
    <row r="85">
      <c r="A85" s="86" t="inlineStr">
        <is>
          <t>Junio</t>
        </is>
      </c>
      <c r="B85" s="75" t="inlineStr">
        <is>
          <t>SAC 1° semestre</t>
        </is>
      </c>
      <c r="C85" s="87" t="n">
        <v>46196</v>
      </c>
      <c r="D85" s="93" t="n">
        <v>0</v>
      </c>
      <c r="E85" s="93" t="n">
        <v>6622090.14</v>
      </c>
      <c r="F85" s="93" t="n">
        <v>6622090.14</v>
      </c>
      <c r="G85" s="93" t="n">
        <v>242805.88</v>
      </c>
      <c r="H85" s="93" t="n">
        <v>66219.78999999999</v>
      </c>
      <c r="I85" s="93" t="n">
        <v>66219.78999999999</v>
      </c>
      <c r="J85" s="93" t="n">
        <v>536087.26</v>
      </c>
      <c r="K85" s="93" t="n">
        <v>0</v>
      </c>
      <c r="L85" s="93" t="n">
        <v>0</v>
      </c>
      <c r="M85" s="93" t="n">
        <v>911332.72</v>
      </c>
      <c r="N85" s="94" t="n">
        <v>5710757.42</v>
      </c>
      <c r="O85" s="86" t="inlineStr">
        <is>
          <t>SAC.pdf</t>
        </is>
      </c>
      <c r="P85" s="93">
        <f>ROUND(F85-M85-N85,2)</f>
        <v/>
      </c>
    </row>
    <row r="86">
      <c r="A86" s="86" t="inlineStr">
        <is>
          <t>Junio</t>
        </is>
      </c>
      <c r="B86" s="75" t="inlineStr">
        <is>
          <t>Sueldo</t>
        </is>
      </c>
      <c r="C86" s="87" t="n">
        <v>46204</v>
      </c>
      <c r="D86" s="93" t="n">
        <v>11305702</v>
      </c>
      <c r="E86" s="93" t="n">
        <v>312000</v>
      </c>
      <c r="F86" s="93" t="n">
        <v>11617702</v>
      </c>
      <c r="G86" s="93" t="n">
        <v>485611.76</v>
      </c>
      <c r="H86" s="93" t="n">
        <v>132439.57</v>
      </c>
      <c r="I86" s="93" t="n">
        <v>132439.57</v>
      </c>
      <c r="J86" s="93" t="n">
        <v>3408446.06</v>
      </c>
      <c r="K86" s="93" t="n">
        <v>23400</v>
      </c>
      <c r="L86" s="93" t="n">
        <v>0</v>
      </c>
      <c r="M86" s="93" t="n">
        <v>4182336.96</v>
      </c>
      <c r="N86" s="94" t="n">
        <v>7435365.04</v>
      </c>
      <c r="O86" s="86" t="inlineStr">
        <is>
          <t>JUNIO.pdf</t>
        </is>
      </c>
      <c r="P86" s="93">
        <f>ROUND(F86-M86-N86,2)</f>
        <v/>
      </c>
    </row>
    <row r="87">
      <c r="A87" s="90" t="inlineStr">
        <is>
          <t>TOTAL RECIBOS</t>
        </is>
      </c>
      <c r="B87" s="68" t="n"/>
      <c r="C87" s="68" t="n"/>
      <c r="D87" s="95">
        <f>SUM(D79:D86)</f>
        <v/>
      </c>
      <c r="E87" s="95">
        <f>SUM(E79:E86)</f>
        <v/>
      </c>
      <c r="F87" s="95">
        <f>SUM(F79:F86)</f>
        <v/>
      </c>
      <c r="G87" s="95">
        <f>SUM(G79:G86)</f>
        <v/>
      </c>
      <c r="H87" s="95">
        <f>SUM(H79:H86)</f>
        <v/>
      </c>
      <c r="I87" s="95">
        <f>SUM(I79:I86)</f>
        <v/>
      </c>
      <c r="J87" s="95">
        <f>SUM(J79:J86)</f>
        <v/>
      </c>
      <c r="K87" s="95">
        <f>SUM(K79:K86)</f>
        <v/>
      </c>
      <c r="L87" s="95">
        <f>SUM(L79:L86)</f>
        <v/>
      </c>
      <c r="M87" s="95">
        <f>SUM(M79:M86)</f>
        <v/>
      </c>
      <c r="N87" s="95">
        <f>SUM(N79:N86)</f>
        <v/>
      </c>
      <c r="O87" s="68" t="n"/>
      <c r="P87" s="96">
        <f>ROUND(F87-M87-N87,2)</f>
        <v/>
      </c>
    </row>
    <row r="89">
      <c r="A89" s="84" t="inlineStr">
        <is>
          <t>DETALLE EXTRAÍDO DE CONCEPTOS</t>
        </is>
      </c>
    </row>
    <row r="90">
      <c r="A90" s="80" t="inlineStr">
        <is>
          <t>Período</t>
        </is>
      </c>
      <c r="B90" s="80" t="inlineStr">
        <is>
          <t>Tipo recibo</t>
        </is>
      </c>
      <c r="C90" s="80" t="inlineStr">
        <is>
          <t>Fecha pago</t>
        </is>
      </c>
      <c r="D90" s="80" t="inlineStr">
        <is>
          <t>Concepto</t>
        </is>
      </c>
      <c r="E90" s="80" t="inlineStr">
        <is>
          <t>Clase</t>
        </is>
      </c>
      <c r="F90" s="80" t="inlineStr">
        <is>
          <t>Importe</t>
        </is>
      </c>
      <c r="G90" s="80" t="inlineStr">
        <is>
          <t>Archivo fuente</t>
        </is>
      </c>
    </row>
    <row r="91">
      <c r="A91" s="86" t="inlineStr">
        <is>
          <t>Enero</t>
        </is>
      </c>
      <c r="B91" s="86" t="inlineStr">
        <is>
          <t>Sueldo</t>
        </is>
      </c>
      <c r="C91" s="87" t="n">
        <v>46054</v>
      </c>
      <c r="D91" s="86" t="inlineStr">
        <is>
          <t>Sueldo Básico</t>
        </is>
      </c>
      <c r="E91" s="86" t="inlineStr">
        <is>
          <t>Haber</t>
        </is>
      </c>
      <c r="F91" s="93" t="n">
        <v>7906085</v>
      </c>
      <c r="G91" s="86" t="inlineStr">
        <is>
          <t>ENERO.pdf</t>
        </is>
      </c>
    </row>
    <row r="92">
      <c r="A92" s="86" t="inlineStr">
        <is>
          <t>Enero</t>
        </is>
      </c>
      <c r="B92" s="86" t="inlineStr">
        <is>
          <t>Sueldo</t>
        </is>
      </c>
      <c r="C92" s="87" t="n">
        <v>46054</v>
      </c>
      <c r="D92" s="86" t="inlineStr">
        <is>
          <t>Beneficio Auto</t>
        </is>
      </c>
      <c r="E92" s="86" t="inlineStr">
        <is>
          <t>Haber</t>
        </is>
      </c>
      <c r="F92" s="93" t="n">
        <v>180000</v>
      </c>
      <c r="G92" s="86" t="inlineStr">
        <is>
          <t>ENERO.pdf</t>
        </is>
      </c>
    </row>
    <row r="93">
      <c r="A93" s="86" t="inlineStr">
        <is>
          <t>Enero</t>
        </is>
      </c>
      <c r="B93" s="86" t="inlineStr">
        <is>
          <t>Sueldo</t>
        </is>
      </c>
      <c r="C93" s="87" t="n">
        <v>46054</v>
      </c>
      <c r="D93" s="86" t="inlineStr">
        <is>
          <t>Aporte SIJP sobre sueldo</t>
        </is>
      </c>
      <c r="E93" s="86" t="inlineStr">
        <is>
          <t>Descuento</t>
        </is>
      </c>
      <c r="F93" s="93" t="n">
        <v>420571.02</v>
      </c>
      <c r="G93" s="86" t="inlineStr">
        <is>
          <t>ENERO.pdf</t>
        </is>
      </c>
    </row>
    <row r="94">
      <c r="A94" s="86" t="inlineStr">
        <is>
          <t>Enero</t>
        </is>
      </c>
      <c r="B94" s="86" t="inlineStr">
        <is>
          <t>Sueldo</t>
        </is>
      </c>
      <c r="C94" s="87" t="n">
        <v>46054</v>
      </c>
      <c r="D94" s="86" t="inlineStr">
        <is>
          <t>Aporte INSSJP sobre sueldo</t>
        </is>
      </c>
      <c r="E94" s="86" t="inlineStr">
        <is>
          <t>Descuento</t>
        </is>
      </c>
      <c r="F94" s="93" t="n">
        <v>114701.19</v>
      </c>
      <c r="G94" s="86" t="inlineStr">
        <is>
          <t>ENERO.pdf</t>
        </is>
      </c>
    </row>
    <row r="95">
      <c r="A95" s="86" t="inlineStr">
        <is>
          <t>Enero</t>
        </is>
      </c>
      <c r="B95" s="86" t="inlineStr">
        <is>
          <t>Sueldo</t>
        </is>
      </c>
      <c r="C95" s="87" t="n">
        <v>46054</v>
      </c>
      <c r="D95" s="86" t="inlineStr">
        <is>
          <t>Aporte Obra Social sobre sueldo</t>
        </is>
      </c>
      <c r="E95" s="86" t="inlineStr">
        <is>
          <t>Descuento</t>
        </is>
      </c>
      <c r="F95" s="93" t="n">
        <v>114701.19</v>
      </c>
      <c r="G95" s="86" t="inlineStr">
        <is>
          <t>ENERO.pdf</t>
        </is>
      </c>
    </row>
    <row r="96">
      <c r="A96" s="86" t="inlineStr">
        <is>
          <t>Enero</t>
        </is>
      </c>
      <c r="B96" s="86" t="inlineStr">
        <is>
          <t>Sueldo</t>
        </is>
      </c>
      <c r="C96" s="87" t="n">
        <v>46054</v>
      </c>
      <c r="D96" s="86" t="inlineStr">
        <is>
          <t>Impuesto pagado/devuelto</t>
        </is>
      </c>
      <c r="E96" s="86" t="inlineStr">
        <is>
          <t>Descuento Ganancias</t>
        </is>
      </c>
      <c r="F96" s="93" t="n">
        <v>1221703.83</v>
      </c>
      <c r="G96" s="86" t="inlineStr">
        <is>
          <t>ENERO.pdf</t>
        </is>
      </c>
    </row>
    <row r="97">
      <c r="A97" s="86" t="inlineStr">
        <is>
          <t>Enero</t>
        </is>
      </c>
      <c r="B97" s="86" t="inlineStr">
        <is>
          <t>Sueldo</t>
        </is>
      </c>
      <c r="C97" s="87" t="n">
        <v>46054</v>
      </c>
      <c r="D97" s="86" t="inlineStr">
        <is>
          <t>Dto Gimnasio</t>
        </is>
      </c>
      <c r="E97" s="86" t="inlineStr">
        <is>
          <t>Descuento</t>
        </is>
      </c>
      <c r="F97" s="93" t="n">
        <v>21900</v>
      </c>
      <c r="G97" s="86" t="inlineStr">
        <is>
          <t>ENERO.pdf</t>
        </is>
      </c>
    </row>
    <row r="98">
      <c r="A98" s="86" t="inlineStr">
        <is>
          <t>Febrero</t>
        </is>
      </c>
      <c r="B98" s="86" t="inlineStr">
        <is>
          <t>Sueldo</t>
        </is>
      </c>
      <c r="C98" s="87" t="n">
        <v>46082</v>
      </c>
      <c r="D98" s="86" t="inlineStr">
        <is>
          <t>Sueldo Básico</t>
        </is>
      </c>
      <c r="E98" s="86" t="inlineStr">
        <is>
          <t>Haber</t>
        </is>
      </c>
      <c r="F98" s="93" t="n">
        <v>7906085</v>
      </c>
      <c r="G98" s="86" t="inlineStr">
        <is>
          <t>FEBRERO.pdf</t>
        </is>
      </c>
    </row>
    <row r="99">
      <c r="A99" s="86" t="inlineStr">
        <is>
          <t>Febrero</t>
        </is>
      </c>
      <c r="B99" s="86" t="inlineStr">
        <is>
          <t>Sueldo</t>
        </is>
      </c>
      <c r="C99" s="87" t="n">
        <v>46082</v>
      </c>
      <c r="D99" s="86" t="inlineStr">
        <is>
          <t>Beneficio Auto</t>
        </is>
      </c>
      <c r="E99" s="86" t="inlineStr">
        <is>
          <t>Haber</t>
        </is>
      </c>
      <c r="F99" s="93" t="n">
        <v>208000</v>
      </c>
      <c r="G99" s="86" t="inlineStr">
        <is>
          <t>FEBRERO.pdf</t>
        </is>
      </c>
    </row>
    <row r="100">
      <c r="A100" s="86" t="inlineStr">
        <is>
          <t>Febrero</t>
        </is>
      </c>
      <c r="B100" s="86" t="inlineStr">
        <is>
          <t>Sueldo</t>
        </is>
      </c>
      <c r="C100" s="87" t="n">
        <v>46082</v>
      </c>
      <c r="D100" s="86" t="inlineStr">
        <is>
          <t>Aporte SIJP sobre sueldo</t>
        </is>
      </c>
      <c r="E100" s="86" t="inlineStr">
        <is>
          <t>Descuento</t>
        </is>
      </c>
      <c r="F100" s="93" t="n">
        <v>432557.3</v>
      </c>
      <c r="G100" s="86" t="inlineStr">
        <is>
          <t>FEBRERO.pdf</t>
        </is>
      </c>
    </row>
    <row r="101">
      <c r="A101" s="86" t="inlineStr">
        <is>
          <t>Febrero</t>
        </is>
      </c>
      <c r="B101" s="86" t="inlineStr">
        <is>
          <t>Sueldo</t>
        </is>
      </c>
      <c r="C101" s="87" t="n">
        <v>46082</v>
      </c>
      <c r="D101" s="86" t="inlineStr">
        <is>
          <t>Aporte INSSJP sobre sueldo</t>
        </is>
      </c>
      <c r="E101" s="86" t="inlineStr">
        <is>
          <t>Descuento</t>
        </is>
      </c>
      <c r="F101" s="93" t="n">
        <v>117970.17</v>
      </c>
      <c r="G101" s="86" t="inlineStr">
        <is>
          <t>FEBRERO.pdf</t>
        </is>
      </c>
    </row>
    <row r="102">
      <c r="A102" s="86" t="inlineStr">
        <is>
          <t>Febrero</t>
        </is>
      </c>
      <c r="B102" s="86" t="inlineStr">
        <is>
          <t>Sueldo</t>
        </is>
      </c>
      <c r="C102" s="87" t="n">
        <v>46082</v>
      </c>
      <c r="D102" s="86" t="inlineStr">
        <is>
          <t>Aporte Obra Social sobre sueldo</t>
        </is>
      </c>
      <c r="E102" s="86" t="inlineStr">
        <is>
          <t>Descuento</t>
        </is>
      </c>
      <c r="F102" s="93" t="n">
        <v>117970.17</v>
      </c>
      <c r="G102" s="86" t="inlineStr">
        <is>
          <t>FEBRERO.pdf</t>
        </is>
      </c>
    </row>
    <row r="103">
      <c r="A103" s="86" t="inlineStr">
        <is>
          <t>Febrero</t>
        </is>
      </c>
      <c r="B103" s="86" t="inlineStr">
        <is>
          <t>Sueldo</t>
        </is>
      </c>
      <c r="C103" s="87" t="n">
        <v>46082</v>
      </c>
      <c r="D103" s="86" t="inlineStr">
        <is>
          <t>Impuesto pagado/devuelto</t>
        </is>
      </c>
      <c r="E103" s="86" t="inlineStr">
        <is>
          <t>Descuento Ganancias</t>
        </is>
      </c>
      <c r="F103" s="93" t="n">
        <v>1425004.25</v>
      </c>
      <c r="G103" s="86" t="inlineStr">
        <is>
          <t>FEBRERO.pdf</t>
        </is>
      </c>
    </row>
    <row r="104">
      <c r="A104" s="86" t="inlineStr">
        <is>
          <t>Febrero</t>
        </is>
      </c>
      <c r="B104" s="86" t="inlineStr">
        <is>
          <t>Sueldo</t>
        </is>
      </c>
      <c r="C104" s="87" t="n">
        <v>46082</v>
      </c>
      <c r="D104" s="86" t="inlineStr">
        <is>
          <t>Dto Gimnasio</t>
        </is>
      </c>
      <c r="E104" s="86" t="inlineStr">
        <is>
          <t>Descuento</t>
        </is>
      </c>
      <c r="F104" s="93" t="n">
        <v>21900</v>
      </c>
      <c r="G104" s="86" t="inlineStr">
        <is>
          <t>FEBRERO.pdf</t>
        </is>
      </c>
    </row>
    <row r="105">
      <c r="A105" s="86" t="inlineStr">
        <is>
          <t>Marzo</t>
        </is>
      </c>
      <c r="B105" s="86" t="inlineStr">
        <is>
          <t>Sueldo + retroactivo</t>
        </is>
      </c>
      <c r="C105" s="87" t="n">
        <v>46113</v>
      </c>
      <c r="D105" s="86" t="inlineStr">
        <is>
          <t>R-Sueldo Básico</t>
        </is>
      </c>
      <c r="E105" s="86" t="inlineStr">
        <is>
          <t>Haber</t>
        </is>
      </c>
      <c r="F105" s="93" t="n">
        <v>6799234</v>
      </c>
      <c r="G105" s="86" t="inlineStr">
        <is>
          <t>MARZO.pdf</t>
        </is>
      </c>
    </row>
    <row r="106">
      <c r="A106" s="86" t="inlineStr">
        <is>
          <t>Marzo</t>
        </is>
      </c>
      <c r="B106" s="86" t="inlineStr">
        <is>
          <t>Sueldo + retroactivo</t>
        </is>
      </c>
      <c r="C106" s="87" t="n">
        <v>46113</v>
      </c>
      <c r="D106" s="86" t="inlineStr">
        <is>
          <t>Sueldo Básico</t>
        </is>
      </c>
      <c r="E106" s="86" t="inlineStr">
        <is>
          <t>Haber</t>
        </is>
      </c>
      <c r="F106" s="93" t="n">
        <v>11305702</v>
      </c>
      <c r="G106" s="86" t="inlineStr">
        <is>
          <t>MARZO.pdf</t>
        </is>
      </c>
    </row>
    <row r="107">
      <c r="A107" s="86" t="inlineStr">
        <is>
          <t>Marzo</t>
        </is>
      </c>
      <c r="B107" s="86" t="inlineStr">
        <is>
          <t>Sueldo + retroactivo</t>
        </is>
      </c>
      <c r="C107" s="87" t="n">
        <v>46113</v>
      </c>
      <c r="D107" s="86" t="inlineStr">
        <is>
          <t>Beneficio Auto</t>
        </is>
      </c>
      <c r="E107" s="86" t="inlineStr">
        <is>
          <t>Haber</t>
        </is>
      </c>
      <c r="F107" s="93" t="n">
        <v>208000</v>
      </c>
      <c r="G107" s="86" t="inlineStr">
        <is>
          <t>MARZO.pdf</t>
        </is>
      </c>
    </row>
    <row r="108">
      <c r="A108" s="86" t="inlineStr">
        <is>
          <t>Marzo</t>
        </is>
      </c>
      <c r="B108" s="86" t="inlineStr">
        <is>
          <t>Sueldo + retroactivo</t>
        </is>
      </c>
      <c r="C108" s="87" t="n">
        <v>46113</v>
      </c>
      <c r="D108" s="86" t="inlineStr">
        <is>
          <t>Aporte SIJP sobre sueldo</t>
        </is>
      </c>
      <c r="E108" s="86" t="inlineStr">
        <is>
          <t>Descuento</t>
        </is>
      </c>
      <c r="F108" s="93" t="n">
        <v>445014.95</v>
      </c>
      <c r="G108" s="86" t="inlineStr">
        <is>
          <t>MARZO.pdf</t>
        </is>
      </c>
    </row>
    <row r="109">
      <c r="A109" s="86" t="inlineStr">
        <is>
          <t>Marzo</t>
        </is>
      </c>
      <c r="B109" s="86" t="inlineStr">
        <is>
          <t>Sueldo + retroactivo</t>
        </is>
      </c>
      <c r="C109" s="87" t="n">
        <v>46113</v>
      </c>
      <c r="D109" s="86" t="inlineStr">
        <is>
          <t>Aporte INSSJP sobre sueldo</t>
        </is>
      </c>
      <c r="E109" s="86" t="inlineStr">
        <is>
          <t>Descuento</t>
        </is>
      </c>
      <c r="F109" s="93" t="n">
        <v>121367.71</v>
      </c>
      <c r="G109" s="86" t="inlineStr">
        <is>
          <t>MARZO.pdf</t>
        </is>
      </c>
    </row>
    <row r="110">
      <c r="A110" s="86" t="inlineStr">
        <is>
          <t>Marzo</t>
        </is>
      </c>
      <c r="B110" s="86" t="inlineStr">
        <is>
          <t>Sueldo + retroactivo</t>
        </is>
      </c>
      <c r="C110" s="87" t="n">
        <v>46113</v>
      </c>
      <c r="D110" s="86" t="inlineStr">
        <is>
          <t>Aporte Obra Social sobre sueldo</t>
        </is>
      </c>
      <c r="E110" s="86" t="inlineStr">
        <is>
          <t>Descuento</t>
        </is>
      </c>
      <c r="F110" s="93" t="n">
        <v>121367.71</v>
      </c>
      <c r="G110" s="86" t="inlineStr">
        <is>
          <t>MARZO.pdf</t>
        </is>
      </c>
    </row>
    <row r="111">
      <c r="A111" s="86" t="inlineStr">
        <is>
          <t>Marzo</t>
        </is>
      </c>
      <c r="B111" s="86" t="inlineStr">
        <is>
          <t>Sueldo + retroactivo</t>
        </is>
      </c>
      <c r="C111" s="87" t="n">
        <v>46113</v>
      </c>
      <c r="D111" s="86" t="inlineStr">
        <is>
          <t>Impuesto pagado/devuelto</t>
        </is>
      </c>
      <c r="E111" s="86" t="inlineStr">
        <is>
          <t>Descuento Ganancias</t>
        </is>
      </c>
      <c r="F111" s="93" t="n">
        <v>4658857.2</v>
      </c>
      <c r="G111" s="86" t="inlineStr">
        <is>
          <t>MARZO.pdf</t>
        </is>
      </c>
    </row>
    <row r="112">
      <c r="A112" s="86" t="inlineStr">
        <is>
          <t>Marzo</t>
        </is>
      </c>
      <c r="B112" s="86" t="inlineStr">
        <is>
          <t>Sueldo + retroactivo</t>
        </is>
      </c>
      <c r="C112" s="87" t="n">
        <v>46113</v>
      </c>
      <c r="D112" s="86" t="inlineStr">
        <is>
          <t>Dto Gimnasio</t>
        </is>
      </c>
      <c r="E112" s="86" t="inlineStr">
        <is>
          <t>Descuento</t>
        </is>
      </c>
      <c r="F112" s="93" t="n">
        <v>21900</v>
      </c>
      <c r="G112" s="86" t="inlineStr">
        <is>
          <t>MARZO.pdf</t>
        </is>
      </c>
    </row>
    <row r="113">
      <c r="A113" s="86" t="inlineStr">
        <is>
          <t>Abril</t>
        </is>
      </c>
      <c r="B113" s="86" t="inlineStr">
        <is>
          <t>Bono anual / transición</t>
        </is>
      </c>
      <c r="C113" s="87" t="n">
        <v>46118</v>
      </c>
      <c r="D113" s="86" t="inlineStr">
        <is>
          <t>Bono de Transición</t>
        </is>
      </c>
      <c r="E113" s="86" t="inlineStr">
        <is>
          <t>Haber</t>
        </is>
      </c>
      <c r="F113" s="93" t="n">
        <v>7296916.15</v>
      </c>
      <c r="G113" s="86" t="inlineStr">
        <is>
          <t>ABRIL BONO.pdf</t>
        </is>
      </c>
    </row>
    <row r="114">
      <c r="A114" s="86" t="inlineStr">
        <is>
          <t>Abril</t>
        </is>
      </c>
      <c r="B114" s="86" t="inlineStr">
        <is>
          <t>Bono anual / transición</t>
        </is>
      </c>
      <c r="C114" s="87" t="n">
        <v>46118</v>
      </c>
      <c r="D114" s="86" t="inlineStr">
        <is>
          <t>Gratificación Extraordinaria Anual</t>
        </is>
      </c>
      <c r="E114" s="86" t="inlineStr">
        <is>
          <t>Haber</t>
        </is>
      </c>
      <c r="F114" s="93" t="n">
        <v>14596298</v>
      </c>
      <c r="G114" s="86" t="inlineStr">
        <is>
          <t>ABRIL BONO.pdf</t>
        </is>
      </c>
    </row>
    <row r="115">
      <c r="A115" s="86" t="inlineStr">
        <is>
          <t>Abril</t>
        </is>
      </c>
      <c r="B115" s="86" t="inlineStr">
        <is>
          <t>Bono anual / transición</t>
        </is>
      </c>
      <c r="C115" s="87" t="n">
        <v>46118</v>
      </c>
      <c r="D115" s="86" t="inlineStr">
        <is>
          <t>SAC Gratificación Extraordinaria</t>
        </is>
      </c>
      <c r="E115" s="86" t="inlineStr">
        <is>
          <t>Haber</t>
        </is>
      </c>
      <c r="F115" s="93" t="n">
        <v>1215872</v>
      </c>
      <c r="G115" s="86" t="inlineStr">
        <is>
          <t>ABRIL BONO.pdf</t>
        </is>
      </c>
    </row>
    <row r="116">
      <c r="A116" s="86" t="inlineStr">
        <is>
          <t>Abril</t>
        </is>
      </c>
      <c r="B116" s="86" t="inlineStr">
        <is>
          <t>Bono anual / transición</t>
        </is>
      </c>
      <c r="C116" s="87" t="n">
        <v>46118</v>
      </c>
      <c r="D116" s="86" t="inlineStr">
        <is>
          <t>SAC sobre Bono de Transición</t>
        </is>
      </c>
      <c r="E116" s="86" t="inlineStr">
        <is>
          <t>Haber</t>
        </is>
      </c>
      <c r="F116" s="93" t="n">
        <v>608076.35</v>
      </c>
      <c r="G116" s="86" t="inlineStr">
        <is>
          <t>ABRIL BONO.pdf</t>
        </is>
      </c>
    </row>
    <row r="117">
      <c r="A117" s="86" t="inlineStr">
        <is>
          <t>Abril</t>
        </is>
      </c>
      <c r="B117" s="86" t="inlineStr">
        <is>
          <t>Bono anual / transición</t>
        </is>
      </c>
      <c r="C117" s="87" t="n">
        <v>46118</v>
      </c>
      <c r="D117" s="86" t="inlineStr">
        <is>
          <t>Aporte SIJP sobre sueldo</t>
        </is>
      </c>
      <c r="E117" s="86" t="inlineStr">
        <is>
          <t>Descuento</t>
        </is>
      </c>
      <c r="F117" s="93" t="n">
        <v>445014.95</v>
      </c>
      <c r="G117" s="86" t="inlineStr">
        <is>
          <t>ABRIL BONO.pdf</t>
        </is>
      </c>
    </row>
    <row r="118">
      <c r="A118" s="86" t="inlineStr">
        <is>
          <t>Abril</t>
        </is>
      </c>
      <c r="B118" s="86" t="inlineStr">
        <is>
          <t>Bono anual / transición</t>
        </is>
      </c>
      <c r="C118" s="87" t="n">
        <v>46118</v>
      </c>
      <c r="D118" s="86" t="inlineStr">
        <is>
          <t>Aporte INSSJP sobre sueldo</t>
        </is>
      </c>
      <c r="E118" s="86" t="inlineStr">
        <is>
          <t>Descuento</t>
        </is>
      </c>
      <c r="F118" s="93" t="n">
        <v>121367.71</v>
      </c>
      <c r="G118" s="86" t="inlineStr">
        <is>
          <t>ABRIL BONO.pdf</t>
        </is>
      </c>
    </row>
    <row r="119">
      <c r="A119" s="86" t="inlineStr">
        <is>
          <t>Abril</t>
        </is>
      </c>
      <c r="B119" s="86" t="inlineStr">
        <is>
          <t>Bono anual / transición</t>
        </is>
      </c>
      <c r="C119" s="87" t="n">
        <v>46118</v>
      </c>
      <c r="D119" s="86" t="inlineStr">
        <is>
          <t>Aporte Obra Social sobre sueldo</t>
        </is>
      </c>
      <c r="E119" s="86" t="inlineStr">
        <is>
          <t>Descuento</t>
        </is>
      </c>
      <c r="F119" s="93" t="n">
        <v>121367.71</v>
      </c>
      <c r="G119" s="86" t="inlineStr">
        <is>
          <t>ABRIL BONO.pdf</t>
        </is>
      </c>
    </row>
    <row r="120">
      <c r="A120" s="86" t="inlineStr">
        <is>
          <t>Abril</t>
        </is>
      </c>
      <c r="B120" s="86" t="inlineStr">
        <is>
          <t>Bono anual / transición</t>
        </is>
      </c>
      <c r="C120" s="87" t="n">
        <v>46118</v>
      </c>
      <c r="D120" s="86" t="inlineStr">
        <is>
          <t>Impuesto pagado/devuelto</t>
        </is>
      </c>
      <c r="E120" s="86" t="inlineStr">
        <is>
          <t>Descuento Ganancias</t>
        </is>
      </c>
      <c r="F120" s="93" t="n">
        <v>3120893.08</v>
      </c>
      <c r="G120" s="86" t="inlineStr">
        <is>
          <t>ABRIL BONO.pdf</t>
        </is>
      </c>
    </row>
    <row r="121">
      <c r="A121" s="86" t="inlineStr">
        <is>
          <t>Abril</t>
        </is>
      </c>
      <c r="B121" s="86" t="inlineStr">
        <is>
          <t>Sueldo + vacaciones</t>
        </is>
      </c>
      <c r="C121" s="87" t="n">
        <v>46143</v>
      </c>
      <c r="D121" s="86" t="inlineStr">
        <is>
          <t>Sueldo Básico</t>
        </is>
      </c>
      <c r="E121" s="86" t="inlineStr">
        <is>
          <t>Haber</t>
        </is>
      </c>
      <c r="F121" s="93" t="n">
        <v>11305702</v>
      </c>
      <c r="G121" s="86" t="inlineStr">
        <is>
          <t>ABRIL.pdf</t>
        </is>
      </c>
    </row>
    <row r="122">
      <c r="A122" s="86" t="inlineStr">
        <is>
          <t>Abril</t>
        </is>
      </c>
      <c r="B122" s="86" t="inlineStr">
        <is>
          <t>Sueldo + vacaciones</t>
        </is>
      </c>
      <c r="C122" s="87" t="n">
        <v>46143</v>
      </c>
      <c r="D122" s="86" t="inlineStr">
        <is>
          <t>Beneficio Auto</t>
        </is>
      </c>
      <c r="E122" s="86" t="inlineStr">
        <is>
          <t>Haber</t>
        </is>
      </c>
      <c r="F122" s="93" t="n">
        <v>312000</v>
      </c>
      <c r="G122" s="86" t="inlineStr">
        <is>
          <t>ABRIL.pdf</t>
        </is>
      </c>
    </row>
    <row r="123">
      <c r="A123" s="86" t="inlineStr">
        <is>
          <t>Abril</t>
        </is>
      </c>
      <c r="B123" s="86" t="inlineStr">
        <is>
          <t>Sueldo + vacaciones</t>
        </is>
      </c>
      <c r="C123" s="87" t="n">
        <v>46143</v>
      </c>
      <c r="D123" s="86" t="inlineStr">
        <is>
          <t>Pago de Vacaciones</t>
        </is>
      </c>
      <c r="E123" s="86" t="inlineStr">
        <is>
          <t>Haber</t>
        </is>
      </c>
      <c r="F123" s="93" t="n">
        <v>9758869.68</v>
      </c>
      <c r="G123" s="86" t="inlineStr">
        <is>
          <t>ABRIL.pdf</t>
        </is>
      </c>
    </row>
    <row r="124">
      <c r="A124" s="86" t="inlineStr">
        <is>
          <t>Abril</t>
        </is>
      </c>
      <c r="B124" s="86" t="inlineStr">
        <is>
          <t>Sueldo + vacaciones</t>
        </is>
      </c>
      <c r="C124" s="87" t="n">
        <v>46143</v>
      </c>
      <c r="D124" s="86" t="inlineStr">
        <is>
          <t>Dto Días No Trabajados Vacaciones</t>
        </is>
      </c>
      <c r="E124" s="73" t="inlineStr">
        <is>
          <t>Haber negativo</t>
        </is>
      </c>
      <c r="F124" s="93" t="n">
        <v>-8132391.4</v>
      </c>
      <c r="G124" s="86" t="inlineStr">
        <is>
          <t>ABRIL.pdf</t>
        </is>
      </c>
    </row>
    <row r="125">
      <c r="A125" s="86" t="inlineStr">
        <is>
          <t>Abril</t>
        </is>
      </c>
      <c r="B125" s="86" t="inlineStr">
        <is>
          <t>Sueldo + vacaciones</t>
        </is>
      </c>
      <c r="C125" s="87" t="n">
        <v>46143</v>
      </c>
      <c r="D125" s="86" t="inlineStr">
        <is>
          <t>R-Dto Días No Trabajados</t>
        </is>
      </c>
      <c r="E125" s="73" t="inlineStr">
        <is>
          <t>Haber negativo</t>
        </is>
      </c>
      <c r="F125" s="93" t="n">
        <v>-1151370.2</v>
      </c>
      <c r="G125" s="86" t="inlineStr">
        <is>
          <t>ABRIL.pdf</t>
        </is>
      </c>
    </row>
    <row r="126">
      <c r="A126" s="86" t="inlineStr">
        <is>
          <t>Abril</t>
        </is>
      </c>
      <c r="B126" s="86" t="inlineStr">
        <is>
          <t>Sueldo + vacaciones</t>
        </is>
      </c>
      <c r="C126" s="87" t="n">
        <v>46143</v>
      </c>
      <c r="D126" s="86" t="inlineStr">
        <is>
          <t>R-Licencia Especial</t>
        </is>
      </c>
      <c r="E126" s="86" t="inlineStr">
        <is>
          <t>Haber</t>
        </is>
      </c>
      <c r="F126" s="93" t="n">
        <v>1381644.24</v>
      </c>
      <c r="G126" s="86" t="inlineStr">
        <is>
          <t>ABRIL.pdf</t>
        </is>
      </c>
    </row>
    <row r="127">
      <c r="A127" s="86" t="inlineStr">
        <is>
          <t>Abril</t>
        </is>
      </c>
      <c r="B127" s="86" t="inlineStr">
        <is>
          <t>Sueldo + vacaciones</t>
        </is>
      </c>
      <c r="C127" s="87" t="n">
        <v>46143</v>
      </c>
      <c r="D127" s="86" t="inlineStr">
        <is>
          <t>Aporte SIJP sobre sueldo</t>
        </is>
      </c>
      <c r="E127" s="86" t="inlineStr">
        <is>
          <t>Descuento</t>
        </is>
      </c>
      <c r="F127" s="93" t="n">
        <v>12905.43</v>
      </c>
      <c r="G127" s="86" t="inlineStr">
        <is>
          <t>ABRIL.pdf</t>
        </is>
      </c>
    </row>
    <row r="128">
      <c r="A128" s="86" t="inlineStr">
        <is>
          <t>Abril</t>
        </is>
      </c>
      <c r="B128" s="86" t="inlineStr">
        <is>
          <t>Sueldo + vacaciones</t>
        </is>
      </c>
      <c r="C128" s="87" t="n">
        <v>46143</v>
      </c>
      <c r="D128" s="86" t="inlineStr">
        <is>
          <t>Aporte INSSJP sobre sueldo</t>
        </is>
      </c>
      <c r="E128" s="86" t="inlineStr">
        <is>
          <t>Descuento</t>
        </is>
      </c>
      <c r="F128" s="93" t="n">
        <v>3519.66</v>
      </c>
      <c r="G128" s="86" t="inlineStr">
        <is>
          <t>ABRIL.pdf</t>
        </is>
      </c>
    </row>
    <row r="129">
      <c r="A129" s="86" t="inlineStr">
        <is>
          <t>Abril</t>
        </is>
      </c>
      <c r="B129" s="86" t="inlineStr">
        <is>
          <t>Sueldo + vacaciones</t>
        </is>
      </c>
      <c r="C129" s="87" t="n">
        <v>46143</v>
      </c>
      <c r="D129" s="86" t="inlineStr">
        <is>
          <t>Aporte Obra Social sobre sueldo</t>
        </is>
      </c>
      <c r="E129" s="86" t="inlineStr">
        <is>
          <t>Descuento</t>
        </is>
      </c>
      <c r="F129" s="93" t="n">
        <v>3519.66</v>
      </c>
      <c r="G129" s="86" t="inlineStr">
        <is>
          <t>ABRIL.pdf</t>
        </is>
      </c>
    </row>
    <row r="130">
      <c r="A130" s="86" t="inlineStr">
        <is>
          <t>Abril</t>
        </is>
      </c>
      <c r="B130" s="86" t="inlineStr">
        <is>
          <t>Sueldo + vacaciones</t>
        </is>
      </c>
      <c r="C130" s="87" t="n">
        <v>46143</v>
      </c>
      <c r="D130" s="86" t="inlineStr">
        <is>
          <t>Diferencia impuesto año anterior</t>
        </is>
      </c>
      <c r="E130" s="73" t="inlineStr">
        <is>
          <t>Devolución Ganancias</t>
        </is>
      </c>
      <c r="F130" s="93" t="n">
        <v>-3564748.04</v>
      </c>
      <c r="G130" s="86" t="inlineStr">
        <is>
          <t>ABRIL.pdf</t>
        </is>
      </c>
    </row>
    <row r="131">
      <c r="A131" s="86" t="inlineStr">
        <is>
          <t>Abril</t>
        </is>
      </c>
      <c r="B131" s="86" t="inlineStr">
        <is>
          <t>Sueldo + vacaciones</t>
        </is>
      </c>
      <c r="C131" s="87" t="n">
        <v>46143</v>
      </c>
      <c r="D131" s="86" t="inlineStr">
        <is>
          <t>Impuesto pagado/devuelto</t>
        </is>
      </c>
      <c r="E131" s="86" t="inlineStr">
        <is>
          <t>Descuento Ganancias</t>
        </is>
      </c>
      <c r="F131" s="93" t="n">
        <v>3813479.69</v>
      </c>
      <c r="G131" s="86" t="inlineStr">
        <is>
          <t>ABRIL.pdf</t>
        </is>
      </c>
    </row>
    <row r="132">
      <c r="A132" s="86" t="inlineStr">
        <is>
          <t>Abril</t>
        </is>
      </c>
      <c r="B132" s="86" t="inlineStr">
        <is>
          <t>Sueldo + vacaciones</t>
        </is>
      </c>
      <c r="C132" s="87" t="n">
        <v>46143</v>
      </c>
      <c r="D132" s="86" t="inlineStr">
        <is>
          <t>Dto Gimnasio</t>
        </is>
      </c>
      <c r="E132" s="86" t="inlineStr">
        <is>
          <t>Descuento</t>
        </is>
      </c>
      <c r="F132" s="93" t="n">
        <v>23400</v>
      </c>
      <c r="G132" s="86" t="inlineStr">
        <is>
          <t>ABRIL.pdf</t>
        </is>
      </c>
    </row>
    <row r="133">
      <c r="A133" s="86" t="inlineStr">
        <is>
          <t>Mayo</t>
        </is>
      </c>
      <c r="B133" s="86" t="inlineStr">
        <is>
          <t>Sueldo</t>
        </is>
      </c>
      <c r="C133" s="87" t="n">
        <v>46174</v>
      </c>
      <c r="D133" s="86" t="inlineStr">
        <is>
          <t>Sueldo Básico</t>
        </is>
      </c>
      <c r="E133" s="86" t="inlineStr">
        <is>
          <t>Haber</t>
        </is>
      </c>
      <c r="F133" s="93" t="n">
        <v>11305702</v>
      </c>
      <c r="G133" s="86" t="inlineStr">
        <is>
          <t>MAYO.pdf</t>
        </is>
      </c>
    </row>
    <row r="134">
      <c r="A134" s="86" t="inlineStr">
        <is>
          <t>Mayo</t>
        </is>
      </c>
      <c r="B134" s="86" t="inlineStr">
        <is>
          <t>Sueldo</t>
        </is>
      </c>
      <c r="C134" s="87" t="n">
        <v>46174</v>
      </c>
      <c r="D134" s="86" t="inlineStr">
        <is>
          <t>Beneficio Auto</t>
        </is>
      </c>
      <c r="E134" s="86" t="inlineStr">
        <is>
          <t>Haber</t>
        </is>
      </c>
      <c r="F134" s="93" t="n">
        <v>312000</v>
      </c>
      <c r="G134" s="86" t="inlineStr">
        <is>
          <t>MAYO.pdf</t>
        </is>
      </c>
    </row>
    <row r="135">
      <c r="A135" s="86" t="inlineStr">
        <is>
          <t>Mayo</t>
        </is>
      </c>
      <c r="B135" s="86" t="inlineStr">
        <is>
          <t>Sueldo</t>
        </is>
      </c>
      <c r="C135" s="87" t="n">
        <v>46174</v>
      </c>
      <c r="D135" s="86" t="inlineStr">
        <is>
          <t>Aporte SIJP sobre sueldo</t>
        </is>
      </c>
      <c r="E135" s="86" t="inlineStr">
        <is>
          <t>Descuento</t>
        </is>
      </c>
      <c r="F135" s="93" t="n">
        <v>473398.09</v>
      </c>
      <c r="G135" s="86" t="inlineStr">
        <is>
          <t>MAYO.pdf</t>
        </is>
      </c>
    </row>
    <row r="136">
      <c r="A136" s="86" t="inlineStr">
        <is>
          <t>Mayo</t>
        </is>
      </c>
      <c r="B136" s="86" t="inlineStr">
        <is>
          <t>Sueldo</t>
        </is>
      </c>
      <c r="C136" s="87" t="n">
        <v>46174</v>
      </c>
      <c r="D136" s="86" t="inlineStr">
        <is>
          <t>Aporte INSSJP sobre sueldo</t>
        </is>
      </c>
      <c r="E136" s="86" t="inlineStr">
        <is>
          <t>Descuento</t>
        </is>
      </c>
      <c r="F136" s="93" t="n">
        <v>129108.57</v>
      </c>
      <c r="G136" s="86" t="inlineStr">
        <is>
          <t>MAYO.pdf</t>
        </is>
      </c>
    </row>
    <row r="137">
      <c r="A137" s="86" t="inlineStr">
        <is>
          <t>Mayo</t>
        </is>
      </c>
      <c r="B137" s="86" t="inlineStr">
        <is>
          <t>Sueldo</t>
        </is>
      </c>
      <c r="C137" s="87" t="n">
        <v>46174</v>
      </c>
      <c r="D137" s="86" t="inlineStr">
        <is>
          <t>Aporte Obra Social sobre sueldo</t>
        </is>
      </c>
      <c r="E137" s="86" t="inlineStr">
        <is>
          <t>Descuento</t>
        </is>
      </c>
      <c r="F137" s="93" t="n">
        <v>129108.57</v>
      </c>
      <c r="G137" s="86" t="inlineStr">
        <is>
          <t>MAYO.pdf</t>
        </is>
      </c>
    </row>
    <row r="138">
      <c r="A138" s="86" t="inlineStr">
        <is>
          <t>Mayo</t>
        </is>
      </c>
      <c r="B138" s="86" t="inlineStr">
        <is>
          <t>Sueldo</t>
        </is>
      </c>
      <c r="C138" s="87" t="n">
        <v>46174</v>
      </c>
      <c r="D138" s="86" t="inlineStr">
        <is>
          <t>Impuesto pagado/devuelto</t>
        </is>
      </c>
      <c r="E138" s="86" t="inlineStr">
        <is>
          <t>Descuento Ganancias</t>
        </is>
      </c>
      <c r="F138" s="93" t="n">
        <v>3415603.09</v>
      </c>
      <c r="G138" s="86" t="inlineStr">
        <is>
          <t>MAYO.pdf</t>
        </is>
      </c>
    </row>
    <row r="139">
      <c r="A139" s="86" t="inlineStr">
        <is>
          <t>Mayo</t>
        </is>
      </c>
      <c r="B139" s="86" t="inlineStr">
        <is>
          <t>Sueldo</t>
        </is>
      </c>
      <c r="C139" s="87" t="n">
        <v>46174</v>
      </c>
      <c r="D139" s="86" t="inlineStr">
        <is>
          <t>Dto Gimnasio</t>
        </is>
      </c>
      <c r="E139" s="86" t="inlineStr">
        <is>
          <t>Descuento</t>
        </is>
      </c>
      <c r="F139" s="93" t="n">
        <v>23400</v>
      </c>
      <c r="G139" s="86" t="inlineStr">
        <is>
          <t>MAYO.pdf</t>
        </is>
      </c>
    </row>
    <row r="140">
      <c r="A140" s="86" t="inlineStr">
        <is>
          <t>Junio</t>
        </is>
      </c>
      <c r="B140" s="86" t="inlineStr">
        <is>
          <t>SAC 1° semestre</t>
        </is>
      </c>
      <c r="C140" s="87" t="n">
        <v>46196</v>
      </c>
      <c r="D140" s="86" t="inlineStr">
        <is>
          <t>S.A.C.</t>
        </is>
      </c>
      <c r="E140" s="86" t="inlineStr">
        <is>
          <t>Haber</t>
        </is>
      </c>
      <c r="F140" s="93" t="n">
        <v>6622090.14</v>
      </c>
      <c r="G140" s="86" t="inlineStr">
        <is>
          <t>SAC.pdf</t>
        </is>
      </c>
    </row>
    <row r="141">
      <c r="A141" s="86" t="inlineStr">
        <is>
          <t>Junio</t>
        </is>
      </c>
      <c r="B141" s="86" t="inlineStr">
        <is>
          <t>SAC 1° semestre</t>
        </is>
      </c>
      <c r="C141" s="87" t="n">
        <v>46196</v>
      </c>
      <c r="D141" s="86" t="inlineStr">
        <is>
          <t>Aporte SIJP sobre SAC</t>
        </is>
      </c>
      <c r="E141" s="86" t="inlineStr">
        <is>
          <t>Descuento</t>
        </is>
      </c>
      <c r="F141" s="93" t="n">
        <v>242805.88</v>
      </c>
      <c r="G141" s="86" t="inlineStr">
        <is>
          <t>SAC.pdf</t>
        </is>
      </c>
    </row>
    <row r="142">
      <c r="A142" s="86" t="inlineStr">
        <is>
          <t>Junio</t>
        </is>
      </c>
      <c r="B142" s="86" t="inlineStr">
        <is>
          <t>SAC 1° semestre</t>
        </is>
      </c>
      <c r="C142" s="87" t="n">
        <v>46196</v>
      </c>
      <c r="D142" s="86" t="inlineStr">
        <is>
          <t>Aporte INSSJP sobre SAC</t>
        </is>
      </c>
      <c r="E142" s="86" t="inlineStr">
        <is>
          <t>Descuento</t>
        </is>
      </c>
      <c r="F142" s="93" t="n">
        <v>66219.78999999999</v>
      </c>
      <c r="G142" s="86" t="inlineStr">
        <is>
          <t>SAC.pdf</t>
        </is>
      </c>
    </row>
    <row r="143">
      <c r="A143" s="86" t="inlineStr">
        <is>
          <t>Junio</t>
        </is>
      </c>
      <c r="B143" s="86" t="inlineStr">
        <is>
          <t>SAC 1° semestre</t>
        </is>
      </c>
      <c r="C143" s="87" t="n">
        <v>46196</v>
      </c>
      <c r="D143" s="86" t="inlineStr">
        <is>
          <t>Aporte Obra Social sobre SAC</t>
        </is>
      </c>
      <c r="E143" s="86" t="inlineStr">
        <is>
          <t>Descuento</t>
        </is>
      </c>
      <c r="F143" s="93" t="n">
        <v>66219.78999999999</v>
      </c>
      <c r="G143" s="86" t="inlineStr">
        <is>
          <t>SAC.pdf</t>
        </is>
      </c>
    </row>
    <row r="144">
      <c r="A144" s="86" t="inlineStr">
        <is>
          <t>Junio</t>
        </is>
      </c>
      <c r="B144" s="86" t="inlineStr">
        <is>
          <t>SAC 1° semestre</t>
        </is>
      </c>
      <c r="C144" s="87" t="n">
        <v>46196</v>
      </c>
      <c r="D144" s="86" t="inlineStr">
        <is>
          <t>Impuesto pagado/devuelto</t>
        </is>
      </c>
      <c r="E144" s="86" t="inlineStr">
        <is>
          <t>Descuento Ganancias</t>
        </is>
      </c>
      <c r="F144" s="93" t="n">
        <v>536087.26</v>
      </c>
      <c r="G144" s="86" t="inlineStr">
        <is>
          <t>SAC.pdf</t>
        </is>
      </c>
    </row>
    <row r="145">
      <c r="A145" s="86" t="inlineStr">
        <is>
          <t>Junio</t>
        </is>
      </c>
      <c r="B145" s="86" t="inlineStr">
        <is>
          <t>Sueldo</t>
        </is>
      </c>
      <c r="C145" s="87" t="n">
        <v>46204</v>
      </c>
      <c r="D145" s="86" t="inlineStr">
        <is>
          <t>Sueldo Básico</t>
        </is>
      </c>
      <c r="E145" s="86" t="inlineStr">
        <is>
          <t>Haber</t>
        </is>
      </c>
      <c r="F145" s="93" t="n">
        <v>11305702</v>
      </c>
      <c r="G145" s="86" t="inlineStr">
        <is>
          <t>JUNIO.pdf</t>
        </is>
      </c>
    </row>
    <row r="146">
      <c r="A146" s="86" t="inlineStr">
        <is>
          <t>Junio</t>
        </is>
      </c>
      <c r="B146" s="86" t="inlineStr">
        <is>
          <t>Sueldo</t>
        </is>
      </c>
      <c r="C146" s="87" t="n">
        <v>46204</v>
      </c>
      <c r="D146" s="86" t="inlineStr">
        <is>
          <t>Beneficio Auto</t>
        </is>
      </c>
      <c r="E146" s="86" t="inlineStr">
        <is>
          <t>Haber</t>
        </is>
      </c>
      <c r="F146" s="93" t="n">
        <v>312000</v>
      </c>
      <c r="G146" s="86" t="inlineStr">
        <is>
          <t>JUNIO.pdf</t>
        </is>
      </c>
    </row>
    <row r="147">
      <c r="A147" s="86" t="inlineStr">
        <is>
          <t>Junio</t>
        </is>
      </c>
      <c r="B147" s="86" t="inlineStr">
        <is>
          <t>Sueldo</t>
        </is>
      </c>
      <c r="C147" s="87" t="n">
        <v>46204</v>
      </c>
      <c r="D147" s="86" t="inlineStr">
        <is>
          <t>Aporte SIJP sobre sueldo</t>
        </is>
      </c>
      <c r="E147" s="86" t="inlineStr">
        <is>
          <t>Descuento</t>
        </is>
      </c>
      <c r="F147" s="93" t="n">
        <v>485611.76</v>
      </c>
      <c r="G147" s="86" t="inlineStr">
        <is>
          <t>JUNIO.pdf</t>
        </is>
      </c>
    </row>
    <row r="148">
      <c r="A148" s="86" t="inlineStr">
        <is>
          <t>Junio</t>
        </is>
      </c>
      <c r="B148" s="86" t="inlineStr">
        <is>
          <t>Sueldo</t>
        </is>
      </c>
      <c r="C148" s="87" t="n">
        <v>46204</v>
      </c>
      <c r="D148" s="86" t="inlineStr">
        <is>
          <t>Aporte INSSJP sobre sueldo</t>
        </is>
      </c>
      <c r="E148" s="86" t="inlineStr">
        <is>
          <t>Descuento</t>
        </is>
      </c>
      <c r="F148" s="93" t="n">
        <v>132439.57</v>
      </c>
      <c r="G148" s="86" t="inlineStr">
        <is>
          <t>JUNIO.pdf</t>
        </is>
      </c>
    </row>
    <row r="149">
      <c r="A149" s="86" t="inlineStr">
        <is>
          <t>Junio</t>
        </is>
      </c>
      <c r="B149" s="86" t="inlineStr">
        <is>
          <t>Sueldo</t>
        </is>
      </c>
      <c r="C149" s="87" t="n">
        <v>46204</v>
      </c>
      <c r="D149" s="86" t="inlineStr">
        <is>
          <t>Aporte Obra Social sobre sueldo</t>
        </is>
      </c>
      <c r="E149" s="86" t="inlineStr">
        <is>
          <t>Descuento</t>
        </is>
      </c>
      <c r="F149" s="93" t="n">
        <v>132439.57</v>
      </c>
      <c r="G149" s="86" t="inlineStr">
        <is>
          <t>JUNIO.pdf</t>
        </is>
      </c>
    </row>
    <row r="150">
      <c r="A150" s="86" t="inlineStr">
        <is>
          <t>Junio</t>
        </is>
      </c>
      <c r="B150" s="86" t="inlineStr">
        <is>
          <t>Sueldo</t>
        </is>
      </c>
      <c r="C150" s="87" t="n">
        <v>46204</v>
      </c>
      <c r="D150" s="86" t="inlineStr">
        <is>
          <t>Impuesto pagado/devuelto</t>
        </is>
      </c>
      <c r="E150" s="86" t="inlineStr">
        <is>
          <t>Descuento Ganancias</t>
        </is>
      </c>
      <c r="F150" s="93" t="n">
        <v>3408446.06</v>
      </c>
      <c r="G150" s="86" t="inlineStr">
        <is>
          <t>JUNIO.pdf</t>
        </is>
      </c>
    </row>
    <row r="151">
      <c r="A151" s="86" t="inlineStr">
        <is>
          <t>Junio</t>
        </is>
      </c>
      <c r="B151" s="86" t="inlineStr">
        <is>
          <t>Sueldo</t>
        </is>
      </c>
      <c r="C151" s="87" t="n">
        <v>46204</v>
      </c>
      <c r="D151" s="86" t="inlineStr">
        <is>
          <t>Dto Gimnasio</t>
        </is>
      </c>
      <c r="E151" s="86" t="inlineStr">
        <is>
          <t>Descuento</t>
        </is>
      </c>
      <c r="F151" s="93" t="n">
        <v>23400</v>
      </c>
      <c r="G151" s="86" t="inlineStr">
        <is>
          <t>JUNIO.pdf</t>
        </is>
      </c>
    </row>
  </sheetData>
  <autoFilter ref="A78:P86"/>
  <mergeCells count="18">
    <mergeCell ref="A1:D1"/>
    <mergeCell ref="A37:D37"/>
    <mergeCell ref="A70:D70"/>
    <mergeCell ref="A27:D27"/>
    <mergeCell ref="A55:E55"/>
    <mergeCell ref="A89:G89"/>
    <mergeCell ref="A75:D75"/>
    <mergeCell ref="A74:D74"/>
    <mergeCell ref="A69:D69"/>
    <mergeCell ref="A4:D4"/>
    <mergeCell ref="A72:D72"/>
    <mergeCell ref="A15:D15"/>
    <mergeCell ref="A77:P77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ALMUERZOS · Ronda · gasto personal Sol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/>
      <c r="D186" s="26" t="n"/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>
        <v>46107</v>
      </c>
      <c r="B223" t="inlineStr">
        <is>
          <t>Marzo</t>
        </is>
      </c>
      <c r="C223" t="inlineStr">
        <is>
          <t>Agustina Vissani</t>
        </is>
      </c>
      <c r="D223" s="26" t="n">
        <v>75000</v>
      </c>
      <c r="E223" t="inlineStr">
        <is>
          <t>Mercado Pago</t>
        </is>
      </c>
      <c r="F223" t="inlineStr">
        <is>
          <t>PELUQUERÍA · Agustina Vissani · gasto personal Sol</t>
        </is>
      </c>
    </row>
    <row r="224">
      <c r="A224" s="44" t="n">
        <v>46157</v>
      </c>
      <c r="B224" t="inlineStr">
        <is>
          <t>Mayo</t>
        </is>
      </c>
      <c r="C224" t="inlineStr">
        <is>
          <t>Agustina Vissani</t>
        </is>
      </c>
      <c r="D224" s="26" t="n">
        <v>125000</v>
      </c>
      <c r="E224" t="inlineStr">
        <is>
          <t>Mercado Pago</t>
        </is>
      </c>
      <c r="F224" t="inlineStr">
        <is>
          <t>PELUQUERÍA · Agustina Vissani · gasto personal Sol</t>
        </is>
      </c>
    </row>
    <row r="225">
      <c r="A225" s="44" t="n">
        <v>46185</v>
      </c>
      <c r="B225" t="inlineStr">
        <is>
          <t>Junio</t>
        </is>
      </c>
      <c r="C225" t="inlineStr">
        <is>
          <t>Agustina Vissani</t>
        </is>
      </c>
      <c r="D225" s="26" t="n">
        <v>135000</v>
      </c>
      <c r="E225" t="inlineStr">
        <is>
          <t>Mercado Pago</t>
        </is>
      </c>
      <c r="F225" t="inlineStr">
        <is>
          <t>PELUQUERÍA · Agustina Vissani · gasto personal Sol</t>
        </is>
      </c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2026-07-21T08:41:12Z</dcterms:modified>
</cp:coreProperties>
</file>
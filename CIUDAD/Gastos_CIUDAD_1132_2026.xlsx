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46909</v>
      </c>
      <c r="H6" s="9" t="n">
        <v>47939</v>
      </c>
      <c r="I6" s="9" t="n">
        <v>48420</v>
      </c>
      <c r="J6" s="9" t="n">
        <v>31999</v>
      </c>
      <c r="K6" s="9" t="n">
        <v>31999</v>
      </c>
      <c r="L6" s="9" t="n">
        <v>82364</v>
      </c>
      <c r="M6" s="9" t="n">
        <v>69659</v>
      </c>
      <c r="N6" s="9" t="n"/>
      <c r="O6" s="9" t="n"/>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73187</v>
      </c>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v>41344</v>
      </c>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653120</v>
      </c>
      <c r="K10" s="9" t="n">
        <v>567080</v>
      </c>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Detalle'!D426</f>
        <v/>
      </c>
      <c r="M13" s="5">
        <f>'Almacen Detalle'!D468</f>
        <v/>
      </c>
      <c r="N13" s="5">
        <f>'Almacen Detalle'!D510</f>
        <v/>
      </c>
      <c r="O13" s="5">
        <f>'Almacen Detalle'!D552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Detalle'!E426</f>
        <v/>
      </c>
      <c r="M14" s="9">
        <f>'Almacen Detalle'!E468</f>
        <v/>
      </c>
      <c r="N14" s="9">
        <f>'Almacen Detalle'!E510</f>
        <v/>
      </c>
      <c r="O14" s="9">
        <f>'Almacen Detalle'!E552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montos desde facturas Gmail (facturadigital@factura.telecentro.com.ar); mes = período de factura. Cliente 3491192. Nov/Dic sin factura aún.</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SUMIFS($D$4:$D$800,$A$4:$A$800,"Enero")</f>
        <v/>
      </c>
      <c r="E47" s="7">
        <f>SUMIFS($E$4:$E$800,$A$4:$A$800,"Enero")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Comida</t>
        </is>
      </c>
      <c r="D86" s="27" t="n">
        <v>27200</v>
      </c>
      <c r="E86" s="28" t="n"/>
      <c r="F86" s="15">
        <f>IF(OR(D86&lt;&gt;"",E86&lt;&gt;""),IF(D86="",0,D86)+IF(E86="",0,E86),"")</f>
        <v/>
      </c>
      <c r="G86" s="14" t="inlineStr">
        <is>
          <t>RAMON · Comida · Paws Pet Market · Mercado Pago · ALMACEN SOL</t>
        </is>
      </c>
    </row>
    <row r="87">
      <c r="A87" s="10" t="inlineStr">
        <is>
          <t>TOTAL FEBRERO</t>
        </is>
      </c>
      <c r="B87" s="22" t="n"/>
      <c r="C87" s="29" t="inlineStr">
        <is>
          <t>Totales mes →</t>
        </is>
      </c>
      <c r="D87" s="7">
        <f>SUMIFS($D$4:$D$800,$A$4:$A$800,"Febrero")</f>
        <v/>
      </c>
      <c r="E87" s="7">
        <f>SUMIFS($E$4:$E$800,$A$4:$A$800,"Febrero")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Comida</t>
        </is>
      </c>
      <c r="D129" s="27" t="n">
        <v>9000</v>
      </c>
      <c r="E129" s="28" t="n"/>
      <c r="F129" s="15">
        <f>IF(OR(D129&lt;&gt;"",E129&lt;&gt;""),IF(D129="",0,D129)+IF(E129="",0,E129),"")</f>
        <v/>
      </c>
      <c r="G129" s="14" t="inlineStr">
        <is>
          <t>RAMON · Comida · Paws Pet Market · Mercado Pago · ALMACEN SOL</t>
        </is>
      </c>
    </row>
    <row r="130">
      <c r="A130" s="14" t="inlineStr">
        <is>
          <t>Marzo</t>
        </is>
      </c>
      <c r="B130" s="17" t="n">
        <v>46106</v>
      </c>
      <c r="C130" s="14" t="inlineStr">
        <is>
          <t>RAMON · Comida</t>
        </is>
      </c>
      <c r="D130" s="27" t="n">
        <v>35700</v>
      </c>
      <c r="E130" s="28" t="n"/>
      <c r="F130" s="15">
        <f>IF(OR(D130&lt;&gt;"",E130&lt;&gt;""),IF(D130="",0,D130)+IF(E130="",0,E130),"")</f>
        <v/>
      </c>
      <c r="G130" s="14" t="inlineStr">
        <is>
          <t>RAMON · Comida · Paws Pet Market · Mercado Pago · ALMACEN SOL</t>
        </is>
      </c>
    </row>
    <row r="131">
      <c r="A131" s="10" t="inlineStr">
        <is>
          <t>TOTAL MARZO</t>
        </is>
      </c>
      <c r="B131" s="22" t="n"/>
      <c r="C131" s="29" t="inlineStr">
        <is>
          <t>Totales mes →</t>
        </is>
      </c>
      <c r="D131" s="7">
        <f>SUMIFS($D$4:$D$800,$A$4:$A$800,"Marzo")</f>
        <v/>
      </c>
      <c r="E131" s="7">
        <f>SUMIFS($E$4:$E$800,$A$4:$A$800,"Marzo")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Comida</t>
        </is>
      </c>
      <c r="D175" s="27" t="n">
        <v>71400</v>
      </c>
      <c r="E175" s="28" t="n"/>
      <c r="F175" s="15">
        <f>IF(OR(D175&lt;&gt;"",E175&lt;&gt;""),IF(D175="",0,D175)+IF(E175="",0,E175),"")</f>
        <v/>
      </c>
      <c r="G175" s="14" t="inlineStr">
        <is>
          <t>RAMON · Comida · Paws Pet Market · Mercado Pago · ALMACEN SOL</t>
        </is>
      </c>
    </row>
    <row r="176">
      <c r="A176" s="10" t="inlineStr">
        <is>
          <t>TOTAL ABRIL</t>
        </is>
      </c>
      <c r="B176" s="22" t="n"/>
      <c r="C176" s="29" t="inlineStr">
        <is>
          <t>Totales mes →</t>
        </is>
      </c>
      <c r="D176" s="7">
        <f>SUMIFS($D$4:$D$800,$A$4:$A$800,"Abril")</f>
        <v/>
      </c>
      <c r="E176" s="7">
        <f>SUMIFS($E$4:$E$800,$A$4:$A$800,"Abril")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IF(OR(D205&lt;&gt;"",E205&lt;&gt;""),IF(D205="",0,D205)+IF(E205="",0,E205),"")</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Comida</t>
        </is>
      </c>
      <c r="D227" s="27" t="n">
        <v>11100</v>
      </c>
      <c r="E227" s="28" t="n"/>
      <c r="F227" s="15">
        <f>IF(OR(D227&lt;&gt;"",E227&lt;&gt;""),IF(D227="",0,D227)+IF(E227="",0,E227),"")</f>
        <v/>
      </c>
      <c r="G227" s="14" t="inlineStr">
        <is>
          <t>RAMON · Comida · Paws Pet Market · Mercado Pago · ALMACEN SOL</t>
        </is>
      </c>
    </row>
    <row r="228">
      <c r="A228" s="10" t="inlineStr">
        <is>
          <t>TOTAL MAYO</t>
        </is>
      </c>
      <c r="B228" s="22" t="n"/>
      <c r="C228" s="29" t="inlineStr">
        <is>
          <t>Totales mes →</t>
        </is>
      </c>
      <c r="D228" s="7">
        <f>SUMIFS($D$4:$D$800,$A$4:$A$800,"Mayo")</f>
        <v/>
      </c>
      <c r="E228" s="7">
        <f>SUMIFS($E$4:$E$800,$A$4:$A$800,"Mayo")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IF(OR(D253&lt;&gt;"",E253&lt;&gt;""),IF(D253="",0,D253)+IF(E253="",0,E253),"")</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SUMIFS($D$4:$D$800,$A$4:$A$800,"Junio")</f>
        <v/>
      </c>
      <c r="E273" s="7">
        <f>SUMIFS($E$4:$E$800,$A$4:$A$800,"Junio")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v>46234</v>
      </c>
      <c r="C288" s="14" t="inlineStr">
        <is>
          <t>Almacén</t>
        </is>
      </c>
      <c r="D288" s="27" t="n"/>
      <c r="E288" s="28" t="n">
        <v>155800</v>
      </c>
      <c r="F288" s="15">
        <f>IF(OR(D288&lt;&gt;"",E288&lt;&gt;""),IF(D288="",0,D288)+IF(E288="",0,E288),"")</f>
        <v/>
      </c>
      <c r="G288" s="14" t="inlineStr">
        <is>
          <t>ALMACEN CHRIS · total julio (sin desglose) · REVISAR</t>
        </is>
      </c>
    </row>
    <row r="289">
      <c r="A289" s="14" t="inlineStr">
        <is>
          <t>Julio</t>
        </is>
      </c>
      <c r="B289" s="17" t="n">
        <v>46224</v>
      </c>
      <c r="C289" s="14" t="inlineStr">
        <is>
          <t>COMIDA · Todo Tartas</t>
        </is>
      </c>
      <c r="D289" s="27" t="n">
        <v>57600</v>
      </c>
      <c r="E289" s="28" t="n"/>
      <c r="F289" s="15">
        <f>IF(OR(D289&lt;&gt;"",E289&lt;&gt;""),IF(D289="",0,D289)+IF(E289="",0,E289),"")</f>
        <v/>
      </c>
      <c r="G289" s="14" t="inlineStr">
        <is>
          <t>MP · panadería · ex `Todo Tartas`</t>
        </is>
      </c>
    </row>
    <row r="290">
      <c r="A290" s="14" t="inlineStr">
        <is>
          <t>Julio</t>
        </is>
      </c>
      <c r="B290" s="17" t="n"/>
      <c r="C290" s="14" t="n"/>
      <c r="D290" s="27" t="n"/>
      <c r="E290" s="28" t="n"/>
      <c r="F290" s="15">
        <f>IF(OR(D290&lt;&gt;"",E290&lt;&gt;""),IF(D290="",0,D290)+IF(E290="",0,E290),"")</f>
        <v/>
      </c>
      <c r="G290" s="14" t="n"/>
    </row>
    <row r="291">
      <c r="A291" s="14" t="inlineStr">
        <is>
          <t>Julio</t>
        </is>
      </c>
      <c r="B291" s="17" t="n"/>
      <c r="C291" s="14" t="n"/>
      <c r="D291" s="27" t="n"/>
      <c r="E291" s="28" t="n"/>
      <c r="F291" s="15">
        <f>IF(OR(D291&lt;&gt;"",E291&lt;&gt;""),IF(D291="",0,D291)+IF(E291="",0,E291),"")</f>
        <v/>
      </c>
      <c r="G291" s="14" t="n"/>
    </row>
    <row r="292">
      <c r="A292" s="14" t="inlineStr">
        <is>
          <t>Julio</t>
        </is>
      </c>
      <c r="B292" s="17" t="n"/>
      <c r="C292" s="14" t="n"/>
      <c r="D292" s="27" t="n"/>
      <c r="E292" s="28" t="n"/>
      <c r="F292" s="15">
        <f>IF(OR(D292&lt;&gt;"",E292&lt;&gt;""),IF(D292="",0,D292)+IF(E292="",0,E292),"")</f>
        <v/>
      </c>
      <c r="G292" s="14" t="n"/>
    </row>
    <row r="293">
      <c r="A293" s="14" t="inlineStr">
        <is>
          <t>Julio</t>
        </is>
      </c>
      <c r="B293" s="17" t="n"/>
      <c r="C293" s="14" t="n"/>
      <c r="D293" s="27" t="n"/>
      <c r="E293" s="28" t="n"/>
      <c r="F293" s="15">
        <f>IF(OR(D293&lt;&gt;"",E293&lt;&gt;""),IF(D293="",0,D293)+IF(E293="",0,E293),"")</f>
        <v/>
      </c>
      <c r="G293" s="14" t="n"/>
    </row>
    <row r="294">
      <c r="A294" s="14" t="inlineStr">
        <is>
          <t>Julio</t>
        </is>
      </c>
      <c r="B294" s="17" t="n"/>
      <c r="C294" s="14" t="n"/>
      <c r="D294" s="27" t="n"/>
      <c r="E294" s="28" t="n"/>
      <c r="F294" s="15">
        <f>IF(OR(D294&lt;&gt;"",E294&lt;&gt;""),IF(D294="",0,D294)+IF(E294="",0,E294),"")</f>
        <v/>
      </c>
      <c r="G294" s="14" t="n"/>
    </row>
    <row r="295">
      <c r="A295" s="14" t="inlineStr">
        <is>
          <t>Julio</t>
        </is>
      </c>
      <c r="B295" s="17" t="n"/>
      <c r="C295" s="14" t="n"/>
      <c r="D295" s="27" t="n"/>
      <c r="E295" s="28" t="n"/>
      <c r="F295" s="15">
        <f>IF(OR(D295&lt;&gt;"",E295&lt;&gt;""),IF(D295="",0,D295)+IF(E295="",0,E295),"")</f>
        <v/>
      </c>
      <c r="G295" s="14" t="n"/>
    </row>
    <row r="296">
      <c r="A296" s="14" t="inlineStr">
        <is>
          <t>Julio</t>
        </is>
      </c>
      <c r="B296" s="17" t="n"/>
      <c r="C296" s="14" t="n"/>
      <c r="D296" s="27" t="n"/>
      <c r="E296" s="28" t="n"/>
      <c r="F296" s="15">
        <f>IF(OR(D296&lt;&gt;"",E296&lt;&gt;""),IF(D296="",0,D296)+IF(E296="",0,E296),"")</f>
        <v/>
      </c>
      <c r="G296" s="14" t="n"/>
    </row>
    <row r="297">
      <c r="A297" s="14" t="inlineStr">
        <is>
          <t>Julio</t>
        </is>
      </c>
      <c r="B297" s="17" t="n"/>
      <c r="C297" s="14" t="n"/>
      <c r="D297" s="27" t="n"/>
      <c r="E297" s="28" t="n"/>
      <c r="F297" s="15">
        <f>IF(OR(D297&lt;&gt;"",E297&lt;&gt;""),IF(D297="",0,D297)+IF(E297="",0,E297),"")</f>
        <v/>
      </c>
      <c r="G297" s="14" t="n"/>
    </row>
    <row r="298">
      <c r="A298" s="14" t="inlineStr">
        <is>
          <t>Julio</t>
        </is>
      </c>
      <c r="B298" s="17" t="n"/>
      <c r="C298" s="14" t="n"/>
      <c r="D298" s="27" t="n"/>
      <c r="E298" s="28" t="n"/>
      <c r="F298" s="15">
        <f>IF(OR(D298&lt;&gt;"",E298&lt;&gt;""),IF(D298="",0,D298)+IF(E298="",0,E298),"")</f>
        <v/>
      </c>
      <c r="G298" s="14" t="n"/>
    </row>
    <row r="299">
      <c r="A299" s="14" t="inlineStr">
        <is>
          <t>Julio</t>
        </is>
      </c>
      <c r="B299" s="17" t="n"/>
      <c r="C299" s="14" t="n"/>
      <c r="D299" s="27" t="n"/>
      <c r="E299" s="28" t="n"/>
      <c r="F299" s="15">
        <f>IF(OR(D299&lt;&gt;"",E299&lt;&gt;""),IF(D299="",0,D299)+IF(E299="",0,E299),"")</f>
        <v/>
      </c>
      <c r="G299" s="14" t="n"/>
    </row>
    <row r="300">
      <c r="A300" s="14" t="inlineStr">
        <is>
          <t>Julio</t>
        </is>
      </c>
      <c r="B300" s="17" t="n"/>
      <c r="C300" s="14" t="n"/>
      <c r="D300" s="27" t="n"/>
      <c r="E300" s="28" t="n"/>
      <c r="F300" s="15">
        <f>IF(OR(D300&lt;&gt;"",E300&lt;&gt;""),IF(D300="",0,D300)+IF(E300="",0,E300),"")</f>
        <v/>
      </c>
      <c r="G300" s="14" t="n"/>
    </row>
    <row r="301">
      <c r="A301" s="14" t="inlineStr">
        <is>
          <t>Julio</t>
        </is>
      </c>
      <c r="B301" s="17" t="n"/>
      <c r="C301" s="14" t="n"/>
      <c r="D301" s="27" t="n"/>
      <c r="E301" s="28" t="n"/>
      <c r="F301" s="15">
        <f>IF(OR(D301&lt;&gt;"",E301&lt;&gt;""),IF(D301="",0,D301)+IF(E301="",0,E301),"")</f>
        <v/>
      </c>
      <c r="G301" s="14" t="n"/>
    </row>
    <row r="302">
      <c r="A302" s="14" t="inlineStr">
        <is>
          <t>Julio</t>
        </is>
      </c>
      <c r="B302" s="17" t="n"/>
      <c r="C302" s="14" t="n"/>
      <c r="D302" s="27" t="n"/>
      <c r="E302" s="28" t="n"/>
      <c r="F302" s="15">
        <f>IF(OR(D302&lt;&gt;"",E302&lt;&gt;""),IF(D302="",0,D302)+IF(E302="",0,E302),"")</f>
        <v/>
      </c>
      <c r="G302" s="14" t="n"/>
    </row>
    <row r="303">
      <c r="A303" s="14" t="inlineStr">
        <is>
          <t>Julio</t>
        </is>
      </c>
      <c r="B303" s="17" t="n"/>
      <c r="C303" s="14" t="n"/>
      <c r="D303" s="27" t="n"/>
      <c r="E303" s="28" t="n"/>
      <c r="F303" s="15">
        <f>IF(OR(D303&lt;&gt;"",E303&lt;&gt;""),IF(D303="",0,D303)+IF(E303="",0,E303),"")</f>
        <v/>
      </c>
      <c r="G303" s="14" t="n"/>
    </row>
    <row r="304">
      <c r="A304" s="14" t="inlineStr">
        <is>
          <t>Julio</t>
        </is>
      </c>
      <c r="B304" s="17" t="n"/>
      <c r="C304" s="14" t="n"/>
      <c r="D304" s="27" t="n"/>
      <c r="E304" s="28" t="n"/>
      <c r="F304" s="15">
        <f>IF(OR(D304&lt;&gt;"",E304&lt;&gt;""),IF(D304="",0,D304)+IF(E304="",0,E304),"")</f>
        <v/>
      </c>
      <c r="G304" s="14" t="n"/>
    </row>
    <row r="305">
      <c r="A305" s="14" t="inlineStr">
        <is>
          <t>Julio</t>
        </is>
      </c>
      <c r="B305" s="17" t="n"/>
      <c r="C305" s="14" t="n"/>
      <c r="D305" s="27" t="n"/>
      <c r="E305" s="28" t="n"/>
      <c r="F305" s="15">
        <f>IF(OR(D305&lt;&gt;"",E305&lt;&gt;""),IF(D305="",0,D305)+IF(E305="",0,E305),"")</f>
        <v/>
      </c>
      <c r="G305" s="14" t="n"/>
    </row>
    <row r="306">
      <c r="A306" s="14" t="inlineStr">
        <is>
          <t>Julio</t>
        </is>
      </c>
      <c r="B306" s="17" t="n"/>
      <c r="C306" s="14" t="n"/>
      <c r="D306" s="27" t="n"/>
      <c r="E306" s="28" t="n"/>
      <c r="F306" s="15">
        <f>IF(OR(D306&lt;&gt;"",E306&lt;&gt;""),IF(D306="",0,D306)+IF(E306="",0,E306),"")</f>
        <v/>
      </c>
      <c r="G306" s="14" t="n"/>
    </row>
    <row r="307">
      <c r="A307" s="14" t="inlineStr">
        <is>
          <t>Julio</t>
        </is>
      </c>
      <c r="B307" s="17" t="n"/>
      <c r="C307" s="14" t="n"/>
      <c r="D307" s="27" t="n"/>
      <c r="E307" s="28" t="n"/>
      <c r="F307" s="15">
        <f>IF(OR(D307&lt;&gt;"",E307&lt;&gt;""),IF(D307="",0,D307)+IF(E307="",0,E307),"")</f>
        <v/>
      </c>
      <c r="G307" s="14" t="n"/>
    </row>
    <row r="308">
      <c r="A308" s="14" t="inlineStr">
        <is>
          <t>Julio</t>
        </is>
      </c>
      <c r="B308" s="17" t="n"/>
      <c r="C308" s="14" t="n"/>
      <c r="D308" s="27" t="n"/>
      <c r="E308" s="28" t="n"/>
      <c r="F308" s="15">
        <f>IF(OR(D308&lt;&gt;"",E308&lt;&gt;""),IF(D308="",0,D308)+IF(E308="",0,E308),"")</f>
        <v/>
      </c>
      <c r="G308" s="14" t="n"/>
    </row>
    <row r="309">
      <c r="A309" s="14" t="inlineStr">
        <is>
          <t>Julio</t>
        </is>
      </c>
      <c r="B309" s="17" t="n"/>
      <c r="C309" s="14" t="n"/>
      <c r="D309" s="27" t="n"/>
      <c r="E309" s="28" t="n"/>
      <c r="F309" s="15">
        <f>IF(OR(D309&lt;&gt;"",E309&lt;&gt;""),IF(D309="",0,D309)+IF(E309="",0,E309),"")</f>
        <v/>
      </c>
      <c r="G309" s="14" t="n"/>
    </row>
    <row r="310">
      <c r="A310" s="14" t="inlineStr">
        <is>
          <t>Julio</t>
        </is>
      </c>
      <c r="B310" s="17" t="n"/>
      <c r="C310" s="14" t="n"/>
      <c r="D310" s="27" t="n"/>
      <c r="E310" s="28" t="n"/>
      <c r="F310" s="15">
        <f>IF(OR(D310&lt;&gt;"",E310&lt;&gt;""),IF(D310="",0,D310)+IF(E310="",0,E310),"")</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SUMIFS($D$4:$D$800,$A$4:$A$800,"Julio")</f>
        <v/>
      </c>
      <c r="E312" s="7">
        <f>SUMIFS($E$4:$E$800,$A$4:$A$800,"Julio")</f>
        <v/>
      </c>
      <c r="F312" s="7">
        <f>D312+E312</f>
        <v/>
      </c>
      <c r="G312" s="22" t="n"/>
    </row>
    <row r="313"/>
    <row r="314">
      <c r="A314" s="14" t="inlineStr">
        <is>
          <t>Agosto</t>
        </is>
      </c>
      <c r="B314" s="17" t="n">
        <v>46245</v>
      </c>
      <c r="C314" s="14" t="inlineStr">
        <is>
          <t>COMIDA · VERDULERÍA</t>
        </is>
      </c>
      <c r="D314" s="27" t="n">
        <v>8900</v>
      </c>
      <c r="E314" s="28" t="n"/>
      <c r="F314" s="15">
        <f>IF(OR(D314&lt;&gt;"",E314&lt;&gt;""),IF(D314="",0,D314)+IF(E314="",0,E314),"")</f>
        <v/>
      </c>
      <c r="G314" s="14" t="inlineStr">
        <is>
          <t>COMIDA · VERDULERÍA · Agosto</t>
        </is>
      </c>
    </row>
    <row r="315">
      <c r="A315" s="14" t="inlineStr">
        <is>
          <t>Agosto</t>
        </is>
      </c>
      <c r="B315" s="17" t="n">
        <v>46265</v>
      </c>
      <c r="C315" s="14" t="inlineStr">
        <is>
          <t>Almacén</t>
        </is>
      </c>
      <c r="D315" s="27" t="n"/>
      <c r="E315" s="28" t="n">
        <v>80000</v>
      </c>
      <c r="F315" s="15">
        <f>IF(OR(D315&lt;&gt;"",E315&lt;&gt;""),IF(D315="",0,D315)+IF(E315="",0,E315),"")</f>
        <v/>
      </c>
      <c r="G315" s="14" t="inlineStr">
        <is>
          <t>ALMACEN CHRIS · total agosto (sin desglose) · REVISAR</t>
        </is>
      </c>
    </row>
    <row r="316">
      <c r="A316" s="14" t="inlineStr">
        <is>
          <t>Agosto</t>
        </is>
      </c>
      <c r="B316" s="17" t="n"/>
      <c r="C316" s="14" t="n"/>
      <c r="D316" s="27" t="n"/>
      <c r="E316" s="28" t="n"/>
      <c r="F316" s="15">
        <f>IF(OR(D316&lt;&gt;"",E316&lt;&gt;""),IF(D316="",0,D316)+IF(E316="",0,E316),"")</f>
        <v/>
      </c>
      <c r="G316" s="14" t="n"/>
    </row>
    <row r="317">
      <c r="A317" s="14" t="inlineStr">
        <is>
          <t>Agosto</t>
        </is>
      </c>
      <c r="B317" s="17" t="n"/>
      <c r="C317" s="14" t="n"/>
      <c r="D317" s="27" t="n"/>
      <c r="E317" s="28" t="n"/>
      <c r="F317" s="15">
        <f>IF(OR(D317&lt;&gt;"",E317&lt;&gt;""),IF(D317="",0,D317)+IF(E317="",0,E317),"")</f>
        <v/>
      </c>
      <c r="G317" s="14" t="n"/>
    </row>
    <row r="318">
      <c r="A318" s="14" t="inlineStr">
        <is>
          <t>Agosto</t>
        </is>
      </c>
      <c r="B318" s="17" t="n"/>
      <c r="C318" s="14" t="n"/>
      <c r="D318" s="27" t="n"/>
      <c r="E318" s="28" t="n"/>
      <c r="F318" s="15">
        <f>IF(OR(D318&lt;&gt;"",E318&lt;&gt;""),IF(D318="",0,D318)+IF(E318="",0,E318),"")</f>
        <v/>
      </c>
      <c r="G318" s="14" t="n"/>
    </row>
    <row r="319">
      <c r="A319" s="14" t="inlineStr">
        <is>
          <t>Agosto</t>
        </is>
      </c>
      <c r="B319" s="17" t="n"/>
      <c r="C319" s="14" t="n"/>
      <c r="D319" s="27" t="n"/>
      <c r="E319" s="28" t="n"/>
      <c r="F319" s="15">
        <f>IF(OR(D319&lt;&gt;"",E319&lt;&gt;""),IF(D319="",0,D319)+IF(E319="",0,E319),"")</f>
        <v/>
      </c>
      <c r="G319" s="14" t="n"/>
    </row>
    <row r="320">
      <c r="A320" s="14" t="inlineStr">
        <is>
          <t>Agosto</t>
        </is>
      </c>
      <c r="B320" s="17" t="n"/>
      <c r="C320" s="14" t="n"/>
      <c r="D320" s="27" t="n"/>
      <c r="E320" s="28" t="n"/>
      <c r="F320" s="15">
        <f>IF(OR(D320&lt;&gt;"",E320&lt;&gt;""),IF(D320="",0,D320)+IF(E320="",0,E320),"")</f>
        <v/>
      </c>
      <c r="G320" s="14" t="n"/>
    </row>
    <row r="321">
      <c r="A321" s="14" t="inlineStr">
        <is>
          <t>Agosto</t>
        </is>
      </c>
      <c r="B321" s="17" t="n"/>
      <c r="C321" s="14" t="n"/>
      <c r="D321" s="27" t="n"/>
      <c r="E321" s="28" t="n"/>
      <c r="F321" s="15">
        <f>IF(OR(D321&lt;&gt;"",E321&lt;&gt;""),IF(D321="",0,D321)+IF(E321="",0,E321),"")</f>
        <v/>
      </c>
      <c r="G321" s="14" t="n"/>
    </row>
    <row r="322">
      <c r="A322" s="14" t="inlineStr">
        <is>
          <t>Agosto</t>
        </is>
      </c>
      <c r="B322" s="17" t="n"/>
      <c r="C322" s="14" t="n"/>
      <c r="D322" s="27" t="n"/>
      <c r="E322" s="28" t="n"/>
      <c r="F322" s="15">
        <f>IF(OR(D322&lt;&gt;"",E322&lt;&gt;""),IF(D322="",0,D322)+IF(E322="",0,E322),"")</f>
        <v/>
      </c>
      <c r="G322" s="14" t="n"/>
    </row>
    <row r="323">
      <c r="A323" s="14" t="inlineStr">
        <is>
          <t>Agosto</t>
        </is>
      </c>
      <c r="B323" s="17" t="n"/>
      <c r="C323" s="14" t="n"/>
      <c r="D323" s="27" t="n"/>
      <c r="E323" s="28" t="n"/>
      <c r="F323" s="15">
        <f>IF(OR(D323&lt;&gt;"",E323&lt;&gt;""),IF(D323="",0,D323)+IF(E323="",0,E323),"")</f>
        <v/>
      </c>
      <c r="G323" s="14" t="n"/>
    </row>
    <row r="324">
      <c r="A324" s="14" t="inlineStr">
        <is>
          <t>Agosto</t>
        </is>
      </c>
      <c r="B324" s="17" t="n"/>
      <c r="C324" s="14" t="n"/>
      <c r="D324" s="27" t="n"/>
      <c r="E324" s="28" t="n"/>
      <c r="F324" s="15">
        <f>IF(OR(D324&lt;&gt;"",E324&lt;&gt;""),IF(D324="",0,D324)+IF(E324="",0,E324),"")</f>
        <v/>
      </c>
      <c r="G324" s="14" t="n"/>
    </row>
    <row r="325">
      <c r="A325" s="14" t="inlineStr">
        <is>
          <t>Agosto</t>
        </is>
      </c>
      <c r="B325" s="17" t="n"/>
      <c r="C325" s="14" t="n"/>
      <c r="D325" s="27" t="n"/>
      <c r="E325" s="28" t="n"/>
      <c r="F325" s="15">
        <f>IF(OR(D325&lt;&gt;"",E325&lt;&gt;""),IF(D325="",0,D325)+IF(E325="",0,E325),"")</f>
        <v/>
      </c>
      <c r="G325" s="14" t="n"/>
    </row>
    <row r="326">
      <c r="A326" s="14" t="inlineStr">
        <is>
          <t>Agosto</t>
        </is>
      </c>
      <c r="B326" s="17" t="n"/>
      <c r="C326" s="14" t="n"/>
      <c r="D326" s="27" t="n"/>
      <c r="E326" s="28" t="n"/>
      <c r="F326" s="15">
        <f>IF(OR(D326&lt;&gt;"",E326&lt;&gt;""),IF(D326="",0,D326)+IF(E326="",0,E326),"")</f>
        <v/>
      </c>
      <c r="G326" s="14" t="n"/>
    </row>
    <row r="327">
      <c r="A327" s="14" t="inlineStr">
        <is>
          <t>Agosto</t>
        </is>
      </c>
      <c r="B327" s="17" t="n"/>
      <c r="C327" s="14" t="n"/>
      <c r="D327" s="27" t="n"/>
      <c r="E327" s="28" t="n"/>
      <c r="F327" s="15">
        <f>IF(OR(D327&lt;&gt;"",E327&lt;&gt;""),IF(D327="",0,D327)+IF(E327="",0,E327),"")</f>
        <v/>
      </c>
      <c r="G327" s="14" t="n"/>
    </row>
    <row r="328">
      <c r="A328" s="14" t="inlineStr">
        <is>
          <t>Agosto</t>
        </is>
      </c>
      <c r="B328" s="17" t="n"/>
      <c r="C328" s="14" t="n"/>
      <c r="D328" s="27" t="n"/>
      <c r="E328" s="28" t="n"/>
      <c r="F328" s="15">
        <f>IF(OR(D328&lt;&gt;"",E328&lt;&gt;""),IF(D328="",0,D328)+IF(E328="",0,E328),"")</f>
        <v/>
      </c>
      <c r="G328" s="14" t="n"/>
    </row>
    <row r="329">
      <c r="A329" s="14" t="inlineStr">
        <is>
          <t>Agosto</t>
        </is>
      </c>
      <c r="B329" s="17" t="n"/>
      <c r="C329" s="14" t="n"/>
      <c r="D329" s="27" t="n"/>
      <c r="E329" s="28" t="n"/>
      <c r="F329" s="15">
        <f>IF(OR(D329&lt;&gt;"",E329&lt;&gt;""),IF(D329="",0,D329)+IF(E329="",0,E329),"")</f>
        <v/>
      </c>
      <c r="G329" s="14" t="n"/>
    </row>
    <row r="330">
      <c r="A330" s="14" t="inlineStr">
        <is>
          <t>Agosto</t>
        </is>
      </c>
      <c r="B330" s="17" t="n"/>
      <c r="C330" s="14" t="n"/>
      <c r="D330" s="27" t="n"/>
      <c r="E330" s="28" t="n"/>
      <c r="F330" s="15">
        <f>IF(OR(D330&lt;&gt;"",E330&lt;&gt;""),IF(D330="",0,D330)+IF(E330="",0,E330),"")</f>
        <v/>
      </c>
      <c r="G330" s="14" t="n"/>
    </row>
    <row r="331">
      <c r="A331" s="14" t="inlineStr">
        <is>
          <t>Agosto</t>
        </is>
      </c>
      <c r="B331" s="17" t="n"/>
      <c r="C331" s="14" t="n"/>
      <c r="D331" s="27" t="n"/>
      <c r="E331" s="28" t="n"/>
      <c r="F331" s="15">
        <f>IF(OR(D331&lt;&gt;"",E331&lt;&gt;""),IF(D331="",0,D331)+IF(E331="",0,E331),"")</f>
        <v/>
      </c>
      <c r="G331" s="14" t="n"/>
    </row>
    <row r="332">
      <c r="A332" s="14" t="inlineStr">
        <is>
          <t>Agosto</t>
        </is>
      </c>
      <c r="B332" s="17" t="n"/>
      <c r="C332" s="14" t="n"/>
      <c r="D332" s="27" t="n"/>
      <c r="E332" s="28" t="n"/>
      <c r="F332" s="15">
        <f>IF(OR(D332&lt;&gt;"",E332&lt;&gt;""),IF(D332="",0,D332)+IF(E332="",0,E332),"")</f>
        <v/>
      </c>
      <c r="G332" s="14" t="n"/>
    </row>
    <row r="333">
      <c r="A333" s="14" t="inlineStr">
        <is>
          <t>Agosto</t>
        </is>
      </c>
      <c r="B333" s="17" t="n"/>
      <c r="C333" s="14" t="n"/>
      <c r="D333" s="27" t="n"/>
      <c r="E333" s="28" t="n"/>
      <c r="F333" s="15">
        <f>IF(OR(D333&lt;&gt;"",E333&lt;&gt;""),IF(D333="",0,D333)+IF(E333="",0,E333),"")</f>
        <v/>
      </c>
      <c r="G333" s="14" t="n"/>
    </row>
    <row r="334">
      <c r="A334" s="14" t="inlineStr">
        <is>
          <t>Agosto</t>
        </is>
      </c>
      <c r="B334" s="17" t="n"/>
      <c r="C334" s="14" t="n"/>
      <c r="D334" s="27" t="n"/>
      <c r="E334" s="28" t="n"/>
      <c r="F334" s="15">
        <f>IF(OR(D334&lt;&gt;"",E334&lt;&gt;""),IF(D334="",0,D334)+IF(E334="",0,E334),"")</f>
        <v/>
      </c>
      <c r="G334" s="14" t="n"/>
    </row>
    <row r="335">
      <c r="A335" s="14" t="inlineStr">
        <is>
          <t>Agosto</t>
        </is>
      </c>
      <c r="B335" s="17" t="n"/>
      <c r="C335" s="14" t="n"/>
      <c r="D335" s="27" t="n"/>
      <c r="E335" s="28" t="n"/>
      <c r="F335" s="15">
        <f>IF(OR(D335&lt;&gt;"",E335&lt;&gt;""),IF(D335="",0,D335)+IF(E335="",0,E335),"")</f>
        <v/>
      </c>
      <c r="G335" s="14" t="n"/>
    </row>
    <row r="336">
      <c r="A336" s="14" t="inlineStr">
        <is>
          <t>Agosto</t>
        </is>
      </c>
      <c r="B336" s="17" t="n"/>
      <c r="C336" s="14" t="n"/>
      <c r="D336" s="27" t="n"/>
      <c r="E336" s="28" t="n"/>
      <c r="F336" s="15">
        <f>IF(OR(D336&lt;&gt;"",E336&lt;&gt;""),IF(D336="",0,D336)+IF(E336="",0,E336),"")</f>
        <v/>
      </c>
      <c r="G336" s="14" t="n"/>
    </row>
    <row r="337">
      <c r="A337" s="14" t="inlineStr">
        <is>
          <t>Agosto</t>
        </is>
      </c>
      <c r="B337" s="17" t="n"/>
      <c r="C337" s="14" t="n"/>
      <c r="D337" s="27" t="n"/>
      <c r="E337" s="28" t="n"/>
      <c r="F337" s="15">
        <f>IF(OR(D337&lt;&gt;"",E337&lt;&gt;""),IF(D337="",0,D337)+IF(E337="",0,E337),"")</f>
        <v/>
      </c>
      <c r="G337" s="14" t="n"/>
    </row>
    <row r="338">
      <c r="A338" s="14" t="inlineStr">
        <is>
          <t>Agosto</t>
        </is>
      </c>
      <c r="B338" s="17" t="n"/>
      <c r="C338" s="14" t="n"/>
      <c r="D338" s="27" t="n"/>
      <c r="E338" s="28" t="n"/>
      <c r="F338" s="15">
        <f>IF(OR(D338&lt;&gt;"",E338&lt;&gt;""),IF(D338="",0,D338)+IF(E338="",0,E338),"")</f>
        <v/>
      </c>
      <c r="G338" s="14" t="n"/>
    </row>
    <row r="339">
      <c r="A339" s="14" t="inlineStr">
        <is>
          <t>Agosto</t>
        </is>
      </c>
      <c r="B339" s="17" t="n"/>
      <c r="C339" s="14" t="n"/>
      <c r="D339" s="27" t="n"/>
      <c r="E339" s="28" t="n"/>
      <c r="F339" s="15">
        <f>IF(OR(D339&lt;&gt;"",E339&lt;&gt;""),IF(D339="",0,D339)+IF(E339="",0,E339),"")</f>
        <v/>
      </c>
      <c r="G339" s="14" t="n"/>
    </row>
    <row r="340">
      <c r="A340" s="14" t="inlineStr">
        <is>
          <t>Agosto</t>
        </is>
      </c>
      <c r="B340" s="17" t="n"/>
      <c r="C340" s="14" t="n"/>
      <c r="D340" s="27" t="n"/>
      <c r="E340" s="28" t="n"/>
      <c r="F340" s="15">
        <f>IF(OR(D340&lt;&gt;"",E340&lt;&gt;""),IF(D340="",0,D340)+IF(E340="",0,E340),"")</f>
        <v/>
      </c>
      <c r="G340" s="14" t="n"/>
    </row>
    <row r="341">
      <c r="A341" s="14" t="inlineStr">
        <is>
          <t>Agosto</t>
        </is>
      </c>
      <c r="B341" s="17" t="n"/>
      <c r="C341" s="14" t="n"/>
      <c r="D341" s="27" t="n"/>
      <c r="E341" s="28" t="n"/>
      <c r="F341" s="15">
        <f>IF(OR(D341&lt;&gt;"",E341&lt;&gt;""),IF(D341="",0,D341)+IF(E341="",0,E341),"")</f>
        <v/>
      </c>
      <c r="G341" s="14" t="n"/>
    </row>
    <row r="342">
      <c r="A342" s="14" t="inlineStr">
        <is>
          <t>Agosto</t>
        </is>
      </c>
      <c r="B342" s="17" t="n"/>
      <c r="C342" s="14" t="n"/>
      <c r="D342" s="27" t="n"/>
      <c r="E342" s="28" t="n"/>
      <c r="F342" s="15">
        <f>IF(OR(D342&lt;&gt;"",E342&lt;&gt;""),IF(D342="",0,D342)+IF(E342="",0,E342),"")</f>
        <v/>
      </c>
      <c r="G342" s="14" t="n"/>
    </row>
    <row r="343">
      <c r="A343" s="14" t="inlineStr">
        <is>
          <t>Agosto</t>
        </is>
      </c>
      <c r="B343" s="17" t="n"/>
      <c r="C343" s="14" t="n"/>
      <c r="D343" s="27" t="n"/>
      <c r="E343" s="28" t="n"/>
      <c r="F343" s="15">
        <f>IF(OR(D343&lt;&gt;"",E343&lt;&gt;""),IF(D343="",0,D343)+IF(E343="",0,E343),"")</f>
        <v/>
      </c>
      <c r="G343" s="14" t="n"/>
    </row>
    <row r="344">
      <c r="A344" s="14" t="inlineStr">
        <is>
          <t>Agosto</t>
        </is>
      </c>
      <c r="B344" s="17" t="n"/>
      <c r="C344" s="14" t="n"/>
      <c r="D344" s="27" t="n"/>
      <c r="E344" s="28" t="n"/>
      <c r="F344" s="15">
        <f>IF(OR(D344&lt;&gt;"",E344&lt;&gt;""),IF(D344="",0,D344)+IF(E344="",0,E344),"")</f>
        <v/>
      </c>
      <c r="G344" s="14" t="n"/>
    </row>
    <row r="345">
      <c r="A345" s="14" t="inlineStr">
        <is>
          <t>Agosto</t>
        </is>
      </c>
      <c r="B345" s="17" t="n"/>
      <c r="C345" s="14" t="n"/>
      <c r="D345" s="27" t="n"/>
      <c r="E345" s="28" t="n"/>
      <c r="F345" s="15">
        <f>IF(OR(D345&lt;&gt;"",E345&lt;&gt;""),IF(D345="",0,D345)+IF(E345="",0,E345),"")</f>
        <v/>
      </c>
      <c r="G345" s="14" t="n"/>
    </row>
    <row r="346">
      <c r="A346" s="14" t="inlineStr">
        <is>
          <t>Agosto</t>
        </is>
      </c>
      <c r="B346" s="17" t="n"/>
      <c r="C346" s="14" t="n"/>
      <c r="D346" s="27" t="n"/>
      <c r="E346" s="28" t="n"/>
      <c r="F346" s="15">
        <f>IF(OR(D346&lt;&gt;"",E346&lt;&gt;""),IF(D346="",0,D346)+IF(E346="",0,E346),"")</f>
        <v/>
      </c>
      <c r="G346" s="14" t="n"/>
    </row>
    <row r="347">
      <c r="A347" s="14" t="inlineStr">
        <is>
          <t>Agosto</t>
        </is>
      </c>
      <c r="B347" s="17" t="n"/>
      <c r="C347" s="14" t="n"/>
      <c r="D347" s="27" t="n"/>
      <c r="E347" s="28" t="n"/>
      <c r="F347" s="15">
        <f>IF(OR(D347&lt;&gt;"",E347&lt;&gt;""),IF(D347="",0,D347)+IF(E347="",0,E347),"")</f>
        <v/>
      </c>
      <c r="G347" s="14" t="n"/>
    </row>
    <row r="348">
      <c r="A348" s="14" t="inlineStr">
        <is>
          <t>Agosto</t>
        </is>
      </c>
      <c r="B348" s="17" t="n"/>
      <c r="C348" s="14" t="n"/>
      <c r="D348" s="27" t="n"/>
      <c r="E348" s="28" t="n"/>
      <c r="F348" s="15">
        <f>IF(OR(D348&lt;&gt;"",E348&lt;&gt;""),IF(D348="",0,D348)+IF(E348="",0,E348),"")</f>
        <v/>
      </c>
      <c r="G348" s="14" t="n"/>
    </row>
    <row r="349">
      <c r="A349" s="14" t="inlineStr">
        <is>
          <t>Agosto</t>
        </is>
      </c>
      <c r="B349" s="17" t="n"/>
      <c r="C349" s="14" t="n"/>
      <c r="D349" s="27" t="n"/>
      <c r="E349" s="28" t="n"/>
      <c r="F349" s="15">
        <f>IF(OR(D349&lt;&gt;"",E349&lt;&gt;""),IF(D349="",0,D349)+IF(E349="",0,E349),"")</f>
        <v/>
      </c>
      <c r="G349" s="14" t="n"/>
    </row>
    <row r="350">
      <c r="A350" s="14" t="inlineStr">
        <is>
          <t>Agosto</t>
        </is>
      </c>
      <c r="B350" s="17" t="n"/>
      <c r="C350" s="14" t="n"/>
      <c r="D350" s="27" t="n"/>
      <c r="E350" s="28" t="n"/>
      <c r="F350" s="15">
        <f>IF(OR(D350&lt;&gt;"",E350&lt;&gt;""),IF(D350="",0,D350)+IF(E350="",0,E350),"")</f>
        <v/>
      </c>
      <c r="G350" s="14" t="n"/>
    </row>
    <row r="351">
      <c r="A351" s="14" t="inlineStr">
        <is>
          <t>Agosto</t>
        </is>
      </c>
      <c r="B351" s="17" t="n"/>
      <c r="C351" s="14" t="n"/>
      <c r="D351" s="27" t="n"/>
      <c r="E351" s="28" t="n"/>
      <c r="F351" s="15">
        <f>IF(OR(D351&lt;&gt;"",E351&lt;&gt;""),IF(D351="",0,D351)+IF(E351="",0,E351),"")</f>
        <v/>
      </c>
      <c r="G351" s="14" t="n"/>
    </row>
    <row r="352">
      <c r="A352" s="14" t="inlineStr">
        <is>
          <t>Agosto</t>
        </is>
      </c>
      <c r="B352" s="17" t="n"/>
      <c r="C352" s="14" t="n"/>
      <c r="D352" s="27" t="n"/>
      <c r="E352" s="28" t="n"/>
      <c r="F352" s="15">
        <f>IF(OR(D352&lt;&gt;"",E352&lt;&gt;""),IF(D352="",0,D352)+IF(E352="",0,E352),"")</f>
        <v/>
      </c>
      <c r="G352" s="14" t="n"/>
    </row>
    <row r="353">
      <c r="A353" s="14" t="inlineStr">
        <is>
          <t>Agosto</t>
        </is>
      </c>
      <c r="B353" s="17" t="n"/>
      <c r="C353" s="14" t="n"/>
      <c r="D353" s="27" t="n"/>
      <c r="E353" s="28" t="n"/>
      <c r="F353" s="15">
        <f>IF(OR(D353&lt;&gt;"",E353&lt;&gt;""),IF(D353="",0,D353)+IF(E353="",0,E353),"")</f>
        <v/>
      </c>
      <c r="G353" s="14" t="n"/>
    </row>
    <row r="354">
      <c r="A354" s="10" t="inlineStr">
        <is>
          <t>TOTAL AGOSTO</t>
        </is>
      </c>
      <c r="B354" s="22" t="n"/>
      <c r="C354" s="29" t="inlineStr">
        <is>
          <t>Totales mes →</t>
        </is>
      </c>
      <c r="D354" s="7">
        <f>SUMIFS($D$4:$D$800,$A$4:$A$800,"Agosto")</f>
        <v/>
      </c>
      <c r="E354" s="7">
        <f>SUMIFS($E$4:$E$800,$A$4:$A$800,"Agosto")</f>
        <v/>
      </c>
      <c r="F354" s="7">
        <f>D354+E354</f>
        <v/>
      </c>
      <c r="G354" s="22" t="n"/>
    </row>
    <row r="355"/>
    <row r="356">
      <c r="A356" s="14" t="inlineStr">
        <is>
          <t>Septiembre</t>
        </is>
      </c>
      <c r="B356" s="17" t="n">
        <v>46268</v>
      </c>
      <c r="C356" s="14" t="inlineStr">
        <is>
          <t>SUPERMERCADO · Día</t>
        </is>
      </c>
      <c r="D356" s="27" t="n">
        <v>41139</v>
      </c>
      <c r="E356" s="28" t="n"/>
      <c r="F356" s="15">
        <f>IF(OR(D356&lt;&gt;"",E356&lt;&gt;""),IF(D356="",0,D356)+IF(E356="",0,E356),"")</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IF(OR(D357&lt;&gt;"",E357&lt;&gt;""),IF(D357="",0,D357)+IF(E357="",0,E357),"")</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IF(OR(D358&lt;&gt;"",E358&lt;&gt;""),IF(D358="",0,D358)+IF(E358="",0,E358),"")</f>
        <v/>
      </c>
      <c r="G358" s="14" t="inlineStr">
        <is>
          <t>COMIDA · Pescadería Belgrano · Mercado Pago · Gmail Pago aprobado · ALMACEN SOL (pescadería siempre Almacén CIUDAD)</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Comida</t>
        </is>
      </c>
      <c r="D377" s="27" t="n">
        <v>47900</v>
      </c>
      <c r="E377" s="28" t="n"/>
      <c r="F377" s="15">
        <f>IF(OR(D377&lt;&gt;"",E377&lt;&gt;""),IF(D377="",0,D377)+IF(E377="",0,E377),"")</f>
        <v/>
      </c>
      <c r="G377" s="14" t="inlineStr">
        <is>
          <t>RAMON · Comida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v>46295</v>
      </c>
      <c r="C386" s="14" t="inlineStr">
        <is>
          <t>SUPERMERCADO · Coto</t>
        </is>
      </c>
      <c r="D386" s="27" t="n"/>
      <c r="E386" s="28" t="n">
        <v>11436</v>
      </c>
      <c r="F386" s="15">
        <f>IF(OR(D386&lt;&gt;"",E386&lt;&gt;""),IF(D386="",0,D386)+IF(E386="",0,E386),"")</f>
        <v/>
      </c>
      <c r="G386" s="14" t="inlineStr">
        <is>
          <t>Chris · SUPERMERCADO · Coto · sin fecha día · REVISAR</t>
        </is>
      </c>
    </row>
    <row r="387">
      <c r="A387" s="14" t="inlineStr">
        <is>
          <t>Septiembre</t>
        </is>
      </c>
      <c r="B387" s="17" t="n">
        <v>46295</v>
      </c>
      <c r="C387" s="14" t="inlineStr">
        <is>
          <t>SUPERMERCADO · Día</t>
        </is>
      </c>
      <c r="D387" s="27" t="n"/>
      <c r="E387" s="28" t="n">
        <v>7264</v>
      </c>
      <c r="F387" s="15">
        <f>IF(OR(D387&lt;&gt;"",E387&lt;&gt;""),IF(D387="",0,D387)+IF(E387="",0,E387),"")</f>
        <v/>
      </c>
      <c r="G387" s="14" t="inlineStr">
        <is>
          <t>Chris · SUPERMERCADO · Día · SUPERDIA · sin fecha día · REVISAR</t>
        </is>
      </c>
    </row>
    <row r="388">
      <c r="A388" s="14" t="inlineStr">
        <is>
          <t>Septiembre</t>
        </is>
      </c>
      <c r="B388" s="17" t="n">
        <v>46295</v>
      </c>
      <c r="C388" s="14" t="inlineStr">
        <is>
          <t>SUPERMERCADO · Coto</t>
        </is>
      </c>
      <c r="D388" s="27" t="n"/>
      <c r="E388" s="28" t="n">
        <v>10000</v>
      </c>
      <c r="F388" s="15">
        <f>IF(OR(D388&lt;&gt;"",E388&lt;&gt;""),IF(D388="",0,D388)+IF(E388="",0,E388),"")</f>
        <v/>
      </c>
      <c r="G388" s="14" t="inlineStr">
        <is>
          <t>Chris · SUPERMERCADO · Coto · sin fecha día · REVISAR</t>
        </is>
      </c>
    </row>
    <row r="389">
      <c r="A389" s="14" t="inlineStr">
        <is>
          <t>Septiembre</t>
        </is>
      </c>
      <c r="B389" s="17" t="n">
        <v>46295</v>
      </c>
      <c r="C389" s="14" t="inlineStr">
        <is>
          <t>SUPERMERCADO · Coto</t>
        </is>
      </c>
      <c r="D389" s="27" t="n"/>
      <c r="E389" s="28" t="n">
        <v>11993</v>
      </c>
      <c r="F389" s="15">
        <f>IF(OR(D389&lt;&gt;"",E389&lt;&gt;""),IF(D389="",0,D389)+IF(E389="",0,E389),"")</f>
        <v/>
      </c>
      <c r="G389" s="14" t="inlineStr">
        <is>
          <t>Chris · SUPERMERCADO · Coto · sin fecha día · REVISAR</t>
        </is>
      </c>
    </row>
    <row r="390">
      <c r="A390" s="14" t="inlineStr">
        <is>
          <t>Septiembre</t>
        </is>
      </c>
      <c r="B390" s="17" t="n">
        <v>46295</v>
      </c>
      <c r="C390" s="14" t="inlineStr">
        <is>
          <t>SUPERMERCADO · Día</t>
        </is>
      </c>
      <c r="D390" s="27" t="n"/>
      <c r="E390" s="28" t="n">
        <v>9980</v>
      </c>
      <c r="F390" s="15">
        <f>IF(OR(D390&lt;&gt;"",E390&lt;&gt;""),IF(D390="",0,D390)+IF(E390="",0,E390),"")</f>
        <v/>
      </c>
      <c r="G390" s="14" t="inlineStr">
        <is>
          <t>Chris · SUPERMERCADO · Día · SUPERDIA · sin fecha día · REVISAR</t>
        </is>
      </c>
    </row>
    <row r="391">
      <c r="A391" s="14" t="inlineStr">
        <is>
          <t>Septiembre</t>
        </is>
      </c>
      <c r="B391" s="17" t="n">
        <v>46295</v>
      </c>
      <c r="C391" s="14" t="inlineStr">
        <is>
          <t>SUPERMERCADO · Día</t>
        </is>
      </c>
      <c r="D391" s="27" t="n"/>
      <c r="E391" s="28" t="n">
        <v>4152</v>
      </c>
      <c r="F391" s="15">
        <f>IF(OR(D391&lt;&gt;"",E391&lt;&gt;""),IF(D391="",0,D391)+IF(E391="",0,E391),"")</f>
        <v/>
      </c>
      <c r="G391" s="14" t="inlineStr">
        <is>
          <t>Chris · SUPERMERCADO · Día · SUPERDIA · sin fecha día · REVISAR</t>
        </is>
      </c>
    </row>
    <row r="392">
      <c r="A392" s="14" t="inlineStr">
        <is>
          <t>Septiembre</t>
        </is>
      </c>
      <c r="B392" s="17" t="n">
        <v>46295</v>
      </c>
      <c r="C392" s="14" t="inlineStr">
        <is>
          <t>SUPERMERCADO · Día</t>
        </is>
      </c>
      <c r="D392" s="27" t="n"/>
      <c r="E392" s="28" t="n">
        <v>7488</v>
      </c>
      <c r="F392" s="15">
        <f>IF(OR(D392&lt;&gt;"",E392&lt;&gt;""),IF(D392="",0,D392)+IF(E392="",0,E392),"")</f>
        <v/>
      </c>
      <c r="G392" s="14" t="inlineStr">
        <is>
          <t>Chris · SUPERMERCADO · Día · sin fecha día · REVISAR</t>
        </is>
      </c>
    </row>
    <row r="393">
      <c r="A393" s="14" t="inlineStr">
        <is>
          <t>Septiembre</t>
        </is>
      </c>
      <c r="B393" s="17" t="n">
        <v>46295</v>
      </c>
      <c r="C393" s="14" t="inlineStr">
        <is>
          <t>SUPERMERCADO · Coto</t>
        </is>
      </c>
      <c r="D393" s="27" t="n"/>
      <c r="E393" s="28" t="n">
        <v>1999</v>
      </c>
      <c r="F393" s="15">
        <f>IF(OR(D393&lt;&gt;"",E393&lt;&gt;""),IF(D393="",0,D393)+IF(E393="",0,E393),"")</f>
        <v/>
      </c>
      <c r="G393" s="14" t="inlineStr">
        <is>
          <t>Chris · SUPERMERCADO · Coto · sin fecha día · REVISAR</t>
        </is>
      </c>
    </row>
    <row r="394">
      <c r="A394" s="14" t="inlineStr">
        <is>
          <t>Septiembre</t>
        </is>
      </c>
      <c r="B394" s="17" t="n">
        <v>46295</v>
      </c>
      <c r="C394" s="14" t="inlineStr">
        <is>
          <t>SUPERMERCADO · Día</t>
        </is>
      </c>
      <c r="D394" s="27" t="n"/>
      <c r="E394" s="28" t="n">
        <v>5680</v>
      </c>
      <c r="F394" s="15">
        <f>IF(OR(D394&lt;&gt;"",E394&lt;&gt;""),IF(D394="",0,D394)+IF(E394="",0,E394),"")</f>
        <v/>
      </c>
      <c r="G394" s="14" t="inlineStr">
        <is>
          <t>Chris · SUPERMERCADO · Día · sin fecha día · REVISAR</t>
        </is>
      </c>
    </row>
    <row r="395">
      <c r="A395" s="14" t="inlineStr">
        <is>
          <t>Septiembre</t>
        </is>
      </c>
      <c r="B395" s="17" t="n">
        <v>46295</v>
      </c>
      <c r="C395" s="14" t="inlineStr">
        <is>
          <t>COMIDA · VERDULERÍA</t>
        </is>
      </c>
      <c r="D395" s="27" t="n"/>
      <c r="E395" s="28" t="n">
        <v>4101</v>
      </c>
      <c r="F395" s="15">
        <f>IF(OR(D395&lt;&gt;"",E395&lt;&gt;""),IF(D395="",0,D395)+IF(E395="",0,E395),"")</f>
        <v/>
      </c>
      <c r="G395" s="14" t="inlineStr">
        <is>
          <t>Chris · COMIDA · VERDULERÍA · sin fecha día · REVISAR</t>
        </is>
      </c>
    </row>
    <row r="396">
      <c r="A396" t="inlineStr">
        <is>
          <t>Septiembre</t>
        </is>
      </c>
      <c r="B396" s="52" t="n">
        <v>46295</v>
      </c>
      <c r="C396" t="inlineStr">
        <is>
          <t>SUPERMERCADO · Coto</t>
        </is>
      </c>
      <c r="E396" t="n">
        <v>7610</v>
      </c>
      <c r="F396">
        <f>IF(OR(D396&lt;&gt;"",E396&lt;&gt;""),IF(D396="",0,D396)+IF(E396="",0,E396),"")</f>
        <v/>
      </c>
      <c r="G396" t="inlineStr">
        <is>
          <t>Chris · SUPERMERCADO · Coto · sin fecha día · REVISAR</t>
        </is>
      </c>
    </row>
    <row r="397">
      <c r="A397" t="inlineStr">
        <is>
          <t>Septiembre</t>
        </is>
      </c>
      <c r="B397" s="52" t="n">
        <v>46295</v>
      </c>
      <c r="C397" t="inlineStr">
        <is>
          <t>SUPERMERCADO · Día</t>
        </is>
      </c>
      <c r="E397" t="n">
        <v>4796</v>
      </c>
      <c r="F397">
        <f>IF(OR(D397&lt;&gt;"",E397&lt;&gt;""),IF(D397="",0,D397)+IF(E397="",0,E397),"")</f>
        <v/>
      </c>
      <c r="G397" t="inlineStr">
        <is>
          <t>Chris · SUPERMERCADO · Día · sin fecha día · REVISAR</t>
        </is>
      </c>
    </row>
    <row r="398">
      <c r="A398" t="inlineStr">
        <is>
          <t>Septiembre</t>
        </is>
      </c>
      <c r="B398" s="52" t="n">
        <v>46295</v>
      </c>
      <c r="C398" t="inlineStr">
        <is>
          <t>SUPERMERCADO · Día</t>
        </is>
      </c>
      <c r="E398" t="n">
        <v>3952</v>
      </c>
      <c r="F398">
        <f>IF(OR(D398&lt;&gt;"",E398&lt;&gt;""),IF(D398="",0,D398)+IF(E398="",0,E398),"")</f>
        <v/>
      </c>
      <c r="G398" t="inlineStr">
        <is>
          <t>Chris · SUPERMERCADO · Día · sin fecha día · REVISAR</t>
        </is>
      </c>
    </row>
    <row r="399">
      <c r="A399" t="inlineStr">
        <is>
          <t>Septiembre</t>
        </is>
      </c>
      <c r="B399" s="52" t="n">
        <v>46295</v>
      </c>
      <c r="C399" t="inlineStr">
        <is>
          <t>COMIDA · pollo</t>
        </is>
      </c>
      <c r="E399" t="n">
        <v>10295</v>
      </c>
      <c r="F399">
        <f>IF(OR(D399&lt;&gt;"",E399&lt;&gt;""),IF(D399="",0,D399)+IF(E399="",0,E399),"")</f>
        <v/>
      </c>
      <c r="G399" t="inlineStr">
        <is>
          <t>Chris · COMIDA · pollo · sin fecha día · REVISAR</t>
        </is>
      </c>
    </row>
    <row r="400">
      <c r="A400" t="inlineStr">
        <is>
          <t>Septiembre</t>
        </is>
      </c>
      <c r="B400" s="52" t="n">
        <v>46295</v>
      </c>
      <c r="C400" t="inlineStr">
        <is>
          <t>SUPERMERCADO · Día</t>
        </is>
      </c>
      <c r="E400" t="n">
        <v>6480</v>
      </c>
      <c r="F400">
        <f>IF(OR(D400&lt;&gt;"",E400&lt;&gt;""),IF(D400="",0,D400)+IF(E400="",0,E400),"")</f>
        <v/>
      </c>
      <c r="G400" t="inlineStr">
        <is>
          <t>Chris · SUPERMERCADO · Día · sin fecha día · REVISAR</t>
        </is>
      </c>
    </row>
    <row r="401">
      <c r="A401" t="inlineStr">
        <is>
          <t>Septiembre</t>
        </is>
      </c>
      <c r="B401" s="52" t="n">
        <v>46295</v>
      </c>
      <c r="C401" t="inlineStr">
        <is>
          <t>SUPERMERCADO · Día</t>
        </is>
      </c>
      <c r="E401" t="n">
        <v>4739</v>
      </c>
      <c r="F401">
        <f>IF(OR(D401&lt;&gt;"",E401&lt;&gt;""),IF(D401="",0,D401)+IF(E401="",0,E401),"")</f>
        <v/>
      </c>
      <c r="G401" t="inlineStr">
        <is>
          <t>Chris · SUPERMERCADO · Día · sin fecha día · REVISAR</t>
        </is>
      </c>
    </row>
    <row r="402">
      <c r="A402" t="inlineStr">
        <is>
          <t>Septiembre</t>
        </is>
      </c>
      <c r="B402" s="52" t="n">
        <v>46295</v>
      </c>
      <c r="C402" t="inlineStr">
        <is>
          <t>PEDIDOS YA · COMIDA</t>
        </is>
      </c>
      <c r="E402" t="n">
        <v>23424</v>
      </c>
      <c r="F402">
        <f>IF(OR(D402&lt;&gt;"",E402&lt;&gt;""),IF(D402="",0,D402)+IF(E402="",0,E402),"")</f>
        <v/>
      </c>
      <c r="G402" t="inlineStr">
        <is>
          <t>Chris · PEDIDOS YA · COMIDA · sin fecha día · REVISAR · confirmar si Market</t>
        </is>
      </c>
    </row>
    <row r="403">
      <c r="A403" t="inlineStr">
        <is>
          <t>Septiembre</t>
        </is>
      </c>
      <c r="B403" s="52" t="n">
        <v>46295</v>
      </c>
      <c r="C403" t="inlineStr">
        <is>
          <t>SUPERMERCADO · Día</t>
        </is>
      </c>
      <c r="E403" t="n">
        <v>7439</v>
      </c>
      <c r="F403">
        <f>IF(OR(D403&lt;&gt;"",E403&lt;&gt;""),IF(D403="",0,D403)+IF(E403="",0,E403),"")</f>
        <v/>
      </c>
      <c r="G403" t="inlineStr">
        <is>
          <t>Chris · SUPERMERCADO · Día · sin fecha día · REVISAR</t>
        </is>
      </c>
    </row>
    <row r="404">
      <c r="A404" t="inlineStr">
        <is>
          <t>Septiembre</t>
        </is>
      </c>
      <c r="B404" s="52" t="n">
        <v>46295</v>
      </c>
      <c r="C404" t="inlineStr">
        <is>
          <t>SUPERMERCADO · Día</t>
        </is>
      </c>
      <c r="E404" t="n">
        <v>5716</v>
      </c>
      <c r="F404">
        <f>IF(OR(D404&lt;&gt;"",E404&lt;&gt;""),IF(D404="",0,D404)+IF(E404="",0,E404),"")</f>
        <v/>
      </c>
      <c r="G404" t="inlineStr">
        <is>
          <t>Chris · SUPERMERCADO · Día · sin fecha día · REVISAR</t>
        </is>
      </c>
    </row>
    <row r="405">
      <c r="A405" t="inlineStr">
        <is>
          <t>Septiembre</t>
        </is>
      </c>
      <c r="B405" s="52" t="n">
        <v>46295</v>
      </c>
      <c r="C405" t="inlineStr">
        <is>
          <t>SUPERMERCADO · Día</t>
        </is>
      </c>
      <c r="E405" t="n">
        <v>3768</v>
      </c>
      <c r="F405">
        <f>IF(OR(D405&lt;&gt;"",E405&lt;&gt;""),IF(D405="",0,D405)+IF(E405="",0,E405),"")</f>
        <v/>
      </c>
      <c r="G405" t="inlineStr">
        <is>
          <t>Chris · SUPERMERCADO · Día · sin fecha día · REVISAR</t>
        </is>
      </c>
    </row>
    <row r="406">
      <c r="A406" t="inlineStr">
        <is>
          <t>Septiembre</t>
        </is>
      </c>
      <c r="B406" s="52" t="n">
        <v>46295</v>
      </c>
      <c r="C406" t="inlineStr">
        <is>
          <t>COMIDA · Vinos</t>
        </is>
      </c>
      <c r="E406" t="n">
        <v>17780</v>
      </c>
      <c r="F406">
        <f>IF(OR(D406&lt;&gt;"",E406&lt;&gt;""),IF(D406="",0,D406)+IF(E406="",0,E406),"")</f>
        <v/>
      </c>
      <c r="G406" t="inlineStr">
        <is>
          <t>Chris · COMIDA · Vinos · sin fecha día · REVISAR</t>
        </is>
      </c>
    </row>
    <row r="407">
      <c r="A407" t="inlineStr">
        <is>
          <t>Septiembre</t>
        </is>
      </c>
      <c r="B407" s="52" t="n">
        <v>46295</v>
      </c>
      <c r="C407" t="inlineStr">
        <is>
          <t>REVISAR · sin comercio</t>
        </is>
      </c>
      <c r="E407" t="n">
        <v>48960</v>
      </c>
      <c r="F407">
        <f>IF(OR(D407&lt;&gt;"",E407&lt;&gt;""),IF(D407="",0,D407)+IF(E407="",0,E407),"")</f>
        <v/>
      </c>
      <c r="G407" t="inlineStr">
        <is>
          <t>Chris · REVISAR · monto sin comercio en listado · sin fecha día</t>
        </is>
      </c>
    </row>
    <row r="408">
      <c r="A408" t="inlineStr">
        <is>
          <t>Septiembre</t>
        </is>
      </c>
      <c r="B408" s="52" t="n">
        <v>46295</v>
      </c>
      <c r="C408" t="inlineStr">
        <is>
          <t>COMIDA · VERDULERÍA</t>
        </is>
      </c>
      <c r="E408" t="n">
        <v>7912</v>
      </c>
      <c r="F408">
        <f>IF(OR(D408&lt;&gt;"",E408&lt;&gt;""),IF(D408="",0,D408)+IF(E408="",0,E408),"")</f>
        <v/>
      </c>
      <c r="G408" t="inlineStr">
        <is>
          <t>Chris · COMIDA · VERDULERÍA · sin fecha día · REVISAR</t>
        </is>
      </c>
    </row>
    <row r="409">
      <c r="A409" t="inlineStr">
        <is>
          <t>Septiembre</t>
        </is>
      </c>
      <c r="B409" s="52" t="n">
        <v>46295</v>
      </c>
      <c r="C409" t="inlineStr">
        <is>
          <t>COMIDA · pollo</t>
        </is>
      </c>
      <c r="E409" t="n">
        <v>10140</v>
      </c>
      <c r="F409">
        <f>IF(OR(D409&lt;&gt;"",E409&lt;&gt;""),IF(D409="",0,D409)+IF(E409="",0,E409),"")</f>
        <v/>
      </c>
      <c r="G409" t="inlineStr">
        <is>
          <t>Chris · COMIDA · pollo · sin fecha día · REVISAR</t>
        </is>
      </c>
    </row>
    <row r="410">
      <c r="A410" t="inlineStr">
        <is>
          <t>Septiembre</t>
        </is>
      </c>
      <c r="B410" s="52" t="n">
        <v>46275</v>
      </c>
      <c r="C410" t="inlineStr">
        <is>
          <t>RAMON · Comida</t>
        </is>
      </c>
      <c r="D410" t="n">
        <v>131000</v>
      </c>
      <c r="F410">
        <f>IF(OR(D410&lt;&gt;"",E410&lt;&gt;""),IF(D410="",0,D410)+IF(E410="",0,E410),"")</f>
        <v/>
      </c>
      <c r="G410" t="inlineStr">
        <is>
          <t>RAMON · Comida · DR BARF · Cova Abreu Gibiana Del Valle · transferencia MP · ALMACEN SOL</t>
        </is>
      </c>
    </row>
    <row r="411">
      <c r="A411" t="inlineStr">
        <is>
          <t>Septiembre</t>
        </is>
      </c>
      <c r="B411" s="52" t="n">
        <v>46030</v>
      </c>
      <c r="C411" t="inlineStr">
        <is>
          <t>COMIDA · Pescadería Belgrano</t>
        </is>
      </c>
      <c r="D411" t="n">
        <v>12426</v>
      </c>
      <c r="F411">
        <f>IF(OR(D411&lt;&gt;"",E411&lt;&gt;""),IF(D411="",0,D411)+IF(E411="",0,E411),"")</f>
        <v/>
      </c>
      <c r="G411" t="inlineStr">
        <is>
          <t>AJUSTE SEPT · gasto origen Enero 08/01/2026 · no se pasó/rindió en el mes de origen por error · COMIDA · Pescadería Belgrano · Andres Javier Di Pasqua · MP cuenta · ALMACEN SOL</t>
        </is>
      </c>
    </row>
    <row r="412">
      <c r="A412" t="inlineStr">
        <is>
          <t>Septiembre</t>
        </is>
      </c>
      <c r="B412" s="52" t="n">
        <v>46059</v>
      </c>
      <c r="C412" t="inlineStr">
        <is>
          <t>COMIDA · Pescadería Belgrano</t>
        </is>
      </c>
      <c r="D412" t="n">
        <v>24852</v>
      </c>
      <c r="F412">
        <f>IF(OR(D412&lt;&gt;"",E412&lt;&gt;""),IF(D412="",0,D412)+IF(E412="",0,E412),"")</f>
        <v/>
      </c>
      <c r="G412" t="inlineStr">
        <is>
          <t>AJUSTE SEPT · gasto origen Febrero 06/02/2026 · no se pasó/rindió en el mes de origen por error · COMIDA · Pescadería Belgrano · Andres Javier Di Pasqua · MP cuenta · ALMACEN SOL</t>
        </is>
      </c>
    </row>
    <row r="413">
      <c r="A413" t="inlineStr">
        <is>
          <t>Septiembre</t>
        </is>
      </c>
      <c r="B413" s="52" t="n">
        <v>46153</v>
      </c>
      <c r="C413" t="inlineStr">
        <is>
          <t>COMIDA · Pescadería Belgrano</t>
        </is>
      </c>
      <c r="D413" t="n">
        <v>24852</v>
      </c>
      <c r="F413">
        <f>IF(OR(D413&lt;&gt;"",E413&lt;&gt;""),IF(D413="",0,D413)+IF(E413="",0,E413),"")</f>
        <v/>
      </c>
      <c r="G413" t="inlineStr">
        <is>
          <t>AJUSTE SEPT · gasto origen Mayo 11/05/2026 · no se pasó/rindió en el mes de origen por error · COMIDA · Pescadería Belgrano · Mercado Pago · Gmail Pago aprobado · ALMACEN SOL</t>
        </is>
      </c>
    </row>
    <row r="414">
      <c r="A414" t="inlineStr">
        <is>
          <t>Septiembre</t>
        </is>
      </c>
      <c r="B414" s="52" t="n">
        <v>46175</v>
      </c>
      <c r="C414" t="inlineStr">
        <is>
          <t>COMIDA · Pescadería Belgrano</t>
        </is>
      </c>
      <c r="D414" t="n">
        <v>32046</v>
      </c>
      <c r="F414">
        <f>IF(OR(D414&lt;&gt;"",E414&lt;&gt;""),IF(D414="",0,D414)+IF(E414="",0,E414),"")</f>
        <v/>
      </c>
      <c r="G414" t="inlineStr">
        <is>
          <t>AJUSTE SEPT · gasto origen Junio 02/06/2026 · no se pasó/rindió en el mes de origen por error · COMIDA · Pescadería Belgrano · Mercado Pago · Gmail Pago aprobado · ALMACEN SOL</t>
        </is>
      </c>
    </row>
    <row r="415">
      <c r="A415" t="inlineStr">
        <is>
          <t>Septiembre</t>
        </is>
      </c>
      <c r="B415" s="52" t="n">
        <v>46207</v>
      </c>
      <c r="C415" t="inlineStr">
        <is>
          <t>RAMON · Comida</t>
        </is>
      </c>
      <c r="D415" t="n">
        <v>149500</v>
      </c>
      <c r="F415">
        <f>IF(OR(D415&lt;&gt;"",E415&lt;&gt;""),IF(D415="",0,D415)+IF(E415="",0,E415),"")</f>
        <v/>
      </c>
      <c r="G415" t="inlineStr">
        <is>
          <t>AJUSTE SEPT · gasto origen Julio 04/07/2026 · no se pasó/rindió en el mes de origen por error · RAMON · Comida · DR BARF · pedido #462 · checkout $149.500 · ALMACEN SOL</t>
        </is>
      </c>
    </row>
    <row r="416">
      <c r="A416" t="inlineStr">
        <is>
          <t>Septiembre</t>
        </is>
      </c>
      <c r="B416" s="52" t="n">
        <v>46235</v>
      </c>
      <c r="C416" t="inlineStr">
        <is>
          <t>RAMON · Comida</t>
        </is>
      </c>
      <c r="D416" t="n">
        <v>176000</v>
      </c>
      <c r="F416">
        <f>IF(OR(D416&lt;&gt;"",E416&lt;&gt;""),IF(D416="",0,D416)+IF(E416="",0,E416),"")</f>
        <v/>
      </c>
      <c r="G416" t="inlineStr">
        <is>
          <t>AJUSTE SEPT · gasto origen Agosto 01/08/2026 · no se pasó/rindió en el mes de origen por error · RAMON · Comida · DR BARF · Gibiana Cova · BBVA · ALMACEN SOL</t>
        </is>
      </c>
    </row>
    <row r="417">
      <c r="A417" t="inlineStr">
        <is>
          <t>Septiembre</t>
        </is>
      </c>
      <c r="B417" s="52" t="n">
        <v>46250</v>
      </c>
      <c r="C417" t="inlineStr">
        <is>
          <t>ENTRETENIMIENTO · Social</t>
        </is>
      </c>
      <c r="D417" t="n">
        <v>1060501</v>
      </c>
      <c r="F417">
        <f>IF(OR(D417&lt;&gt;"",E417&lt;&gt;""),IF(D417="",0,D417)+IF(E417="",0,E417),"")</f>
        <v/>
      </c>
      <c r="G417" t="inlineStr">
        <is>
          <t>AJUSTE SEPT · gasto origen Agosto 16/08/2026 · no se pasó/rindió en el mes de origen por error · ENTRETENIMIENTO · Social · Gardiner Restaurant · BBVA VISA · mesa 9 · ALMACEN SOL</t>
        </is>
      </c>
    </row>
    <row r="418">
      <c r="A418" t="inlineStr">
        <is>
          <t>Septiembre</t>
        </is>
      </c>
      <c r="B418" s="52" t="n">
        <v>46256</v>
      </c>
      <c r="C418" t="inlineStr">
        <is>
          <t>RAMON · Comida</t>
        </is>
      </c>
      <c r="D418" t="n">
        <v>77200</v>
      </c>
      <c r="F418">
        <f>IF(OR(D418&lt;&gt;"",E418&lt;&gt;""),IF(D418="",0,D418)+IF(E418="",0,E418),"")</f>
        <v/>
      </c>
      <c r="G418" t="inlineStr">
        <is>
          <t>AJUSTE SEPT · gasto origen Agosto 22/08/2026 · no se pasó/rindió en el mes de origen por error · RAMON · Comida · Paws Pet Market · BBVA VISA · 3 cuotas · ALMACEN SOL</t>
        </is>
      </c>
    </row>
    <row r="419">
      <c r="A419" t="inlineStr">
        <is>
          <t>Septiembre</t>
        </is>
      </c>
      <c r="F419">
        <f>IF(OR(D419&lt;&gt;"",E419&lt;&gt;""),IF(D419="",0,D419)+IF(E419="",0,E419),"")</f>
        <v/>
      </c>
    </row>
    <row r="420">
      <c r="A420" t="inlineStr">
        <is>
          <t>Septiembre</t>
        </is>
      </c>
      <c r="F420">
        <f>IF(OR(D420&lt;&gt;"",E420&lt;&gt;""),IF(D420="",0,D420)+IF(E420="",0,E420),"")</f>
        <v/>
      </c>
    </row>
    <row r="421">
      <c r="A421" t="inlineStr">
        <is>
          <t>Septiembre</t>
        </is>
      </c>
      <c r="F421">
        <f>IF(OR(D421&lt;&gt;"",E421&lt;&gt;""),IF(D421="",0,D421)+IF(E421="",0,E421),"")</f>
        <v/>
      </c>
    </row>
    <row r="422">
      <c r="A422" t="inlineStr">
        <is>
          <t>Septiembre</t>
        </is>
      </c>
      <c r="F422">
        <f>IF(OR(D422&lt;&gt;"",E422&lt;&gt;""),IF(D422="",0,D422)+IF(E422="",0,E422),"")</f>
        <v/>
      </c>
    </row>
    <row r="423">
      <c r="A423" t="inlineStr">
        <is>
          <t>Septiembre</t>
        </is>
      </c>
      <c r="F423">
        <f>IF(OR(D423&lt;&gt;"",E423&lt;&gt;""),IF(D423="",0,D423)+IF(E423="",0,E423),"")</f>
        <v/>
      </c>
    </row>
    <row r="424">
      <c r="A424" t="inlineStr">
        <is>
          <t>Septiembre</t>
        </is>
      </c>
      <c r="F424">
        <f>IF(OR(D424&lt;&gt;"",E424&lt;&gt;""),IF(D424="",0,D424)+IF(E424="",0,E424),"")</f>
        <v/>
      </c>
    </row>
    <row r="425">
      <c r="A425" t="inlineStr">
        <is>
          <t>Septiembre</t>
        </is>
      </c>
      <c r="F425">
        <f>IF(OR(D425&lt;&gt;"",E425&lt;&gt;""),IF(D425="",0,D425)+IF(E425="",0,E425),"")</f>
        <v/>
      </c>
    </row>
    <row r="426">
      <c r="A426" s="10" t="inlineStr">
        <is>
          <t>TOTAL SEPTIEMBRE</t>
        </is>
      </c>
      <c r="B426" s="22" t="n"/>
      <c r="C426" s="29" t="inlineStr">
        <is>
          <t>Totales mes →</t>
        </is>
      </c>
      <c r="D426" s="7">
        <f>SUMIFS($D$4:$D$800,$A$4:$A$800,"Septiembre")</f>
        <v/>
      </c>
      <c r="E426" s="7">
        <f>SUMIFS($E$4:$E$800,$A$4:$A$800,"Septiembre")</f>
        <v/>
      </c>
      <c r="F426" s="7">
        <f>D426+E426</f>
        <v/>
      </c>
      <c r="G426" s="22" t="n"/>
    </row>
    <row r="427"/>
    <row r="428">
      <c r="A428" s="14" t="inlineStr">
        <is>
          <t>Octubre</t>
        </is>
      </c>
      <c r="B428" s="17" t="n"/>
      <c r="C428" s="14" t="n"/>
      <c r="D428" s="27" t="n"/>
      <c r="E428" s="28" t="n"/>
      <c r="F428" s="15">
        <f>IF(OR(D382&lt;&gt;"",E382&lt;&gt;""),IF(D382="",0,D382)+IF(E382="",0,E382),"")</f>
        <v/>
      </c>
      <c r="G428" s="14" t="n"/>
    </row>
    <row r="429">
      <c r="A429" s="14" t="inlineStr">
        <is>
          <t>Octubre</t>
        </is>
      </c>
      <c r="B429" s="17" t="n"/>
      <c r="C429" s="14" t="n"/>
      <c r="D429" s="27" t="n"/>
      <c r="E429" s="28" t="n"/>
      <c r="F429" s="15">
        <f>IF(OR(D383&lt;&gt;"",E383&lt;&gt;""),IF(D383="",0,D383)+IF(E383="",0,E383),"")</f>
        <v/>
      </c>
      <c r="G429" s="14" t="n"/>
    </row>
    <row r="430">
      <c r="A430" s="14" t="inlineStr">
        <is>
          <t>Octubre</t>
        </is>
      </c>
      <c r="B430" s="17" t="n"/>
      <c r="C430" s="14" t="n"/>
      <c r="D430" s="27" t="n"/>
      <c r="E430" s="28" t="n"/>
      <c r="F430" s="15">
        <f>IF(OR(D384&lt;&gt;"",E384&lt;&gt;""),IF(D384="",0,D384)+IF(E384="",0,E384),"")</f>
        <v/>
      </c>
      <c r="G430" s="14" t="n"/>
    </row>
    <row r="431">
      <c r="A431" s="14" t="inlineStr">
        <is>
          <t>Octubre</t>
        </is>
      </c>
      <c r="B431" s="17" t="n"/>
      <c r="C431" s="14" t="n"/>
      <c r="D431" s="27" t="n"/>
      <c r="E431" s="28" t="n"/>
      <c r="F431" s="15">
        <f>IF(OR(D385&lt;&gt;"",E385&lt;&gt;""),IF(D385="",0,D385)+IF(E385="",0,E385),"")</f>
        <v/>
      </c>
      <c r="G431" s="14" t="n"/>
    </row>
    <row r="432">
      <c r="A432" s="14" t="inlineStr">
        <is>
          <t>Octubre</t>
        </is>
      </c>
      <c r="B432" s="17" t="n"/>
      <c r="C432" s="14" t="n"/>
      <c r="D432" s="27" t="n"/>
      <c r="E432" s="28" t="n"/>
      <c r="F432" s="15">
        <f>IF(OR(D386&lt;&gt;"",E386&lt;&gt;""),IF(D386="",0,D386)+IF(E386="",0,E386),"")</f>
        <v/>
      </c>
      <c r="G432" s="14" t="n"/>
    </row>
    <row r="433">
      <c r="A433" s="14" t="inlineStr">
        <is>
          <t>Octubre</t>
        </is>
      </c>
      <c r="B433" s="17" t="n"/>
      <c r="C433" s="14" t="n"/>
      <c r="D433" s="27" t="n"/>
      <c r="E433" s="28" t="n"/>
      <c r="F433" s="15">
        <f>IF(OR(D387&lt;&gt;"",E387&lt;&gt;""),IF(D387="",0,D387)+IF(E387="",0,E387),"")</f>
        <v/>
      </c>
      <c r="G433" s="14" t="n"/>
    </row>
    <row r="434">
      <c r="A434" s="14" t="inlineStr">
        <is>
          <t>Octubre</t>
        </is>
      </c>
      <c r="B434" s="17" t="n"/>
      <c r="C434" s="14" t="n"/>
      <c r="D434" s="27" t="n"/>
      <c r="E434" s="28" t="n"/>
      <c r="F434" s="15">
        <f>IF(OR(D388&lt;&gt;"",E388&lt;&gt;""),IF(D388="",0,D388)+IF(E388="",0,E388),"")</f>
        <v/>
      </c>
      <c r="G434" s="14" t="n"/>
    </row>
    <row r="435">
      <c r="A435" s="14" t="inlineStr">
        <is>
          <t>Octubre</t>
        </is>
      </c>
      <c r="B435" s="17" t="n"/>
      <c r="C435" s="14" t="n"/>
      <c r="D435" s="27" t="n"/>
      <c r="E435" s="28" t="n"/>
      <c r="F435" s="15">
        <f>IF(OR(D389&lt;&gt;"",E389&lt;&gt;""),IF(D389="",0,D389)+IF(E389="",0,E389),"")</f>
        <v/>
      </c>
      <c r="G435" s="14" t="n"/>
    </row>
    <row r="436">
      <c r="A436" s="14" t="inlineStr">
        <is>
          <t>Octubre</t>
        </is>
      </c>
      <c r="B436" s="17" t="n"/>
      <c r="C436" s="14" t="n"/>
      <c r="D436" s="27" t="n"/>
      <c r="E436" s="28" t="n"/>
      <c r="F436" s="15">
        <f>IF(OR(D390&lt;&gt;"",E390&lt;&gt;""),IF(D390="",0,D390)+IF(E390="",0,E390),"")</f>
        <v/>
      </c>
      <c r="G436" s="14" t="n"/>
    </row>
    <row r="437">
      <c r="A437" s="14" t="inlineStr">
        <is>
          <t>Octubre</t>
        </is>
      </c>
      <c r="B437" s="17" t="n"/>
      <c r="C437" s="14" t="n"/>
      <c r="D437" s="27" t="n"/>
      <c r="E437" s="28" t="n"/>
      <c r="F437" s="15">
        <f>IF(OR(D391&lt;&gt;"",E391&lt;&gt;""),IF(D391="",0,D391)+IF(E391="",0,E391),"")</f>
        <v/>
      </c>
      <c r="G437" s="14" t="n"/>
    </row>
    <row r="438">
      <c r="A438" s="14" t="inlineStr">
        <is>
          <t>Octubre</t>
        </is>
      </c>
      <c r="B438" s="17" t="n"/>
      <c r="C438" s="14" t="n"/>
      <c r="D438" s="27" t="n"/>
      <c r="E438" s="28" t="n"/>
      <c r="F438" s="15">
        <f>IF(OR(D392&lt;&gt;"",E392&lt;&gt;""),IF(D392="",0,D392)+IF(E392="",0,E392),"")</f>
        <v/>
      </c>
      <c r="G438" s="14" t="n"/>
    </row>
    <row r="439">
      <c r="A439" s="14" t="inlineStr">
        <is>
          <t>Octubre</t>
        </is>
      </c>
      <c r="B439" s="17" t="n"/>
      <c r="C439" s="14" t="n"/>
      <c r="D439" s="27" t="n"/>
      <c r="E439" s="28" t="n"/>
      <c r="F439" s="15">
        <f>IF(OR(D393&lt;&gt;"",E393&lt;&gt;""),IF(D393="",0,D393)+IF(E393="",0,E393),"")</f>
        <v/>
      </c>
      <c r="G439" s="14" t="n"/>
    </row>
    <row r="440">
      <c r="A440" s="14" t="inlineStr">
        <is>
          <t>Octubre</t>
        </is>
      </c>
      <c r="B440" s="17" t="n"/>
      <c r="C440" s="14" t="n"/>
      <c r="D440" s="27" t="n"/>
      <c r="E440" s="28" t="n"/>
      <c r="F440" s="15">
        <f>IF(OR(D394&lt;&gt;"",E394&lt;&gt;""),IF(D394="",0,D394)+IF(E394="",0,E394),"")</f>
        <v/>
      </c>
      <c r="G440" s="14" t="n"/>
    </row>
    <row r="441">
      <c r="A441" s="14" t="inlineStr">
        <is>
          <t>Octubre</t>
        </is>
      </c>
      <c r="B441" s="17" t="n"/>
      <c r="C441" s="14" t="n"/>
      <c r="D441" s="27" t="n"/>
      <c r="E441" s="28" t="n"/>
      <c r="F441" s="15">
        <f>IF(OR(D395&lt;&gt;"",E395&lt;&gt;""),IF(D395="",0,D395)+IF(E395="",0,E395),"")</f>
        <v/>
      </c>
      <c r="G441" s="14" t="n"/>
    </row>
    <row r="442">
      <c r="A442" s="14" t="inlineStr">
        <is>
          <t>Octubre</t>
        </is>
      </c>
      <c r="B442" s="17" t="n"/>
      <c r="C442" s="14" t="n"/>
      <c r="D442" s="27" t="n"/>
      <c r="E442" s="28" t="n"/>
      <c r="F442" s="15">
        <f>IF(OR(D396&lt;&gt;"",E396&lt;&gt;""),IF(D396="",0,D396)+IF(E396="",0,E396),"")</f>
        <v/>
      </c>
      <c r="G442" s="14" t="n"/>
    </row>
    <row r="443">
      <c r="A443" s="14" t="inlineStr">
        <is>
          <t>Octubre</t>
        </is>
      </c>
      <c r="B443" s="17" t="n"/>
      <c r="C443" s="14" t="n"/>
      <c r="D443" s="27" t="n"/>
      <c r="E443" s="28" t="n"/>
      <c r="F443" s="15">
        <f>IF(OR(D397&lt;&gt;"",E397&lt;&gt;""),IF(D397="",0,D397)+IF(E397="",0,E397),"")</f>
        <v/>
      </c>
      <c r="G443" s="14" t="n"/>
    </row>
    <row r="444">
      <c r="A444" s="14" t="inlineStr">
        <is>
          <t>Octubre</t>
        </is>
      </c>
      <c r="B444" s="17" t="n"/>
      <c r="C444" s="14" t="n"/>
      <c r="D444" s="27" t="n"/>
      <c r="E444" s="28" t="n"/>
      <c r="F444" s="15">
        <f>IF(OR(D398&lt;&gt;"",E398&lt;&gt;""),IF(D398="",0,D398)+IF(E398="",0,E398),"")</f>
        <v/>
      </c>
      <c r="G444" s="14" t="n"/>
    </row>
    <row r="445">
      <c r="A445" s="14" t="inlineStr">
        <is>
          <t>Octubre</t>
        </is>
      </c>
      <c r="B445" s="17" t="n"/>
      <c r="C445" s="14" t="n"/>
      <c r="D445" s="27" t="n"/>
      <c r="E445" s="28" t="n"/>
      <c r="F445" s="15">
        <f>IF(OR(D399&lt;&gt;"",E399&lt;&gt;""),IF(D399="",0,D399)+IF(E399="",0,E399),"")</f>
        <v/>
      </c>
      <c r="G445" s="14" t="n"/>
    </row>
    <row r="446">
      <c r="A446" s="14" t="inlineStr">
        <is>
          <t>Octubre</t>
        </is>
      </c>
      <c r="B446" s="17" t="n"/>
      <c r="C446" s="14" t="n"/>
      <c r="D446" s="27" t="n"/>
      <c r="E446" s="28" t="n"/>
      <c r="F446" s="15">
        <f>IF(OR(D400&lt;&gt;"",E400&lt;&gt;""),IF(D400="",0,D400)+IF(E400="",0,E400),"")</f>
        <v/>
      </c>
      <c r="G446" s="14" t="n"/>
    </row>
    <row r="447">
      <c r="A447" s="14" t="inlineStr">
        <is>
          <t>Octubre</t>
        </is>
      </c>
      <c r="B447" s="17" t="n"/>
      <c r="C447" s="14" t="n"/>
      <c r="D447" s="27" t="n"/>
      <c r="E447" s="28" t="n"/>
      <c r="F447" s="15">
        <f>IF(OR(D401&lt;&gt;"",E401&lt;&gt;""),IF(D401="",0,D401)+IF(E401="",0,E401),"")</f>
        <v/>
      </c>
      <c r="G447" s="14" t="n"/>
    </row>
    <row r="448">
      <c r="A448" s="14" t="inlineStr">
        <is>
          <t>Octubre</t>
        </is>
      </c>
      <c r="B448" s="17" t="n"/>
      <c r="C448" s="14" t="n"/>
      <c r="D448" s="27" t="n"/>
      <c r="E448" s="28" t="n"/>
      <c r="F448" s="15">
        <f>IF(OR(D402&lt;&gt;"",E402&lt;&gt;""),IF(D402="",0,D402)+IF(E402="",0,E402),"")</f>
        <v/>
      </c>
      <c r="G448" s="14" t="n"/>
    </row>
    <row r="449">
      <c r="A449" s="14" t="inlineStr">
        <is>
          <t>Octubre</t>
        </is>
      </c>
      <c r="B449" s="17" t="n"/>
      <c r="C449" s="14" t="n"/>
      <c r="D449" s="27" t="n"/>
      <c r="E449" s="28" t="n"/>
      <c r="F449" s="15">
        <f>IF(OR(D403&lt;&gt;"",E403&lt;&gt;""),IF(D403="",0,D403)+IF(E403="",0,E403),"")</f>
        <v/>
      </c>
      <c r="G449" s="14" t="n"/>
    </row>
    <row r="450">
      <c r="A450" s="14" t="inlineStr">
        <is>
          <t>Octubre</t>
        </is>
      </c>
      <c r="B450" s="17" t="n"/>
      <c r="C450" s="14" t="n"/>
      <c r="D450" s="27" t="n"/>
      <c r="E450" s="28" t="n"/>
      <c r="F450" s="15">
        <f>IF(OR(D404&lt;&gt;"",E404&lt;&gt;""),IF(D404="",0,D404)+IF(E404="",0,E404),"")</f>
        <v/>
      </c>
      <c r="G450" s="14" t="n"/>
    </row>
    <row r="451">
      <c r="A451" s="14" t="inlineStr">
        <is>
          <t>Octubre</t>
        </is>
      </c>
      <c r="B451" s="17" t="n"/>
      <c r="C451" s="14" t="n"/>
      <c r="D451" s="27" t="n"/>
      <c r="E451" s="28" t="n"/>
      <c r="F451" s="15">
        <f>IF(OR(D405&lt;&gt;"",E405&lt;&gt;""),IF(D405="",0,D405)+IF(E405="",0,E405),"")</f>
        <v/>
      </c>
      <c r="G451" s="14" t="n"/>
    </row>
    <row r="452">
      <c r="A452" s="14" t="inlineStr">
        <is>
          <t>Octubre</t>
        </is>
      </c>
      <c r="B452" s="17" t="n"/>
      <c r="C452" s="14" t="n"/>
      <c r="D452" s="27" t="n"/>
      <c r="E452" s="28" t="n"/>
      <c r="F452" s="15">
        <f>IF(OR(D406&lt;&gt;"",E406&lt;&gt;""),IF(D406="",0,D406)+IF(E406="",0,E406),"")</f>
        <v/>
      </c>
      <c r="G452" s="14" t="n"/>
    </row>
    <row r="453">
      <c r="A453" s="14" t="inlineStr">
        <is>
          <t>Octubre</t>
        </is>
      </c>
      <c r="B453" s="17" t="n"/>
      <c r="C453" s="14" t="n"/>
      <c r="D453" s="27" t="n"/>
      <c r="E453" s="28" t="n"/>
      <c r="F453" s="15">
        <f>IF(OR(D407&lt;&gt;"",E407&lt;&gt;""),IF(D407="",0,D407)+IF(E407="",0,E407),"")</f>
        <v/>
      </c>
      <c r="G453" s="14" t="n"/>
    </row>
    <row r="454">
      <c r="A454" s="14" t="inlineStr">
        <is>
          <t>Octubre</t>
        </is>
      </c>
      <c r="B454" s="17" t="n"/>
      <c r="C454" s="14" t="n"/>
      <c r="D454" s="27" t="n"/>
      <c r="E454" s="28" t="n"/>
      <c r="F454" s="15">
        <f>IF(OR(D408&lt;&gt;"",E408&lt;&gt;""),IF(D408="",0,D408)+IF(E408="",0,E408),"")</f>
        <v/>
      </c>
      <c r="G454" s="14" t="n"/>
    </row>
    <row r="455">
      <c r="A455" s="14" t="inlineStr">
        <is>
          <t>Octubre</t>
        </is>
      </c>
      <c r="B455" s="17" t="n"/>
      <c r="C455" s="14" t="n"/>
      <c r="D455" s="27" t="n"/>
      <c r="E455" s="28" t="n"/>
      <c r="F455" s="15">
        <f>IF(OR(D409&lt;&gt;"",E409&lt;&gt;""),IF(D409="",0,D409)+IF(E409="",0,E409),"")</f>
        <v/>
      </c>
      <c r="G455" s="14" t="n"/>
    </row>
    <row r="456">
      <c r="A456" s="14" t="inlineStr">
        <is>
          <t>Octubre</t>
        </is>
      </c>
      <c r="B456" s="17" t="n"/>
      <c r="C456" s="14" t="n"/>
      <c r="D456" s="27" t="n"/>
      <c r="E456" s="28" t="n"/>
      <c r="F456" s="15">
        <f>IF(OR(D410&lt;&gt;"",E410&lt;&gt;""),IF(D410="",0,D410)+IF(E410="",0,E410),"")</f>
        <v/>
      </c>
      <c r="G456" s="14" t="n"/>
    </row>
    <row r="457">
      <c r="A457" s="14" t="inlineStr">
        <is>
          <t>Octubre</t>
        </is>
      </c>
      <c r="B457" s="17" t="n"/>
      <c r="C457" s="14" t="n"/>
      <c r="D457" s="27" t="n"/>
      <c r="E457" s="28" t="n"/>
      <c r="F457" s="15">
        <f>IF(OR(D411&lt;&gt;"",E411&lt;&gt;""),IF(D411="",0,D411)+IF(E411="",0,E411),"")</f>
        <v/>
      </c>
      <c r="G457" s="14" t="n"/>
    </row>
    <row r="458">
      <c r="A458" s="14" t="inlineStr">
        <is>
          <t>Octubre</t>
        </is>
      </c>
      <c r="B458" s="17" t="n"/>
      <c r="C458" s="14" t="n"/>
      <c r="D458" s="27" t="n"/>
      <c r="E458" s="28" t="n"/>
      <c r="F458" s="15">
        <f>IF(OR(D412&lt;&gt;"",E412&lt;&gt;""),IF(D412="",0,D412)+IF(E412="",0,E412),"")</f>
        <v/>
      </c>
      <c r="G458" s="14" t="n"/>
    </row>
    <row r="459">
      <c r="A459" s="14" t="inlineStr">
        <is>
          <t>Octubre</t>
        </is>
      </c>
      <c r="B459" s="17" t="n"/>
      <c r="C459" s="14" t="n"/>
      <c r="D459" s="27" t="n"/>
      <c r="E459" s="28" t="n"/>
      <c r="F459" s="15">
        <f>IF(OR(D413&lt;&gt;"",E413&lt;&gt;""),IF(D413="",0,D413)+IF(E413="",0,E413),"")</f>
        <v/>
      </c>
      <c r="G459" s="14" t="n"/>
    </row>
    <row r="460">
      <c r="A460" s="14" t="inlineStr">
        <is>
          <t>Octubre</t>
        </is>
      </c>
      <c r="B460" s="17" t="n"/>
      <c r="C460" s="14" t="n"/>
      <c r="D460" s="27" t="n"/>
      <c r="E460" s="28" t="n"/>
      <c r="F460" s="15">
        <f>IF(OR(D414&lt;&gt;"",E414&lt;&gt;""),IF(D414="",0,D414)+IF(E414="",0,E414),"")</f>
        <v/>
      </c>
      <c r="G460" s="14" t="n"/>
    </row>
    <row r="461">
      <c r="A461" s="14" t="inlineStr">
        <is>
          <t>Octubre</t>
        </is>
      </c>
      <c r="B461" s="17" t="n"/>
      <c r="C461" s="14" t="n"/>
      <c r="D461" s="27" t="n"/>
      <c r="E461" s="28" t="n"/>
      <c r="F461" s="15">
        <f>IF(OR(D415&lt;&gt;"",E415&lt;&gt;""),IF(D415="",0,D415)+IF(E415="",0,E415),"")</f>
        <v/>
      </c>
      <c r="G461" s="14" t="n"/>
    </row>
    <row r="462">
      <c r="A462" s="14" t="inlineStr">
        <is>
          <t>Octubre</t>
        </is>
      </c>
      <c r="B462" s="17" t="n"/>
      <c r="C462" s="14" t="n"/>
      <c r="D462" s="27" t="n"/>
      <c r="E462" s="28" t="n"/>
      <c r="F462" s="15">
        <f>IF(OR(D416&lt;&gt;"",E416&lt;&gt;""),IF(D416="",0,D416)+IF(E416="",0,E416),"")</f>
        <v/>
      </c>
      <c r="G462" s="14" t="n"/>
    </row>
    <row r="463">
      <c r="A463" s="14" t="inlineStr">
        <is>
          <t>Octubre</t>
        </is>
      </c>
      <c r="B463" s="17" t="n"/>
      <c r="C463" s="14" t="n"/>
      <c r="D463" s="27" t="n"/>
      <c r="E463" s="28" t="n"/>
      <c r="F463" s="15">
        <f>IF(OR(D417&lt;&gt;"",E417&lt;&gt;""),IF(D417="",0,D417)+IF(E417="",0,E417),"")</f>
        <v/>
      </c>
      <c r="G463" s="14" t="n"/>
    </row>
    <row r="464">
      <c r="A464" s="14" t="inlineStr">
        <is>
          <t>Octubre</t>
        </is>
      </c>
      <c r="B464" s="17" t="n"/>
      <c r="C464" s="14" t="n"/>
      <c r="D464" s="27" t="n"/>
      <c r="E464" s="28" t="n"/>
      <c r="F464" s="15">
        <f>IF(OR(D418&lt;&gt;"",E418&lt;&gt;""),IF(D418="",0,D418)+IF(E418="",0,E418),"")</f>
        <v/>
      </c>
      <c r="G464" s="14" t="n"/>
    </row>
    <row r="465">
      <c r="A465" s="14" t="inlineStr">
        <is>
          <t>Octubre</t>
        </is>
      </c>
      <c r="B465" s="17" t="n"/>
      <c r="C465" s="14" t="n"/>
      <c r="D465" s="27" t="n"/>
      <c r="E465" s="28" t="n"/>
      <c r="F465" s="15">
        <f>IF(OR(D419&lt;&gt;"",E419&lt;&gt;""),IF(D419="",0,D419)+IF(E419="",0,E419),"")</f>
        <v/>
      </c>
      <c r="G465" s="14" t="n"/>
    </row>
    <row r="466">
      <c r="A466" s="14" t="inlineStr">
        <is>
          <t>Octubre</t>
        </is>
      </c>
      <c r="B466" s="17" t="n"/>
      <c r="C466" s="14" t="n"/>
      <c r="D466" s="27" t="n"/>
      <c r="E466" s="28" t="n"/>
      <c r="F466" s="15">
        <f>IF(OR(D420&lt;&gt;"",E420&lt;&gt;""),IF(D420="",0,D420)+IF(E420="",0,E420),"")</f>
        <v/>
      </c>
      <c r="G466" s="14" t="n"/>
    </row>
    <row r="467">
      <c r="A467" s="14" t="inlineStr">
        <is>
          <t>Octubre</t>
        </is>
      </c>
      <c r="B467" s="17" t="n"/>
      <c r="C467" s="14" t="n"/>
      <c r="D467" s="27" t="n"/>
      <c r="E467" s="28" t="n"/>
      <c r="F467" s="15">
        <f>IF(OR(D421&lt;&gt;"",E421&lt;&gt;""),IF(D421="",0,D421)+IF(E421="",0,E421),"")</f>
        <v/>
      </c>
      <c r="G467" s="14" t="n"/>
    </row>
    <row r="468">
      <c r="A468" s="10" t="inlineStr">
        <is>
          <t>TOTAL OCTUBRE</t>
        </is>
      </c>
      <c r="B468" s="22" t="n"/>
      <c r="C468" s="29" t="inlineStr">
        <is>
          <t>Totales mes →</t>
        </is>
      </c>
      <c r="D468" s="7">
        <f>SUMIFS($D$4:$D$800,$A$4:$A$800,"Octubre")</f>
        <v/>
      </c>
      <c r="E468" s="7">
        <f>SUMIFS($E$4:$E$800,$A$4:$A$800,"Octubre")</f>
        <v/>
      </c>
      <c r="F468" s="7">
        <f>D468+E468</f>
        <v/>
      </c>
      <c r="G468" s="22" t="n"/>
    </row>
    <row r="469"/>
    <row r="470">
      <c r="A470" s="14" t="inlineStr">
        <is>
          <t>Noviembre</t>
        </is>
      </c>
      <c r="B470" s="17" t="n"/>
      <c r="C470" s="14" t="n"/>
      <c r="D470" s="27" t="n"/>
      <c r="E470" s="28" t="n"/>
      <c r="F470" s="15">
        <f>IF(OR(D424&lt;&gt;"",E424&lt;&gt;""),IF(D424="",0,D424)+IF(E424="",0,E424),"")</f>
        <v/>
      </c>
      <c r="G470" s="14" t="n"/>
    </row>
    <row r="471">
      <c r="A471" s="14" t="inlineStr">
        <is>
          <t>Noviembre</t>
        </is>
      </c>
      <c r="B471" s="17" t="n"/>
      <c r="C471" s="14" t="n"/>
      <c r="D471" s="27" t="n"/>
      <c r="E471" s="28" t="n"/>
      <c r="F471" s="15">
        <f>IF(OR(D425&lt;&gt;"",E425&lt;&gt;""),IF(D425="",0,D425)+IF(E425="",0,E425),"")</f>
        <v/>
      </c>
      <c r="G471" s="14" t="n"/>
    </row>
    <row r="472">
      <c r="A472" s="14" t="inlineStr">
        <is>
          <t>Noviembre</t>
        </is>
      </c>
      <c r="B472" s="17" t="n"/>
      <c r="C472" s="14" t="n"/>
      <c r="D472" s="27" t="n"/>
      <c r="E472" s="28" t="n"/>
      <c r="F472" s="15">
        <f>IF(OR(D426&lt;&gt;"",E426&lt;&gt;""),IF(D426="",0,D426)+IF(E426="",0,E426),"")</f>
        <v/>
      </c>
      <c r="G472" s="14" t="n"/>
    </row>
    <row r="473">
      <c r="A473" s="14" t="inlineStr">
        <is>
          <t>Noviembre</t>
        </is>
      </c>
      <c r="B473" s="17" t="n"/>
      <c r="C473" s="14" t="n"/>
      <c r="D473" s="27" t="n"/>
      <c r="E473" s="28" t="n"/>
      <c r="F473" s="15">
        <f>IF(OR(D427&lt;&gt;"",E427&lt;&gt;""),IF(D427="",0,D427)+IF(E427="",0,E427),"")</f>
        <v/>
      </c>
      <c r="G473" s="14" t="n"/>
    </row>
    <row r="474">
      <c r="A474" s="14" t="inlineStr">
        <is>
          <t>Noviembre</t>
        </is>
      </c>
      <c r="B474" s="17" t="n"/>
      <c r="C474" s="14" t="n"/>
      <c r="D474" s="27" t="n"/>
      <c r="E474" s="28" t="n"/>
      <c r="F474" s="15">
        <f>IF(OR(D428&lt;&gt;"",E428&lt;&gt;""),IF(D428="",0,D428)+IF(E428="",0,E428),"")</f>
        <v/>
      </c>
      <c r="G474" s="14" t="n"/>
    </row>
    <row r="475">
      <c r="A475" s="14" t="inlineStr">
        <is>
          <t>Noviembre</t>
        </is>
      </c>
      <c r="B475" s="17" t="n"/>
      <c r="C475" s="14" t="n"/>
      <c r="D475" s="27" t="n"/>
      <c r="E475" s="28" t="n"/>
      <c r="F475" s="15">
        <f>IF(OR(D429&lt;&gt;"",E429&lt;&gt;""),IF(D429="",0,D429)+IF(E429="",0,E429),"")</f>
        <v/>
      </c>
      <c r="G475" s="14" t="n"/>
    </row>
    <row r="476">
      <c r="A476" s="14" t="inlineStr">
        <is>
          <t>Noviembre</t>
        </is>
      </c>
      <c r="B476" s="17" t="n"/>
      <c r="C476" s="14" t="n"/>
      <c r="D476" s="27" t="n"/>
      <c r="E476" s="28" t="n"/>
      <c r="F476" s="15">
        <f>IF(OR(D430&lt;&gt;"",E430&lt;&gt;""),IF(D430="",0,D430)+IF(E430="",0,E430),"")</f>
        <v/>
      </c>
      <c r="G476" s="14" t="n"/>
    </row>
    <row r="477">
      <c r="A477" s="14" t="inlineStr">
        <is>
          <t>Noviembre</t>
        </is>
      </c>
      <c r="B477" s="17" t="n"/>
      <c r="C477" s="14" t="n"/>
      <c r="D477" s="27" t="n"/>
      <c r="E477" s="28" t="n"/>
      <c r="F477" s="15">
        <f>IF(OR(D431&lt;&gt;"",E431&lt;&gt;""),IF(D431="",0,D431)+IF(E431="",0,E431),"")</f>
        <v/>
      </c>
      <c r="G477" s="14" t="n"/>
    </row>
    <row r="478">
      <c r="A478" s="14" t="inlineStr">
        <is>
          <t>Noviembre</t>
        </is>
      </c>
      <c r="B478" s="17" t="n"/>
      <c r="C478" s="14" t="n"/>
      <c r="D478" s="27" t="n"/>
      <c r="E478" s="28" t="n"/>
      <c r="F478" s="15">
        <f>IF(OR(D432&lt;&gt;"",E432&lt;&gt;""),IF(D432="",0,D432)+IF(E432="",0,E432),"")</f>
        <v/>
      </c>
      <c r="G478" s="14" t="n"/>
    </row>
    <row r="479">
      <c r="A479" s="14" t="inlineStr">
        <is>
          <t>Noviembre</t>
        </is>
      </c>
      <c r="B479" s="17" t="n"/>
      <c r="C479" s="14" t="n"/>
      <c r="D479" s="27" t="n"/>
      <c r="E479" s="28" t="n"/>
      <c r="F479" s="15">
        <f>IF(OR(D433&lt;&gt;"",E433&lt;&gt;""),IF(D433="",0,D433)+IF(E433="",0,E433),"")</f>
        <v/>
      </c>
      <c r="G479" s="14" t="n"/>
    </row>
    <row r="480">
      <c r="A480" s="14" t="inlineStr">
        <is>
          <t>Noviembre</t>
        </is>
      </c>
      <c r="B480" s="17" t="n"/>
      <c r="C480" s="14" t="n"/>
      <c r="D480" s="27" t="n"/>
      <c r="E480" s="28" t="n"/>
      <c r="F480" s="15">
        <f>IF(OR(D434&lt;&gt;"",E434&lt;&gt;""),IF(D434="",0,D434)+IF(E434="",0,E434),"")</f>
        <v/>
      </c>
      <c r="G480" s="14" t="n"/>
    </row>
    <row r="481">
      <c r="A481" s="14" t="inlineStr">
        <is>
          <t>Noviembre</t>
        </is>
      </c>
      <c r="B481" s="17" t="n"/>
      <c r="C481" s="14" t="n"/>
      <c r="D481" s="27" t="n"/>
      <c r="E481" s="28" t="n"/>
      <c r="F481" s="15">
        <f>IF(OR(D435&lt;&gt;"",E435&lt;&gt;""),IF(D435="",0,D435)+IF(E435="",0,E435),"")</f>
        <v/>
      </c>
      <c r="G481" s="14" t="n"/>
    </row>
    <row r="482">
      <c r="A482" s="14" t="inlineStr">
        <is>
          <t>Noviembre</t>
        </is>
      </c>
      <c r="B482" s="17" t="n"/>
      <c r="C482" s="14" t="n"/>
      <c r="D482" s="27" t="n"/>
      <c r="E482" s="28" t="n"/>
      <c r="F482" s="15">
        <f>IF(OR(D436&lt;&gt;"",E436&lt;&gt;""),IF(D436="",0,D436)+IF(E436="",0,E436),"")</f>
        <v/>
      </c>
      <c r="G482" s="14" t="n"/>
    </row>
    <row r="483">
      <c r="A483" s="14" t="inlineStr">
        <is>
          <t>Noviembre</t>
        </is>
      </c>
      <c r="B483" s="17" t="n"/>
      <c r="C483" s="14" t="n"/>
      <c r="D483" s="27" t="n"/>
      <c r="E483" s="28" t="n"/>
      <c r="F483" s="15">
        <f>IF(OR(D437&lt;&gt;"",E437&lt;&gt;""),IF(D437="",0,D437)+IF(E437="",0,E437),"")</f>
        <v/>
      </c>
      <c r="G483" s="14" t="n"/>
    </row>
    <row r="484">
      <c r="A484" s="14" t="inlineStr">
        <is>
          <t>Noviembre</t>
        </is>
      </c>
      <c r="B484" s="17" t="n"/>
      <c r="C484" s="14" t="n"/>
      <c r="D484" s="27" t="n"/>
      <c r="E484" s="28" t="n"/>
      <c r="F484" s="15">
        <f>IF(OR(D438&lt;&gt;"",E438&lt;&gt;""),IF(D438="",0,D438)+IF(E438="",0,E438),"")</f>
        <v/>
      </c>
      <c r="G484" s="14" t="n"/>
    </row>
    <row r="485">
      <c r="A485" s="14" t="inlineStr">
        <is>
          <t>Noviembre</t>
        </is>
      </c>
      <c r="B485" s="17" t="n"/>
      <c r="C485" s="14" t="n"/>
      <c r="D485" s="27" t="n"/>
      <c r="E485" s="28" t="n"/>
      <c r="F485" s="15">
        <f>IF(OR(D439&lt;&gt;"",E439&lt;&gt;""),IF(D439="",0,D439)+IF(E439="",0,E439),"")</f>
        <v/>
      </c>
      <c r="G485" s="14" t="n"/>
    </row>
    <row r="486">
      <c r="A486" s="14" t="inlineStr">
        <is>
          <t>Noviembre</t>
        </is>
      </c>
      <c r="B486" s="17" t="n"/>
      <c r="C486" s="14" t="n"/>
      <c r="D486" s="27" t="n"/>
      <c r="E486" s="28" t="n"/>
      <c r="F486" s="15">
        <f>IF(OR(D440&lt;&gt;"",E440&lt;&gt;""),IF(D440="",0,D440)+IF(E440="",0,E440),"")</f>
        <v/>
      </c>
      <c r="G486" s="14" t="n"/>
    </row>
    <row r="487">
      <c r="A487" s="14" t="inlineStr">
        <is>
          <t>Noviembre</t>
        </is>
      </c>
      <c r="B487" s="17" t="n"/>
      <c r="C487" s="14" t="n"/>
      <c r="D487" s="27" t="n"/>
      <c r="E487" s="28" t="n"/>
      <c r="F487" s="15">
        <f>IF(OR(D441&lt;&gt;"",E441&lt;&gt;""),IF(D441="",0,D441)+IF(E441="",0,E441),"")</f>
        <v/>
      </c>
      <c r="G487" s="14" t="n"/>
    </row>
    <row r="488">
      <c r="A488" s="14" t="inlineStr">
        <is>
          <t>Noviembre</t>
        </is>
      </c>
      <c r="B488" s="17" t="n"/>
      <c r="C488" s="14" t="n"/>
      <c r="D488" s="27" t="n"/>
      <c r="E488" s="28" t="n"/>
      <c r="F488" s="15">
        <f>IF(OR(D442&lt;&gt;"",E442&lt;&gt;""),IF(D442="",0,D442)+IF(E442="",0,E442),"")</f>
        <v/>
      </c>
      <c r="G488" s="14" t="n"/>
    </row>
    <row r="489">
      <c r="A489" s="14" t="inlineStr">
        <is>
          <t>Noviembre</t>
        </is>
      </c>
      <c r="B489" s="17" t="n"/>
      <c r="C489" s="14" t="n"/>
      <c r="D489" s="27" t="n"/>
      <c r="E489" s="28" t="n"/>
      <c r="F489" s="15">
        <f>IF(OR(D443&lt;&gt;"",E443&lt;&gt;""),IF(D443="",0,D443)+IF(E443="",0,E443),"")</f>
        <v/>
      </c>
      <c r="G489" s="14" t="n"/>
    </row>
    <row r="490">
      <c r="A490" s="14" t="inlineStr">
        <is>
          <t>Noviembre</t>
        </is>
      </c>
      <c r="B490" s="17" t="n"/>
      <c r="C490" s="14" t="n"/>
      <c r="D490" s="27" t="n"/>
      <c r="E490" s="28" t="n"/>
      <c r="F490" s="15">
        <f>IF(OR(D444&lt;&gt;"",E444&lt;&gt;""),IF(D444="",0,D444)+IF(E444="",0,E444),"")</f>
        <v/>
      </c>
      <c r="G490" s="14" t="n"/>
    </row>
    <row r="491">
      <c r="A491" s="14" t="inlineStr">
        <is>
          <t>Noviembre</t>
        </is>
      </c>
      <c r="B491" s="17" t="n"/>
      <c r="C491" s="14" t="n"/>
      <c r="D491" s="27" t="n"/>
      <c r="E491" s="28" t="n"/>
      <c r="F491" s="15">
        <f>IF(OR(D445&lt;&gt;"",E445&lt;&gt;""),IF(D445="",0,D445)+IF(E445="",0,E445),"")</f>
        <v/>
      </c>
      <c r="G491" s="14" t="n"/>
    </row>
    <row r="492">
      <c r="A492" s="14" t="inlineStr">
        <is>
          <t>Noviembre</t>
        </is>
      </c>
      <c r="B492" s="17" t="n"/>
      <c r="C492" s="14" t="n"/>
      <c r="D492" s="27" t="n"/>
      <c r="E492" s="28" t="n"/>
      <c r="F492" s="15">
        <f>IF(OR(D446&lt;&gt;"",E446&lt;&gt;""),IF(D446="",0,D446)+IF(E446="",0,E446),"")</f>
        <v/>
      </c>
      <c r="G492" s="14" t="n"/>
    </row>
    <row r="493">
      <c r="A493" s="14" t="inlineStr">
        <is>
          <t>Noviembre</t>
        </is>
      </c>
      <c r="B493" s="17" t="n"/>
      <c r="C493" s="14" t="n"/>
      <c r="D493" s="27" t="n"/>
      <c r="E493" s="28" t="n"/>
      <c r="F493" s="15">
        <f>IF(OR(D447&lt;&gt;"",E447&lt;&gt;""),IF(D447="",0,D447)+IF(E447="",0,E447),"")</f>
        <v/>
      </c>
      <c r="G493" s="14" t="n"/>
    </row>
    <row r="494">
      <c r="A494" s="14" t="inlineStr">
        <is>
          <t>Noviembre</t>
        </is>
      </c>
      <c r="B494" s="17" t="n"/>
      <c r="C494" s="14" t="n"/>
      <c r="D494" s="27" t="n"/>
      <c r="E494" s="28" t="n"/>
      <c r="F494" s="15">
        <f>IF(OR(D448&lt;&gt;"",E448&lt;&gt;""),IF(D448="",0,D448)+IF(E448="",0,E448),"")</f>
        <v/>
      </c>
      <c r="G494" s="14" t="n"/>
    </row>
    <row r="495">
      <c r="A495" s="14" t="inlineStr">
        <is>
          <t>Noviembre</t>
        </is>
      </c>
      <c r="B495" s="17" t="n"/>
      <c r="C495" s="14" t="n"/>
      <c r="D495" s="27" t="n"/>
      <c r="E495" s="28" t="n"/>
      <c r="F495" s="15">
        <f>IF(OR(D449&lt;&gt;"",E449&lt;&gt;""),IF(D449="",0,D449)+IF(E449="",0,E449),"")</f>
        <v/>
      </c>
      <c r="G495" s="14" t="n"/>
    </row>
    <row r="496">
      <c r="A496" s="14" t="inlineStr">
        <is>
          <t>Noviembre</t>
        </is>
      </c>
      <c r="B496" s="17" t="n"/>
      <c r="C496" s="14" t="n"/>
      <c r="D496" s="27" t="n"/>
      <c r="E496" s="28" t="n"/>
      <c r="F496" s="15">
        <f>IF(OR(D450&lt;&gt;"",E450&lt;&gt;""),IF(D450="",0,D450)+IF(E450="",0,E450),"")</f>
        <v/>
      </c>
      <c r="G496" s="14" t="n"/>
    </row>
    <row r="497">
      <c r="A497" s="14" t="inlineStr">
        <is>
          <t>Noviembre</t>
        </is>
      </c>
      <c r="B497" s="17" t="n"/>
      <c r="C497" s="14" t="n"/>
      <c r="D497" s="27" t="n"/>
      <c r="E497" s="28" t="n"/>
      <c r="F497" s="15">
        <f>IF(OR(D451&lt;&gt;"",E451&lt;&gt;""),IF(D451="",0,D451)+IF(E451="",0,E451),"")</f>
        <v/>
      </c>
      <c r="G497" s="14" t="n"/>
    </row>
    <row r="498">
      <c r="A498" s="14" t="inlineStr">
        <is>
          <t>Noviembre</t>
        </is>
      </c>
      <c r="B498" s="17" t="n"/>
      <c r="C498" s="14" t="n"/>
      <c r="D498" s="27" t="n"/>
      <c r="E498" s="28" t="n"/>
      <c r="F498" s="15">
        <f>IF(OR(D452&lt;&gt;"",E452&lt;&gt;""),IF(D452="",0,D452)+IF(E452="",0,E452),"")</f>
        <v/>
      </c>
      <c r="G498" s="14" t="n"/>
    </row>
    <row r="499">
      <c r="A499" s="14" t="inlineStr">
        <is>
          <t>Noviembre</t>
        </is>
      </c>
      <c r="B499" s="17" t="n"/>
      <c r="C499" s="14" t="n"/>
      <c r="D499" s="27" t="n"/>
      <c r="E499" s="28" t="n"/>
      <c r="F499" s="15">
        <f>IF(OR(D453&lt;&gt;"",E453&lt;&gt;""),IF(D453="",0,D453)+IF(E453="",0,E453),"")</f>
        <v/>
      </c>
      <c r="G499" s="14" t="n"/>
    </row>
    <row r="500">
      <c r="A500" s="14" t="inlineStr">
        <is>
          <t>Noviembre</t>
        </is>
      </c>
      <c r="B500" s="17" t="n"/>
      <c r="C500" s="14" t="n"/>
      <c r="D500" s="27" t="n"/>
      <c r="E500" s="28" t="n"/>
      <c r="F500" s="15">
        <f>IF(OR(D454&lt;&gt;"",E454&lt;&gt;""),IF(D454="",0,D454)+IF(E454="",0,E454),"")</f>
        <v/>
      </c>
      <c r="G500" s="14" t="n"/>
    </row>
    <row r="501">
      <c r="A501" s="14" t="inlineStr">
        <is>
          <t>Noviembre</t>
        </is>
      </c>
      <c r="B501" s="17" t="n"/>
      <c r="C501" s="14" t="n"/>
      <c r="D501" s="27" t="n"/>
      <c r="E501" s="28" t="n"/>
      <c r="F501" s="15">
        <f>IF(OR(D455&lt;&gt;"",E455&lt;&gt;""),IF(D455="",0,D455)+IF(E455="",0,E455),"")</f>
        <v/>
      </c>
      <c r="G501" s="14" t="n"/>
    </row>
    <row r="502">
      <c r="A502" s="14" t="inlineStr">
        <is>
          <t>Noviembre</t>
        </is>
      </c>
      <c r="B502" s="17" t="n"/>
      <c r="C502" s="14" t="n"/>
      <c r="D502" s="27" t="n"/>
      <c r="E502" s="28" t="n"/>
      <c r="F502" s="15">
        <f>IF(OR(D456&lt;&gt;"",E456&lt;&gt;""),IF(D456="",0,D456)+IF(E456="",0,E456),"")</f>
        <v/>
      </c>
      <c r="G502" s="14" t="n"/>
    </row>
    <row r="503">
      <c r="A503" s="14" t="inlineStr">
        <is>
          <t>Noviembre</t>
        </is>
      </c>
      <c r="B503" s="17" t="n"/>
      <c r="C503" s="14" t="n"/>
      <c r="D503" s="27" t="n"/>
      <c r="E503" s="28" t="n"/>
      <c r="F503" s="15">
        <f>IF(OR(D457&lt;&gt;"",E457&lt;&gt;""),IF(D457="",0,D457)+IF(E457="",0,E457),"")</f>
        <v/>
      </c>
      <c r="G503" s="14" t="n"/>
    </row>
    <row r="504">
      <c r="A504" s="14" t="inlineStr">
        <is>
          <t>Noviembre</t>
        </is>
      </c>
      <c r="B504" s="17" t="n"/>
      <c r="C504" s="14" t="n"/>
      <c r="D504" s="27" t="n"/>
      <c r="E504" s="28" t="n"/>
      <c r="F504" s="15">
        <f>IF(OR(D458&lt;&gt;"",E458&lt;&gt;""),IF(D458="",0,D458)+IF(E458="",0,E458),"")</f>
        <v/>
      </c>
      <c r="G504" s="14" t="n"/>
    </row>
    <row r="505">
      <c r="A505" s="14" t="inlineStr">
        <is>
          <t>Noviembre</t>
        </is>
      </c>
      <c r="B505" s="17" t="n"/>
      <c r="C505" s="14" t="n"/>
      <c r="D505" s="27" t="n"/>
      <c r="E505" s="28" t="n"/>
      <c r="F505" s="15">
        <f>IF(OR(D459&lt;&gt;"",E459&lt;&gt;""),IF(D459="",0,D459)+IF(E459="",0,E459),"")</f>
        <v/>
      </c>
      <c r="G505" s="14" t="n"/>
    </row>
    <row r="506">
      <c r="A506" s="14" t="inlineStr">
        <is>
          <t>Noviembre</t>
        </is>
      </c>
      <c r="B506" s="17" t="n"/>
      <c r="C506" s="14" t="n"/>
      <c r="D506" s="27" t="n"/>
      <c r="E506" s="28" t="n"/>
      <c r="F506" s="15">
        <f>IF(OR(D460&lt;&gt;"",E460&lt;&gt;""),IF(D460="",0,D460)+IF(E460="",0,E460),"")</f>
        <v/>
      </c>
      <c r="G506" s="14" t="n"/>
    </row>
    <row r="507">
      <c r="A507" s="14" t="inlineStr">
        <is>
          <t>Noviembre</t>
        </is>
      </c>
      <c r="B507" s="17" t="n"/>
      <c r="C507" s="14" t="n"/>
      <c r="D507" s="27" t="n"/>
      <c r="E507" s="28" t="n"/>
      <c r="F507" s="15">
        <f>IF(OR(D461&lt;&gt;"",E461&lt;&gt;""),IF(D461="",0,D461)+IF(E461="",0,E461),"")</f>
        <v/>
      </c>
      <c r="G507" s="14" t="n"/>
    </row>
    <row r="508">
      <c r="A508" s="14" t="inlineStr">
        <is>
          <t>Noviembre</t>
        </is>
      </c>
      <c r="B508" s="17" t="n"/>
      <c r="C508" s="14" t="n"/>
      <c r="D508" s="27" t="n"/>
      <c r="E508" s="28" t="n"/>
      <c r="F508" s="15">
        <f>IF(OR(D462&lt;&gt;"",E462&lt;&gt;""),IF(D462="",0,D462)+IF(E462="",0,E462),"")</f>
        <v/>
      </c>
      <c r="G508" s="14" t="n"/>
    </row>
    <row r="509">
      <c r="A509" s="14" t="inlineStr">
        <is>
          <t>Noviembre</t>
        </is>
      </c>
      <c r="B509" s="17" t="n"/>
      <c r="C509" s="14" t="n"/>
      <c r="D509" s="27" t="n"/>
      <c r="E509" s="28" t="n"/>
      <c r="F509" s="15">
        <f>IF(OR(D463&lt;&gt;"",E463&lt;&gt;""),IF(D463="",0,D463)+IF(E463="",0,E463),"")</f>
        <v/>
      </c>
      <c r="G509" s="14" t="n"/>
    </row>
    <row r="510">
      <c r="A510" s="10" t="inlineStr">
        <is>
          <t>TOTAL NOVIEMBRE</t>
        </is>
      </c>
      <c r="B510" s="22" t="n"/>
      <c r="C510" s="29" t="inlineStr">
        <is>
          <t>Totales mes →</t>
        </is>
      </c>
      <c r="D510" s="7">
        <f>SUMIFS($D$4:$D$800,$A$4:$A$800,"Noviembre")</f>
        <v/>
      </c>
      <c r="E510" s="7">
        <f>SUMIFS($E$4:$E$800,$A$4:$A$800,"Noviembre")</f>
        <v/>
      </c>
      <c r="F510" s="7">
        <f>D510+E510</f>
        <v/>
      </c>
      <c r="G510" s="22" t="n"/>
    </row>
    <row r="511"/>
    <row r="512">
      <c r="A512" s="14" t="inlineStr">
        <is>
          <t>Diciembre</t>
        </is>
      </c>
      <c r="B512" s="17" t="n"/>
      <c r="C512" s="14" t="n"/>
      <c r="D512" s="27" t="n"/>
      <c r="E512" s="28" t="n"/>
      <c r="F512" s="15">
        <f>IF(OR(D466&lt;&gt;"",E466&lt;&gt;""),IF(D466="",0,D466)+IF(E466="",0,E466),"")</f>
        <v/>
      </c>
      <c r="G512" s="14" t="n"/>
    </row>
    <row r="513">
      <c r="A513" s="14" t="inlineStr">
        <is>
          <t>Diciembre</t>
        </is>
      </c>
      <c r="B513" s="17" t="n"/>
      <c r="C513" s="14" t="n"/>
      <c r="D513" s="27" t="n"/>
      <c r="E513" s="28" t="n"/>
      <c r="F513" s="15">
        <f>IF(OR(D467&lt;&gt;"",E467&lt;&gt;""),IF(D467="",0,D467)+IF(E467="",0,E467),"")</f>
        <v/>
      </c>
      <c r="G513" s="14" t="n"/>
    </row>
    <row r="514">
      <c r="A514" s="14" t="inlineStr">
        <is>
          <t>Diciembre</t>
        </is>
      </c>
      <c r="B514" s="17" t="n"/>
      <c r="C514" s="14" t="n"/>
      <c r="D514" s="27" t="n"/>
      <c r="E514" s="28" t="n"/>
      <c r="F514" s="15">
        <f>IF(OR(D468&lt;&gt;"",E468&lt;&gt;""),IF(D468="",0,D468)+IF(E468="",0,E468),"")</f>
        <v/>
      </c>
      <c r="G514" s="14" t="n"/>
    </row>
    <row r="515">
      <c r="A515" s="14" t="inlineStr">
        <is>
          <t>Diciembre</t>
        </is>
      </c>
      <c r="B515" s="17" t="n"/>
      <c r="C515" s="14" t="n"/>
      <c r="D515" s="27" t="n"/>
      <c r="E515" s="28" t="n"/>
      <c r="F515" s="15">
        <f>IF(OR(D469&lt;&gt;"",E469&lt;&gt;""),IF(D469="",0,D469)+IF(E469="",0,E469),"")</f>
        <v/>
      </c>
      <c r="G515" s="14" t="n"/>
    </row>
    <row r="516">
      <c r="A516" s="14" t="inlineStr">
        <is>
          <t>Diciembre</t>
        </is>
      </c>
      <c r="B516" s="17" t="n"/>
      <c r="C516" s="14" t="n"/>
      <c r="D516" s="27" t="n"/>
      <c r="E516" s="28" t="n"/>
      <c r="F516" s="15">
        <f>IF(OR(D470&lt;&gt;"",E470&lt;&gt;""),IF(D470="",0,D470)+IF(E470="",0,E470),"")</f>
        <v/>
      </c>
      <c r="G516" s="14" t="n"/>
    </row>
    <row r="517">
      <c r="A517" s="14" t="inlineStr">
        <is>
          <t>Diciembre</t>
        </is>
      </c>
      <c r="B517" s="17" t="n"/>
      <c r="C517" s="14" t="n"/>
      <c r="D517" s="27" t="n"/>
      <c r="E517" s="28" t="n"/>
      <c r="F517" s="15">
        <f>IF(OR(D471&lt;&gt;"",E471&lt;&gt;""),IF(D471="",0,D471)+IF(E471="",0,E471),"")</f>
        <v/>
      </c>
      <c r="G517" s="14" t="n"/>
    </row>
    <row r="518">
      <c r="A518" s="14" t="inlineStr">
        <is>
          <t>Diciembre</t>
        </is>
      </c>
      <c r="B518" s="17" t="n"/>
      <c r="C518" s="14" t="n"/>
      <c r="D518" s="27" t="n"/>
      <c r="E518" s="28" t="n"/>
      <c r="F518" s="15">
        <f>IF(OR(D472&lt;&gt;"",E472&lt;&gt;""),IF(D472="",0,D472)+IF(E472="",0,E472),"")</f>
        <v/>
      </c>
      <c r="G518" s="14" t="n"/>
    </row>
    <row r="519">
      <c r="A519" s="14" t="inlineStr">
        <is>
          <t>Diciembre</t>
        </is>
      </c>
      <c r="B519" s="17" t="n"/>
      <c r="C519" s="14" t="n"/>
      <c r="D519" s="27" t="n"/>
      <c r="E519" s="28" t="n"/>
      <c r="F519" s="15">
        <f>IF(OR(D473&lt;&gt;"",E473&lt;&gt;""),IF(D473="",0,D473)+IF(E473="",0,E473),"")</f>
        <v/>
      </c>
      <c r="G519" s="14" t="n"/>
    </row>
    <row r="520">
      <c r="A520" s="14" t="inlineStr">
        <is>
          <t>Diciembre</t>
        </is>
      </c>
      <c r="B520" s="17" t="n"/>
      <c r="C520" s="14" t="n"/>
      <c r="D520" s="27" t="n"/>
      <c r="E520" s="28" t="n"/>
      <c r="F520" s="15">
        <f>IF(OR(D474&lt;&gt;"",E474&lt;&gt;""),IF(D474="",0,D474)+IF(E474="",0,E474),"")</f>
        <v/>
      </c>
      <c r="G520" s="14" t="n"/>
    </row>
    <row r="521">
      <c r="A521" s="14" t="inlineStr">
        <is>
          <t>Diciembre</t>
        </is>
      </c>
      <c r="B521" s="17" t="n"/>
      <c r="C521" s="14" t="n"/>
      <c r="D521" s="27" t="n"/>
      <c r="E521" s="28" t="n"/>
      <c r="F521" s="15">
        <f>IF(OR(D475&lt;&gt;"",E475&lt;&gt;""),IF(D475="",0,D475)+IF(E475="",0,E475),"")</f>
        <v/>
      </c>
      <c r="G521" s="14" t="n"/>
    </row>
    <row r="522">
      <c r="A522" s="14" t="inlineStr">
        <is>
          <t>Diciembre</t>
        </is>
      </c>
      <c r="B522" s="17" t="n"/>
      <c r="C522" s="14" t="n"/>
      <c r="D522" s="27" t="n"/>
      <c r="E522" s="28" t="n"/>
      <c r="F522" s="15">
        <f>IF(OR(D476&lt;&gt;"",E476&lt;&gt;""),IF(D476="",0,D476)+IF(E476="",0,E476),"")</f>
        <v/>
      </c>
      <c r="G522" s="14" t="n"/>
    </row>
    <row r="523">
      <c r="A523" s="14" t="inlineStr">
        <is>
          <t>Diciembre</t>
        </is>
      </c>
      <c r="B523" s="17" t="n"/>
      <c r="C523" s="14" t="n"/>
      <c r="D523" s="27" t="n"/>
      <c r="E523" s="28" t="n"/>
      <c r="F523" s="15">
        <f>IF(OR(D477&lt;&gt;"",E477&lt;&gt;""),IF(D477="",0,D477)+IF(E477="",0,E477),"")</f>
        <v/>
      </c>
      <c r="G523" s="14" t="n"/>
    </row>
    <row r="524">
      <c r="A524" s="14" t="inlineStr">
        <is>
          <t>Diciembre</t>
        </is>
      </c>
      <c r="B524" s="17" t="n"/>
      <c r="C524" s="14" t="n"/>
      <c r="D524" s="27" t="n"/>
      <c r="E524" s="28" t="n"/>
      <c r="F524" s="15">
        <f>IF(OR(D478&lt;&gt;"",E478&lt;&gt;""),IF(D478="",0,D478)+IF(E478="",0,E478),"")</f>
        <v/>
      </c>
      <c r="G524" s="14" t="n"/>
    </row>
    <row r="525">
      <c r="A525" s="14" t="inlineStr">
        <is>
          <t>Diciembre</t>
        </is>
      </c>
      <c r="B525" s="17" t="n"/>
      <c r="C525" s="14" t="n"/>
      <c r="D525" s="27" t="n"/>
      <c r="E525" s="28" t="n"/>
      <c r="F525" s="15">
        <f>IF(OR(D479&lt;&gt;"",E479&lt;&gt;""),IF(D479="",0,D479)+IF(E479="",0,E479),"")</f>
        <v/>
      </c>
      <c r="G525" s="14" t="n"/>
    </row>
    <row r="526">
      <c r="A526" s="14" t="inlineStr">
        <is>
          <t>Diciembre</t>
        </is>
      </c>
      <c r="B526" s="17" t="n"/>
      <c r="C526" s="14" t="n"/>
      <c r="D526" s="27" t="n"/>
      <c r="E526" s="28" t="n"/>
      <c r="F526" s="15">
        <f>IF(OR(D480&lt;&gt;"",E480&lt;&gt;""),IF(D480="",0,D480)+IF(E480="",0,E480),"")</f>
        <v/>
      </c>
      <c r="G526" s="14" t="n"/>
    </row>
    <row r="527">
      <c r="A527" s="14" t="inlineStr">
        <is>
          <t>Diciembre</t>
        </is>
      </c>
      <c r="B527" s="17" t="n"/>
      <c r="C527" s="14" t="n"/>
      <c r="D527" s="27" t="n"/>
      <c r="E527" s="28" t="n"/>
      <c r="F527" s="15">
        <f>IF(OR(D481&lt;&gt;"",E481&lt;&gt;""),IF(D481="",0,D481)+IF(E481="",0,E481),"")</f>
        <v/>
      </c>
      <c r="G527" s="14" t="n"/>
    </row>
    <row r="528">
      <c r="A528" s="14" t="inlineStr">
        <is>
          <t>Diciembre</t>
        </is>
      </c>
      <c r="B528" s="17" t="n"/>
      <c r="C528" s="14" t="n"/>
      <c r="D528" s="27" t="n"/>
      <c r="E528" s="28" t="n"/>
      <c r="F528" s="15">
        <f>IF(OR(D482&lt;&gt;"",E482&lt;&gt;""),IF(D482="",0,D482)+IF(E482="",0,E482),"")</f>
        <v/>
      </c>
      <c r="G528" s="14" t="n"/>
    </row>
    <row r="529">
      <c r="A529" s="14" t="inlineStr">
        <is>
          <t>Diciembre</t>
        </is>
      </c>
      <c r="B529" s="17" t="n"/>
      <c r="C529" s="14" t="n"/>
      <c r="D529" s="27" t="n"/>
      <c r="E529" s="28" t="n"/>
      <c r="F529" s="15">
        <f>IF(OR(D483&lt;&gt;"",E483&lt;&gt;""),IF(D483="",0,D483)+IF(E483="",0,E483),"")</f>
        <v/>
      </c>
      <c r="G529" s="14" t="n"/>
    </row>
    <row r="530">
      <c r="A530" s="14" t="inlineStr">
        <is>
          <t>Diciembre</t>
        </is>
      </c>
      <c r="B530" s="17" t="n"/>
      <c r="C530" s="14" t="n"/>
      <c r="D530" s="27" t="n"/>
      <c r="E530" s="28" t="n"/>
      <c r="F530" s="15">
        <f>IF(OR(D484&lt;&gt;"",E484&lt;&gt;""),IF(D484="",0,D484)+IF(E484="",0,E484),"")</f>
        <v/>
      </c>
      <c r="G530" s="14" t="n"/>
    </row>
    <row r="531">
      <c r="A531" s="14" t="inlineStr">
        <is>
          <t>Diciembre</t>
        </is>
      </c>
      <c r="B531" s="17" t="n"/>
      <c r="C531" s="14" t="n"/>
      <c r="D531" s="27" t="n"/>
      <c r="E531" s="28" t="n"/>
      <c r="F531" s="15">
        <f>IF(OR(D485&lt;&gt;"",E485&lt;&gt;""),IF(D485="",0,D485)+IF(E485="",0,E485),"")</f>
        <v/>
      </c>
      <c r="G531" s="14" t="n"/>
    </row>
    <row r="532">
      <c r="A532" s="14" t="inlineStr">
        <is>
          <t>Diciembre</t>
        </is>
      </c>
      <c r="B532" s="17" t="n"/>
      <c r="C532" s="14" t="n"/>
      <c r="D532" s="27" t="n"/>
      <c r="E532" s="28" t="n"/>
      <c r="F532" s="15">
        <f>IF(OR(D486&lt;&gt;"",E486&lt;&gt;""),IF(D486="",0,D486)+IF(E486="",0,E486),"")</f>
        <v/>
      </c>
      <c r="G532" s="14" t="n"/>
    </row>
    <row r="533">
      <c r="A533" s="14" t="inlineStr">
        <is>
          <t>Diciembre</t>
        </is>
      </c>
      <c r="B533" s="17" t="n"/>
      <c r="C533" s="14" t="n"/>
      <c r="D533" s="27" t="n"/>
      <c r="E533" s="28" t="n"/>
      <c r="F533" s="15">
        <f>IF(OR(D487&lt;&gt;"",E487&lt;&gt;""),IF(D487="",0,D487)+IF(E487="",0,E487),"")</f>
        <v/>
      </c>
      <c r="G533" s="14" t="n"/>
    </row>
    <row r="534">
      <c r="A534" s="14" t="inlineStr">
        <is>
          <t>Diciembre</t>
        </is>
      </c>
      <c r="B534" s="17" t="n"/>
      <c r="C534" s="14" t="n"/>
      <c r="D534" s="27" t="n"/>
      <c r="E534" s="28" t="n"/>
      <c r="F534" s="15">
        <f>IF(OR(D488&lt;&gt;"",E488&lt;&gt;""),IF(D488="",0,D488)+IF(E488="",0,E488),"")</f>
        <v/>
      </c>
      <c r="G534" s="14" t="n"/>
    </row>
    <row r="535">
      <c r="A535" s="14" t="inlineStr">
        <is>
          <t>Diciembre</t>
        </is>
      </c>
      <c r="B535" s="17" t="n"/>
      <c r="C535" s="14" t="n"/>
      <c r="D535" s="27" t="n"/>
      <c r="E535" s="28" t="n"/>
      <c r="F535" s="15">
        <f>IF(OR(D489&lt;&gt;"",E489&lt;&gt;""),IF(D489="",0,D489)+IF(E489="",0,E489),"")</f>
        <v/>
      </c>
      <c r="G535" s="14" t="n"/>
    </row>
    <row r="536">
      <c r="A536" s="14" t="inlineStr">
        <is>
          <t>Diciembre</t>
        </is>
      </c>
      <c r="B536" s="17" t="n"/>
      <c r="C536" s="14" t="n"/>
      <c r="D536" s="27" t="n"/>
      <c r="E536" s="28" t="n"/>
      <c r="F536" s="15">
        <f>IF(OR(D490&lt;&gt;"",E490&lt;&gt;""),IF(D490="",0,D490)+IF(E490="",0,E490),"")</f>
        <v/>
      </c>
      <c r="G536" s="14" t="n"/>
    </row>
    <row r="537">
      <c r="A537" s="14" t="inlineStr">
        <is>
          <t>Diciembre</t>
        </is>
      </c>
      <c r="B537" s="17" t="n"/>
      <c r="C537" s="14" t="n"/>
      <c r="D537" s="27" t="n"/>
      <c r="E537" s="28" t="n"/>
      <c r="F537" s="15">
        <f>IF(OR(D491&lt;&gt;"",E491&lt;&gt;""),IF(D491="",0,D491)+IF(E491="",0,E491),"")</f>
        <v/>
      </c>
      <c r="G537" s="14" t="n"/>
    </row>
    <row r="538">
      <c r="A538" s="14" t="inlineStr">
        <is>
          <t>Diciembre</t>
        </is>
      </c>
      <c r="B538" s="17" t="n"/>
      <c r="C538" s="14" t="n"/>
      <c r="D538" s="27" t="n"/>
      <c r="E538" s="28" t="n"/>
      <c r="F538" s="15">
        <f>IF(OR(D492&lt;&gt;"",E492&lt;&gt;""),IF(D492="",0,D492)+IF(E492="",0,E492),"")</f>
        <v/>
      </c>
      <c r="G538" s="14" t="n"/>
    </row>
    <row r="539">
      <c r="A539" s="14" t="inlineStr">
        <is>
          <t>Diciembre</t>
        </is>
      </c>
      <c r="B539" s="17" t="n"/>
      <c r="C539" s="14" t="n"/>
      <c r="D539" s="27" t="n"/>
      <c r="E539" s="28" t="n"/>
      <c r="F539" s="15">
        <f>IF(OR(D493&lt;&gt;"",E493&lt;&gt;""),IF(D493="",0,D493)+IF(E493="",0,E493),"")</f>
        <v/>
      </c>
      <c r="G539" s="14" t="n"/>
    </row>
    <row r="540">
      <c r="A540" s="14" t="inlineStr">
        <is>
          <t>Diciembre</t>
        </is>
      </c>
      <c r="B540" s="17" t="n"/>
      <c r="C540" s="14" t="n"/>
      <c r="D540" s="27" t="n"/>
      <c r="E540" s="28" t="n"/>
      <c r="F540" s="15">
        <f>IF(OR(D494&lt;&gt;"",E494&lt;&gt;""),IF(D494="",0,D494)+IF(E494="",0,E494),"")</f>
        <v/>
      </c>
      <c r="G540" s="14" t="n"/>
    </row>
    <row r="541">
      <c r="A541" s="14" t="inlineStr">
        <is>
          <t>Diciembre</t>
        </is>
      </c>
      <c r="B541" s="17" t="n"/>
      <c r="C541" s="14" t="n"/>
      <c r="D541" s="27" t="n"/>
      <c r="E541" s="28" t="n"/>
      <c r="F541" s="15">
        <f>IF(OR(D495&lt;&gt;"",E495&lt;&gt;""),IF(D495="",0,D495)+IF(E495="",0,E495),"")</f>
        <v/>
      </c>
      <c r="G541" s="14" t="n"/>
    </row>
    <row r="542">
      <c r="A542" s="14" t="inlineStr">
        <is>
          <t>Diciembre</t>
        </is>
      </c>
      <c r="B542" s="17" t="n"/>
      <c r="C542" s="14" t="n"/>
      <c r="D542" s="27" t="n"/>
      <c r="E542" s="28" t="n"/>
      <c r="F542" s="15">
        <f>IF(OR(D496&lt;&gt;"",E496&lt;&gt;""),IF(D496="",0,D496)+IF(E496="",0,E496),"")</f>
        <v/>
      </c>
      <c r="G542" s="14" t="n"/>
    </row>
    <row r="543">
      <c r="A543" s="14" t="inlineStr">
        <is>
          <t>Diciembre</t>
        </is>
      </c>
      <c r="B543" s="17" t="n"/>
      <c r="C543" s="14" t="n"/>
      <c r="D543" s="27" t="n"/>
      <c r="E543" s="28" t="n"/>
      <c r="F543" s="15">
        <f>IF(OR(D497&lt;&gt;"",E497&lt;&gt;""),IF(D497="",0,D497)+IF(E497="",0,E497),"")</f>
        <v/>
      </c>
      <c r="G543" s="14" t="n"/>
    </row>
    <row r="544">
      <c r="A544" s="14" t="inlineStr">
        <is>
          <t>Diciembre</t>
        </is>
      </c>
      <c r="B544" s="17" t="n"/>
      <c r="C544" s="14" t="n"/>
      <c r="D544" s="27" t="n"/>
      <c r="E544" s="28" t="n"/>
      <c r="F544" s="15">
        <f>IF(OR(D498&lt;&gt;"",E498&lt;&gt;""),IF(D498="",0,D498)+IF(E498="",0,E498),"")</f>
        <v/>
      </c>
      <c r="G544" s="14" t="n"/>
    </row>
    <row r="545">
      <c r="A545" s="14" t="inlineStr">
        <is>
          <t>Diciembre</t>
        </is>
      </c>
      <c r="B545" s="17" t="n"/>
      <c r="C545" s="14" t="n"/>
      <c r="D545" s="27" t="n"/>
      <c r="E545" s="28" t="n"/>
      <c r="F545" s="15">
        <f>IF(OR(D499&lt;&gt;"",E499&lt;&gt;""),IF(D499="",0,D499)+IF(E499="",0,E499),"")</f>
        <v/>
      </c>
      <c r="G545" s="14" t="n"/>
    </row>
    <row r="546">
      <c r="A546" s="14" t="inlineStr">
        <is>
          <t>Diciembre</t>
        </is>
      </c>
      <c r="B546" s="17" t="n"/>
      <c r="C546" s="14" t="n"/>
      <c r="D546" s="27" t="n"/>
      <c r="E546" s="28" t="n"/>
      <c r="F546" s="15">
        <f>IF(OR(D500&lt;&gt;"",E500&lt;&gt;""),IF(D500="",0,D500)+IF(E500="",0,E500),"")</f>
        <v/>
      </c>
      <c r="G546" s="14" t="n"/>
    </row>
    <row r="547">
      <c r="A547" s="14" t="inlineStr">
        <is>
          <t>Diciembre</t>
        </is>
      </c>
      <c r="B547" s="17" t="n"/>
      <c r="C547" s="14" t="n"/>
      <c r="D547" s="27" t="n"/>
      <c r="E547" s="28" t="n"/>
      <c r="F547" s="15">
        <f>IF(OR(D501&lt;&gt;"",E501&lt;&gt;""),IF(D501="",0,D501)+IF(E501="",0,E501),"")</f>
        <v/>
      </c>
      <c r="G547" s="14" t="n"/>
    </row>
    <row r="548">
      <c r="A548" s="14" t="inlineStr">
        <is>
          <t>Diciembre</t>
        </is>
      </c>
      <c r="B548" s="17" t="n"/>
      <c r="C548" s="14" t="n"/>
      <c r="D548" s="27" t="n"/>
      <c r="E548" s="28" t="n"/>
      <c r="F548" s="15">
        <f>IF(OR(D502&lt;&gt;"",E502&lt;&gt;""),IF(D502="",0,D502)+IF(E502="",0,E502),"")</f>
        <v/>
      </c>
      <c r="G548" s="14" t="n"/>
    </row>
    <row r="549">
      <c r="A549" s="14" t="inlineStr">
        <is>
          <t>Diciembre</t>
        </is>
      </c>
      <c r="B549" s="17" t="n"/>
      <c r="C549" s="14" t="n"/>
      <c r="D549" s="27" t="n"/>
      <c r="E549" s="28" t="n"/>
      <c r="F549" s="15">
        <f>IF(OR(D503&lt;&gt;"",E503&lt;&gt;""),IF(D503="",0,D503)+IF(E503="",0,E503),"")</f>
        <v/>
      </c>
      <c r="G549" s="14" t="n"/>
    </row>
    <row r="550">
      <c r="A550" s="14" t="inlineStr">
        <is>
          <t>Diciembre</t>
        </is>
      </c>
      <c r="B550" s="17" t="n"/>
      <c r="C550" s="14" t="n"/>
      <c r="D550" s="27" t="n"/>
      <c r="E550" s="28" t="n"/>
      <c r="F550" s="15">
        <f>IF(OR(D504&lt;&gt;"",E504&lt;&gt;""),IF(D504="",0,D504)+IF(E504="",0,E504),"")</f>
        <v/>
      </c>
      <c r="G550" s="14" t="n"/>
    </row>
    <row r="551">
      <c r="A551" s="14" t="inlineStr">
        <is>
          <t>Diciembre</t>
        </is>
      </c>
      <c r="B551" s="17" t="n"/>
      <c r="C551" s="14" t="n"/>
      <c r="D551" s="27" t="n"/>
      <c r="E551" s="28" t="n"/>
      <c r="F551" s="15">
        <f>IF(OR(D505&lt;&gt;"",E505&lt;&gt;""),IF(D505="",0,D505)+IF(E505="",0,E505),"")</f>
        <v/>
      </c>
      <c r="G551" s="14" t="n"/>
    </row>
    <row r="552">
      <c r="A552" s="10" t="inlineStr">
        <is>
          <t>TOTAL DICIEMBRE</t>
        </is>
      </c>
      <c r="B552" s="22" t="n"/>
      <c r="C552" s="29" t="inlineStr">
        <is>
          <t>Totales mes →</t>
        </is>
      </c>
      <c r="D552" s="7">
        <f>SUMIFS($D$4:$D$800,$A$4:$A$800,"Diciembre")</f>
        <v/>
      </c>
      <c r="E552" s="7">
        <f>SUMIFS($E$4:$E$800,$A$4:$A$800,"Diciembre")</f>
        <v/>
      </c>
      <c r="F552" s="7">
        <f>D552+E552</f>
        <v/>
      </c>
      <c r="G552" s="22" t="n"/>
    </row>
    <row r="553">
      <c r="A553" t="inlineStr">
        <is>
          <t>Enero</t>
        </is>
      </c>
      <c r="B553" s="54" t="n">
        <v>46034</v>
      </c>
      <c r="C553" t="inlineStr">
        <is>
          <t>SUPERMERCADO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SUPERMERCADO · Coto</t>
        </is>
      </c>
      <c r="D554" t="n">
        <v>-49597</v>
      </c>
      <c r="F554">
        <f>IF(OR(D524&lt;&gt;"",E524&lt;&gt;""),IF(D524="",0,D524)+IF(E524="",0,E524),"")</f>
        <v/>
      </c>
      <c r="G55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is>
          <t>3491192</t>
        </is>
      </c>
      <c r="G5" s="18" t="inlineStr"/>
      <c r="H5" s="14" t="inlineStr">
        <is>
          <t>Gmail factura 01/2026 $37.983,38 · cliente 3491192</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is>
          <t>3491192</t>
        </is>
      </c>
      <c r="G9" s="18" t="inlineStr"/>
      <c r="H9" s="14" t="inlineStr">
        <is>
          <t>Gmail factura 02/2026 $38.489,00 · cliente 3491192</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is>
          <t>3491192</t>
        </is>
      </c>
      <c r="G13" s="18" t="inlineStr"/>
      <c r="H13" s="14" t="inlineStr">
        <is>
          <t>Gmail factura 03/2026 $39.162,75 · cliente 3491192</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Consorcio de Propietarios · Pagado · Gmail Sent 7-abr</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04/2026 (Gmail)</t>
        </is>
      </c>
      <c r="D19" s="15" t="n">
        <v>46909</v>
      </c>
      <c r="E19" s="14" t="inlineStr"/>
      <c r="F19" s="18" t="inlineStr">
        <is>
          <t>3491192</t>
        </is>
      </c>
      <c r="G19" s="18" t="inlineStr"/>
      <c r="H19" s="14" t="inlineStr">
        <is>
          <t>Gmail factura 04/2026 $46.909,00 · cliente 3491192</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c r="B22" s="14" t="n"/>
      <c r="C22" s="14" t="n"/>
      <c r="D22" s="15" t="n"/>
      <c r="E22" s="14" t="n"/>
      <c r="F22" s="18" t="n"/>
      <c r="G22" s="18" t="n"/>
      <c r="H22" s="14" t="n"/>
      <c r="I22" s="14" t="n"/>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05/2026 (Gmail)</t>
        </is>
      </c>
      <c r="D24" s="15" t="n">
        <v>47939</v>
      </c>
      <c r="E24" s="14" t="inlineStr"/>
      <c r="F24" s="18" t="inlineStr">
        <is>
          <t>3491192</t>
        </is>
      </c>
      <c r="G24" s="18" t="inlineStr"/>
      <c r="H24" s="14" t="inlineStr">
        <is>
          <t>Gmail factura 05/2026 $47.939,00 · cliente 3491192</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(duplicado) ver fila pago MP 17/06 — no sumar</t>
        </is>
      </c>
      <c r="D28" s="15" t="n"/>
      <c r="E28" s="14" t="inlineStr">
        <is>
          <t>Mercado Pago</t>
        </is>
      </c>
      <c r="F28" s="18" t="inlineStr">
        <is>
          <t>3491192</t>
        </is>
      </c>
      <c r="G28" s="18" t="inlineStr"/>
      <c r="H28" s="14" t="inlineStr">
        <is>
          <t>SUPERSEDE · Telecentro Junio está en Detalle pago MP 17/06 $48.420 · Gmail factura 06/2026 $48.419,26</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Mayo 2026 (pago Gmail Sent 10/06)</t>
        </is>
      </c>
      <c r="D31" s="15" t="n">
        <v>246150</v>
      </c>
      <c r="E31" s="14" t="inlineStr">
        <is>
          <t>Transferencia</t>
        </is>
      </c>
      <c r="F31" s="18" t="inlineStr"/>
      <c r="G31" s="18" t="inlineStr"/>
      <c r="H31" s="14" t="inlineStr">
        <is>
          <t>Período mayo · Consorcio De Propietarios · Pagado · Gmail Sent</t>
        </is>
      </c>
      <c r="I31" s="14" t="inlineStr">
        <is>
          <t>Mayo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(duplicado) ver fila débito BBVA 30/06 — no sumar</t>
        </is>
      </c>
      <c r="D33" s="15" t="n"/>
      <c r="E33" s="14" t="inlineStr"/>
      <c r="F33" s="18" t="inlineStr"/>
      <c r="G33" s="18" t="inlineStr"/>
      <c r="H33" s="14" t="inlineStr">
        <is>
          <t>SUPERSEDE · Telecentro Julio está en Detalle débito 30/06 $31.999 · Gmail factura 07/2026 $31.999,00</t>
        </is>
      </c>
      <c r="I33" s="14" t="inlineStr">
        <is>
          <t>Julio</t>
        </is>
      </c>
    </row>
    <row r="34">
      <c r="A34" s="17" t="n">
        <v>46212</v>
      </c>
      <c r="B34" s="14" t="inlineStr">
        <is>
          <t>Expensas</t>
        </is>
      </c>
      <c r="C34" s="14" t="inlineStr">
        <is>
          <t>Expensas — Junio 2026 (pago Gmail Sent 09/07)</t>
        </is>
      </c>
      <c r="D34" s="15" t="n">
        <v>273500</v>
      </c>
      <c r="E34" s="14" t="inlineStr">
        <is>
          <t>Transferencia</t>
        </is>
      </c>
      <c r="F34" s="18" t="inlineStr"/>
      <c r="G34" s="18" t="inlineStr"/>
      <c r="H34" s="14" t="inlineStr">
        <is>
          <t>Período junio · Consorcio De Propietarios · Pagado · Gmail Sent</t>
        </is>
      </c>
      <c r="I34" s="14" t="inlineStr">
        <is>
          <t>Junio</t>
        </is>
      </c>
    </row>
    <row r="35">
      <c r="A35" s="17" t="n">
        <v>46235</v>
      </c>
      <c r="B35" s="14" t="inlineStr">
        <is>
          <t>Telecentro</t>
        </is>
      </c>
      <c r="C35" s="14" t="inlineStr">
        <is>
          <t>Telecentro CIUDAD — 08/2026 (Gmail) · cobro Visa *3200 24/07/2026</t>
        </is>
      </c>
      <c r="D35" s="15" t="n">
        <v>31999</v>
      </c>
      <c r="E35" s="14" t="inlineStr">
        <is>
          <t>BBVA Visa *3200</t>
        </is>
      </c>
      <c r="F35" s="18" t="inlineStr">
        <is>
          <t>3491192</t>
        </is>
      </c>
      <c r="G35" s="18" t="inlineStr"/>
      <c r="H35" s="14" t="inlineStr">
        <is>
          <t>Gmail factura 08/2026 $31.999,00 · cobro 24/07 · reemplaza recurrente $50.000</t>
        </is>
      </c>
      <c r="I35" s="14" t="inlineStr">
        <is>
          <t>Agosto</t>
        </is>
      </c>
    </row>
    <row r="36">
      <c r="A36" s="17" t="n">
        <v>46266</v>
      </c>
      <c r="B36" s="14" t="inlineStr">
        <is>
          <t>Telecentro</t>
        </is>
      </c>
      <c r="C36" s="14" t="inlineStr">
        <is>
          <t>Telecentro CIUDAD — 09/2026 (Gmail)</t>
        </is>
      </c>
      <c r="D36" s="15" t="n">
        <v>82364</v>
      </c>
      <c r="E36" s="14" t="n"/>
      <c r="F36" s="18" t="inlineStr">
        <is>
          <t>3491192</t>
        </is>
      </c>
      <c r="G36" s="18" t="inlineStr"/>
      <c r="H36" s="14" t="inlineStr">
        <is>
          <t>Gmail factura 09/2026 $82.363,35 · mes=período factura (no cobro Oct $69.659)</t>
        </is>
      </c>
      <c r="I36" s="14" t="inlineStr">
        <is>
          <t>Septiembre</t>
        </is>
      </c>
    </row>
    <row r="37">
      <c r="A37" s="17" t="n">
        <v>46296</v>
      </c>
      <c r="B37" s="14" t="inlineStr">
        <is>
          <t>Telecentro</t>
        </is>
      </c>
      <c r="C37" s="14" t="inlineStr">
        <is>
          <t>(duplicado) ver fila débito BBVA 25/09 — no sumar</t>
        </is>
      </c>
      <c r="D37" s="15" t="n"/>
      <c r="E37" s="14" t="inlineStr">
        <is>
          <t>Débito BBVA</t>
        </is>
      </c>
      <c r="F37" s="18" t="inlineStr">
        <is>
          <t>3491192</t>
        </is>
      </c>
      <c r="G37" s="18" t="inlineStr"/>
      <c r="H37" s="14" t="inlineStr">
        <is>
          <t>SUPERSEDE · Telecentro Octubre está en Detalle débito 25/09 $69.659 · Gmail factura 10/2026 $69.659,00</t>
        </is>
      </c>
      <c r="I37" s="14" t="inlineStr">
        <is>
          <t>Octubre</t>
        </is>
      </c>
    </row>
    <row r="38">
      <c r="A38" s="17" t="n">
        <v>46327</v>
      </c>
      <c r="B38" s="14" t="inlineStr">
        <is>
          <t>Telecentro</t>
        </is>
      </c>
      <c r="C38" s="14" t="inlineStr">
        <is>
          <t>Telecentro CIUDAD — sin factura Gmail aún (Noviembre)</t>
        </is>
      </c>
      <c r="D38" s="15" t="n"/>
      <c r="E38" s="14" t="inlineStr"/>
      <c r="F38" s="18" t="inlineStr"/>
      <c r="G38" s="18" t="inlineStr"/>
      <c r="H38" s="14" t="inlineStr">
        <is>
          <t>Sin mail ¡Ya está disponible tu factura! — no cargar placeholder</t>
        </is>
      </c>
      <c r="I38" s="14" t="inlineStr">
        <is>
          <t>Noviembre</t>
        </is>
      </c>
    </row>
    <row r="39">
      <c r="A39" s="17" t="n">
        <v>46357</v>
      </c>
      <c r="B39" s="14" t="inlineStr">
        <is>
          <t>Telecentro</t>
        </is>
      </c>
      <c r="C39" s="14" t="inlineStr">
        <is>
          <t>Telecentro CIUDAD — sin factura Gmail aún (Diciembre)</t>
        </is>
      </c>
      <c r="D39" s="15" t="n"/>
      <c r="E39" s="14" t="inlineStr"/>
      <c r="F39" s="18" t="inlineStr"/>
      <c r="G39" s="18" t="inlineStr"/>
      <c r="H39" s="14" t="inlineStr">
        <is>
          <t>Sin mail ¡Ya está disponible tu factura! — no cargar placeholder</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(no CIUDAD) ABL OHIGGINS partida 3016365 — ver OHIGGINS/Detalle</t>
        </is>
      </c>
      <c r="D52" s="26" t="n"/>
      <c r="E52" t="inlineStr">
        <is>
          <t>Mercado Pago — Dinero disponible</t>
        </is>
      </c>
      <c r="H52" t="inlineStr">
        <is>
          <t>SUPERSEDE · monto 88141 es OHIGGINS (&gt;80k) · no sumar a CIUDAD</t>
        </is>
      </c>
      <c r="I52" t="inlineStr">
        <is>
          <t>Marzo</t>
        </is>
      </c>
    </row>
    <row r="53">
      <c r="A53" s="25" t="n">
        <v>46066</v>
      </c>
      <c r="B53" t="inlineStr">
        <is>
          <t>ABL</t>
        </is>
      </c>
      <c r="C53" t="inlineStr">
        <is>
          <t>(no CIUDAD) ABL OHIGGINS partida 3016365 — ver OHIGGINS/Detalle</t>
        </is>
      </c>
      <c r="D53" s="26" t="n"/>
      <c r="E53" t="inlineStr">
        <is>
          <t>Mercado Pago — Dinero disponible</t>
        </is>
      </c>
      <c r="H53" t="inlineStr">
        <is>
          <t>SUPERSEDE · monto 83757 es OHIGGINS (&gt;80k) · no sumar a CIUDAD</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c r="H72" t="inlineStr">
        <is>
          <t>Gmail factura 06/2026 $48.419,26 · pago MP; mes=Junio</t>
        </is>
      </c>
      <c r="I72" t="inlineStr">
        <is>
          <t>Junio</t>
        </is>
      </c>
    </row>
    <row r="73">
      <c r="A73" s="53" t="n">
        <v>46203</v>
      </c>
      <c r="B73" s="14" t="inlineStr">
        <is>
          <t>Telecentro</t>
        </is>
      </c>
      <c r="C73" s="14" t="inlineStr">
        <is>
          <t>Telecentro CIUDAD — débito BBVA 30/06/2026 (julio)</t>
        </is>
      </c>
      <c r="D73" s="15" t="n">
        <v>31999</v>
      </c>
      <c r="E73" s="14" t="inlineStr">
        <is>
          <t>Débito BBVA</t>
        </is>
      </c>
      <c r="F73" s="18" t="inlineStr">
        <is>
          <t>3491192</t>
        </is>
      </c>
      <c r="H73" t="inlineStr">
        <is>
          <t>Gmail factura 07/2026 $31.999,00 · débito BBVA; mes=Julio</t>
        </is>
      </c>
      <c r="I73" t="inlineStr">
        <is>
          <t>Julio</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F76" t="inlineStr">
        <is>
          <t>3491192</t>
        </is>
      </c>
      <c r="H76" t="inlineStr">
        <is>
          <t>Gmail Telecentro 10/2026 $69.659 + Compra aprobada; mes=período factura Octubre (cobro 25/09)</t>
        </is>
      </c>
      <c r="I76" t="inlineStr">
        <is>
          <t>Octubre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row r="82">
      <c r="A82" s="52" t="n">
        <v>46244</v>
      </c>
      <c r="B82" t="inlineStr">
        <is>
          <t>Expensas</t>
        </is>
      </c>
      <c r="C82" t="inlineStr">
        <is>
          <t>Expensas — Julio 2026 (pago Gmail Sent 10/08)</t>
        </is>
      </c>
      <c r="D82" t="n">
        <v>300850</v>
      </c>
      <c r="E82" t="inlineStr">
        <is>
          <t>Transferencia</t>
        </is>
      </c>
      <c r="H82" t="inlineStr">
        <is>
          <t>Período julio · De Filippo · UF 2 1-A · pagado 10/08 · Gmail Sent · op MP 173005218278</t>
        </is>
      </c>
      <c r="I82" t="inlineStr">
        <is>
          <t>Julio</t>
        </is>
      </c>
    </row>
    <row r="83">
      <c r="A83" s="52" t="n">
        <v>46252</v>
      </c>
      <c r="B83" t="inlineStr">
        <is>
          <t>Metrogas</t>
        </is>
      </c>
      <c r="C83" t="inlineStr">
        <is>
          <t>Metrogas CIUDAD · vence 18/08/2026 · emisión 05/08/2026 (débito automático; mes = vencimiento)</t>
        </is>
      </c>
      <c r="D83" t="n">
        <v>73187</v>
      </c>
      <c r="E83" t="inlineStr">
        <is>
          <t>Débito automático BBVA Visa</t>
        </is>
      </c>
      <c r="F83" t="inlineStr">
        <is>
          <t>30010996459</t>
        </is>
      </c>
      <c r="G83" t="inlineStr">
        <is>
          <t>40049923</t>
        </is>
      </c>
      <c r="H83" t="inlineStr">
        <is>
          <t>ceil desde $73.186,92 · período consumo 06/06–07/07/2026 · mes gasto = cobro/vencimiento</t>
        </is>
      </c>
    </row>
    <row r="84">
      <c r="A84" s="52" t="n">
        <v>46248</v>
      </c>
      <c r="B84" t="inlineStr">
        <is>
          <t>ABL</t>
        </is>
      </c>
      <c r="C84" t="inlineStr">
        <is>
          <t>Agip ABL GCBA · partida 397789 · CUOTA 08/2026</t>
        </is>
      </c>
      <c r="D84" t="n">
        <v>41344</v>
      </c>
      <c r="E84" t="inlineStr">
        <is>
          <t>Mercado Pago — Dinero disponible</t>
        </is>
      </c>
      <c r="H84" t="inlineStr">
        <is>
          <t>ceil desde $41.343,91 · 1° vto 14/08/2026 · CIUDAD 1132 · Sol paga MP</t>
        </is>
      </c>
    </row>
    <row r="85">
      <c r="A85" s="52" t="n">
        <v>46235</v>
      </c>
      <c r="B85" t="inlineStr">
        <is>
          <t>LIMPIEZA CASA</t>
        </is>
      </c>
      <c r="C85" t="inlineStr">
        <is>
          <t>LIMPIEZA CASA — Agosto 2026</t>
        </is>
      </c>
      <c r="D85" t="n">
        <v>567080</v>
      </c>
      <c r="E85" t="inlineStr">
        <is>
          <t>Mercado Pago — Dinero disponible</t>
        </is>
      </c>
      <c r="H85" t="inlineStr">
        <is>
          <t>Transferencia MP · Susana Carmen Ortiz consolidado (8/8 123240; 16/8 126240; 22/8 154800+3800; 29/8 150000+9000)</t>
        </is>
      </c>
    </row>
    <row r="86">
      <c r="A86" s="52" t="n">
        <v>46204</v>
      </c>
      <c r="B86" t="inlineStr">
        <is>
          <t>LIMPIEZA CASA</t>
        </is>
      </c>
      <c r="C86" t="inlineStr">
        <is>
          <t>LIMPIEZA CASA — Julio 2026</t>
        </is>
      </c>
      <c r="D86" t="n">
        <v>653120</v>
      </c>
      <c r="E86" t="inlineStr">
        <is>
          <t>Mercado Pago — Dinero disponible</t>
        </is>
      </c>
      <c r="H86" t="inlineStr">
        <is>
          <t>Transferencia MP · Susana Carmen Ortiz consolidado (5/7 9500+123240; 12/7 120240; 18/7 147660; 25/7 126240; 31/7 126240)</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5"/>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row r="214">
      <c r="A214" s="52" t="n">
        <v>46280</v>
      </c>
      <c r="B214" t="inlineStr">
        <is>
          <t>Septiembre</t>
        </is>
      </c>
      <c r="C214" t="inlineStr">
        <is>
          <t>Pago de resumen TC</t>
        </is>
      </c>
      <c r="D214" t="inlineStr">
        <is>
          <t>Pagaste una parte del resumen de tu tarjeta · Gmail</t>
        </is>
      </c>
      <c r="E214" t="n">
        <v>1214000</v>
      </c>
      <c r="F214" t="inlineStr">
        <is>
          <t>ARS</t>
        </is>
      </c>
    </row>
    <row r="215">
      <c r="A215" s="52" t="n">
        <v>46282</v>
      </c>
      <c r="B215" t="inlineStr">
        <is>
          <t>Septiembre</t>
        </is>
      </c>
      <c r="C215" t="inlineStr">
        <is>
          <t>Pago de resumen TC</t>
        </is>
      </c>
      <c r="D215" t="inlineStr">
        <is>
          <t>Pagaste una parte del resumen de tu tarjeta · Gmail</t>
        </is>
      </c>
      <c r="E215" t="n">
        <v>1000000</v>
      </c>
      <c r="F215" t="inlineStr">
        <is>
          <t>ARS</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row r="31">
      <c r="A31" s="52" t="n">
        <v>46280</v>
      </c>
      <c r="B31" t="inlineStr">
        <is>
          <t>Septiembre</t>
        </is>
      </c>
      <c r="C31" t="inlineStr">
        <is>
          <t>Tarjeta de crédito</t>
        </is>
      </c>
      <c r="D31" t="n">
        <v>1214000</v>
      </c>
      <c r="E31" t="inlineStr">
        <is>
          <t>Mercado Pago</t>
        </is>
      </c>
      <c r="F31" t="inlineStr">
        <is>
          <t>Pago parcial resumen · Gmail · espejo MP No Gasto</t>
        </is>
      </c>
    </row>
    <row r="32">
      <c r="A32" s="52" t="n">
        <v>46282</v>
      </c>
      <c r="B32" t="inlineStr">
        <is>
          <t>Septiembre</t>
        </is>
      </c>
      <c r="C32" t="inlineStr">
        <is>
          <t>Tarjeta de crédito</t>
        </is>
      </c>
      <c r="D32" t="n">
        <v>1000000</v>
      </c>
      <c r="E32" t="inlineStr">
        <is>
          <t>Mercado Pago</t>
        </is>
      </c>
      <c r="F32" t="inlineStr">
        <is>
          <t>Pago parcial resumen · Gmail · espejo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v>46244</v>
      </c>
      <c r="B48" s="14" t="inlineStr">
        <is>
          <t>Julio</t>
        </is>
      </c>
      <c r="C48" s="14" t="inlineStr">
        <is>
          <t>Consorcio De Propiet</t>
        </is>
      </c>
      <c r="D48" s="14" t="inlineStr">
        <is>
          <t>CIUDAD 1132</t>
        </is>
      </c>
      <c r="E48" s="15" t="n">
        <v>300850</v>
      </c>
      <c r="F48" s="14" t="inlineStr">
        <is>
          <t>Mercado Pago — Transferencia enviada</t>
        </is>
      </c>
      <c r="G48" s="14" t="inlineStr">
        <is>
          <t>Pago de Expensas · CIUDAD 1132 · Patagonia CBU 0340116900116010765007 / CUIL 30714962473 · período julio 2026 (Gmail Sent 10/08 · op 173005218278)</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5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MOVIDO → Almacén</t>
        </is>
      </c>
      <c r="D31" s="15" t="n"/>
      <c r="E31" s="14" t="n"/>
      <c r="F31" s="14" t="inlineStr">
        <is>
          <t>SUPERSEDE · Pescadería Belgrano / Andres Javier Di Pasqua $12426 → Almacen Detalle · Septiembre AJUSTE (origen no rendido por error)</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MOVIDO → Almacén</t>
        </is>
      </c>
      <c r="D57" s="15" t="n"/>
      <c r="E57" s="14" t="n"/>
      <c r="F57" s="14" t="inlineStr">
        <is>
          <t>SUPERSEDE · Pescadería Belgrano / Andres Javier Di Pasqua $24852 → Almacen Detalle · Septiembre AJUSTE (origen no rendido por error)</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MOVIDO → Almacén</t>
        </is>
      </c>
      <c r="D155" s="26" t="n"/>
      <c r="F155" t="inlineStr">
        <is>
          <t>SUPERSEDE · Pescadería Belgrano $24852 → Almacen Detalle · Septiembre AJUSTE · COMIDA · Pescadería Belgrano (no GPS)</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MOVIDO → Almacén</t>
        </is>
      </c>
      <c r="D173" s="26" t="n"/>
      <c r="F173" t="inlineStr">
        <is>
          <t>SUPERSEDE · Pescadería Belgrano $32046 → Almacen Detalle · Septiembre AJUSTE · COMIDA · Pescadería Belgrano (no GPS)</t>
        </is>
      </c>
    </row>
    <row r="174">
      <c r="A174" s="54" t="n">
        <v>46175</v>
      </c>
      <c r="B174" t="inlineStr">
        <is>
          <t>Junio</t>
        </is>
      </c>
      <c r="C174" t="inlineStr">
        <is>
          <t>Courier</t>
        </is>
      </c>
      <c r="D174" s="26" t="n">
        <v>22500</v>
      </c>
      <c r="E174" t="inlineStr">
        <is>
          <t>Mercado Pago</t>
        </is>
      </c>
      <c r="F174" t="inlineStr">
        <is>
          <t>Courier · Correo Oficial · Gmail Pago aprobado · $22.500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Courier</t>
        </is>
      </c>
      <c r="D182" s="26" t="n">
        <v>48000</v>
      </c>
      <c r="E182" t="inlineStr">
        <is>
          <t>Mercado Pago</t>
        </is>
      </c>
      <c r="F182" t="inlineStr">
        <is>
          <t>Courier · Correo Oficial · Gmail Pago aprobado · $48.000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Courier</t>
        </is>
      </c>
      <c r="D842" t="n">
        <v>24000</v>
      </c>
      <c r="E842" t="inlineStr">
        <is>
          <t>Mercado Pago</t>
        </is>
      </c>
      <c r="F842" t="inlineStr">
        <is>
          <t>Courier · Correo Oficial · Gmail Pago aprobado · $24.000 · gasto personal Sol</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MOVIDO → Almacén</t>
        </is>
      </c>
      <c r="F861" t="inlineStr">
        <is>
          <t>SUPERSEDE · DR BARF / Gibiana Cova → Almacen Detalle · RAMON · Comida (no GPS)</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row r="944">
      <c r="A944" s="52" t="n">
        <v>46237</v>
      </c>
      <c r="B944" t="inlineStr">
        <is>
          <t>Agosto</t>
        </is>
      </c>
      <c r="C944" t="inlineStr">
        <is>
          <t>COMIDA · Oficina</t>
        </is>
      </c>
      <c r="D944" t="n">
        <v>11010</v>
      </c>
      <c r="E944" t="inlineStr">
        <is>
          <t>Mercado Pago</t>
        </is>
      </c>
      <c r="F944" t="inlineStr">
        <is>
          <t>COMIDA · Oficina · Copetin Catering · Gmail Pago aprobado</t>
        </is>
      </c>
    </row>
    <row r="945">
      <c r="A945" s="52" t="n">
        <v>46239</v>
      </c>
      <c r="B945" t="inlineStr">
        <is>
          <t>Agosto</t>
        </is>
      </c>
      <c r="C945" t="inlineStr">
        <is>
          <t>VESTIMENTA</t>
        </is>
      </c>
      <c r="D945" t="n">
        <v>152000</v>
      </c>
      <c r="E945" t="inlineStr">
        <is>
          <t>Mercado Pago</t>
        </is>
      </c>
      <c r="F945" t="inlineStr">
        <is>
          <t>VESTIMENTA · Renová tu vestidor · Gmail Pago aprobado · gasto personal Sol</t>
        </is>
      </c>
    </row>
    <row r="946">
      <c r="A946" s="52" t="n">
        <v>46243</v>
      </c>
      <c r="B946" t="inlineStr">
        <is>
          <t>Agosto</t>
        </is>
      </c>
      <c r="C946" t="inlineStr">
        <is>
          <t>SALUD</t>
        </is>
      </c>
      <c r="D946" t="n">
        <v>22222</v>
      </c>
      <c r="E946" t="inlineStr">
        <is>
          <t>Mercado Pago</t>
        </is>
      </c>
      <c r="F946" t="inlineStr">
        <is>
          <t>SALUD · Siendo Consciencia · Gmail Pago aprobado · REVISAR ítem</t>
        </is>
      </c>
    </row>
    <row r="947">
      <c r="A947" s="52" t="n">
        <v>46243</v>
      </c>
      <c r="B947" t="inlineStr">
        <is>
          <t>Agosto</t>
        </is>
      </c>
      <c r="C947" t="inlineStr">
        <is>
          <t>SALUD</t>
        </is>
      </c>
      <c r="D947" t="n">
        <v>24000</v>
      </c>
      <c r="E947" t="inlineStr">
        <is>
          <t>Mercado Pago</t>
        </is>
      </c>
      <c r="F947" t="inlineStr">
        <is>
          <t>SALUD · Lorena Ferreyra · Gmail Pago aprobado · REVISAR ítem</t>
        </is>
      </c>
    </row>
    <row r="948">
      <c r="A948" s="52" t="n">
        <v>46243</v>
      </c>
      <c r="B948" t="inlineStr">
        <is>
          <t>Agosto</t>
        </is>
      </c>
      <c r="C948" t="inlineStr">
        <is>
          <t>SALUD</t>
        </is>
      </c>
      <c r="D948" t="n">
        <v>75000</v>
      </c>
      <c r="E948" t="inlineStr">
        <is>
          <t>Mercado Pago</t>
        </is>
      </c>
      <c r="F948" t="inlineStr">
        <is>
          <t>SALUD · Lorena Ferreyra · Gmail Pago aprobado · REVISAR ítem</t>
        </is>
      </c>
    </row>
    <row r="949">
      <c r="A949" s="52" t="n">
        <v>46244</v>
      </c>
      <c r="B949" t="inlineStr">
        <is>
          <t>Agosto</t>
        </is>
      </c>
      <c r="C949" t="inlineStr">
        <is>
          <t>SALUD</t>
        </is>
      </c>
      <c r="D949" t="n">
        <v>356000</v>
      </c>
      <c r="E949" t="inlineStr">
        <is>
          <t>BBVA Crédito ****3200</t>
        </is>
      </c>
      <c r="F949" t="inlineStr">
        <is>
          <t>SALUD · Reiki · Gmail Pago aprobado · gasto personal Sol</t>
        </is>
      </c>
    </row>
    <row r="950">
      <c r="A950" s="52" t="n">
        <v>46244</v>
      </c>
      <c r="B950" t="inlineStr">
        <is>
          <t>Agosto</t>
        </is>
      </c>
      <c r="C950" t="inlineStr">
        <is>
          <t>COMIDA · Oficina</t>
        </is>
      </c>
      <c r="D950" t="n">
        <v>13600</v>
      </c>
      <c r="E950" t="inlineStr">
        <is>
          <t>TC Mercado Pago</t>
        </is>
      </c>
      <c r="F950" t="inlineStr">
        <is>
          <t>COMIDA · Oficina · Copetin Catering · Gmail Pago aprobado</t>
        </is>
      </c>
    </row>
    <row r="951">
      <c r="A951" s="52" t="n">
        <v>46255</v>
      </c>
      <c r="B951" t="inlineStr">
        <is>
          <t>Agosto</t>
        </is>
      </c>
      <c r="C951" t="inlineStr">
        <is>
          <t>SALUD</t>
        </is>
      </c>
      <c r="D951" t="n">
        <v>27000</v>
      </c>
      <c r="E951" t="inlineStr">
        <is>
          <t>Mercado Pago</t>
        </is>
      </c>
      <c r="F951" t="inlineStr">
        <is>
          <t>SALUD · Karen · Gmail Pago aprobado · REVISAR ítem</t>
        </is>
      </c>
    </row>
    <row r="952">
      <c r="A952" s="52" t="n">
        <v>46262</v>
      </c>
      <c r="B952" t="inlineStr">
        <is>
          <t>Agosto</t>
        </is>
      </c>
      <c r="C952" t="inlineStr">
        <is>
          <t>EDUCACIÓN</t>
        </is>
      </c>
      <c r="D952" t="n">
        <v>30000</v>
      </c>
      <c r="E952" t="inlineStr">
        <is>
          <t>Mercado Pago</t>
        </is>
      </c>
      <c r="F952" t="inlineStr">
        <is>
          <t>EDUCACIÓN · Bitgenia · Gmail Pago aprobado · gasto personal Sol</t>
        </is>
      </c>
    </row>
    <row r="953">
      <c r="A953" s="52" t="n">
        <v>46235</v>
      </c>
      <c r="B953" t="inlineStr">
        <is>
          <t>Agosto</t>
        </is>
      </c>
      <c r="C953" t="inlineStr">
        <is>
          <t>MOVIDO → Almacén</t>
        </is>
      </c>
      <c r="F953" t="inlineStr">
        <is>
          <t>SUPERSEDE · DR BARF / Gibiana Cova → Almacen Detalle · RAMON · Comida (no GPS)</t>
        </is>
      </c>
    </row>
    <row r="954">
      <c r="A954" s="52" t="n">
        <v>46299</v>
      </c>
      <c r="B954" t="inlineStr">
        <is>
          <t>Octubre</t>
        </is>
      </c>
      <c r="C954" t="inlineStr">
        <is>
          <t>FARMACIA SALUD</t>
        </is>
      </c>
      <c r="D954" t="n">
        <v>17038</v>
      </c>
      <c r="E954" t="inlineStr">
        <is>
          <t>Mercado Pago</t>
        </is>
      </c>
      <c r="F954" t="inlineStr">
        <is>
          <t>FARMACIA SALUD · Hiperfarmaceutica Temperley · Gmail Pago aprobado</t>
        </is>
      </c>
    </row>
    <row r="955">
      <c r="A955" s="52" t="n">
        <v>46300</v>
      </c>
      <c r="B955" t="inlineStr">
        <is>
          <t>Octubre</t>
        </is>
      </c>
      <c r="C955" t="inlineStr">
        <is>
          <t>VIAJES</t>
        </is>
      </c>
      <c r="D955" t="n">
        <v>1430000</v>
      </c>
      <c r="E955" t="inlineStr">
        <is>
          <t>TC Mercado Pago</t>
        </is>
      </c>
      <c r="F955" t="inlineStr">
        <is>
          <t>VIAJES · regalo Chris Cumple 50 · MARPATAG SRL · Gmail Pago aprobado · gasto personal Sol</t>
        </is>
      </c>
    </row>
    <row r="956">
      <c r="A956" s="52" t="n">
        <v>46304</v>
      </c>
      <c r="B956" t="inlineStr">
        <is>
          <t>Octubre</t>
        </is>
      </c>
      <c r="C956" t="inlineStr">
        <is>
          <t>PELUQUERÍA</t>
        </is>
      </c>
      <c r="D956" t="n">
        <v>7000</v>
      </c>
      <c r="E956" t="inlineStr">
        <is>
          <t>Mercado Pago</t>
        </is>
      </c>
      <c r="F956" t="inlineStr">
        <is>
          <t>PELUQUERÍA · Soy lashista · Gmail Pago aprobado (2 mails mismo monto; se carga 1)</t>
        </is>
      </c>
    </row>
    <row r="957">
      <c r="A957" s="52" t="n">
        <v>46306</v>
      </c>
      <c r="B957" t="inlineStr">
        <is>
          <t>Octubre</t>
        </is>
      </c>
      <c r="C957" t="inlineStr">
        <is>
          <t>VIAJES</t>
        </is>
      </c>
      <c r="D957" t="n">
        <v>1143000</v>
      </c>
      <c r="E957" t="inlineStr">
        <is>
          <t>BBVA Crédito ****3200</t>
        </is>
      </c>
      <c r="F957" t="inlineStr">
        <is>
          <t>VIAJES · regalo Chris Cumple 50 · Patagonia Chic Excursiones · Gmail Pago aprobado · 1 cuota · gasto personal Sol</t>
        </is>
      </c>
    </row>
    <row r="958">
      <c r="A958" s="52" t="n">
        <v>46254</v>
      </c>
      <c r="B958" t="inlineStr">
        <is>
          <t>Agosto</t>
        </is>
      </c>
      <c r="C958" t="inlineStr">
        <is>
          <t>Courier</t>
        </is>
      </c>
      <c r="D958" t="n">
        <v>24000</v>
      </c>
      <c r="E958" t="inlineStr">
        <is>
          <t>Mercado Pago</t>
        </is>
      </c>
      <c r="F958" t="inlineStr">
        <is>
          <t>Courier · Correo Oficial · Gmail Pago aprobado · $24.000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2026-10-12T22:22:25Z</dcterms:modified>
</cp:coreProperties>
</file>
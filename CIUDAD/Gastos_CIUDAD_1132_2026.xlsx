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n"/>
      <c r="B16" s="17" t="n"/>
      <c r="C16" s="14" t="n"/>
      <c r="D16" s="27" t="n"/>
      <c r="E16" s="28" t="n"/>
      <c r="F16" s="15">
        <f>IF(OR(D16&lt;&gt;"",E16&lt;&gt;""),IF(D16="",0,D16)+IF(E16="",0,E16),"")</f>
        <v/>
      </c>
      <c r="G16" s="14" t="n"/>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c r="C225" s="14" t="n"/>
      <c r="D225" s="27" t="n"/>
      <c r="E225" s="28" t="n"/>
      <c r="F225" s="15">
        <f>IF(OR(D225&lt;&gt;"",E225&lt;&gt;""),IF(D225="",0,D225)+IF(E225="",0,E225),"")</f>
        <v/>
      </c>
      <c r="G225" s="14" t="n"/>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0"/>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46162</v>
      </c>
      <c r="B829" t="inlineStr">
        <is>
          <t>Mayo</t>
        </is>
      </c>
      <c r="C829" t="inlineStr">
        <is>
          <t>ENTRETENIMIENTO · Cine</t>
        </is>
      </c>
      <c r="D829" t="n">
        <v>62200</v>
      </c>
      <c r="E829" t="inlineStr">
        <is>
          <t>BBVA MASTERCARD</t>
        </is>
      </c>
      <c r="F829" t="inlineStr">
        <is>
          <t>ENTRETENIMIENTO · Cine · Hoyts · BBVA MASTERCARD · gasto personal Sol · ex ALMACEN SOL</t>
        </is>
      </c>
    </row>
    <row r="830">
      <c r="A830" s="52" t="n">
        <v>46144</v>
      </c>
      <c r="B830" t="inlineStr">
        <is>
          <t>Mayo</t>
        </is>
      </c>
      <c r="C830" t="inlineStr">
        <is>
          <t>ENTRETENIMIENTO · Cenas</t>
        </is>
      </c>
      <c r="D830" t="n">
        <v>30133</v>
      </c>
      <c r="E830" t="inlineStr">
        <is>
          <t>Mercado Pago</t>
        </is>
      </c>
      <c r="F830" t="inlineStr">
        <is>
          <t>ENTRETENIMIENTO · Cenas · Cosi Mi Piace (cena) · Mercado Pago · ALMACEN SOL · gasto personal Sol · ex ALMACEN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2026-08-06T23:20:26Z</dcterms:modified>
</cp:coreProperties>
</file>
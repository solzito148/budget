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9"/>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Pago de resumen TC · Pago de deuda MP · Inversión (bonos/PF/fondos; NO venta/compra USD). NUNCA van a Almacen Detalle ni suman gastos. ELIMINAR siempre (no cargar): Reserva automática, Dinero reservado, Venta de dólares.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 (ELIMINAR — no cargar)</t>
        </is>
      </c>
      <c r="B7">
        <f>COUNTIF($C$24:$C$500,A7)</f>
        <v/>
      </c>
      <c r="C7" s="26">
        <f>SUMIF($C$24:$C$500,A7,$E$24:$E$500)</f>
        <v/>
      </c>
    </row>
    <row r="8">
      <c r="A8" t="inlineStr">
        <is>
          <t>Dinero reservado (ELIMINAR — no cargar)</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Dinero retirado / Pago de resumen / Pago de deuda MP / Inversión (bonos, PF, fondos) → registrar en esta hoja (y espejo Dinero Retirado / Inversión / Pago de Tarjetas). Reserva automática, Dinero reservado y Venta de dólares → ELIMINAR / no catalogar / no cargar.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Dinero retirado</t>
        </is>
      </c>
      <c r="D26" t="inlineStr">
        <is>
          <t>Gastos</t>
        </is>
      </c>
      <c r="E26" s="26" t="n">
        <v>845</v>
      </c>
      <c r="F26" t="inlineStr">
        <is>
          <t>USD</t>
        </is>
      </c>
      <c r="G26" t="inlineStr">
        <is>
          <t>Mercado Pago</t>
        </is>
      </c>
      <c r="H26" t="inlineStr">
        <is>
          <t>Dinero retirado · + US$844.37 → ceil 845</t>
        </is>
      </c>
    </row>
    <row r="27">
      <c r="A27" s="52" t="n">
        <v>46221</v>
      </c>
      <c r="B27" t="inlineStr">
        <is>
          <t>Julio</t>
        </is>
      </c>
      <c r="C27" t="inlineStr">
        <is>
          <t>Dinero retirado</t>
        </is>
      </c>
      <c r="D27" t="inlineStr">
        <is>
          <t>Susi</t>
        </is>
      </c>
      <c r="E27" s="26" t="n">
        <v>120000</v>
      </c>
      <c r="F27" t="inlineStr">
        <is>
          <t>ARS</t>
        </is>
      </c>
      <c r="G27" t="inlineStr">
        <is>
          <t>Mercado Pago</t>
        </is>
      </c>
      <c r="H27" t="inlineStr">
        <is>
          <t>Dinero retirado · +</t>
        </is>
      </c>
    </row>
    <row r="28">
      <c r="A28" s="52" t="n">
        <v>46221</v>
      </c>
      <c r="B28" t="inlineStr">
        <is>
          <t>Julio</t>
        </is>
      </c>
      <c r="C28" t="inlineStr">
        <is>
          <t>Dinero retirado</t>
        </is>
      </c>
      <c r="D28" t="inlineStr">
        <is>
          <t>AVA</t>
        </is>
      </c>
      <c r="E28" s="26" t="n">
        <v>36813</v>
      </c>
      <c r="F28" t="inlineStr">
        <is>
          <t>ARS</t>
        </is>
      </c>
      <c r="G28" t="inlineStr">
        <is>
          <t>Mercado Pago</t>
        </is>
      </c>
      <c r="H28" t="inlineStr">
        <is>
          <t>Dinero retirado · + · ceil 36812.97</t>
        </is>
      </c>
    </row>
    <row r="29">
      <c r="A29" s="52" t="n">
        <v>46221</v>
      </c>
      <c r="B29" t="inlineStr">
        <is>
          <t>Julio</t>
        </is>
      </c>
      <c r="C29" t="inlineStr">
        <is>
          <t>Dinero retirado</t>
        </is>
      </c>
      <c r="D29" t="inlineStr">
        <is>
          <t>Susi</t>
        </is>
      </c>
      <c r="E29" s="26" t="n">
        <v>1</v>
      </c>
      <c r="F29" t="inlineStr">
        <is>
          <t>ARS</t>
        </is>
      </c>
      <c r="G29" t="inlineStr">
        <is>
          <t>Mercado Pago</t>
        </is>
      </c>
      <c r="H29" t="inlineStr">
        <is>
          <t>Dinero retirado · +</t>
        </is>
      </c>
    </row>
    <row r="30">
      <c r="A30" s="52" t="n">
        <v>46221</v>
      </c>
      <c r="B30" t="inlineStr">
        <is>
          <t>Julio</t>
        </is>
      </c>
      <c r="C30" t="inlineStr">
        <is>
          <t>Pago de deuda MP</t>
        </is>
      </c>
      <c r="D30" t="inlineStr">
        <is>
          <t>Mercado Pago</t>
        </is>
      </c>
      <c r="E30" s="26" t="n">
        <v>147660</v>
      </c>
      <c r="F30" t="inlineStr">
        <is>
          <t>ARS</t>
        </is>
      </c>
      <c r="G30" t="inlineStr">
        <is>
          <t>Mercado Pago</t>
        </is>
      </c>
      <c r="H30" t="inlineStr">
        <is>
          <t>Pago de deuda · − · pareado con retiro Susi 147660 · NUNCA almacén</t>
        </is>
      </c>
    </row>
    <row r="31">
      <c r="A31" s="52" t="n">
        <v>46221</v>
      </c>
      <c r="B31" t="inlineStr">
        <is>
          <t>Julio</t>
        </is>
      </c>
      <c r="C31" t="inlineStr">
        <is>
          <t>Dinero retirado</t>
        </is>
      </c>
      <c r="D31" t="inlineStr">
        <is>
          <t>Susi</t>
        </is>
      </c>
      <c r="E31" s="26" t="n">
        <v>147660</v>
      </c>
      <c r="F31" t="inlineStr">
        <is>
          <t>ARS</t>
        </is>
      </c>
      <c r="G31" t="inlineStr">
        <is>
          <t>Mercado Pago</t>
        </is>
      </c>
      <c r="H31" t="inlineStr">
        <is>
          <t>Dinero retirado · + · pareado pago deuda / Susana</t>
        </is>
      </c>
    </row>
    <row r="32">
      <c r="A32" s="52" t="n">
        <v>46221</v>
      </c>
      <c r="B32" t="inlineStr">
        <is>
          <t>Julio</t>
        </is>
      </c>
      <c r="C32" t="inlineStr">
        <is>
          <t>Pago de deuda MP</t>
        </is>
      </c>
      <c r="D32" t="inlineStr">
        <is>
          <t>Mercado Pago</t>
        </is>
      </c>
      <c r="E32" s="26" t="n">
        <v>60000</v>
      </c>
      <c r="F32" t="inlineStr">
        <is>
          <t>ARS</t>
        </is>
      </c>
      <c r="G32" t="inlineStr">
        <is>
          <t>Mercado Pago</t>
        </is>
      </c>
      <c r="H32" t="inlineStr">
        <is>
          <t>Pago de deuda · − · NUNCA almacén</t>
        </is>
      </c>
    </row>
    <row r="33">
      <c r="A33" s="52" t="n">
        <v>46221</v>
      </c>
      <c r="B33" t="inlineStr">
        <is>
          <t>Julio</t>
        </is>
      </c>
      <c r="C33" t="inlineStr">
        <is>
          <t>Dinero retirado</t>
        </is>
      </c>
      <c r="D33" t="inlineStr">
        <is>
          <t>Susi</t>
        </is>
      </c>
      <c r="E33" s="26" t="n">
        <v>60000</v>
      </c>
      <c r="F33" t="inlineStr">
        <is>
          <t>ARS</t>
        </is>
      </c>
      <c r="G33" t="inlineStr">
        <is>
          <t>Mercado Pago</t>
        </is>
      </c>
      <c r="H33" t="inlineStr">
        <is>
          <t>Dinero retirado · + · pareado pago deuda 60k</t>
        </is>
      </c>
    </row>
    <row r="34">
      <c r="A34" s="52" t="n">
        <v>46221</v>
      </c>
      <c r="B34" t="inlineStr">
        <is>
          <t>Julio</t>
        </is>
      </c>
      <c r="C34" t="inlineStr">
        <is>
          <t>Pago de deuda MP</t>
        </is>
      </c>
      <c r="D34" t="inlineStr">
        <is>
          <t>Mercado Pago</t>
        </is>
      </c>
      <c r="E34" s="26" t="n">
        <v>966</v>
      </c>
      <c r="F34" t="inlineStr">
        <is>
          <t>ARS</t>
        </is>
      </c>
      <c r="G34" t="inlineStr">
        <is>
          <t>Mercado Pago</t>
        </is>
      </c>
      <c r="H34" t="inlineStr">
        <is>
          <t>Pago de deuda · − · ceil 965.70 · NUNCA almacén</t>
        </is>
      </c>
    </row>
    <row r="35">
      <c r="A35" s="52" t="n">
        <v>46220</v>
      </c>
      <c r="B35" t="inlineStr">
        <is>
          <t>Julio</t>
        </is>
      </c>
      <c r="C35" t="inlineStr">
        <is>
          <t>Dinero retirado</t>
        </is>
      </c>
      <c r="D35" t="inlineStr">
        <is>
          <t>Susi</t>
        </is>
      </c>
      <c r="E35" s="26" t="n">
        <v>30000</v>
      </c>
      <c r="F35" t="inlineStr">
        <is>
          <t>ARS</t>
        </is>
      </c>
      <c r="G35" t="inlineStr">
        <is>
          <t>Mercado Pago</t>
        </is>
      </c>
      <c r="H35" t="inlineStr">
        <is>
          <t>Dinero retirado · + · 14:32</t>
        </is>
      </c>
    </row>
    <row r="36">
      <c r="A36" s="52" t="n">
        <v>46218</v>
      </c>
      <c r="B36" t="inlineStr">
        <is>
          <t>Julio</t>
        </is>
      </c>
      <c r="C36" t="inlineStr">
        <is>
          <t>Dinero retirado</t>
        </is>
      </c>
      <c r="D36" t="inlineStr">
        <is>
          <t>Gastos</t>
        </is>
      </c>
      <c r="E36" s="26" t="n">
        <v>500</v>
      </c>
      <c r="F36" t="inlineStr">
        <is>
          <t>USD</t>
        </is>
      </c>
      <c r="G36" t="inlineStr">
        <is>
          <t>Mercado Pago</t>
        </is>
      </c>
      <c r="H36" t="inlineStr">
        <is>
          <t>Dinero retirado · + US$500 · pareado transferencia propia Sanes</t>
        </is>
      </c>
    </row>
    <row r="37">
      <c r="A37" s="52" t="n">
        <v>46218</v>
      </c>
      <c r="B37" t="inlineStr">
        <is>
          <t>Julio</t>
        </is>
      </c>
      <c r="C37" t="inlineStr">
        <is>
          <t>Pago de resumen TC</t>
        </is>
      </c>
      <c r="D37" t="inlineStr">
        <is>
          <t>Tarjeta de crédito</t>
        </is>
      </c>
      <c r="E37" s="26" t="n">
        <v>576242</v>
      </c>
      <c r="F37" t="inlineStr">
        <is>
          <t>ARS</t>
        </is>
      </c>
      <c r="G37" t="inlineStr">
        <is>
          <t>Mercado Pago</t>
        </is>
      </c>
      <c r="H37" t="inlineStr">
        <is>
          <t>Pago de resumen · − · ceil 576241.18 · NUNCA almacén / no gasto nuevo</t>
        </is>
      </c>
    </row>
    <row r="38">
      <c r="A38" s="52" t="n">
        <v>46218</v>
      </c>
      <c r="B38" t="inlineStr">
        <is>
          <t>Julio</t>
        </is>
      </c>
      <c r="C38" t="inlineStr">
        <is>
          <t>Inversión</t>
        </is>
      </c>
      <c r="D38" t="inlineStr">
        <is>
          <t>Bonos, plazos fijos y más</t>
        </is>
      </c>
      <c r="E38" s="26" t="n">
        <v>1000000</v>
      </c>
      <c r="F38" t="inlineStr">
        <is>
          <t>ARS</t>
        </is>
      </c>
      <c r="G38" t="inlineStr">
        <is>
          <t>Mercado Pago</t>
        </is>
      </c>
      <c r="H38" t="inlineStr">
        <is>
          <t>Inversión · − · NUNCA almacén</t>
        </is>
      </c>
    </row>
    <row r="39">
      <c r="A39" s="52" t="n"/>
      <c r="E39" s="26" t="n"/>
    </row>
    <row r="40">
      <c r="A40" s="52" t="n"/>
      <c r="E40" s="26" t="n"/>
    </row>
    <row r="41">
      <c r="A41" s="52" t="n"/>
      <c r="E41" s="26" t="n"/>
    </row>
    <row r="42">
      <c r="A42" s="52" t="n"/>
      <c r="E42" s="26" t="n"/>
    </row>
    <row r="43">
      <c r="A43" s="52" t="n"/>
      <c r="E43" s="26" t="n"/>
    </row>
    <row r="44">
      <c r="A44" s="52" t="n"/>
      <c r="E44" s="26" t="n"/>
    </row>
    <row r="45">
      <c r="A45" s="52" t="n"/>
      <c r="E45" s="26" t="n"/>
    </row>
    <row r="46">
      <c r="A46" s="52" t="n"/>
      <c r="E46" s="26" t="n"/>
    </row>
    <row r="47">
      <c r="A47" s="52" t="n"/>
      <c r="E47" s="26" t="n"/>
    </row>
    <row r="48">
      <c r="A48" s="52" t="n"/>
      <c r="E48" s="26" t="n"/>
    </row>
    <row r="49">
      <c r="A49" s="52" t="n"/>
      <c r="E49" s="26" t="n"/>
    </row>
    <row r="50">
      <c r="A50" s="52" t="n"/>
      <c r="E50" s="26" t="n"/>
    </row>
    <row r="51">
      <c r="A51" s="52" t="n"/>
      <c r="E51" s="26" t="n"/>
    </row>
    <row r="52"/>
    <row r="53"/>
    <row r="54"/>
    <row r="55"/>
    <row r="56"/>
    <row r="57"/>
    <row r="58"/>
    <row r="59"/>
    <row r="60"/>
    <row r="61"/>
    <row r="62"/>
    <row r="63"/>
    <row r="64"/>
    <row r="65"/>
    <row r="66"/>
    <row r="67"/>
    <row r="68"/>
    <row r="69"/>
    <row r="70"/>
    <row r="71"/>
    <row r="72"/>
    <row r="73"/>
    <row r="74"/>
    <row r="75"/>
    <row r="76"/>
    <row r="77"/>
    <row r="78"/>
    <row r="79"/>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46218</v>
      </c>
      <c r="B24" s="14" t="inlineStr">
        <is>
          <t>Julio</t>
        </is>
      </c>
      <c r="C24" s="14" t="inlineStr">
        <is>
          <t>Bonos/PF</t>
        </is>
      </c>
      <c r="D24" s="14" t="inlineStr">
        <is>
          <t>Inversión</t>
        </is>
      </c>
      <c r="E24" s="14" t="inlineStr">
        <is>
          <t>Bonos, plazos fijos y más</t>
        </is>
      </c>
      <c r="F24" s="15" t="n">
        <v>1000000</v>
      </c>
      <c r="G24" s="14" t="inlineStr">
        <is>
          <t>Mercado Pago</t>
        </is>
      </c>
      <c r="H24" s="17" t="n"/>
      <c r="I24" s="37" t="n"/>
      <c r="J24" s="14" t="n"/>
    </row>
    <row r="25">
      <c r="A25" s="17" t="n"/>
      <c r="B25" s="14" t="n"/>
      <c r="C25" s="14" t="n"/>
      <c r="D25" s="14" t="n"/>
      <c r="E25" s="14" t="n"/>
      <c r="F25" s="15" t="n"/>
      <c r="G25" s="14" t="n"/>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2026-07-23T19:32:54Z</dcterms:modified>
</cp:coreProperties>
</file>
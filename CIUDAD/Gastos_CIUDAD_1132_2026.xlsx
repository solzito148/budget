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v>46153</v>
      </c>
      <c r="C205" s="14" t="inlineStr">
        <is>
          <t>COMIDA · Pescadería Belgrano</t>
        </is>
      </c>
      <c r="D205" s="27" t="n">
        <v>24852</v>
      </c>
      <c r="E205" s="28" t="n"/>
      <c r="F205" s="15">
        <f>IF(OR(D205&lt;&gt;"",E205&lt;&gt;""),IF(D205="",0,D205)+IF(E205="",0,E205),"")</f>
        <v/>
      </c>
      <c r="G205" s="14" t="inlineStr">
        <is>
          <t>Gmail MP · COMIDA · Pescadería Belgrano · dinero disponible</t>
        </is>
      </c>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v>46175</v>
      </c>
      <c r="C253" s="14" t="inlineStr">
        <is>
          <t>COMIDA · Pescadería Belgrano</t>
        </is>
      </c>
      <c r="D253" s="27" t="n">
        <v>32046</v>
      </c>
      <c r="E253" s="28" t="n"/>
      <c r="F253" s="15">
        <f>IF(OR(D253&lt;&gt;"",E253&lt;&gt;""),IF(D253="",0,D253)+IF(E253="",0,E253),"")</f>
        <v/>
      </c>
      <c r="G253" s="14" t="inlineStr">
        <is>
          <t>Gmail MP · COMIDA · Pescadería Belgrano · dinero disponible</t>
        </is>
      </c>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17" t="n">
        <v>46269</v>
      </c>
      <c r="C356" s="14" t="inlineStr">
        <is>
          <t>COMIDA · Pescadería Belgrano</t>
        </is>
      </c>
      <c r="D356" s="27" t="n">
        <v>6213</v>
      </c>
      <c r="E356" s="28" t="n"/>
      <c r="F356" s="15">
        <f>IF(OR(D356&lt;&gt;"",E356&lt;&gt;""),IF(D356="",0,D356)+IF(E356="",0,E356),"")</f>
        <v/>
      </c>
      <c r="G356" s="14" t="inlineStr">
        <is>
          <t>Gmail MP · COMIDA · Pescadería Belgrano · dinero disponible</t>
        </is>
      </c>
    </row>
    <row r="357">
      <c r="A357" s="14" t="inlineStr">
        <is>
          <t>Septiembre</t>
        </is>
      </c>
      <c r="B357" s="17" t="n">
        <v>46273</v>
      </c>
      <c r="C357" s="14" t="inlineStr">
        <is>
          <t>REPUESTOS · Sodastream</t>
        </is>
      </c>
      <c r="D357" s="27" t="n">
        <v>88659</v>
      </c>
      <c r="E357" s="28" t="n"/>
      <c r="F357" s="15">
        <f>IF(OR(D357&lt;&gt;"",E357&lt;&gt;""),IF(D357="",0,D357)+IF(E357="",0,E357),"")</f>
        <v/>
      </c>
      <c r="G357" s="14" t="inlineStr">
        <is>
          <t>Gmail MP · REPUESTOS · Sodastream · dinero disponible</t>
        </is>
      </c>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50"/>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46237</v>
      </c>
      <c r="B829" t="inlineStr">
        <is>
          <t>Agosto</t>
        </is>
      </c>
      <c r="C829" t="inlineStr">
        <is>
          <t>COMIDA · Oficina</t>
        </is>
      </c>
      <c r="D829" t="n">
        <v>11010</v>
      </c>
      <c r="E829" t="inlineStr">
        <is>
          <t>Mercado Pago</t>
        </is>
      </c>
      <c r="F829" t="inlineStr">
        <is>
          <t>COMIDA · Oficina · Copetin Catering · Gmail MP · gasto personal Sol</t>
        </is>
      </c>
    </row>
    <row r="830">
      <c r="A830" s="52" t="n">
        <v>46244</v>
      </c>
      <c r="B830" t="inlineStr">
        <is>
          <t>Agosto</t>
        </is>
      </c>
      <c r="C830" t="inlineStr">
        <is>
          <t>COMIDA · Oficina</t>
        </is>
      </c>
      <c r="D830" t="n">
        <v>13600</v>
      </c>
      <c r="E830" t="inlineStr">
        <is>
          <t>Mercado Pago</t>
        </is>
      </c>
      <c r="F830" t="inlineStr">
        <is>
          <t>COMIDA · Oficina · Copetin Catering · Gmail MP · gasto personal Sol</t>
        </is>
      </c>
    </row>
    <row r="831">
      <c r="A831" s="52" t="n">
        <v>46267</v>
      </c>
      <c r="B831" t="inlineStr">
        <is>
          <t>Septiembre</t>
        </is>
      </c>
      <c r="C831" t="inlineStr">
        <is>
          <t>COMIDA · Oficina</t>
        </is>
      </c>
      <c r="D831" t="n">
        <v>4080</v>
      </c>
      <c r="E831" t="inlineStr">
        <is>
          <t>Mercado Pago</t>
        </is>
      </c>
      <c r="F831" t="inlineStr">
        <is>
          <t>COMIDA · Oficina · Copetin Catering · Gmail MP · gasto personal Sol</t>
        </is>
      </c>
    </row>
    <row r="832">
      <c r="A832" s="52" t="n">
        <v>46235</v>
      </c>
      <c r="B832" t="inlineStr">
        <is>
          <t>Agosto</t>
        </is>
      </c>
      <c r="C832" t="inlineStr">
        <is>
          <t>COMPRAS</t>
        </is>
      </c>
      <c r="D832" t="n">
        <v>350580</v>
      </c>
      <c r="E832" t="inlineStr">
        <is>
          <t>Mercado Pago</t>
        </is>
      </c>
      <c r="F832" t="inlineStr">
        <is>
          <t>COMPRAS · CENTRAL STORE · Gmail MP · REVISAR · gasto personal Sol</t>
        </is>
      </c>
    </row>
    <row r="833">
      <c r="A833" s="52" t="n">
        <v>46235</v>
      </c>
      <c r="B833" t="inlineStr">
        <is>
          <t>Agosto</t>
        </is>
      </c>
      <c r="C833" t="inlineStr">
        <is>
          <t>COMPRAS</t>
        </is>
      </c>
      <c r="D833" t="n">
        <v>176000</v>
      </c>
      <c r="E833" t="inlineStr">
        <is>
          <t>BBVA Crédito</t>
        </is>
      </c>
      <c r="F833" t="inlineStr">
        <is>
          <t>COMPRAS · Gibiana Cova · Gmail MP · BBVA 1 cuota · gasto personal Sol</t>
        </is>
      </c>
    </row>
    <row r="834">
      <c r="A834" s="52" t="n">
        <v>46239</v>
      </c>
      <c r="B834" t="inlineStr">
        <is>
          <t>Agosto</t>
        </is>
      </c>
      <c r="C834" t="inlineStr">
        <is>
          <t>VESTIMENTA</t>
        </is>
      </c>
      <c r="D834" t="n">
        <v>152000</v>
      </c>
      <c r="E834" t="inlineStr">
        <is>
          <t>Mercado Pago</t>
        </is>
      </c>
      <c r="F834" t="inlineStr">
        <is>
          <t>VESTIMENTA · Renová tu vestidor · Gmail MP · gasto personal Sol</t>
        </is>
      </c>
    </row>
    <row r="835">
      <c r="A835" s="52" t="n">
        <v>46243</v>
      </c>
      <c r="B835" t="inlineStr">
        <is>
          <t>Agosto</t>
        </is>
      </c>
      <c r="C835" t="inlineStr">
        <is>
          <t>SALUD</t>
        </is>
      </c>
      <c r="D835" t="n">
        <v>22222</v>
      </c>
      <c r="E835" t="inlineStr">
        <is>
          <t>Mercado Pago</t>
        </is>
      </c>
      <c r="F835" t="inlineStr">
        <is>
          <t>SALUD · Siendo Consciencia · Gmail MP · REVISAR · gasto personal Sol</t>
        </is>
      </c>
    </row>
    <row r="836">
      <c r="A836" s="52" t="n">
        <v>46243</v>
      </c>
      <c r="B836" t="inlineStr">
        <is>
          <t>Agosto</t>
        </is>
      </c>
      <c r="C836" t="inlineStr">
        <is>
          <t>COMPRAS</t>
        </is>
      </c>
      <c r="D836" t="n">
        <v>24000</v>
      </c>
      <c r="E836" t="inlineStr">
        <is>
          <t>Mercado Pago</t>
        </is>
      </c>
      <c r="F836" t="inlineStr">
        <is>
          <t>COMPRAS · Lorena Ferreyra · Gmail MP · REVISAR · gasto personal Sol</t>
        </is>
      </c>
    </row>
    <row r="837">
      <c r="A837" s="52" t="n">
        <v>46243</v>
      </c>
      <c r="B837" t="inlineStr">
        <is>
          <t>Agosto</t>
        </is>
      </c>
      <c r="C837" t="inlineStr">
        <is>
          <t>COMPRAS</t>
        </is>
      </c>
      <c r="D837" t="n">
        <v>75000</v>
      </c>
      <c r="E837" t="inlineStr">
        <is>
          <t>Mercado Pago</t>
        </is>
      </c>
      <c r="F837" t="inlineStr">
        <is>
          <t>COMPRAS · Lorena Ferreyra · Gmail MP · REVISAR · gasto personal Sol</t>
        </is>
      </c>
    </row>
    <row r="838">
      <c r="A838" s="52" t="n">
        <v>46244</v>
      </c>
      <c r="B838" t="inlineStr">
        <is>
          <t>Agosto</t>
        </is>
      </c>
      <c r="C838" t="inlineStr">
        <is>
          <t>SALUD</t>
        </is>
      </c>
      <c r="D838" t="n">
        <v>356000</v>
      </c>
      <c r="E838" t="inlineStr">
        <is>
          <t>BBVA Crédito</t>
        </is>
      </c>
      <c r="F838" t="inlineStr">
        <is>
          <t>SALUD · Reiki · Gmail MP · BBVA 1 cuota · gasto personal Sol</t>
        </is>
      </c>
    </row>
    <row r="839">
      <c r="A839" s="52" t="n">
        <v>46255</v>
      </c>
      <c r="B839" t="inlineStr">
        <is>
          <t>Agosto</t>
        </is>
      </c>
      <c r="C839" t="inlineStr">
        <is>
          <t>COMPRAS</t>
        </is>
      </c>
      <c r="D839" t="n">
        <v>27000</v>
      </c>
      <c r="E839" t="inlineStr">
        <is>
          <t>Mercado Pago</t>
        </is>
      </c>
      <c r="F839" t="inlineStr">
        <is>
          <t>COMPRAS · Karen · Gmail MP · REVISAR · gasto personal Sol</t>
        </is>
      </c>
    </row>
    <row r="840">
      <c r="A840" s="52" t="n">
        <v>46261</v>
      </c>
      <c r="B840" t="inlineStr">
        <is>
          <t>Agosto</t>
        </is>
      </c>
      <c r="C840" t="inlineStr">
        <is>
          <t>COMPRAS</t>
        </is>
      </c>
      <c r="D840" t="n">
        <v>57725</v>
      </c>
      <c r="E840" t="inlineStr">
        <is>
          <t>Mercado Pago</t>
        </is>
      </c>
      <c r="F840" t="inlineStr">
        <is>
          <t>COMPRAS · Juan Cornacchini · Gmail MP · REVISAR · gasto personal Sol</t>
        </is>
      </c>
    </row>
    <row r="841">
      <c r="A841" s="52" t="n">
        <v>46262</v>
      </c>
      <c r="B841" t="inlineStr">
        <is>
          <t>Agosto</t>
        </is>
      </c>
      <c r="C841" t="inlineStr">
        <is>
          <t>COMPRAS</t>
        </is>
      </c>
      <c r="D841" t="n">
        <v>30000</v>
      </c>
      <c r="E841" t="inlineStr">
        <is>
          <t>Mercado Pago</t>
        </is>
      </c>
      <c r="F841" t="inlineStr">
        <is>
          <t>COMPRAS · Bitgenia · Gmail MP · gasto personal Sol</t>
        </is>
      </c>
    </row>
    <row r="842">
      <c r="A842" s="52" t="n">
        <v>46282</v>
      </c>
      <c r="B842" t="inlineStr">
        <is>
          <t>Septiembre</t>
        </is>
      </c>
      <c r="C842" t="inlineStr">
        <is>
          <t>VESTIMENTA</t>
        </is>
      </c>
      <c r="D842" t="n">
        <v>719990</v>
      </c>
      <c r="E842" t="inlineStr">
        <is>
          <t>BBVA Crédito</t>
        </is>
      </c>
      <c r="F842" t="inlineStr">
        <is>
          <t>VESTIMENTA · Itsclassic · Gmail MP · BBVA 1 cuota · gasto personal Sol</t>
        </is>
      </c>
    </row>
    <row r="843">
      <c r="A843" s="52" t="n">
        <v>46284</v>
      </c>
      <c r="B843" t="inlineStr">
        <is>
          <t>Septiembre</t>
        </is>
      </c>
      <c r="C843" t="inlineStr">
        <is>
          <t>EDUCACIÓN</t>
        </is>
      </c>
      <c r="D843" t="n">
        <v>127196</v>
      </c>
      <c r="E843" t="inlineStr">
        <is>
          <t>Mercado Pago</t>
        </is>
      </c>
      <c r="F843" t="inlineStr">
        <is>
          <t>EDUCACIÓN · EducaciónIT · Gmail MP · gasto personal Sol</t>
        </is>
      </c>
    </row>
    <row r="844">
      <c r="A844" s="52" t="n">
        <v>46285</v>
      </c>
      <c r="B844" t="inlineStr">
        <is>
          <t>Septiembre</t>
        </is>
      </c>
      <c r="C844" t="inlineStr">
        <is>
          <t>COMPRAS</t>
        </is>
      </c>
      <c r="D844" t="n">
        <v>89998</v>
      </c>
      <c r="E844" t="inlineStr">
        <is>
          <t>Mercado Pago</t>
        </is>
      </c>
      <c r="F844" t="inlineStr">
        <is>
          <t>COMPRAS · Yenny El Ateneo · Gmail MP · libros · gasto personal Sol</t>
        </is>
      </c>
    </row>
    <row r="845">
      <c r="A845" s="52" t="n">
        <v>46299</v>
      </c>
      <c r="B845" t="inlineStr">
        <is>
          <t>Octubre</t>
        </is>
      </c>
      <c r="C845" t="inlineStr">
        <is>
          <t>FARMACIA SALUD</t>
        </is>
      </c>
      <c r="D845" t="n">
        <v>17038</v>
      </c>
      <c r="E845" t="inlineStr">
        <is>
          <t>Mercado Pago</t>
        </is>
      </c>
      <c r="F845" t="inlineStr">
        <is>
          <t>FARMACIA SALUD · Hiperfarmacéutica Temperley · Gmail MP · gasto personal Sol</t>
        </is>
      </c>
    </row>
    <row r="846">
      <c r="A846" s="52" t="n">
        <v>46300</v>
      </c>
      <c r="B846" t="inlineStr">
        <is>
          <t>Octubre</t>
        </is>
      </c>
      <c r="C846" t="inlineStr">
        <is>
          <t>VIAJES</t>
        </is>
      </c>
      <c r="D846" t="n">
        <v>1430000</v>
      </c>
      <c r="E846" t="inlineStr">
        <is>
          <t>TC Mercado Pago</t>
        </is>
      </c>
      <c r="F846" t="inlineStr">
        <is>
          <t>VIAJES · MARPATAG SRL · Gmail MP · TC MP 1 cuota · gasto personal Sol</t>
        </is>
      </c>
    </row>
    <row r="847">
      <c r="A847" s="52" t="n">
        <v>46304</v>
      </c>
      <c r="B847" t="inlineStr">
        <is>
          <t>Octubre</t>
        </is>
      </c>
      <c r="C847" t="inlineStr">
        <is>
          <t>PELUQUERÍA</t>
        </is>
      </c>
      <c r="D847" t="n">
        <v>7000</v>
      </c>
      <c r="E847" t="inlineStr">
        <is>
          <t>Mercado Pago</t>
        </is>
      </c>
      <c r="F847" t="inlineStr">
        <is>
          <t>PELUQUERÍA · Soy lashista · Gmail MP · gasto personal Sol</t>
        </is>
      </c>
    </row>
    <row r="848">
      <c r="A848" s="52" t="n">
        <v>46304</v>
      </c>
      <c r="B848" t="inlineStr">
        <is>
          <t>Octubre</t>
        </is>
      </c>
      <c r="C848" t="inlineStr">
        <is>
          <t>PELUQUERÍA</t>
        </is>
      </c>
      <c r="D848" t="n">
        <v>7000</v>
      </c>
      <c r="E848" t="inlineStr">
        <is>
          <t>Mercado Pago</t>
        </is>
      </c>
      <c r="F848" t="inlineStr">
        <is>
          <t>PELUQUERÍA · Soy lashista · Gmail MP · gasto personal Sol</t>
        </is>
      </c>
    </row>
    <row r="849">
      <c r="A849" s="52" t="n">
        <v>46306</v>
      </c>
      <c r="B849" t="inlineStr">
        <is>
          <t>Octubre</t>
        </is>
      </c>
      <c r="C849" t="inlineStr">
        <is>
          <t>VIAJES</t>
        </is>
      </c>
      <c r="D849" t="n">
        <v>1143000</v>
      </c>
      <c r="E849" t="inlineStr">
        <is>
          <t>BBVA Crédito</t>
        </is>
      </c>
      <c r="F849" t="inlineStr">
        <is>
          <t>VIAJES · Patagonia Chic Excursiones · Gmail MP · BBVA 1 cuota · gasto personal Sol</t>
        </is>
      </c>
    </row>
    <row r="850">
      <c r="A850" s="52" t="n">
        <v>46215</v>
      </c>
      <c r="B850" t="inlineStr">
        <is>
          <t>Julio</t>
        </is>
      </c>
      <c r="C850" t="inlineStr">
        <is>
          <t>COMPRAS</t>
        </is>
      </c>
      <c r="D850" t="n">
        <v>27000</v>
      </c>
      <c r="E850" t="inlineStr">
        <is>
          <t>Mercado Pago</t>
        </is>
      </c>
      <c r="F850" t="inlineStr">
        <is>
          <t>COMPRAS · Karen · Gmail MP · REVISAR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2026-10-12T18:20:19Z</dcterms:modified>
</cp:coreProperties>
</file>
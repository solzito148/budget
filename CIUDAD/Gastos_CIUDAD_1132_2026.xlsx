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[$ARS] #,##0"/>
    <numFmt numFmtId="167" formatCode="yyyy-mm-dd"/>
    <numFmt numFmtId="168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8" fontId="0" fillId="0" borderId="8" pivotButton="0" quotePrefix="0" xfId="0"/>
    <xf numFmtId="168" fontId="0" fillId="13" borderId="8" pivotButton="0" quotePrefix="0" xfId="0"/>
    <xf numFmtId="0" fontId="6" fillId="11" borderId="8" pivotButton="0" quotePrefix="0" xfId="0"/>
    <xf numFmtId="168" fontId="6" fillId="11" borderId="8" pivotButton="0" quotePrefix="0" xfId="0"/>
    <xf numFmtId="168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  <row r="41">
      <c r="A41" t="inlineStr">
        <is>
          <t>• Ingresos Sol: básico anterior ARS 11.305.702; +12% desde 01/07 → ARS 12.662.387 (cobro 01/08). No suma al total de gastos.</t>
        </is>
      </c>
    </row>
    <row r="42">
      <c r="A42" t="inlineStr">
        <is>
          <t>• MELI: simulador + detalle real de recibos 2026 (sueldos, bono y SAC). No suma al total de gastos.</t>
        </is>
      </c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12662387</v>
      </c>
      <c r="C6" s="51" t="inlineStr">
        <is>
          <t>ARS · vigente desde 01/07/2026 · básico anterior +12%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12662387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básico anterior ARS 11.305.702 + 12% · vigente 01/07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12662387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desde julio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12662387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desde julio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12662387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desde julio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12662387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desde julio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12662387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desde julio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Vinculado a Ingresos Sol · ARS 11.305.702 + 12% desde julio</t>
        </is>
      </c>
      <c r="D5" s="68" t="n"/>
    </row>
    <row r="6" ht="20" customHeight="1">
      <c r="A6" s="68" t="inlineStr">
        <is>
          <t>Otros conceptos remunerativos mensuales</t>
        </is>
      </c>
      <c r="B6" s="69" t="n">
        <v>0</v>
      </c>
      <c r="C6" s="68" t="inlineStr">
        <is>
          <t>Bonus/comisiones/otros; editar si aplica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20" customHeight="1"/>
    <row r="77">
      <c r="A77" s="84" t="inlineStr">
        <is>
          <t>RECIBOS MELI REALES 2026 — SUELDOS, BONO Y SAC</t>
        </is>
      </c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88" t="n">
        <v>7906085</v>
      </c>
      <c r="E79" s="88" t="n">
        <v>180000</v>
      </c>
      <c r="F79" s="88" t="n">
        <v>8086085</v>
      </c>
      <c r="G79" s="88" t="n">
        <v>420571.02</v>
      </c>
      <c r="H79" s="88" t="n">
        <v>114701.19</v>
      </c>
      <c r="I79" s="88" t="n">
        <v>114701.19</v>
      </c>
      <c r="J79" s="88" t="n">
        <v>1221703.83</v>
      </c>
      <c r="K79" s="88" t="n">
        <v>21900</v>
      </c>
      <c r="L79" s="88" t="n">
        <v>0</v>
      </c>
      <c r="M79" s="88" t="n">
        <v>1893577.23</v>
      </c>
      <c r="N79" s="89" t="n">
        <v>6192507.77</v>
      </c>
      <c r="O79" s="86" t="inlineStr">
        <is>
          <t>ENERO.pdf</t>
        </is>
      </c>
      <c r="P79" s="88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88" t="n">
        <v>7906085</v>
      </c>
      <c r="E80" s="88" t="n">
        <v>208000</v>
      </c>
      <c r="F80" s="88" t="n">
        <v>8114085</v>
      </c>
      <c r="G80" s="88" t="n">
        <v>432557.3</v>
      </c>
      <c r="H80" s="88" t="n">
        <v>117970.17</v>
      </c>
      <c r="I80" s="88" t="n">
        <v>117970.17</v>
      </c>
      <c r="J80" s="88" t="n">
        <v>1425004.25</v>
      </c>
      <c r="K80" s="88" t="n">
        <v>21900</v>
      </c>
      <c r="L80" s="88" t="n">
        <v>0</v>
      </c>
      <c r="M80" s="88" t="n">
        <v>2115401.89</v>
      </c>
      <c r="N80" s="89" t="n">
        <v>5998683.11</v>
      </c>
      <c r="O80" s="86" t="inlineStr">
        <is>
          <t>FEBRERO.pdf</t>
        </is>
      </c>
      <c r="P80" s="88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88" t="n">
        <v>11305702</v>
      </c>
      <c r="E81" s="88" t="n">
        <v>7007234</v>
      </c>
      <c r="F81" s="88" t="n">
        <v>18312936</v>
      </c>
      <c r="G81" s="88" t="n">
        <v>445014.95</v>
      </c>
      <c r="H81" s="88" t="n">
        <v>121367.71</v>
      </c>
      <c r="I81" s="88" t="n">
        <v>121367.71</v>
      </c>
      <c r="J81" s="88" t="n">
        <v>4658857.2</v>
      </c>
      <c r="K81" s="88" t="n">
        <v>21900</v>
      </c>
      <c r="L81" s="88" t="n">
        <v>0</v>
      </c>
      <c r="M81" s="88" t="n">
        <v>5368507.57</v>
      </c>
      <c r="N81" s="89" t="n">
        <v>12944428.43</v>
      </c>
      <c r="O81" s="86" t="inlineStr">
        <is>
          <t>MARZO.pdf</t>
        </is>
      </c>
      <c r="P81" s="88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88" t="n">
        <v>0</v>
      </c>
      <c r="E82" s="88" t="n">
        <v>23717162.5</v>
      </c>
      <c r="F82" s="88" t="n">
        <v>23717162.5</v>
      </c>
      <c r="G82" s="88" t="n">
        <v>445014.95</v>
      </c>
      <c r="H82" s="88" t="n">
        <v>121367.71</v>
      </c>
      <c r="I82" s="88" t="n">
        <v>121367.71</v>
      </c>
      <c r="J82" s="88" t="n">
        <v>3120893.08</v>
      </c>
      <c r="K82" s="88" t="n">
        <v>0</v>
      </c>
      <c r="L82" s="88" t="n">
        <v>0</v>
      </c>
      <c r="M82" s="88" t="n">
        <v>3808643.45</v>
      </c>
      <c r="N82" s="89" t="n">
        <v>19908519.05</v>
      </c>
      <c r="O82" s="86" t="inlineStr">
        <is>
          <t>ABRIL BONO.pdf</t>
        </is>
      </c>
      <c r="P82" s="88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88" t="n">
        <v>11305702</v>
      </c>
      <c r="E83" s="88" t="n">
        <v>2168752.32</v>
      </c>
      <c r="F83" s="88" t="n">
        <v>13474454.32</v>
      </c>
      <c r="G83" s="88" t="n">
        <v>12905.43</v>
      </c>
      <c r="H83" s="88" t="n">
        <v>3519.66</v>
      </c>
      <c r="I83" s="88" t="n">
        <v>3519.66</v>
      </c>
      <c r="J83" s="88" t="n">
        <v>3813479.69</v>
      </c>
      <c r="K83" s="88" t="n">
        <v>23400</v>
      </c>
      <c r="L83" s="88" t="n">
        <v>-3564748.04</v>
      </c>
      <c r="M83" s="88" t="n">
        <v>292076.4</v>
      </c>
      <c r="N83" s="89" t="n">
        <v>13182377.92</v>
      </c>
      <c r="O83" s="86" t="inlineStr">
        <is>
          <t>ABRIL.pdf</t>
        </is>
      </c>
      <c r="P83" s="88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88" t="n">
        <v>11305702</v>
      </c>
      <c r="E84" s="88" t="n">
        <v>312000</v>
      </c>
      <c r="F84" s="88" t="n">
        <v>11617702</v>
      </c>
      <c r="G84" s="88" t="n">
        <v>473398.09</v>
      </c>
      <c r="H84" s="88" t="n">
        <v>129108.57</v>
      </c>
      <c r="I84" s="88" t="n">
        <v>129108.57</v>
      </c>
      <c r="J84" s="88" t="n">
        <v>3415603.09</v>
      </c>
      <c r="K84" s="88" t="n">
        <v>23400</v>
      </c>
      <c r="L84" s="88" t="n">
        <v>0</v>
      </c>
      <c r="M84" s="88" t="n">
        <v>4170618.32</v>
      </c>
      <c r="N84" s="89" t="n">
        <v>7447083.68</v>
      </c>
      <c r="O84" s="86" t="inlineStr">
        <is>
          <t>MAYO.pdf</t>
        </is>
      </c>
      <c r="P84" s="88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88" t="n">
        <v>0</v>
      </c>
      <c r="E85" s="88" t="n">
        <v>6622090.14</v>
      </c>
      <c r="F85" s="88" t="n">
        <v>6622090.14</v>
      </c>
      <c r="G85" s="88" t="n">
        <v>242805.88</v>
      </c>
      <c r="H85" s="88" t="n">
        <v>66219.78999999999</v>
      </c>
      <c r="I85" s="88" t="n">
        <v>66219.78999999999</v>
      </c>
      <c r="J85" s="88" t="n">
        <v>536087.26</v>
      </c>
      <c r="K85" s="88" t="n">
        <v>0</v>
      </c>
      <c r="L85" s="88" t="n">
        <v>0</v>
      </c>
      <c r="M85" s="88" t="n">
        <v>911332.72</v>
      </c>
      <c r="N85" s="89" t="n">
        <v>5710757.42</v>
      </c>
      <c r="O85" s="86" t="inlineStr">
        <is>
          <t>SAC.pdf</t>
        </is>
      </c>
      <c r="P85" s="88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88" t="n">
        <v>11305702</v>
      </c>
      <c r="E86" s="88" t="n">
        <v>312000</v>
      </c>
      <c r="F86" s="88" t="n">
        <v>11617702</v>
      </c>
      <c r="G86" s="88" t="n">
        <v>485611.76</v>
      </c>
      <c r="H86" s="88" t="n">
        <v>132439.57</v>
      </c>
      <c r="I86" s="88" t="n">
        <v>132439.57</v>
      </c>
      <c r="J86" s="88" t="n">
        <v>3408446.06</v>
      </c>
      <c r="K86" s="88" t="n">
        <v>23400</v>
      </c>
      <c r="L86" s="88" t="n">
        <v>0</v>
      </c>
      <c r="M86" s="88" t="n">
        <v>4182336.96</v>
      </c>
      <c r="N86" s="89" t="n">
        <v>7435365.04</v>
      </c>
      <c r="O86" s="86" t="inlineStr">
        <is>
          <t>JUNIO.pdf</t>
        </is>
      </c>
      <c r="P86" s="88">
        <f>ROUND(F86-M86-N86,2)</f>
        <v/>
      </c>
    </row>
    <row r="87">
      <c r="A87" s="90" t="inlineStr">
        <is>
          <t>TOTAL RECIBOS</t>
        </is>
      </c>
      <c r="B87" s="68" t="n"/>
      <c r="C87" s="68" t="n"/>
      <c r="D87" s="91">
        <f>SUM(D79:D86)</f>
        <v/>
      </c>
      <c r="E87" s="91">
        <f>SUM(E79:E86)</f>
        <v/>
      </c>
      <c r="F87" s="91">
        <f>SUM(F79:F86)</f>
        <v/>
      </c>
      <c r="G87" s="91">
        <f>SUM(G79:G86)</f>
        <v/>
      </c>
      <c r="H87" s="91">
        <f>SUM(H79:H86)</f>
        <v/>
      </c>
      <c r="I87" s="91">
        <f>SUM(I79:I86)</f>
        <v/>
      </c>
      <c r="J87" s="91">
        <f>SUM(J79:J86)</f>
        <v/>
      </c>
      <c r="K87" s="91">
        <f>SUM(K79:K86)</f>
        <v/>
      </c>
      <c r="L87" s="91">
        <f>SUM(L79:L86)</f>
        <v/>
      </c>
      <c r="M87" s="91">
        <f>SUM(M79:M86)</f>
        <v/>
      </c>
      <c r="N87" s="91">
        <f>SUM(N79:N86)</f>
        <v/>
      </c>
      <c r="O87" s="68" t="n"/>
      <c r="P87" s="92">
        <f>ROUND(F87-M87-N87,2)</f>
        <v/>
      </c>
    </row>
    <row r="89">
      <c r="A89" s="84" t="inlineStr">
        <is>
          <t>DETALLE EXTRAÍDO DE CONCEPTOS</t>
        </is>
      </c>
      <c r="B89" s="67" t="n"/>
      <c r="C89" s="67" t="n"/>
      <c r="D89" s="67" t="n"/>
      <c r="E89" s="67" t="n"/>
      <c r="F89" s="67" t="n"/>
      <c r="G89" s="67" t="n"/>
    </row>
    <row r="90">
      <c r="A90" s="80" t="inlineStr">
        <is>
          <t>Período</t>
        </is>
      </c>
      <c r="B90" s="80" t="inlineStr">
        <is>
          <t>Tipo recibo</t>
        </is>
      </c>
      <c r="C90" s="80" t="inlineStr">
        <is>
          <t>Fecha pago</t>
        </is>
      </c>
      <c r="D90" s="80" t="inlineStr">
        <is>
          <t>Concepto</t>
        </is>
      </c>
      <c r="E90" s="80" t="inlineStr">
        <is>
          <t>Clase</t>
        </is>
      </c>
      <c r="F90" s="80" t="inlineStr">
        <is>
          <t>Importe</t>
        </is>
      </c>
      <c r="G90" s="80" t="inlineStr">
        <is>
          <t>Archivo fuente</t>
        </is>
      </c>
    </row>
    <row r="91">
      <c r="A91" s="86" t="inlineStr">
        <is>
          <t>Enero</t>
        </is>
      </c>
      <c r="B91" s="86" t="inlineStr">
        <is>
          <t>Sueldo</t>
        </is>
      </c>
      <c r="C91" s="87" t="n">
        <v>46054</v>
      </c>
      <c r="D91" s="86" t="inlineStr">
        <is>
          <t>Sueldo Básico</t>
        </is>
      </c>
      <c r="E91" s="86" t="inlineStr">
        <is>
          <t>Haber</t>
        </is>
      </c>
      <c r="F91" s="88" t="n">
        <v>7906085</v>
      </c>
      <c r="G91" s="86" t="inlineStr">
        <is>
          <t>ENERO.pdf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Beneficio Auto</t>
        </is>
      </c>
      <c r="E92" s="86" t="inlineStr">
        <is>
          <t>Haber</t>
        </is>
      </c>
      <c r="F92" s="88" t="n">
        <v>180000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Aporte SIJP sobre sueldo</t>
        </is>
      </c>
      <c r="E93" s="86" t="inlineStr">
        <is>
          <t>Descuento</t>
        </is>
      </c>
      <c r="F93" s="88" t="n">
        <v>420571.02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INSSJP sobre sueldo</t>
        </is>
      </c>
      <c r="E94" s="86" t="inlineStr">
        <is>
          <t>Descuento</t>
        </is>
      </c>
      <c r="F94" s="88" t="n">
        <v>114701.19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Obra Social sobre sueldo</t>
        </is>
      </c>
      <c r="E95" s="86" t="inlineStr">
        <is>
          <t>Descuento</t>
        </is>
      </c>
      <c r="F95" s="88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Impuesto pagado/devuelto</t>
        </is>
      </c>
      <c r="E96" s="86" t="inlineStr">
        <is>
          <t>Descuento Ganancias</t>
        </is>
      </c>
      <c r="F96" s="88" t="n">
        <v>1221703.83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Dto Gimnasio</t>
        </is>
      </c>
      <c r="E97" s="86" t="inlineStr">
        <is>
          <t>Descuento</t>
        </is>
      </c>
      <c r="F97" s="88" t="n">
        <v>21900</v>
      </c>
      <c r="G97" s="86" t="inlineStr">
        <is>
          <t>ENERO.pdf</t>
        </is>
      </c>
    </row>
    <row r="98">
      <c r="A98" s="86" t="inlineStr">
        <is>
          <t>Febrero</t>
        </is>
      </c>
      <c r="B98" s="86" t="inlineStr">
        <is>
          <t>Sueldo</t>
        </is>
      </c>
      <c r="C98" s="87" t="n">
        <v>46082</v>
      </c>
      <c r="D98" s="86" t="inlineStr">
        <is>
          <t>Sueldo Básico</t>
        </is>
      </c>
      <c r="E98" s="86" t="inlineStr">
        <is>
          <t>Haber</t>
        </is>
      </c>
      <c r="F98" s="88" t="n">
        <v>7906085</v>
      </c>
      <c r="G98" s="86" t="inlineStr">
        <is>
          <t>FEBRERO.pdf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Beneficio Auto</t>
        </is>
      </c>
      <c r="E99" s="86" t="inlineStr">
        <is>
          <t>Haber</t>
        </is>
      </c>
      <c r="F99" s="88" t="n">
        <v>208000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Aporte SIJP sobre sueldo</t>
        </is>
      </c>
      <c r="E100" s="86" t="inlineStr">
        <is>
          <t>Descuento</t>
        </is>
      </c>
      <c r="F100" s="88" t="n">
        <v>432557.3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INSSJP sobre sueldo</t>
        </is>
      </c>
      <c r="E101" s="86" t="inlineStr">
        <is>
          <t>Descuento</t>
        </is>
      </c>
      <c r="F101" s="88" t="n">
        <v>117970.17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Obra Social sobre sueldo</t>
        </is>
      </c>
      <c r="E102" s="86" t="inlineStr">
        <is>
          <t>Descuento</t>
        </is>
      </c>
      <c r="F102" s="88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Impuesto pagado/devuelto</t>
        </is>
      </c>
      <c r="E103" s="86" t="inlineStr">
        <is>
          <t>Descuento Ganancias</t>
        </is>
      </c>
      <c r="F103" s="88" t="n">
        <v>1425004.25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Dto Gimnasio</t>
        </is>
      </c>
      <c r="E104" s="86" t="inlineStr">
        <is>
          <t>Descuento</t>
        </is>
      </c>
      <c r="F104" s="88" t="n">
        <v>21900</v>
      </c>
      <c r="G104" s="86" t="inlineStr">
        <is>
          <t>FEBRERO.pdf</t>
        </is>
      </c>
    </row>
    <row r="105">
      <c r="A105" s="86" t="inlineStr">
        <is>
          <t>Marzo</t>
        </is>
      </c>
      <c r="B105" s="86" t="inlineStr">
        <is>
          <t>Sueldo + retroactivo</t>
        </is>
      </c>
      <c r="C105" s="87" t="n">
        <v>46113</v>
      </c>
      <c r="D105" s="86" t="inlineStr">
        <is>
          <t>R-Sueldo Básico</t>
        </is>
      </c>
      <c r="E105" s="86" t="inlineStr">
        <is>
          <t>Haber</t>
        </is>
      </c>
      <c r="F105" s="88" t="n">
        <v>6799234</v>
      </c>
      <c r="G105" s="86" t="inlineStr">
        <is>
          <t>MARZO.pdf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Sueldo Básico</t>
        </is>
      </c>
      <c r="E106" s="86" t="inlineStr">
        <is>
          <t>Haber</t>
        </is>
      </c>
      <c r="F106" s="88" t="n">
        <v>11305702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Beneficio Auto</t>
        </is>
      </c>
      <c r="E107" s="86" t="inlineStr">
        <is>
          <t>Haber</t>
        </is>
      </c>
      <c r="F107" s="88" t="n">
        <v>208000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Aporte SIJP sobre sueldo</t>
        </is>
      </c>
      <c r="E108" s="86" t="inlineStr">
        <is>
          <t>Descuento</t>
        </is>
      </c>
      <c r="F108" s="88" t="n">
        <v>445014.95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INSSJP sobre sueldo</t>
        </is>
      </c>
      <c r="E109" s="86" t="inlineStr">
        <is>
          <t>Descuento</t>
        </is>
      </c>
      <c r="F109" s="88" t="n">
        <v>121367.71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Obra Social sobre sueldo</t>
        </is>
      </c>
      <c r="E110" s="86" t="inlineStr">
        <is>
          <t>Descuento</t>
        </is>
      </c>
      <c r="F110" s="88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Impuesto pagado/devuelto</t>
        </is>
      </c>
      <c r="E111" s="86" t="inlineStr">
        <is>
          <t>Descuento Ganancias</t>
        </is>
      </c>
      <c r="F111" s="88" t="n">
        <v>4658857.2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Dto Gimnasio</t>
        </is>
      </c>
      <c r="E112" s="86" t="inlineStr">
        <is>
          <t>Descuento</t>
        </is>
      </c>
      <c r="F112" s="88" t="n">
        <v>21900</v>
      </c>
      <c r="G112" s="86" t="inlineStr">
        <is>
          <t>MARZO.pdf</t>
        </is>
      </c>
    </row>
    <row r="113">
      <c r="A113" s="86" t="inlineStr">
        <is>
          <t>Abril</t>
        </is>
      </c>
      <c r="B113" s="86" t="inlineStr">
        <is>
          <t>Bono anual / transición</t>
        </is>
      </c>
      <c r="C113" s="87" t="n">
        <v>46118</v>
      </c>
      <c r="D113" s="86" t="inlineStr">
        <is>
          <t>Bono de Transición</t>
        </is>
      </c>
      <c r="E113" s="86" t="inlineStr">
        <is>
          <t>Haber</t>
        </is>
      </c>
      <c r="F113" s="88" t="n">
        <v>7296916.15</v>
      </c>
      <c r="G113" s="86" t="inlineStr">
        <is>
          <t>ABRIL BONO.pdf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Gratificación Extraordinaria Anual</t>
        </is>
      </c>
      <c r="E114" s="86" t="inlineStr">
        <is>
          <t>Haber</t>
        </is>
      </c>
      <c r="F114" s="88" t="n">
        <v>14596298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SAC Gratificación Extraordinaria</t>
        </is>
      </c>
      <c r="E115" s="86" t="inlineStr">
        <is>
          <t>Haber</t>
        </is>
      </c>
      <c r="F115" s="88" t="n">
        <v>1215872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sobre Bono de Transición</t>
        </is>
      </c>
      <c r="E116" s="86" t="inlineStr">
        <is>
          <t>Haber</t>
        </is>
      </c>
      <c r="F116" s="88" t="n">
        <v>608076.35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Aporte SIJP sobre sueldo</t>
        </is>
      </c>
      <c r="E117" s="86" t="inlineStr">
        <is>
          <t>Descuento</t>
        </is>
      </c>
      <c r="F117" s="88" t="n">
        <v>445014.95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INSSJP sobre sueldo</t>
        </is>
      </c>
      <c r="E118" s="86" t="inlineStr">
        <is>
          <t>Descuento</t>
        </is>
      </c>
      <c r="F118" s="88" t="n">
        <v>121367.71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Obra Social sobre sueldo</t>
        </is>
      </c>
      <c r="E119" s="86" t="inlineStr">
        <is>
          <t>Descuento</t>
        </is>
      </c>
      <c r="F119" s="88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Impuesto pagado/devuelto</t>
        </is>
      </c>
      <c r="E120" s="86" t="inlineStr">
        <is>
          <t>Descuento Ganancias</t>
        </is>
      </c>
      <c r="F120" s="88" t="n">
        <v>3120893.08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Sueldo + vacaciones</t>
        </is>
      </c>
      <c r="C121" s="87" t="n">
        <v>46143</v>
      </c>
      <c r="D121" s="86" t="inlineStr">
        <is>
          <t>Sueldo Básico</t>
        </is>
      </c>
      <c r="E121" s="86" t="inlineStr">
        <is>
          <t>Haber</t>
        </is>
      </c>
      <c r="F121" s="88" t="n">
        <v>11305702</v>
      </c>
      <c r="G121" s="86" t="inlineStr">
        <is>
          <t>ABRIL.pdf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Beneficio Auto</t>
        </is>
      </c>
      <c r="E122" s="86" t="inlineStr">
        <is>
          <t>Haber</t>
        </is>
      </c>
      <c r="F122" s="88" t="n">
        <v>312000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Pago de Vacaciones</t>
        </is>
      </c>
      <c r="E123" s="86" t="inlineStr">
        <is>
          <t>Haber</t>
        </is>
      </c>
      <c r="F123" s="88" t="n">
        <v>9758869.68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Dto Días No Trabajados Vacaciones</t>
        </is>
      </c>
      <c r="E124" s="73" t="inlineStr">
        <is>
          <t>Haber negativo</t>
        </is>
      </c>
      <c r="F124" s="88" t="n">
        <v>-8132391.4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R-Dto Días No Trabajados</t>
        </is>
      </c>
      <c r="E125" s="73" t="inlineStr">
        <is>
          <t>Haber negativo</t>
        </is>
      </c>
      <c r="F125" s="88" t="n">
        <v>-1151370.2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R-Licencia Especial</t>
        </is>
      </c>
      <c r="E126" s="86" t="inlineStr">
        <is>
          <t>Haber</t>
        </is>
      </c>
      <c r="F126" s="88" t="n">
        <v>1381644.24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Aporte SIJP sobre sueldo</t>
        </is>
      </c>
      <c r="E127" s="86" t="inlineStr">
        <is>
          <t>Descuento</t>
        </is>
      </c>
      <c r="F127" s="88" t="n">
        <v>12905.43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INSSJP sobre sueldo</t>
        </is>
      </c>
      <c r="E128" s="86" t="inlineStr">
        <is>
          <t>Descuento</t>
        </is>
      </c>
      <c r="F128" s="88" t="n">
        <v>3519.66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Obra Social sobre sueldo</t>
        </is>
      </c>
      <c r="E129" s="86" t="inlineStr">
        <is>
          <t>Descuento</t>
        </is>
      </c>
      <c r="F129" s="88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Diferencia impuesto año anterior</t>
        </is>
      </c>
      <c r="E130" s="73" t="inlineStr">
        <is>
          <t>Devolución Ganancias</t>
        </is>
      </c>
      <c r="F130" s="88" t="n">
        <v>-3564748.04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Impuesto pagado/devuelto</t>
        </is>
      </c>
      <c r="E131" s="86" t="inlineStr">
        <is>
          <t>Descuento Ganancias</t>
        </is>
      </c>
      <c r="F131" s="88" t="n">
        <v>3813479.69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Dto Gimnasio</t>
        </is>
      </c>
      <c r="E132" s="86" t="inlineStr">
        <is>
          <t>Descuento</t>
        </is>
      </c>
      <c r="F132" s="88" t="n">
        <v>23400</v>
      </c>
      <c r="G132" s="86" t="inlineStr">
        <is>
          <t>ABRIL.pdf</t>
        </is>
      </c>
    </row>
    <row r="133">
      <c r="A133" s="86" t="inlineStr">
        <is>
          <t>Mayo</t>
        </is>
      </c>
      <c r="B133" s="86" t="inlineStr">
        <is>
          <t>Sueldo</t>
        </is>
      </c>
      <c r="C133" s="87" t="n">
        <v>46174</v>
      </c>
      <c r="D133" s="86" t="inlineStr">
        <is>
          <t>Sueldo Básico</t>
        </is>
      </c>
      <c r="E133" s="86" t="inlineStr">
        <is>
          <t>Haber</t>
        </is>
      </c>
      <c r="F133" s="88" t="n">
        <v>11305702</v>
      </c>
      <c r="G133" s="86" t="inlineStr">
        <is>
          <t>MAYO.pdf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Beneficio Auto</t>
        </is>
      </c>
      <c r="E134" s="86" t="inlineStr">
        <is>
          <t>Haber</t>
        </is>
      </c>
      <c r="F134" s="88" t="n">
        <v>312000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Aporte SIJP sobre sueldo</t>
        </is>
      </c>
      <c r="E135" s="86" t="inlineStr">
        <is>
          <t>Descuento</t>
        </is>
      </c>
      <c r="F135" s="88" t="n">
        <v>473398.09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INSSJP sobre sueldo</t>
        </is>
      </c>
      <c r="E136" s="86" t="inlineStr">
        <is>
          <t>Descuento</t>
        </is>
      </c>
      <c r="F136" s="88" t="n">
        <v>129108.57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Obra Social sobre sueldo</t>
        </is>
      </c>
      <c r="E137" s="86" t="inlineStr">
        <is>
          <t>Descuento</t>
        </is>
      </c>
      <c r="F137" s="88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Impuesto pagado/devuelto</t>
        </is>
      </c>
      <c r="E138" s="86" t="inlineStr">
        <is>
          <t>Descuento Ganancias</t>
        </is>
      </c>
      <c r="F138" s="88" t="n">
        <v>3415603.09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Dto Gimnasio</t>
        </is>
      </c>
      <c r="E139" s="86" t="inlineStr">
        <is>
          <t>Descuento</t>
        </is>
      </c>
      <c r="F139" s="88" t="n">
        <v>23400</v>
      </c>
      <c r="G139" s="86" t="inlineStr">
        <is>
          <t>MAYO.pdf</t>
        </is>
      </c>
    </row>
    <row r="140">
      <c r="A140" s="86" t="inlineStr">
        <is>
          <t>Junio</t>
        </is>
      </c>
      <c r="B140" s="86" t="inlineStr">
        <is>
          <t>SAC 1° semestre</t>
        </is>
      </c>
      <c r="C140" s="87" t="n">
        <v>46196</v>
      </c>
      <c r="D140" s="86" t="inlineStr">
        <is>
          <t>S.A.C.</t>
        </is>
      </c>
      <c r="E140" s="86" t="inlineStr">
        <is>
          <t>Haber</t>
        </is>
      </c>
      <c r="F140" s="88" t="n">
        <v>6622090.14</v>
      </c>
      <c r="G140" s="86" t="inlineStr">
        <is>
          <t>SAC.pdf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Aporte SIJP sobre SAC</t>
        </is>
      </c>
      <c r="E141" s="86" t="inlineStr">
        <is>
          <t>Descuento</t>
        </is>
      </c>
      <c r="F141" s="88" t="n">
        <v>242805.88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INSSJP sobre SAC</t>
        </is>
      </c>
      <c r="E142" s="86" t="inlineStr">
        <is>
          <t>Descuento</t>
        </is>
      </c>
      <c r="F142" s="88" t="n">
        <v>66219.78999999999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Obra Social sobre SAC</t>
        </is>
      </c>
      <c r="E143" s="86" t="inlineStr">
        <is>
          <t>Descuento</t>
        </is>
      </c>
      <c r="F143" s="88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Impuesto pagado/devuelto</t>
        </is>
      </c>
      <c r="E144" s="86" t="inlineStr">
        <is>
          <t>Descuento Ganancias</t>
        </is>
      </c>
      <c r="F144" s="88" t="n">
        <v>536087.26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Sueldo</t>
        </is>
      </c>
      <c r="C145" s="87" t="n">
        <v>46204</v>
      </c>
      <c r="D145" s="86" t="inlineStr">
        <is>
          <t>Sueldo Básico</t>
        </is>
      </c>
      <c r="E145" s="86" t="inlineStr">
        <is>
          <t>Haber</t>
        </is>
      </c>
      <c r="F145" s="88" t="n">
        <v>11305702</v>
      </c>
      <c r="G145" s="86" t="inlineStr">
        <is>
          <t>JUNIO.pdf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Beneficio Auto</t>
        </is>
      </c>
      <c r="E146" s="86" t="inlineStr">
        <is>
          <t>Haber</t>
        </is>
      </c>
      <c r="F146" s="88" t="n">
        <v>312000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Aporte SIJP sobre sueldo</t>
        </is>
      </c>
      <c r="E147" s="86" t="inlineStr">
        <is>
          <t>Descuento</t>
        </is>
      </c>
      <c r="F147" s="88" t="n">
        <v>485611.76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INSSJP sobre sueldo</t>
        </is>
      </c>
      <c r="E148" s="86" t="inlineStr">
        <is>
          <t>Descuento</t>
        </is>
      </c>
      <c r="F148" s="88" t="n">
        <v>132439.57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Obra Social sobre sueldo</t>
        </is>
      </c>
      <c r="E149" s="86" t="inlineStr">
        <is>
          <t>Descuento</t>
        </is>
      </c>
      <c r="F149" s="88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Impuesto pagado/devuelto</t>
        </is>
      </c>
      <c r="E150" s="86" t="inlineStr">
        <is>
          <t>Descuento Ganancias</t>
        </is>
      </c>
      <c r="F150" s="88" t="n">
        <v>3408446.06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Dto Gimnasio</t>
        </is>
      </c>
      <c r="E151" s="86" t="inlineStr">
        <is>
          <t>Descuento</t>
        </is>
      </c>
      <c r="F151" s="88" t="n">
        <v>23400</v>
      </c>
      <c r="G151" s="86" t="inlineStr">
        <is>
          <t>JUNIO.pdf</t>
        </is>
      </c>
    </row>
  </sheetData>
  <autoFilter ref="A78:P86"/>
  <mergeCells count="17">
    <mergeCell ref="A1:D1"/>
    <mergeCell ref="A37:D37"/>
    <mergeCell ref="A70:D70"/>
    <mergeCell ref="A27:D27"/>
    <mergeCell ref="A55:E55"/>
    <mergeCell ref="A89:G89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/>
      <c r="D223" s="26" t="n"/>
    </row>
    <row r="224">
      <c r="A224" s="44" t="n"/>
      <c r="D224" s="26" t="n"/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2026-07-20T19:43:09Z</dcterms:modified>
</cp:coreProperties>
</file>
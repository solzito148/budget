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Pago de Tarjetas" sheetId="7" state="visible" r:id="rId7"/>
    <sheet name="Expensas Consorcios" sheetId="8" state="visible" r:id="rId8"/>
    <sheet name="Gasto Personal Sol" sheetId="9" state="visible" r:id="rId9"/>
  </sheets>
  <definedNames>
    <definedName name="_xlnm._FilterDatabase" localSheetId="2" hidden="1">'Detalle'!$A$3:$I$51</definedName>
    <definedName name="_xlnm._FilterDatabase" localSheetId="4" hidden="1">'Inversión'!$A$23:$J$223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  <xf numFmtId="0" fontId="3" fillId="2" borderId="0" pivotButton="0" quotePrefix="0" xfId="0"/>
    <xf numFmtId="165" fontId="0" fillId="0" borderId="0" pivotButton="0" quotePrefix="0" xfId="0"/>
    <xf numFmtId="165" fontId="0" fillId="0" borderId="1" pivotButton="0" quotePrefix="0" xfId="0"/>
    <xf numFmtId="165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n">
        <v>235210</v>
      </c>
      <c r="H5" s="6" t="n">
        <v>246150</v>
      </c>
      <c r="I5" s="5" t="n">
        <v>273500</v>
      </c>
      <c r="J5" s="5" t="n"/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 — CIUDAD</t>
        </is>
      </c>
      <c r="D6" s="9" t="n">
        <v>37984</v>
      </c>
      <c r="E6" s="9" t="n">
        <v>38489</v>
      </c>
      <c r="F6" s="9" t="n">
        <v>39163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 — cliente 30010996459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 Edenor — Sanes (cuenta 008917502309)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 — partida 397789</t>
        </is>
      </c>
      <c r="D9" s="5" t="n">
        <v>12435</v>
      </c>
      <c r="E9" s="5" t="n"/>
      <c r="F9" s="5" t="n"/>
      <c r="G9" s="5" t="n"/>
      <c r="H9" s="5" t="n">
        <v>132599</v>
      </c>
      <c r="I9" s="5" t="n"/>
      <c r="J9" s="5" t="n">
        <v>26175</v>
      </c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>
        <v>75000</v>
      </c>
      <c r="G11" s="5" t="n"/>
      <c r="H11" s="5" t="n">
        <v>125000</v>
      </c>
      <c r="I11" s="5" t="n">
        <v>135000</v>
      </c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116500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Expensas: abr $235.210 (banco 7-abr → Consorcio De Propiet Patagonia); may/jun desde MP con período Gmail (pago jun=mayo, pago jul=junio). Julio período pendiente.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Transferencias recibidas: hoja "Transferencias recibidas" (no suma al total de gastos)</t>
        </is>
      </c>
    </row>
    <row r="35">
      <c r="A35" s="30" t="inlineStr">
        <is>
          <t>• Expensas consorcios: hoja "Expensas Consorcios" (Consorcio De Propiet = CIUDAD; no ALMACEN SOL)</t>
        </is>
      </c>
    </row>
    <row r="36">
      <c r="A36" s="30" t="inlineStr">
        <is>
          <t>• Gasto personal Sol (Tuenti, Apple, ropa, ML, extras, transferencias a terceros): hoja "Gasto Personal Sol" (no suma al total CIUDAD)</t>
        </is>
      </c>
    </row>
    <row r="37">
      <c r="A37" t="inlineStr">
        <is>
          <t>• Pago de tarjetas: hoja "Pago de Tarjetas" (pago de resumen TC; no es gasto nuevo de la matriz)</t>
        </is>
      </c>
    </row>
    <row r="38">
      <c r="A38" t="inlineStr">
        <is>
          <t>• ALMACEN SOL: solo comida/súper/combustible en "Almacen Detalle". Resto personal → "Gasto Personal Sol"</t>
        </is>
      </c>
    </row>
    <row r="39">
      <c r="A39" t="inlineStr">
        <is>
          <t>• ABL CIUDAD: partida AGIP 397789 (OHIGGINS = 3016365 → otra carpeta)</t>
        </is>
      </c>
    </row>
    <row r="40">
      <c r="A40" t="inlineStr">
        <is>
          <t>• Edesur → BONORINO. Edenor: Sanes=CIUDAD; Ivilmar/Marta Chagas=OHIGGINS. Telecentro=CIUDAD.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n"/>
      <c r="B7" s="17" t="n"/>
      <c r="C7" s="14" t="n"/>
      <c r="D7" s="27" t="n"/>
      <c r="E7" s="28" t="n"/>
      <c r="F7" s="15" t="n"/>
      <c r="G7" s="14" t="n"/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n"/>
      <c r="B10" s="17" t="n"/>
      <c r="C10" s="14" t="n"/>
      <c r="D10" s="27" t="n"/>
      <c r="E10" s="28" t="n"/>
      <c r="F10" s="15" t="n"/>
      <c r="G10" s="14" t="n"/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n"/>
      <c r="B14" s="17" t="n"/>
      <c r="C14" s="14" t="n"/>
      <c r="D14" s="27" t="n"/>
      <c r="E14" s="28" t="n"/>
      <c r="F14" s="15" t="n"/>
      <c r="G14" s="14" t="n"/>
    </row>
    <row r="15">
      <c r="A15" s="14" t="n"/>
      <c r="B15" s="17" t="n"/>
      <c r="C15" s="14" t="n"/>
      <c r="D15" s="27" t="n"/>
      <c r="E15" s="28" t="n"/>
      <c r="F15" s="15" t="n"/>
      <c r="G15" s="14" t="n"/>
    </row>
    <row r="16">
      <c r="A16" s="14" t="n"/>
      <c r="B16" s="17" t="n"/>
      <c r="C16" s="14" t="n"/>
      <c r="D16" s="27" t="n"/>
      <c r="E16" s="28" t="n"/>
      <c r="F16" s="15" t="n"/>
      <c r="G16" s="14" t="n"/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n"/>
      <c r="B18" s="17" t="n"/>
      <c r="C18" s="14" t="n"/>
      <c r="D18" s="27" t="n"/>
      <c r="E18" s="28" t="n"/>
      <c r="F18" s="15" t="n"/>
      <c r="G18" s="14" t="n"/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COMIDA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n"/>
      <c r="B23" s="17" t="n"/>
      <c r="C23" s="14" t="n"/>
      <c r="D23" s="27" t="n"/>
      <c r="E23" s="28" t="n"/>
      <c r="F23" s="15" t="n"/>
      <c r="G23" s="14" t="n"/>
    </row>
    <row r="24">
      <c r="A24" s="14" t="n"/>
      <c r="B24" s="17" t="n"/>
      <c r="C24" s="14" t="n"/>
      <c r="D24" s="27" t="n"/>
      <c r="E24" s="28" t="n"/>
      <c r="F24" s="15" t="n"/>
      <c r="G24" s="14" t="n"/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>
        <v>46032</v>
      </c>
      <c r="C33" s="14" t="inlineStr">
        <is>
          <t>Kalbby / Ramón</t>
        </is>
      </c>
      <c r="D33" s="27" t="n">
        <v>77748</v>
      </c>
      <c r="E33" s="28" t="n"/>
      <c r="F33" s="15">
        <f>IF(OR(D33&lt;&gt;"",E33&lt;&gt;""),IF(D33="",0,D33)+IF(E33="",0,E33),"")</f>
        <v/>
      </c>
      <c r="G33" s="14" t="inlineStr">
        <is>
          <t>COMIDA · RAMON</t>
        </is>
      </c>
    </row>
    <row r="34">
      <c r="A34" s="14" t="inlineStr">
        <is>
          <t>Enero</t>
        </is>
      </c>
      <c r="B34" s="17" t="n">
        <v>46030</v>
      </c>
      <c r="C34" s="14" t="inlineStr">
        <is>
          <t>Farmacia Selma (Selma Salvatori)</t>
        </is>
      </c>
      <c r="D34" s="27" t="n">
        <v>29546</v>
      </c>
      <c r="E34" s="28" t="n"/>
      <c r="F34" s="15">
        <f>IF(OR(D34&lt;&gt;"",E34&lt;&gt;""),IF(D34="",0,D34)+IF(E34="",0,E34),"")</f>
        <v/>
      </c>
      <c r="G34" s="14" t="inlineStr">
        <is>
          <t>FARMACIA · Farmacia Selma</t>
        </is>
      </c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n"/>
      <c r="B50" s="17" t="n"/>
      <c r="C50" s="14" t="n"/>
      <c r="D50" s="27" t="n"/>
      <c r="E50" s="28" t="n"/>
      <c r="F50" s="15" t="n"/>
      <c r="G50" s="14" t="n"/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COMIDA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COMIDA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n"/>
      <c r="B54" s="17" t="n"/>
      <c r="C54" s="14" t="n"/>
      <c r="D54" s="27" t="n"/>
      <c r="E54" s="28" t="n"/>
      <c r="F54" s="15" t="n"/>
      <c r="G54" s="14" t="n"/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n"/>
      <c r="B57" s="17" t="n"/>
      <c r="C57" s="14" t="n"/>
      <c r="D57" s="27" t="n"/>
      <c r="E57" s="28" t="n"/>
      <c r="F57" s="15" t="n"/>
      <c r="G57" s="14" t="n"/>
    </row>
    <row r="58">
      <c r="A58" s="14" t="n"/>
      <c r="B58" s="17" t="n"/>
      <c r="C58" s="14" t="n"/>
      <c r="D58" s="27" t="n"/>
      <c r="E58" s="28" t="n"/>
      <c r="F58" s="15" t="n"/>
      <c r="G58" s="14" t="n"/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n"/>
      <c r="B63" s="17" t="n"/>
      <c r="C63" s="14" t="n"/>
      <c r="D63" s="27" t="n"/>
      <c r="E63" s="28" t="n"/>
      <c r="F63" s="15" t="n"/>
      <c r="G63" s="14" t="n"/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n"/>
      <c r="B65" s="17" t="n"/>
      <c r="C65" s="14" t="n"/>
      <c r="D65" s="27" t="n"/>
      <c r="E65" s="28" t="n"/>
      <c r="F65" s="15" t="n"/>
      <c r="G65" s="14" t="n"/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>
        <v>46065</v>
      </c>
      <c r="C69" s="14" t="inlineStr">
        <is>
          <t>Kalbby / Ramón</t>
        </is>
      </c>
      <c r="D69" s="27" t="n">
        <v>30336</v>
      </c>
      <c r="E69" s="28" t="n"/>
      <c r="F69" s="15">
        <f>IF(OR(D69&lt;&gt;"",E69&lt;&gt;""),IF(D69="",0,D69)+IF(E69="",0,E69),"")</f>
        <v/>
      </c>
      <c r="G69" s="14" t="inlineStr">
        <is>
          <t>COMIDA · RAMON</t>
        </is>
      </c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n"/>
      <c r="B91" s="17" t="n"/>
      <c r="C91" s="14" t="n"/>
      <c r="D91" s="27" t="n"/>
      <c r="E91" s="28" t="n"/>
      <c r="F91" s="15" t="n"/>
      <c r="G91" s="14" t="n"/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>
        <v>46090</v>
      </c>
      <c r="C106" s="14" t="inlineStr">
        <is>
          <t>Kalbby / Ramón</t>
        </is>
      </c>
      <c r="D106" s="27" t="n">
        <v>56250</v>
      </c>
      <c r="E106" s="28" t="n"/>
      <c r="F106" s="15">
        <f>IF(OR(D106&lt;&gt;"",E106&lt;&gt;""),IF(D106="",0,D106)+IF(E106="",0,E106),"")</f>
        <v/>
      </c>
      <c r="G106" s="14" t="inlineStr">
        <is>
          <t>COMIDA · RAMON</t>
        </is>
      </c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n"/>
      <c r="B135" s="17" t="n"/>
      <c r="C135" s="14" t="n"/>
      <c r="D135" s="27" t="n"/>
      <c r="E135" s="28" t="n"/>
      <c r="F135" s="15" t="n"/>
      <c r="G135" s="14" t="n"/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n"/>
      <c r="B141" s="17" t="n"/>
      <c r="C141" s="14" t="n"/>
      <c r="D141" s="27" t="n"/>
      <c r="E141" s="28" t="n"/>
      <c r="F141" s="15" t="n"/>
      <c r="G141" s="14" t="n"/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>
        <v>46114</v>
      </c>
      <c r="C149" s="14" t="inlineStr">
        <is>
          <t>Kalbby / Ramón</t>
        </is>
      </c>
      <c r="D149" s="27" t="n">
        <v>82746</v>
      </c>
      <c r="E149" s="28" t="n"/>
      <c r="F149" s="15">
        <f>IF(OR(D149&lt;&gt;"",E149&lt;&gt;""),IF(D149="",0,D149)+IF(E149="",0,E149),"")</f>
        <v/>
      </c>
      <c r="G149" s="14" t="inlineStr">
        <is>
          <t>COMIDA · RAMON</t>
        </is>
      </c>
    </row>
    <row r="150">
      <c r="A150" s="14" t="inlineStr">
        <is>
          <t>Abril</t>
        </is>
      </c>
      <c r="B150" s="17" t="n">
        <v>46141</v>
      </c>
      <c r="C150" s="14" t="inlineStr">
        <is>
          <t>Kalbby / Ramón</t>
        </is>
      </c>
      <c r="D150" s="27" t="n">
        <v>86747</v>
      </c>
      <c r="E150" s="28" t="n"/>
      <c r="F150" s="15">
        <f>IF(OR(D150&lt;&gt;"",E150&lt;&gt;""),IF(D150="",0,D150)+IF(E150="",0,E150),"")</f>
        <v/>
      </c>
      <c r="G150" s="14" t="inlineStr">
        <is>
          <t>COMIDA · RAMON</t>
        </is>
      </c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n"/>
      <c r="B230" s="17" t="n"/>
      <c r="C230" s="14" t="n"/>
      <c r="D230" s="27" t="n"/>
      <c r="E230" s="28" t="n"/>
      <c r="F230" s="15" t="n"/>
      <c r="G230" s="14" t="n"/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inlineStr">
        <is>
          <t>COMIDA · VERDULERÍA</t>
        </is>
      </c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inlineStr">
        <is>
          <t>SUPERMERCADO</t>
        </is>
      </c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n"/>
      <c r="B265" s="17" t="n"/>
      <c r="C265" s="14" t="n"/>
      <c r="D265" s="27" t="n"/>
      <c r="E265" s="28" t="n"/>
      <c r="F265" s="15" t="n"/>
      <c r="G265" s="14" t="n"/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CIUDAD — 01/2026 (Gmail)</t>
        </is>
      </c>
      <c r="D5" s="15" t="n">
        <v>37984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CIUDAD — 02/2026 (Gmail)</t>
        </is>
      </c>
      <c r="D9" s="15" t="n">
        <v>38489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 · CIUDAD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CIUDAD — 03/2026 (Gmail)</t>
        </is>
      </c>
      <c r="D13" s="15" t="n">
        <v>39163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 · titular Maria Soledad Sanes · CIUDAD · cuenta 008917502309</t>
        </is>
      </c>
      <c r="D14" s="15" t="n">
        <v>82994</v>
      </c>
      <c r="E14" s="14" t="inlineStr">
        <is>
          <t>Débito Visa 3200</t>
        </is>
      </c>
      <c r="F14" s="18" t="inlineStr">
        <is>
          <t>008917502309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 · CIUDAD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CIUDAD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 · titular Maria Soledad Sanes · CIUDAD · cuenta 008917502309</t>
        </is>
      </c>
      <c r="D20" s="15" t="n">
        <v>56700</v>
      </c>
      <c r="E20" s="14" t="inlineStr">
        <is>
          <t>Débito Visa 3200</t>
        </is>
      </c>
      <c r="F20" s="18" t="inlineStr">
        <is>
          <t>008917502309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 · CIUDAD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CIUDAD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 · titular Maria Soledad Sanes · CIUDAD · cuenta 008917502309</t>
        </is>
      </c>
      <c r="D25" s="15" t="n">
        <v>52012</v>
      </c>
      <c r="E25" s="14" t="inlineStr">
        <is>
          <t>Débito Visa 3200</t>
        </is>
      </c>
      <c r="F25" s="18" t="inlineStr">
        <is>
          <t>008917502309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 · CIUDAD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CIUDAD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 · titular Maria Soledad Sanes · CIUDAD · cuenta 008917502309</t>
        </is>
      </c>
      <c r="D29" s="15" t="n">
        <v>106212</v>
      </c>
      <c r="E29" s="14" t="inlineStr">
        <is>
          <t>Débito Visa 3200</t>
        </is>
      </c>
      <c r="F29" s="18" t="inlineStr">
        <is>
          <t>008917502309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 · CIUDAD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 · titular Maria Soledad Sanes · CIUDAD · cuenta 008917502309</t>
        </is>
      </c>
      <c r="D32" s="15" t="n">
        <v>128877</v>
      </c>
      <c r="E32" s="14" t="inlineStr">
        <is>
          <t>Débito Visa 3200</t>
        </is>
      </c>
      <c r="F32" s="18" t="inlineStr">
        <is>
          <t>008917502309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CIUDAD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CIUDAD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CIUDAD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CIUDAD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CIUDAD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CIUDAD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 · cargado en Almacen Detalle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SUMIF($B$23:$B$52,A6,$D$23:$D$52)</f>
        <v/>
      </c>
    </row>
    <row r="7">
      <c r="A7" s="14" t="inlineStr">
        <is>
          <t>Febrero</t>
        </is>
      </c>
      <c r="B7" s="15">
        <f>SUMIF($B$23:$B$52,A7,$D$23:$D$52)</f>
        <v/>
      </c>
    </row>
    <row r="8">
      <c r="A8" s="14" t="inlineStr">
        <is>
          <t>Marzo</t>
        </is>
      </c>
      <c r="B8" s="15">
        <f>SUMIF($B$23:$B$52,A8,$D$23:$D$52)</f>
        <v/>
      </c>
    </row>
    <row r="9">
      <c r="A9" s="14" t="inlineStr">
        <is>
          <t>Abril</t>
        </is>
      </c>
      <c r="B9" s="15">
        <f>SUMIF($B$23:$B$52,A9,$D$23:$D$52)</f>
        <v/>
      </c>
    </row>
    <row r="10">
      <c r="A10" s="14" t="inlineStr">
        <is>
          <t>Mayo</t>
        </is>
      </c>
      <c r="B10" s="15">
        <f>SUMIF($B$23:$B$52,A10,$D$23:$D$52)</f>
        <v/>
      </c>
    </row>
    <row r="11">
      <c r="A11" s="14" t="inlineStr">
        <is>
          <t>Junio</t>
        </is>
      </c>
      <c r="B11" s="15">
        <f>SUMIF($B$23:$B$52,A11,$D$23:$D$52)</f>
        <v/>
      </c>
    </row>
    <row r="12">
      <c r="A12" s="14" t="inlineStr">
        <is>
          <t>Julio</t>
        </is>
      </c>
      <c r="B12" s="15">
        <f>SUMIF($B$23:$B$52,A12,$D$23:$D$52)</f>
        <v/>
      </c>
    </row>
    <row r="13">
      <c r="A13" s="14" t="inlineStr">
        <is>
          <t>Agosto</t>
        </is>
      </c>
      <c r="B13" s="15">
        <f>SUMIF($B$23:$B$52,A13,$D$23:$D$52)</f>
        <v/>
      </c>
    </row>
    <row r="14">
      <c r="A14" s="14" t="inlineStr">
        <is>
          <t>Septiembre</t>
        </is>
      </c>
      <c r="B14" s="15">
        <f>SUMIF($B$23:$B$52,A14,$D$23:$D$52)</f>
        <v/>
      </c>
    </row>
    <row r="15">
      <c r="A15" s="14" t="inlineStr">
        <is>
          <t>Octubre</t>
        </is>
      </c>
      <c r="B15" s="15">
        <f>SUMIF($B$23:$B$52,A15,$D$23:$D$52)</f>
        <v/>
      </c>
    </row>
    <row r="16">
      <c r="A16" s="14" t="inlineStr">
        <is>
          <t>Noviembre</t>
        </is>
      </c>
      <c r="B16" s="15">
        <f>SUMIF($B$23:$B$52,A16,$D$23:$D$52)</f>
        <v/>
      </c>
    </row>
    <row r="17">
      <c r="A17" s="14" t="inlineStr">
        <is>
          <t>Diciembre</t>
        </is>
      </c>
      <c r="B17" s="15">
        <f>SUMIF($B$23:$B$52,A17,$D$23:$D$52)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43" t="n">
        <v>46030</v>
      </c>
      <c r="B23" s="14" t="inlineStr">
        <is>
          <t>Enero</t>
        </is>
      </c>
      <c r="C23" s="14" t="inlineStr">
        <is>
          <t>Maria Martinez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settlement · ingreso recibido</t>
        </is>
      </c>
    </row>
    <row r="24">
      <c r="A24" s="43" t="n">
        <v>46030</v>
      </c>
      <c r="B24" s="14" t="inlineStr">
        <is>
          <t>Enero</t>
        </is>
      </c>
      <c r="C24" s="14" t="inlineStr">
        <is>
          <t>Florencia Ivana Risi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settlement · ingreso recibido</t>
        </is>
      </c>
    </row>
    <row r="25">
      <c r="A25" s="43" t="n">
        <v>46030</v>
      </c>
      <c r="B25" s="14" t="inlineStr">
        <is>
          <t>Enero</t>
        </is>
      </c>
      <c r="C25" s="14" t="inlineStr">
        <is>
          <t>GR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settlement · ingreso recibido</t>
        </is>
      </c>
    </row>
    <row r="26">
      <c r="A26" s="43" t="n">
        <v>46031</v>
      </c>
      <c r="B26" s="14" t="inlineStr">
        <is>
          <t>Enero</t>
        </is>
      </c>
      <c r="C26" s="14" t="inlineStr">
        <is>
          <t>Antonela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settlement · ingreso recibido</t>
        </is>
      </c>
    </row>
    <row r="27">
      <c r="A27" s="43" t="n">
        <v>46031</v>
      </c>
      <c r="B27" s="14" t="inlineStr">
        <is>
          <t>Enero</t>
        </is>
      </c>
      <c r="C27" s="14" t="inlineStr">
        <is>
          <t>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settlement · ingreso recibido</t>
        </is>
      </c>
    </row>
    <row r="28">
      <c r="A28" s="43" t="n">
        <v>46108</v>
      </c>
      <c r="B28" s="14" t="inlineStr">
        <is>
          <t>Marzo</t>
        </is>
      </c>
      <c r="C28" s="14" t="inlineStr">
        <is>
          <t>Trade in mla   Prod</t>
        </is>
      </c>
      <c r="D28" s="15" t="n">
        <v>408100</v>
      </c>
      <c r="E28" s="14" t="inlineStr">
        <is>
          <t>Mercado Pago — Transferencia recibida</t>
        </is>
      </c>
      <c r="F28" s="14" t="inlineStr">
        <is>
          <t>settlement · ingreso recibido</t>
        </is>
      </c>
    </row>
    <row r="29">
      <c r="A29" s="43" t="n">
        <v>46130</v>
      </c>
      <c r="B29" s="14" t="inlineStr">
        <is>
          <t>Abril</t>
        </is>
      </c>
      <c r="C29" s="14" t="inlineStr">
        <is>
          <t>Lujan Paz</t>
        </is>
      </c>
      <c r="D29" s="15" t="n">
        <v>39000</v>
      </c>
      <c r="E29" s="14" t="inlineStr">
        <is>
          <t>Mercado Pago — Transferencia recibida</t>
        </is>
      </c>
      <c r="F29" s="14" t="inlineStr">
        <is>
          <t>settlement · ingreso recibido</t>
        </is>
      </c>
    </row>
    <row r="30">
      <c r="A30" s="43" t="n">
        <v>46130</v>
      </c>
      <c r="B30" s="14" t="inlineStr">
        <is>
          <t>Abril</t>
        </is>
      </c>
      <c r="C30" s="14" t="inlineStr">
        <is>
          <t>Ana</t>
        </is>
      </c>
      <c r="D30" s="15" t="n">
        <v>39000</v>
      </c>
      <c r="E30" s="14" t="inlineStr">
        <is>
          <t>Mercado Pago — Transferencia recibida</t>
        </is>
      </c>
      <c r="F30" s="14" t="inlineStr">
        <is>
          <t>settlement · ingreso recibido</t>
        </is>
      </c>
    </row>
    <row r="31">
      <c r="A31" s="43" t="n">
        <v>46130</v>
      </c>
      <c r="B31" s="14" t="inlineStr">
        <is>
          <t>Abril</t>
        </is>
      </c>
      <c r="C31" s="14" t="inlineStr">
        <is>
          <t>Antonela</t>
        </is>
      </c>
      <c r="D31" s="15" t="n">
        <v>39000</v>
      </c>
      <c r="E31" s="14" t="inlineStr">
        <is>
          <t>Mercado Pago — Transferencia recibida</t>
        </is>
      </c>
      <c r="F31" s="14" t="inlineStr">
        <is>
          <t>settlement · ingreso recibido</t>
        </is>
      </c>
    </row>
    <row r="32">
      <c r="A32" s="43" t="n">
        <v>46130</v>
      </c>
      <c r="B32" s="14" t="inlineStr">
        <is>
          <t>Abril</t>
        </is>
      </c>
      <c r="C32" s="14" t="inlineStr">
        <is>
          <t>Maria Martinez</t>
        </is>
      </c>
      <c r="D32" s="15" t="n">
        <v>39000</v>
      </c>
      <c r="E32" s="14" t="inlineStr">
        <is>
          <t>Mercado Pago — Transferencia recibida</t>
        </is>
      </c>
      <c r="F32" s="14" t="inlineStr">
        <is>
          <t>settlement · ingreso recibido</t>
        </is>
      </c>
    </row>
    <row r="33">
      <c r="A33" s="43" t="n">
        <v>46140</v>
      </c>
      <c r="B33" s="14" t="inlineStr">
        <is>
          <t>Abril</t>
        </is>
      </c>
      <c r="C33" s="14" t="inlineStr">
        <is>
          <t>Maria Florencia Colombo</t>
        </is>
      </c>
      <c r="D33" s="15" t="n">
        <v>34000</v>
      </c>
      <c r="E33" s="14" t="inlineStr">
        <is>
          <t>Mercado Pago — Transferencia recibida</t>
        </is>
      </c>
      <c r="F33" s="14" t="inlineStr">
        <is>
          <t>settlement · ingreso recibido</t>
        </is>
      </c>
    </row>
    <row r="34">
      <c r="A34" s="43" t="n">
        <v>46140</v>
      </c>
      <c r="B34" s="14" t="inlineStr">
        <is>
          <t>Abril</t>
        </is>
      </c>
      <c r="C34" s="14" t="inlineStr">
        <is>
          <t>Maria Martinez</t>
        </is>
      </c>
      <c r="D34" s="15" t="n">
        <v>34900</v>
      </c>
      <c r="E34" s="14" t="inlineStr">
        <is>
          <t>Mercado Pago — Transferencia recibida</t>
        </is>
      </c>
      <c r="F34" s="14" t="inlineStr">
        <is>
          <t>settlement · ingreso recibido</t>
        </is>
      </c>
    </row>
    <row r="35">
      <c r="A35" s="43" t="n">
        <v>46140</v>
      </c>
      <c r="B35" s="14" t="inlineStr">
        <is>
          <t>Abril</t>
        </is>
      </c>
      <c r="C35" s="14" t="inlineStr">
        <is>
          <t>Nico arias</t>
        </is>
      </c>
      <c r="D35" s="15" t="n">
        <v>34000</v>
      </c>
      <c r="E35" s="14" t="inlineStr">
        <is>
          <t>Mercado Pago — Transferencia recibida</t>
        </is>
      </c>
      <c r="F35" s="14" t="inlineStr">
        <is>
          <t>settlement · ingreso recibido</t>
        </is>
      </c>
    </row>
    <row r="36">
      <c r="A36" s="43" t="n">
        <v>46140</v>
      </c>
      <c r="B36" s="14" t="inlineStr">
        <is>
          <t>Abril</t>
        </is>
      </c>
      <c r="C36" s="14" t="inlineStr">
        <is>
          <t>Lucas Rial Antelo</t>
        </is>
      </c>
      <c r="D36" s="15" t="n">
        <v>34000</v>
      </c>
      <c r="E36" s="14" t="inlineStr">
        <is>
          <t>Mercado Pago — Transferencia recibida</t>
        </is>
      </c>
      <c r="F36" s="14" t="inlineStr">
        <is>
          <t>settlement · ingreso recibido</t>
        </is>
      </c>
    </row>
    <row r="37">
      <c r="A37" s="43" t="n">
        <v>46140</v>
      </c>
      <c r="B37" s="14" t="inlineStr">
        <is>
          <t>Abril</t>
        </is>
      </c>
      <c r="C37" s="14" t="inlineStr">
        <is>
          <t>Ferpoiman</t>
        </is>
      </c>
      <c r="D37" s="15" t="n">
        <v>34000</v>
      </c>
      <c r="E37" s="14" t="inlineStr">
        <is>
          <t>Mercado Pago — Transferencia recibida</t>
        </is>
      </c>
      <c r="F37" s="14" t="inlineStr">
        <is>
          <t>settlement · ingreso recibido</t>
        </is>
      </c>
    </row>
    <row r="38">
      <c r="A38" s="43" t="n">
        <v>46140</v>
      </c>
      <c r="B38" s="14" t="inlineStr">
        <is>
          <t>Abril</t>
        </is>
      </c>
      <c r="C38" s="14" t="inlineStr">
        <is>
          <t>MAXIMILIANO RAUL GONZALEZ</t>
        </is>
      </c>
      <c r="D38" s="15" t="n">
        <v>34000</v>
      </c>
      <c r="E38" s="14" t="inlineStr">
        <is>
          <t>Mercado Pago — Transferencia recibida</t>
        </is>
      </c>
      <c r="F38" s="14" t="inlineStr">
        <is>
          <t>settlement · ingreso recibido</t>
        </is>
      </c>
    </row>
    <row r="39">
      <c r="A39" s="43" t="n">
        <v>46144</v>
      </c>
      <c r="B39" s="14" t="inlineStr">
        <is>
          <t>Mayo</t>
        </is>
      </c>
      <c r="C39" s="14" t="inlineStr">
        <is>
          <t>Tamara Ginesin</t>
        </is>
      </c>
      <c r="D39" s="15" t="n">
        <v>3000</v>
      </c>
      <c r="E39" s="14" t="inlineStr">
        <is>
          <t>Mercado Pago — Transferencia recibida</t>
        </is>
      </c>
      <c r="F39" s="14" t="inlineStr">
        <is>
          <t>recibida · hoja Transferencias recibidas (no gasto)</t>
        </is>
      </c>
    </row>
    <row r="40">
      <c r="A40" s="43" t="n">
        <v>46150</v>
      </c>
      <c r="B40" s="14" t="inlineStr">
        <is>
          <t>Mayo</t>
        </is>
      </c>
      <c r="C40" s="14" t="inlineStr">
        <is>
          <t>Ana Magariños</t>
        </is>
      </c>
      <c r="D40" s="15" t="n">
        <v>5000</v>
      </c>
      <c r="E40" s="14" t="inlineStr">
        <is>
          <t>Mercado Pago — Transferencia recibida</t>
        </is>
      </c>
      <c r="F40" s="14" t="inlineStr">
        <is>
          <t>recibida · hoja Transferencias recibidas (no gasto)</t>
        </is>
      </c>
    </row>
    <row r="41">
      <c r="A41" s="43" t="n">
        <v>46153</v>
      </c>
      <c r="B41" s="14" t="inlineStr">
        <is>
          <t>Mayo</t>
        </is>
      </c>
      <c r="C41" s="14" t="inlineStr">
        <is>
          <t>Mercado Libre</t>
        </is>
      </c>
      <c r="D41" s="15" t="n">
        <v>4699990</v>
      </c>
      <c r="E41" s="14" t="inlineStr">
        <is>
          <t>Mercado Pago — Transferencia recibida</t>
        </is>
      </c>
      <c r="F41" s="14" t="inlineStr">
        <is>
          <t>reintegro ML · hoja Transferencias recibidas (no gasto)</t>
        </is>
      </c>
    </row>
    <row r="42">
      <c r="A42" s="43" t="n">
        <v>46200</v>
      </c>
      <c r="B42" s="14" t="inlineStr">
        <is>
          <t>Junio</t>
        </is>
      </c>
      <c r="C42" s="14" t="inlineStr">
        <is>
          <t>Carlos Farinella</t>
        </is>
      </c>
      <c r="D42" s="15" t="n">
        <v>110000</v>
      </c>
      <c r="E42" s="14" t="inlineStr">
        <is>
          <t>Mercado Pago — Transferencia recibida</t>
        </is>
      </c>
      <c r="F42" s="14" t="inlineStr">
        <is>
          <t>recibida · hoja Transferencias recibidas (no gasto)</t>
        </is>
      </c>
    </row>
    <row r="43">
      <c r="A43" s="43" t="n">
        <v>46212</v>
      </c>
      <c r="B43" s="14" t="inlineStr">
        <is>
          <t>Julio</t>
        </is>
      </c>
      <c r="C43" s="14" t="inlineStr">
        <is>
          <t>Carlos Farinella</t>
        </is>
      </c>
      <c r="D43" s="15" t="n">
        <v>80000</v>
      </c>
      <c r="E43" s="14" t="inlineStr">
        <is>
          <t>Mercado Pago — Transferencia recibida</t>
        </is>
      </c>
      <c r="F43" s="14" t="inlineStr">
        <is>
          <t>recibida · hoja Transferencias recibidas (no gasto)</t>
        </is>
      </c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CIUDAD 1132 — Pago de tarjetas</t>
        </is>
      </c>
    </row>
    <row r="2">
      <c r="A2" t="inlineStr">
        <is>
          <t>Pagos de resumen de tarjeta de crédito (no es gasto nuevo de la hoja 2026; registro de egreso MP).</t>
        </is>
      </c>
    </row>
    <row r="4">
      <c r="A4" s="11" t="inlineStr">
        <is>
          <t>Resumen por mes</t>
        </is>
      </c>
    </row>
    <row r="5">
      <c r="A5" s="40" t="inlineStr">
        <is>
          <t>Mes</t>
        </is>
      </c>
      <c r="B5" s="40" t="inlineStr">
        <is>
          <t>Total</t>
        </is>
      </c>
    </row>
    <row r="6">
      <c r="A6" t="inlineStr">
        <is>
          <t>Enero</t>
        </is>
      </c>
      <c r="B6" s="26">
        <f>SUMIF($B$23:$B$200,A6,$D$23:$D$200)</f>
        <v/>
      </c>
    </row>
    <row r="7">
      <c r="A7" t="inlineStr">
        <is>
          <t>Febrero</t>
        </is>
      </c>
      <c r="B7" s="26">
        <f>SUMIF($B$23:$B$200,A7,$D$23:$D$200)</f>
        <v/>
      </c>
    </row>
    <row r="8">
      <c r="A8" t="inlineStr">
        <is>
          <t>Marzo</t>
        </is>
      </c>
      <c r="B8" s="26">
        <f>SUMIF($B$23:$B$200,A8,$D$23:$D$200)</f>
        <v/>
      </c>
    </row>
    <row r="9">
      <c r="A9" t="inlineStr">
        <is>
          <t>Abril</t>
        </is>
      </c>
      <c r="B9" s="26">
        <f>SUMIF($B$23:$B$200,A9,$D$23:$D$200)</f>
        <v/>
      </c>
    </row>
    <row r="10">
      <c r="A10" t="inlineStr">
        <is>
          <t>Mayo</t>
        </is>
      </c>
      <c r="B10" s="26">
        <f>SUMIF($B$23:$B$200,A10,$D$23:$D$200)</f>
        <v/>
      </c>
    </row>
    <row r="11">
      <c r="A11" t="inlineStr">
        <is>
          <t>Junio</t>
        </is>
      </c>
      <c r="B11" s="26">
        <f>SUMIF($B$23:$B$200,A11,$D$23:$D$200)</f>
        <v/>
      </c>
    </row>
    <row r="12">
      <c r="A12" t="inlineStr">
        <is>
          <t>Julio</t>
        </is>
      </c>
      <c r="B12" s="26">
        <f>SUMIF($B$23:$B$200,A12,$D$23:$D$200)</f>
        <v/>
      </c>
    </row>
    <row r="13">
      <c r="A13" t="inlineStr">
        <is>
          <t>Agosto</t>
        </is>
      </c>
      <c r="B13" s="26">
        <f>SUMIF($B$23:$B$200,A13,$D$23:$D$200)</f>
        <v/>
      </c>
    </row>
    <row r="14">
      <c r="A14" t="inlineStr">
        <is>
          <t>Septiembre</t>
        </is>
      </c>
      <c r="B14" s="26">
        <f>SUMIF($B$23:$B$200,A14,$D$23:$D$200)</f>
        <v/>
      </c>
    </row>
    <row r="15">
      <c r="A15" t="inlineStr">
        <is>
          <t>Octubre</t>
        </is>
      </c>
      <c r="B15" s="26">
        <f>SUMIF($B$23:$B$200,A15,$D$23:$D$200)</f>
        <v/>
      </c>
    </row>
    <row r="16">
      <c r="A16" t="inlineStr">
        <is>
          <t>Noviembre</t>
        </is>
      </c>
      <c r="B16" s="26">
        <f>SUMIF($B$23:$B$200,A16,$D$23:$D$200)</f>
        <v/>
      </c>
    </row>
    <row r="17">
      <c r="A17" t="inlineStr">
        <is>
          <t>Diciembre</t>
        </is>
      </c>
      <c r="B17" s="26">
        <f>SUMIF($B$23:$B$200,A17,$D$23:$D$200)</f>
        <v/>
      </c>
    </row>
    <row r="18">
      <c r="A18" s="11" t="inlineStr">
        <is>
          <t>TOTAL AÑO</t>
        </is>
      </c>
      <c r="B18" s="26">
        <f>SUM(B6:B17)</f>
        <v/>
      </c>
    </row>
    <row r="21">
      <c r="A21" s="1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</t>
        </is>
      </c>
      <c r="F22" s="12" t="inlineStr">
        <is>
          <t>Comentario</t>
        </is>
      </c>
    </row>
    <row r="23">
      <c r="A23" s="44" t="n">
        <v>46031</v>
      </c>
      <c r="B23" t="inlineStr">
        <is>
          <t>Enero</t>
        </is>
      </c>
      <c r="C23" t="inlineStr">
        <is>
          <t>Tarjeta de crédito</t>
        </is>
      </c>
      <c r="D23" s="26" t="n">
        <v>164709</v>
      </c>
      <c r="E23" t="inlineStr">
        <is>
          <t>Mercado Pago</t>
        </is>
      </c>
      <c r="F23" t="inlineStr">
        <is>
          <t>pago resumen TC · hoja Pago de Tarjetas</t>
        </is>
      </c>
    </row>
    <row r="24">
      <c r="A24" s="44" t="n">
        <v>46034</v>
      </c>
      <c r="B24" t="inlineStr">
        <is>
          <t>Enero</t>
        </is>
      </c>
      <c r="C24" t="inlineStr">
        <is>
          <t>Tarjeta de crédito</t>
        </is>
      </c>
      <c r="D24" s="26" t="n">
        <v>200000</v>
      </c>
      <c r="E24" t="inlineStr">
        <is>
          <t>Mercado Pago</t>
        </is>
      </c>
      <c r="F24" t="inlineStr">
        <is>
          <t>pago resumen TC · hoja Pago de Tarjetas</t>
        </is>
      </c>
    </row>
    <row r="25">
      <c r="A25" s="44" t="n">
        <v>46035</v>
      </c>
      <c r="B25" t="inlineStr">
        <is>
          <t>Enero</t>
        </is>
      </c>
      <c r="C25" t="inlineStr">
        <is>
          <t>Tarjeta de crédito</t>
        </is>
      </c>
      <c r="D25" s="26" t="n">
        <v>1282375</v>
      </c>
      <c r="E25" t="inlineStr">
        <is>
          <t>Mercado Pago</t>
        </is>
      </c>
      <c r="F25" t="inlineStr">
        <is>
          <t>pago resumen TC · hoja Pago de Tarjetas</t>
        </is>
      </c>
    </row>
    <row r="26">
      <c r="A26" s="44" t="n">
        <v>46190</v>
      </c>
      <c r="B26" t="inlineStr">
        <is>
          <t>Junio</t>
        </is>
      </c>
      <c r="C26" t="inlineStr">
        <is>
          <t>Tarjeta de crédito</t>
        </is>
      </c>
      <c r="D26" s="26" t="n">
        <v>1501833</v>
      </c>
      <c r="E26" t="inlineStr">
        <is>
          <t>Mercado Pago</t>
        </is>
      </c>
      <c r="F26" t="inlineStr">
        <is>
          <t>pago resumen · hoja Pago de Tarjetas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CIUDAD = Consorcio De Propietarios o destino Banco Patagonia CBU 0340116900116010765007 / CUIL 30714962473. No va a ALMACEN SOL.</t>
        </is>
      </c>
    </row>
    <row r="4">
      <c r="A4" s="31" t="inlineStr">
        <is>
          <t>Resumen por propiedad</t>
        </is>
      </c>
      <c r="D4" s="31" t="inlineStr">
        <is>
          <t>ID bancario CIUDAD</t>
        </is>
      </c>
    </row>
    <row r="5">
      <c r="A5" s="34" t="inlineStr">
        <is>
          <t>Propiedad</t>
        </is>
      </c>
      <c r="B5" s="34" t="inlineStr">
        <is>
          <t>Total</t>
        </is>
      </c>
      <c r="D5" t="inlineStr">
        <is>
          <t>Entidad</t>
        </is>
      </c>
      <c r="E5" t="inlineStr">
        <is>
          <t>Banco Patagonia</t>
        </is>
      </c>
    </row>
    <row r="6">
      <c r="A6" s="14" t="inlineStr">
        <is>
          <t>CIUDAD 1132</t>
        </is>
      </c>
      <c r="B6" s="15">
        <f>SUMIF($D$29:$D$200,A6,$E$29:$E$200)</f>
        <v/>
      </c>
      <c r="D6" t="inlineStr">
        <is>
          <t>CBU</t>
        </is>
      </c>
      <c r="E6" t="inlineStr">
        <is>
          <t>0340116900116010765007</t>
        </is>
      </c>
    </row>
    <row r="7">
      <c r="A7" s="14" t="inlineStr">
        <is>
          <t>BONORINO</t>
        </is>
      </c>
      <c r="B7" s="15">
        <f>SUMIF($D$29:$D$200,A7,$E$29:$E$200)</f>
        <v/>
      </c>
      <c r="D7" t="inlineStr">
        <is>
          <t>CUIL</t>
        </is>
      </c>
      <c r="E7" t="inlineStr">
        <is>
          <t>30714962473</t>
        </is>
      </c>
    </row>
    <row r="8">
      <c r="A8" s="14" t="inlineStr">
        <is>
          <t>AVA</t>
        </is>
      </c>
      <c r="B8" s="15">
        <f>SUMIF($D$29:$D$200,A8,$E$29:$E$200)</f>
        <v/>
      </c>
    </row>
    <row r="9">
      <c r="A9" s="14" t="inlineStr">
        <is>
          <t>OHIGGINS (ex A CONFIRMAR / Copropi)</t>
        </is>
      </c>
      <c r="B9" s="15">
        <f>SUMIF($D$29:$D$200,A9,$E$29:$E$200)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SUMIF($B$29:$B$200,A12,$E$29:$E$200)</f>
        <v/>
      </c>
    </row>
    <row r="13">
      <c r="A13" s="14" t="inlineStr">
        <is>
          <t>Febrero</t>
        </is>
      </c>
      <c r="B13" s="15">
        <f>SUMIF($B$29:$B$200,A13,$E$29:$E$200)</f>
        <v/>
      </c>
    </row>
    <row r="14">
      <c r="A14" s="14" t="inlineStr">
        <is>
          <t>Marzo</t>
        </is>
      </c>
      <c r="B14" s="15">
        <f>SUMIF($B$29:$B$200,A14,$E$29:$E$200)</f>
        <v/>
      </c>
    </row>
    <row r="15">
      <c r="A15" s="14" t="inlineStr">
        <is>
          <t>Abril</t>
        </is>
      </c>
      <c r="B15" s="15">
        <f>SUMIF($B$29:$B$200,A15,$E$29:$E$200)</f>
        <v/>
      </c>
    </row>
    <row r="16">
      <c r="A16" s="14" t="inlineStr">
        <is>
          <t>Mayo</t>
        </is>
      </c>
      <c r="B16" s="15">
        <f>SUMIF($B$29:$B$200,A16,$E$29:$E$200)</f>
        <v/>
      </c>
    </row>
    <row r="17">
      <c r="A17" s="14" t="inlineStr">
        <is>
          <t>Junio</t>
        </is>
      </c>
      <c r="B17" s="15">
        <f>SUMIF($B$29:$B$200,A17,$E$29:$E$200)</f>
        <v/>
      </c>
    </row>
    <row r="18">
      <c r="A18" s="14" t="inlineStr">
        <is>
          <t>Julio</t>
        </is>
      </c>
      <c r="B18" s="15">
        <f>SUMIF($B$29:$B$200,A18,$E$29:$E$200)</f>
        <v/>
      </c>
    </row>
    <row r="19">
      <c r="A19" s="14" t="inlineStr">
        <is>
          <t>Agosto</t>
        </is>
      </c>
      <c r="B19" s="15">
        <f>SUMIF($B$29:$B$200,A19,$E$29:$E$200)</f>
        <v/>
      </c>
    </row>
    <row r="20">
      <c r="A20" s="14" t="inlineStr">
        <is>
          <t>Septiembre</t>
        </is>
      </c>
      <c r="B20" s="15">
        <f>SUMIF($B$29:$B$200,A20,$E$29:$E$200)</f>
        <v/>
      </c>
    </row>
    <row r="21">
      <c r="A21" s="14" t="inlineStr">
        <is>
          <t>Octubre</t>
        </is>
      </c>
      <c r="B21" s="15">
        <f>SUMIF($B$29:$B$200,A21,$E$29:$E$200)</f>
        <v/>
      </c>
    </row>
    <row r="22">
      <c r="A22" s="14" t="inlineStr">
        <is>
          <t>Noviembre</t>
        </is>
      </c>
      <c r="B22" s="15">
        <f>SUMIF($B$29:$B$200,A22,$E$29:$E$200)</f>
        <v/>
      </c>
    </row>
    <row r="23">
      <c r="A23" s="14" t="inlineStr">
        <is>
          <t>Diciembre</t>
        </is>
      </c>
      <c r="B23" s="15">
        <f>SUMIF($B$29:$B$200,A23,$E$29:$E$200)</f>
        <v/>
      </c>
    </row>
    <row r="24">
      <c r="A24" s="38" t="inlineStr">
        <is>
          <t>TOTAL AÑO</t>
        </is>
      </c>
      <c r="B24" s="39">
        <f>SUM(B12:B23)</f>
        <v/>
      </c>
    </row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 · Patagonia CBU 0340116900116010765007 / CUIL 30714962473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 · Patagonia CBU 0340116900116010765007 / CUIL 30714962473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OHIGGINS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OHIGGINS 2219 piso 8 · Estudio Kalmus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OHIGGINS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OHIGGINS 2219 piso 8 · Estudio Kalmus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 · Patagonia CBU 0340116900116010765007 / CUIL 30714962473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OHIGGINS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OHIGGINS 2219 piso 8 · Estudio Kalmus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 · Patagonia CBU 0340116900116010765007 / CUIL 30714962473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Mayo</t>
        </is>
      </c>
      <c r="C38" s="14" t="inlineStr">
        <is>
          <t>Consorcio De Copropi</t>
        </is>
      </c>
      <c r="D38" s="14" t="inlineStr">
        <is>
          <t>OHIGGINS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OHIGGINS 2219 piso 8 · Estudio Kalmus</t>
        </is>
      </c>
    </row>
    <row r="39">
      <c r="A39" s="17" t="n">
        <v>46183</v>
      </c>
      <c r="B39" s="14" t="inlineStr">
        <is>
          <t>Mayo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 · Patagonia CBU 0340116900116010765007 / CUIL 30714962473 · período mayo 2026 (Gmail Sent)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Junio</t>
        </is>
      </c>
      <c r="C41" s="14" t="inlineStr">
        <is>
          <t>Consorcio De Copropi</t>
        </is>
      </c>
      <c r="D41" s="14" t="inlineStr">
        <is>
          <t>OHIGGINS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OHIGGINS 2219 piso 8 · Estudio Kalmus</t>
        </is>
      </c>
    </row>
    <row r="42">
      <c r="A42" s="17" t="n">
        <v>46212</v>
      </c>
      <c r="B42" s="14" t="inlineStr">
        <is>
          <t>Junio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 · Patagonia CBU 0340116900116010765007 / CUIL 30714962473 · período junio 2026 (Gmail Sent)</t>
        </is>
      </c>
    </row>
    <row r="43">
      <c r="A43" s="17" t="n">
        <v>46119</v>
      </c>
      <c r="B43" s="14" t="inlineStr">
        <is>
          <t>Abril</t>
        </is>
      </c>
      <c r="C43" s="14" t="inlineStr">
        <is>
          <t>Consorcio De Propiet</t>
        </is>
      </c>
      <c r="D43" s="14" t="inlineStr">
        <is>
          <t>CIUDAD 1132</t>
        </is>
      </c>
      <c r="E43" s="15" t="n">
        <v>235210</v>
      </c>
      <c r="F43" s="14" t="inlineStr">
        <is>
          <t>Banco — Transferencia (cuenta PRINCIPAL)</t>
        </is>
      </c>
      <c r="G43" s="14" t="inlineStr">
        <is>
          <t>Pago de Expensas · CIUDAD 1132 · CBU Patagonia 0340116900116010765007 / CUIL 30714962473 · Gmail Sent 7-abr (comprobante)</t>
        </is>
      </c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28" customWidth="1" min="5" max="5"/>
    <col width="36" customWidth="1" min="6" max="6"/>
  </cols>
  <sheetData>
    <row r="1">
      <c r="A1" s="1" t="inlineStr">
        <is>
          <t>CIUDAD 1132 — Gasto personal Sol</t>
        </is>
      </c>
    </row>
    <row r="2">
      <c r="A2" s="30" t="inlineStr">
        <is>
          <t>Gastos personales de Sol (Tuenti, Apple, ropa, ML, transferencias a terceros, extras, mascotas). NO es ALMACEN SOL. No suma al total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</t>
        </is>
      </c>
    </row>
    <row r="6">
      <c r="A6" s="14" t="inlineStr">
        <is>
          <t>Enero</t>
        </is>
      </c>
      <c r="B6" s="15">
        <f>SUMIF($B$23:$B$226,A6,$D$23:$D$226)</f>
        <v/>
      </c>
    </row>
    <row r="7">
      <c r="A7" s="14" t="inlineStr">
        <is>
          <t>Febrero</t>
        </is>
      </c>
      <c r="B7" s="15">
        <f>SUMIF($B$23:$B$226,A7,$D$23:$D$226)</f>
        <v/>
      </c>
    </row>
    <row r="8">
      <c r="A8" s="14" t="inlineStr">
        <is>
          <t>Marzo</t>
        </is>
      </c>
      <c r="B8" s="15">
        <f>SUMIF($B$23:$B$226,A8,$D$23:$D$226)</f>
        <v/>
      </c>
    </row>
    <row r="9">
      <c r="A9" s="14" t="inlineStr">
        <is>
          <t>Abril</t>
        </is>
      </c>
      <c r="B9" s="15">
        <f>SUMIF($B$23:$B$226,A9,$D$23:$D$226)</f>
        <v/>
      </c>
    </row>
    <row r="10">
      <c r="A10" s="14" t="inlineStr">
        <is>
          <t>Mayo</t>
        </is>
      </c>
      <c r="B10" s="15">
        <f>SUMIF($B$23:$B$226,A10,$D$23:$D$226)</f>
        <v/>
      </c>
    </row>
    <row r="11">
      <c r="A11" s="14" t="inlineStr">
        <is>
          <t>Junio</t>
        </is>
      </c>
      <c r="B11" s="15">
        <f>SUMIF($B$23:$B$226,A11,$D$23:$D$226)</f>
        <v/>
      </c>
    </row>
    <row r="12">
      <c r="A12" s="14" t="inlineStr">
        <is>
          <t>Julio</t>
        </is>
      </c>
      <c r="B12" s="15">
        <f>SUMIF($B$23:$B$226,A12,$D$23:$D$226)</f>
        <v/>
      </c>
    </row>
    <row r="13">
      <c r="A13" s="14" t="inlineStr">
        <is>
          <t>Agosto</t>
        </is>
      </c>
      <c r="B13" s="15">
        <f>SUMIF($B$23:$B$226,A13,$D$23:$D$226)</f>
        <v/>
      </c>
    </row>
    <row r="14">
      <c r="A14" s="14" t="inlineStr">
        <is>
          <t>Septiembre</t>
        </is>
      </c>
      <c r="B14" s="15">
        <f>SUMIF($B$23:$B$226,A14,$D$23:$D$226)</f>
        <v/>
      </c>
    </row>
    <row r="15">
      <c r="A15" s="14" t="inlineStr">
        <is>
          <t>Octubre</t>
        </is>
      </c>
      <c r="B15" s="15">
        <f>SUMIF($B$23:$B$226,A15,$D$23:$D$226)</f>
        <v/>
      </c>
    </row>
    <row r="16">
      <c r="A16" s="14" t="inlineStr">
        <is>
          <t>Noviembre</t>
        </is>
      </c>
      <c r="B16" s="15">
        <f>SUMIF($B$23:$B$226,A16,$D$23:$D$226)</f>
        <v/>
      </c>
    </row>
    <row r="17">
      <c r="A17" s="14" t="inlineStr">
        <is>
          <t>Diciembre</t>
        </is>
      </c>
      <c r="B17" s="15">
        <f>SUMIF($B$23:$B$226,A17,$D$23:$D$226)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43" t="n">
        <v>46024</v>
      </c>
      <c r="B23" s="14" t="inlineStr">
        <is>
          <t>Enero</t>
        </is>
      </c>
      <c r="C23" s="14" t="inlineStr">
        <is>
          <t>Apple</t>
        </is>
      </c>
      <c r="D23" s="15" t="n">
        <v>5621</v>
      </c>
      <c r="E23" s="14" t="inlineStr">
        <is>
          <t>Mercado Pago</t>
        </is>
      </c>
      <c r="F23" s="14" t="inlineStr">
        <is>
          <t>Apple · gasto personal Sol · hoja Gasto Personal Sol</t>
        </is>
      </c>
    </row>
    <row r="24">
      <c r="A24" s="43" t="n">
        <v>46024</v>
      </c>
      <c r="B24" s="14" t="inlineStr">
        <is>
          <t>Enero</t>
        </is>
      </c>
      <c r="C24" s="14" t="inlineStr">
        <is>
          <t>Mercado Libre</t>
        </is>
      </c>
      <c r="D24" s="15" t="n">
        <v>232640</v>
      </c>
      <c r="E24" s="14" t="inlineStr">
        <is>
          <t>Mercado Pago</t>
        </is>
      </c>
      <c r="F24" s="14" t="inlineStr">
        <is>
          <t>ML · ML · gasto personal Sol (revisar)</t>
        </is>
      </c>
    </row>
    <row r="25">
      <c r="A25" s="43" t="n">
        <v>46024</v>
      </c>
      <c r="B25" s="14" t="inlineStr">
        <is>
          <t>Enero</t>
        </is>
      </c>
      <c r="C25" s="14" t="inlineStr">
        <is>
          <t>Mercado Libre</t>
        </is>
      </c>
      <c r="D25" s="15" t="n">
        <v>50523</v>
      </c>
      <c r="E25" s="14" t="inlineStr">
        <is>
          <t>Mercado Pago</t>
        </is>
      </c>
      <c r="F25" s="14" t="inlineStr">
        <is>
          <t>ML · ML · gasto personal Sol (revisar)</t>
        </is>
      </c>
    </row>
    <row r="26">
      <c r="A26" s="43" t="n">
        <v>46026</v>
      </c>
      <c r="B26" s="14" t="inlineStr">
        <is>
          <t>Enero</t>
        </is>
      </c>
      <c r="C26" s="14" t="inlineStr">
        <is>
          <t>Ceferina</t>
        </is>
      </c>
      <c r="D26" s="15" t="n">
        <v>530000</v>
      </c>
      <c r="E26" s="14" t="inlineStr">
        <is>
          <t>Mercado Pago</t>
        </is>
      </c>
      <c r="F26" s="14" t="inlineStr">
        <is>
          <t>ROPA · Ceferina · hoja Gasto Personal Sol</t>
        </is>
      </c>
    </row>
    <row r="27">
      <c r="A27" s="43" t="n">
        <v>46026</v>
      </c>
      <c r="B27" s="14" t="inlineStr">
        <is>
          <t>Enero</t>
        </is>
      </c>
      <c r="C27" s="14" t="inlineStr">
        <is>
          <t>Gusmar Hnos Srl</t>
        </is>
      </c>
      <c r="D27" s="15" t="n">
        <v>4850</v>
      </c>
      <c r="E27" s="14" t="inlineStr">
        <is>
          <t>Mercado Pago</t>
        </is>
      </c>
      <c r="F27" s="14" t="inlineStr">
        <is>
          <t>tienda física · gasto personal Sol (ex-PENDIENTE)</t>
        </is>
      </c>
    </row>
    <row r="28">
      <c r="A28" s="43" t="n">
        <v>46026</v>
      </c>
      <c r="B28" s="14" t="inlineStr">
        <is>
          <t>Enero</t>
        </is>
      </c>
      <c r="C28" s="14" t="inlineStr">
        <is>
          <t>Tiempo Latino S.A</t>
        </is>
      </c>
      <c r="D28" s="15" t="n">
        <v>382500</v>
      </c>
      <c r="E28" s="14" t="inlineStr">
        <is>
          <t>Mercado Pago</t>
        </is>
      </c>
      <c r="F28" s="14" t="inlineStr">
        <is>
          <t>compra TC · gasto personal Sol (ex-PENDIENTE)</t>
        </is>
      </c>
    </row>
    <row r="29">
      <c r="A29" s="43" t="n">
        <v>46028</v>
      </c>
      <c r="B29" s="14" t="inlineStr">
        <is>
          <t>Enero</t>
        </is>
      </c>
      <c r="C29" s="14" t="inlineStr">
        <is>
          <t>Mercado Libre</t>
        </is>
      </c>
      <c r="D29" s="15" t="n">
        <v>43389</v>
      </c>
      <c r="E29" s="14" t="inlineStr">
        <is>
          <t>Mercado Pago</t>
        </is>
      </c>
      <c r="F29" s="14" t="inlineStr">
        <is>
          <t>ML · ML · gasto personal Sol (revisar)</t>
        </is>
      </c>
    </row>
    <row r="30">
      <c r="A30" s="43" t="n">
        <v>46030</v>
      </c>
      <c r="B30" s="14" t="inlineStr">
        <is>
          <t>Enero</t>
        </is>
      </c>
      <c r="C30" s="14" t="inlineStr">
        <is>
          <t>Andres Javier Di Pasqua</t>
        </is>
      </c>
      <c r="D30" s="15" t="n">
        <v>12426</v>
      </c>
      <c r="E30" s="14" t="inlineStr">
        <is>
          <t>Mercado Pago</t>
        </is>
      </c>
      <c r="F30" s="14" t="inlineStr">
        <is>
          <t>compra · gasto personal Sol (ex-PENDIENTE)</t>
        </is>
      </c>
    </row>
    <row r="31">
      <c r="A31" s="43" t="n">
        <v>46030</v>
      </c>
      <c r="B31" s="14" t="inlineStr">
        <is>
          <t>Enero</t>
        </is>
      </c>
      <c r="C31" s="14" t="inlineStr">
        <is>
          <t>Ceferina</t>
        </is>
      </c>
      <c r="D31" s="15" t="n">
        <v>395000</v>
      </c>
      <c r="E31" s="14" t="inlineStr">
        <is>
          <t>Mercado Pago</t>
        </is>
      </c>
      <c r="F31" s="14" t="inlineStr">
        <is>
          <t>ROPA · Ceferina · hoja Gasto Personal Sol</t>
        </is>
      </c>
    </row>
    <row r="32">
      <c r="A32" s="43" t="n">
        <v>46030</v>
      </c>
      <c r="B32" s="14" t="inlineStr">
        <is>
          <t>Enero</t>
        </is>
      </c>
      <c r="C32" s="14" t="inlineStr">
        <is>
          <t>Promarine Erisea</t>
        </is>
      </c>
      <c r="D32" s="15" t="n">
        <v>350000</v>
      </c>
      <c r="E32" s="14" t="inlineStr">
        <is>
          <t>Mercado Pago</t>
        </is>
      </c>
      <c r="F32" s="14" t="inlineStr">
        <is>
          <t>Promarine · gasto personal Sol · hoja Gasto Personal Sol</t>
        </is>
      </c>
    </row>
    <row r="33">
      <c r="A33" s="43" t="n">
        <v>46031</v>
      </c>
      <c r="B33" s="14" t="inlineStr">
        <is>
          <t>Enero</t>
        </is>
      </c>
      <c r="C33" s="14" t="inlineStr">
        <is>
          <t>Catore Srl</t>
        </is>
      </c>
      <c r="D33" s="15" t="n">
        <v>44000</v>
      </c>
      <c r="E33" s="14" t="inlineStr">
        <is>
          <t>Mercado Pago</t>
        </is>
      </c>
      <c r="F33" s="14" t="inlineStr">
        <is>
          <t>transferencia · gasto personal Sol (ex-PENDIENTE)</t>
        </is>
      </c>
    </row>
    <row r="34">
      <c r="A34" s="43" t="n">
        <v>46031</v>
      </c>
      <c r="B34" s="14" t="inlineStr">
        <is>
          <t>Enero</t>
        </is>
      </c>
      <c r="C34" s="14" t="inlineStr">
        <is>
          <t>Pedidosya Plus</t>
        </is>
      </c>
      <c r="D34" s="15" t="n">
        <v>5490</v>
      </c>
      <c r="E34" s="14" t="inlineStr">
        <is>
          <t>Mercado Pago</t>
        </is>
      </c>
      <c r="F34" s="14" t="inlineStr">
        <is>
          <t>PEDIDOS YA · suscripción Plus (no almacén) · gasto personal Sol</t>
        </is>
      </c>
    </row>
    <row r="35">
      <c r="A35" s="43" t="n">
        <v>46031</v>
      </c>
      <c r="B35" s="14" t="inlineStr">
        <is>
          <t>Enero</t>
        </is>
      </c>
      <c r="C35" s="14" t="inlineStr">
        <is>
          <t>Tuenti</t>
        </is>
      </c>
      <c r="D35" s="15" t="n">
        <v>14700</v>
      </c>
      <c r="E35" s="14" t="inlineStr">
        <is>
          <t>Mercado Pago</t>
        </is>
      </c>
      <c r="F35" s="14" t="inlineStr">
        <is>
          <t>Tuenti · gasto personal Sol · hoja Gasto Personal Sol</t>
        </is>
      </c>
    </row>
    <row r="36">
      <c r="A36" s="43" t="n">
        <v>46035</v>
      </c>
      <c r="B36" s="14" t="inlineStr">
        <is>
          <t>Enero</t>
        </is>
      </c>
      <c r="C36" s="14" t="inlineStr">
        <is>
          <t>Valeria Laura Mele</t>
        </is>
      </c>
      <c r="D36" s="15" t="n">
        <v>44100</v>
      </c>
      <c r="E36" s="14" t="inlineStr">
        <is>
          <t>Mercado Pago</t>
        </is>
      </c>
      <c r="F36" s="14" t="inlineStr">
        <is>
          <t>transferencia · gasto personal Sol (ex-PENDIENTE)</t>
        </is>
      </c>
    </row>
    <row r="37">
      <c r="A37" s="43" t="n">
        <v>46037</v>
      </c>
      <c r="B37" s="14" t="inlineStr">
        <is>
          <t>Enero</t>
        </is>
      </c>
      <c r="C37" s="14" t="inlineStr">
        <is>
          <t>Marcelo Alejandro Kattan</t>
        </is>
      </c>
      <c r="D37" s="15" t="n">
        <v>11000</v>
      </c>
      <c r="E37" s="14" t="inlineStr">
        <is>
          <t>Mercado Pago</t>
        </is>
      </c>
      <c r="F37" s="14" t="inlineStr">
        <is>
          <t>transferencia · gasto personal Sol (ex-PENDIENTE)</t>
        </is>
      </c>
    </row>
    <row r="38">
      <c r="A38" s="43" t="n">
        <v>46037</v>
      </c>
      <c r="B38" s="14" t="inlineStr">
        <is>
          <t>Enero</t>
        </is>
      </c>
      <c r="C38" s="14" t="inlineStr">
        <is>
          <t>Mercado Libre</t>
        </is>
      </c>
      <c r="D38" s="15" t="n">
        <v>95930</v>
      </c>
      <c r="E38" s="14" t="inlineStr">
        <is>
          <t>Mercado Pago</t>
        </is>
      </c>
      <c r="F38" s="14" t="inlineStr">
        <is>
          <t>ML · ML · gasto personal Sol (revisar)</t>
        </is>
      </c>
    </row>
    <row r="39">
      <c r="A39" s="43" t="n">
        <v>46039</v>
      </c>
      <c r="B39" s="14" t="inlineStr">
        <is>
          <t>Enero</t>
        </is>
      </c>
      <c r="C39" s="14" t="inlineStr">
        <is>
          <t>Veronica Alejandra Mendez</t>
        </is>
      </c>
      <c r="D39" s="15" t="n">
        <v>22000</v>
      </c>
      <c r="E39" s="14" t="inlineStr">
        <is>
          <t>Mercado Pago</t>
        </is>
      </c>
      <c r="F39" s="14" t="inlineStr">
        <is>
          <t>transferencia · gasto personal Sol (ex-PENDIENTE)</t>
        </is>
      </c>
    </row>
    <row r="40">
      <c r="A40" s="43" t="n">
        <v>46042</v>
      </c>
      <c r="B40" s="14" t="inlineStr">
        <is>
          <t>Enero</t>
        </is>
      </c>
      <c r="C40" s="14" t="inlineStr">
        <is>
          <t>Yenny Paola Calisaya Cquispe</t>
        </is>
      </c>
      <c r="D40" s="15" t="n">
        <v>6605</v>
      </c>
      <c r="E40" s="14" t="inlineStr">
        <is>
          <t>Mercado Pago</t>
        </is>
      </c>
      <c r="F40" s="14" t="inlineStr">
        <is>
          <t>transferencia · gasto personal Sol (ex-PENDIENTE)</t>
        </is>
      </c>
    </row>
    <row r="41">
      <c r="A41" s="43" t="n">
        <v>46044</v>
      </c>
      <c r="B41" s="14" t="inlineStr">
        <is>
          <t>Enero</t>
        </is>
      </c>
      <c r="C41" s="14" t="inlineStr">
        <is>
          <t>Mercurio Furchi</t>
        </is>
      </c>
      <c r="D41" s="15" t="n">
        <v>17000</v>
      </c>
      <c r="E41" s="14" t="inlineStr">
        <is>
          <t>Mercado Pago</t>
        </is>
      </c>
      <c r="F41" s="14" t="inlineStr">
        <is>
          <t>transferencia · gasto personal Sol (ex-PENDIENTE)</t>
        </is>
      </c>
    </row>
    <row r="42">
      <c r="A42" s="43" t="n">
        <v>46046</v>
      </c>
      <c r="B42" s="14" t="inlineStr">
        <is>
          <t>Enero</t>
        </is>
      </c>
      <c r="C42" s="14" t="inlineStr">
        <is>
          <t>Gabriel Anibal Fradkin</t>
        </is>
      </c>
      <c r="D42" s="15" t="n">
        <v>58000</v>
      </c>
      <c r="E42" s="14" t="inlineStr">
        <is>
          <t>Mercado Pago</t>
        </is>
      </c>
      <c r="F42" s="14" t="inlineStr">
        <is>
          <t>transferencia · gasto personal Sol (ex-PENDIENTE)</t>
        </is>
      </c>
    </row>
    <row r="43">
      <c r="A43" s="43" t="n">
        <v>46046</v>
      </c>
      <c r="B43" s="14" t="inlineStr">
        <is>
          <t>Enero</t>
        </is>
      </c>
      <c r="C43" s="14" t="inlineStr">
        <is>
          <t>Mercado Libre</t>
        </is>
      </c>
      <c r="D43" s="15" t="n">
        <v>243997</v>
      </c>
      <c r="E43" s="14" t="inlineStr">
        <is>
          <t>Mercado Pago</t>
        </is>
      </c>
      <c r="F43" s="14" t="inlineStr">
        <is>
          <t>ML · ML · gasto personal Sol (revisar)</t>
        </is>
      </c>
    </row>
    <row r="44">
      <c r="A44" s="43" t="n">
        <v>46046</v>
      </c>
      <c r="B44" s="14" t="inlineStr">
        <is>
          <t>Enero</t>
        </is>
      </c>
      <c r="C44" s="14" t="inlineStr">
        <is>
          <t>Valeria Laura Mele</t>
        </is>
      </c>
      <c r="D44" s="15" t="n">
        <v>16200</v>
      </c>
      <c r="E44" s="14" t="inlineStr">
        <is>
          <t>Mercado Pago</t>
        </is>
      </c>
      <c r="F44" s="14" t="inlineStr">
        <is>
          <t>transferencia · gasto personal Sol (ex-PENDIENTE)</t>
        </is>
      </c>
    </row>
    <row r="45">
      <c r="A45" s="43" t="n">
        <v>46047</v>
      </c>
      <c r="B45" s="14" t="inlineStr">
        <is>
          <t>Enero</t>
        </is>
      </c>
      <c r="C45" s="14" t="inlineStr">
        <is>
          <t>Mercado Libre</t>
        </is>
      </c>
      <c r="D45" s="15" t="n">
        <v>63647</v>
      </c>
      <c r="E45" s="14" t="inlineStr">
        <is>
          <t>Mercado Pago</t>
        </is>
      </c>
      <c r="F45" s="14" t="inlineStr">
        <is>
          <t>ML · ML · gasto personal Sol (revisar)</t>
        </is>
      </c>
    </row>
    <row r="46">
      <c r="A46" s="43" t="n">
        <v>46047</v>
      </c>
      <c r="B46" s="14" t="inlineStr">
        <is>
          <t>Enero</t>
        </is>
      </c>
      <c r="C46" s="14" t="inlineStr">
        <is>
          <t>Mercado Libre</t>
        </is>
      </c>
      <c r="D46" s="15" t="n">
        <v>43300</v>
      </c>
      <c r="E46" s="14" t="inlineStr">
        <is>
          <t>Mercado Pago</t>
        </is>
      </c>
      <c r="F46" s="14" t="inlineStr">
        <is>
          <t>ML · ML · gasto personal Sol (revisar)</t>
        </is>
      </c>
    </row>
    <row r="47">
      <c r="A47" s="43" t="n">
        <v>46047</v>
      </c>
      <c r="B47" s="14" t="inlineStr">
        <is>
          <t>Enero</t>
        </is>
      </c>
      <c r="C47" s="14" t="inlineStr">
        <is>
          <t>Mercado Libre</t>
        </is>
      </c>
      <c r="D47" s="15" t="n">
        <v>113472</v>
      </c>
      <c r="E47" s="14" t="inlineStr">
        <is>
          <t>Mercado Pago</t>
        </is>
      </c>
      <c r="F47" s="14" t="inlineStr">
        <is>
          <t>ML · ML · gasto personal Sol (revisar)</t>
        </is>
      </c>
    </row>
    <row r="48">
      <c r="A48" s="43" t="n">
        <v>46047</v>
      </c>
      <c r="B48" s="14" t="inlineStr">
        <is>
          <t>Enero</t>
        </is>
      </c>
      <c r="C48" s="14" t="inlineStr">
        <is>
          <t>Mercado Libre</t>
        </is>
      </c>
      <c r="D48" s="15" t="n">
        <v>24562</v>
      </c>
      <c r="E48" s="14" t="inlineStr">
        <is>
          <t>Mercado Pago</t>
        </is>
      </c>
      <c r="F48" s="14" t="inlineStr">
        <is>
          <t>ML · ML · gasto personal Sol (revisar)</t>
        </is>
      </c>
    </row>
    <row r="49">
      <c r="A49" s="43" t="n">
        <v>46050</v>
      </c>
      <c r="B49" s="14" t="inlineStr">
        <is>
          <t>Enero</t>
        </is>
      </c>
      <c r="C49" s="14" t="inlineStr">
        <is>
          <t>Luna Maria Laur</t>
        </is>
      </c>
      <c r="D49" s="15" t="n">
        <v>45000</v>
      </c>
      <c r="E49" s="14" t="inlineStr">
        <is>
          <t>Mercado Pago</t>
        </is>
      </c>
      <c r="F49" s="14" t="inlineStr">
        <is>
          <t>transferencia · gasto personal Sol (ex-PENDIENTE)</t>
        </is>
      </c>
    </row>
    <row r="50">
      <c r="A50" s="43" t="n">
        <v>46050</v>
      </c>
      <c r="B50" s="14" t="inlineStr">
        <is>
          <t>Enero</t>
        </is>
      </c>
      <c r="C50" s="14" t="inlineStr">
        <is>
          <t>Valeria Laura Mele</t>
        </is>
      </c>
      <c r="D50" s="15" t="n">
        <v>145400</v>
      </c>
      <c r="E50" s="14" t="inlineStr">
        <is>
          <t>Mercado Pago</t>
        </is>
      </c>
      <c r="F50" s="14" t="inlineStr">
        <is>
          <t>transferencia · gasto personal Sol (ex-PENDIENTE)</t>
        </is>
      </c>
    </row>
    <row r="51">
      <c r="A51" s="43" t="n">
        <v>46052</v>
      </c>
      <c r="B51" s="14" t="inlineStr">
        <is>
          <t>Enero</t>
        </is>
      </c>
      <c r="C51" s="14" t="inlineStr">
        <is>
          <t>Gabriela Reggio</t>
        </is>
      </c>
      <c r="D51" s="15" t="n">
        <v>4600</v>
      </c>
      <c r="E51" s="14" t="inlineStr">
        <is>
          <t>Mercado Pago</t>
        </is>
      </c>
      <c r="F51" s="14" t="inlineStr">
        <is>
          <t>transferencia · gasto personal Sol (ex-PENDIENTE)</t>
        </is>
      </c>
    </row>
    <row r="52">
      <c r="A52" s="43" t="n">
        <v>46052</v>
      </c>
      <c r="B52" s="14" t="inlineStr">
        <is>
          <t>Enero</t>
        </is>
      </c>
      <c r="C52" s="14" t="inlineStr">
        <is>
          <t>Mercedes Srl</t>
        </is>
      </c>
      <c r="D52" s="15" t="n">
        <v>47740</v>
      </c>
      <c r="E52" s="14" t="inlineStr">
        <is>
          <t>Mercado Pago</t>
        </is>
      </c>
      <c r="F52" s="14" t="inlineStr">
        <is>
          <t>Mercedes · AUTO/ACA · gasto personal Sol</t>
        </is>
      </c>
    </row>
    <row r="53">
      <c r="A53" s="43" t="n">
        <v>46054</v>
      </c>
      <c r="B53" s="14" t="inlineStr">
        <is>
          <t>Febrero</t>
        </is>
      </c>
      <c r="C53" s="14" t="inlineStr">
        <is>
          <t>Apple</t>
        </is>
      </c>
      <c r="D53" s="15" t="n">
        <v>45711</v>
      </c>
      <c r="E53" s="14" t="inlineStr">
        <is>
          <t>Mercado Pago</t>
        </is>
      </c>
      <c r="F53" s="14" t="inlineStr">
        <is>
          <t>Apple · gasto personal Sol · hoja Gasto Personal Sol</t>
        </is>
      </c>
    </row>
    <row r="54">
      <c r="A54" s="43" t="n">
        <v>46055</v>
      </c>
      <c r="B54" s="14" t="inlineStr">
        <is>
          <t>Febrero</t>
        </is>
      </c>
      <c r="C54" s="14" t="inlineStr">
        <is>
          <t>Apple</t>
        </is>
      </c>
      <c r="D54" s="15" t="n">
        <v>5553</v>
      </c>
      <c r="E54" s="14" t="inlineStr">
        <is>
          <t>Mercado Pago</t>
        </is>
      </c>
      <c r="F54" s="14" t="inlineStr">
        <is>
          <t>Apple · gasto personal Sol · hoja Gasto Personal Sol</t>
        </is>
      </c>
    </row>
    <row r="55">
      <c r="A55" s="43" t="n">
        <v>46055</v>
      </c>
      <c r="B55" s="14" t="inlineStr">
        <is>
          <t>Febrero</t>
        </is>
      </c>
      <c r="C55" s="14" t="inlineStr">
        <is>
          <t>Mercado Libre</t>
        </is>
      </c>
      <c r="D55" s="15" t="n">
        <v>19652</v>
      </c>
      <c r="E55" s="14" t="inlineStr">
        <is>
          <t>Mercado Pago</t>
        </is>
      </c>
      <c r="F55" s="14" t="inlineStr">
        <is>
          <t>ML · ML · gasto personal Sol (revisar)</t>
        </is>
      </c>
    </row>
    <row r="56">
      <c r="A56" s="43" t="n">
        <v>46059</v>
      </c>
      <c r="B56" s="14" t="inlineStr">
        <is>
          <t>Febrero</t>
        </is>
      </c>
      <c r="C56" s="14" t="inlineStr">
        <is>
          <t>Andres Javier Di Pasqua</t>
        </is>
      </c>
      <c r="D56" s="15" t="n">
        <v>24852</v>
      </c>
      <c r="E56" s="14" t="inlineStr">
        <is>
          <t>Mercado Pago</t>
        </is>
      </c>
      <c r="F56" s="14" t="inlineStr">
        <is>
          <t>compra · gasto personal Sol (ex-PENDIENTE)</t>
        </is>
      </c>
    </row>
    <row r="57">
      <c r="A57" s="43" t="n">
        <v>46061</v>
      </c>
      <c r="B57" s="14" t="inlineStr">
        <is>
          <t>Febrero</t>
        </is>
      </c>
      <c r="C57" s="14" t="inlineStr">
        <is>
          <t>Carlos Leonardo Farinella</t>
        </is>
      </c>
      <c r="D57" s="15" t="n">
        <v>70000</v>
      </c>
      <c r="E57" s="14" t="inlineStr">
        <is>
          <t>Mercado Pago</t>
        </is>
      </c>
      <c r="F57" s="14" t="inlineStr">
        <is>
          <t>transferencia · gasto personal Sol (ex-PENDIENTE)</t>
        </is>
      </c>
    </row>
    <row r="58">
      <c r="A58" s="43" t="n">
        <v>46061</v>
      </c>
      <c r="B58" s="14" t="inlineStr">
        <is>
          <t>Febrero</t>
        </is>
      </c>
      <c r="C58" s="14" t="inlineStr">
        <is>
          <t>Tuenti</t>
        </is>
      </c>
      <c r="D58" s="15" t="n">
        <v>14700</v>
      </c>
      <c r="E58" s="14" t="inlineStr">
        <is>
          <t>Mercado Pago</t>
        </is>
      </c>
      <c r="F58" s="14" t="inlineStr">
        <is>
          <t>Tuenti · gasto personal Sol · hoja Gasto Personal Sol</t>
        </is>
      </c>
    </row>
    <row r="59">
      <c r="A59" s="43" t="n">
        <v>46062</v>
      </c>
      <c r="B59" s="14" t="inlineStr">
        <is>
          <t>Febrero</t>
        </is>
      </c>
      <c r="C59" s="14" t="inlineStr">
        <is>
          <t>Pedidosya Plus</t>
        </is>
      </c>
      <c r="D59" s="15" t="n">
        <v>5990</v>
      </c>
      <c r="E59" s="14" t="inlineStr">
        <is>
          <t>Mercado Pago</t>
        </is>
      </c>
      <c r="F59" s="14" t="inlineStr">
        <is>
          <t>PEDIDOS YA · suscripción Plus (no almacén) · gasto personal Sol</t>
        </is>
      </c>
    </row>
    <row r="60">
      <c r="A60" s="43" t="n">
        <v>46065</v>
      </c>
      <c r="B60" s="14" t="inlineStr">
        <is>
          <t>Febrero</t>
        </is>
      </c>
      <c r="C60" s="14" t="inlineStr">
        <is>
          <t>Paws Pet Market</t>
        </is>
      </c>
      <c r="D60" s="15" t="n">
        <v>27200</v>
      </c>
      <c r="E60" s="14" t="inlineStr">
        <is>
          <t>Mercado Pago</t>
        </is>
      </c>
      <c r="F60" s="14" t="inlineStr">
        <is>
          <t>mascotas · gasto personal Sol</t>
        </is>
      </c>
    </row>
    <row r="61">
      <c r="A61" s="43" t="n">
        <v>46066</v>
      </c>
      <c r="B61" s="14" t="inlineStr">
        <is>
          <t>Febrero</t>
        </is>
      </c>
      <c r="C61" s="14" t="inlineStr">
        <is>
          <t>Pablo Ezequiel Alderetes</t>
        </is>
      </c>
      <c r="D61" s="15" t="n">
        <v>60000</v>
      </c>
      <c r="E61" s="14" t="inlineStr">
        <is>
          <t>Mercado Pago</t>
        </is>
      </c>
      <c r="F61" s="14" t="inlineStr">
        <is>
          <t>transferencia · gasto personal Sol (ex-PENDIENTE)</t>
        </is>
      </c>
    </row>
    <row r="62">
      <c r="A62" s="43" t="n">
        <v>46067</v>
      </c>
      <c r="B62" s="14" t="inlineStr">
        <is>
          <t>Febrero</t>
        </is>
      </c>
      <c r="C62" s="14" t="inlineStr">
        <is>
          <t>Tu Papelera</t>
        </is>
      </c>
      <c r="D62" s="15" t="n">
        <v>43100</v>
      </c>
      <c r="E62" s="14" t="inlineStr">
        <is>
          <t>Mercado Pago</t>
        </is>
      </c>
      <c r="F62" s="14" t="inlineStr">
        <is>
          <t>librería/papelera · gasto personal Sol</t>
        </is>
      </c>
    </row>
    <row r="63">
      <c r="A63" s="43" t="n">
        <v>46067</v>
      </c>
      <c r="B63" s="14" t="inlineStr">
        <is>
          <t>Febrero</t>
        </is>
      </c>
      <c r="C63" s="14" t="inlineStr">
        <is>
          <t>Veronica Alejandra Mendez</t>
        </is>
      </c>
      <c r="D63" s="15" t="n">
        <v>3500</v>
      </c>
      <c r="E63" s="14" t="inlineStr">
        <is>
          <t>Mercado Pago</t>
        </is>
      </c>
      <c r="F63" s="14" t="inlineStr">
        <is>
          <t>transferencia · gasto personal Sol (ex-PENDIENTE)</t>
        </is>
      </c>
    </row>
    <row r="64">
      <c r="A64" s="43" t="n">
        <v>46067</v>
      </c>
      <c r="B64" s="14" t="inlineStr">
        <is>
          <t>Febrero</t>
        </is>
      </c>
      <c r="C64" s="14" t="inlineStr">
        <is>
          <t>Veronica Alejandra Mendez</t>
        </is>
      </c>
      <c r="D64" s="15" t="n">
        <v>9500</v>
      </c>
      <c r="E64" s="14" t="inlineStr">
        <is>
          <t>Mercado Pago</t>
        </is>
      </c>
      <c r="F64" s="14" t="inlineStr">
        <is>
          <t>transferencia · gasto personal Sol (ex-PENDIENTE)</t>
        </is>
      </c>
    </row>
    <row r="65">
      <c r="A65" s="43" t="n">
        <v>46070</v>
      </c>
      <c r="B65" s="14" t="inlineStr">
        <is>
          <t>Febrero</t>
        </is>
      </c>
      <c r="C65" s="14" t="inlineStr">
        <is>
          <t>Alberto Roque Sachetti</t>
        </is>
      </c>
      <c r="D65" s="15" t="n">
        <v>30000</v>
      </c>
      <c r="E65" s="14" t="inlineStr">
        <is>
          <t>Mercado Pago</t>
        </is>
      </c>
      <c r="F65" s="14" t="inlineStr">
        <is>
          <t>transferencia · gasto personal Sol (ex-PENDIENTE)</t>
        </is>
      </c>
    </row>
    <row r="66">
      <c r="A66" s="43" t="n">
        <v>46072</v>
      </c>
      <c r="B66" s="14" t="inlineStr">
        <is>
          <t>Febrero</t>
        </is>
      </c>
      <c r="C66" s="14" t="inlineStr">
        <is>
          <t>Marcelo Fabian Ronzano</t>
        </is>
      </c>
      <c r="D66" s="15" t="n">
        <v>6500</v>
      </c>
      <c r="E66" s="14" t="inlineStr">
        <is>
          <t>Mercado Pago</t>
        </is>
      </c>
      <c r="F66" s="14" t="inlineStr">
        <is>
          <t>transferencia · gasto personal Sol (ex-PENDIENTE)</t>
        </is>
      </c>
    </row>
    <row r="67">
      <c r="A67" s="43" t="n">
        <v>46072</v>
      </c>
      <c r="B67" s="14" t="inlineStr">
        <is>
          <t>Febrero</t>
        </is>
      </c>
      <c r="C67" s="14" t="inlineStr">
        <is>
          <t>Quiche Sibulka Marcelo Gaston</t>
        </is>
      </c>
      <c r="D67" s="15" t="n">
        <v>30000</v>
      </c>
      <c r="E67" s="14" t="inlineStr">
        <is>
          <t>Mercado Pago</t>
        </is>
      </c>
      <c r="F67" s="14" t="inlineStr">
        <is>
          <t>transferencia · gasto personal Sol (ex-PENDIENTE)</t>
        </is>
      </c>
    </row>
    <row r="68">
      <c r="A68" s="43" t="n">
        <v>46073</v>
      </c>
      <c r="B68" s="14" t="inlineStr">
        <is>
          <t>Febrero</t>
        </is>
      </c>
      <c r="C68" s="14" t="inlineStr">
        <is>
          <t>Lourdes Elizabeth Tadeo Salvador</t>
        </is>
      </c>
      <c r="D68" s="15" t="n">
        <v>18500</v>
      </c>
      <c r="E68" s="14" t="inlineStr">
        <is>
          <t>Mercado Pago</t>
        </is>
      </c>
      <c r="F68" s="14" t="inlineStr">
        <is>
          <t>transferencia · gasto personal Sol (ex-PENDIENTE)</t>
        </is>
      </c>
    </row>
    <row r="69">
      <c r="A69" s="43" t="n">
        <v>46074</v>
      </c>
      <c r="B69" s="14" t="inlineStr">
        <is>
          <t>Febrero</t>
        </is>
      </c>
      <c r="C69" s="14" t="inlineStr">
        <is>
          <t>Clinicas Altamirao</t>
        </is>
      </c>
      <c r="D69" s="15" t="n">
        <v>40000</v>
      </c>
      <c r="E69" s="14" t="inlineStr">
        <is>
          <t>Mercado Pago</t>
        </is>
      </c>
      <c r="F69" s="14" t="inlineStr">
        <is>
          <t>salud · gasto personal Sol</t>
        </is>
      </c>
    </row>
    <row r="70">
      <c r="A70" s="43" t="n">
        <v>46076</v>
      </c>
      <c r="B70" s="14" t="inlineStr">
        <is>
          <t>Febrero</t>
        </is>
      </c>
      <c r="C70" s="14" t="inlineStr">
        <is>
          <t>Apple</t>
        </is>
      </c>
      <c r="D70" s="15" t="n">
        <v>17631</v>
      </c>
      <c r="E70" s="14" t="inlineStr">
        <is>
          <t>Mercado Pago</t>
        </is>
      </c>
      <c r="F70" s="14" t="inlineStr">
        <is>
          <t>Apple · gasto personal Sol · hoja Gasto Personal Sol</t>
        </is>
      </c>
    </row>
    <row r="71">
      <c r="A71" s="43" t="n">
        <v>46076</v>
      </c>
      <c r="B71" s="14" t="inlineStr">
        <is>
          <t>Febrero</t>
        </is>
      </c>
      <c r="C71" s="14" t="inlineStr">
        <is>
          <t>Valeria Laura Mele</t>
        </is>
      </c>
      <c r="D71" s="15" t="n">
        <v>72000</v>
      </c>
      <c r="E71" s="14" t="inlineStr">
        <is>
          <t>Mercado Pago</t>
        </is>
      </c>
      <c r="F71" s="14" t="inlineStr">
        <is>
          <t>transferencia · gasto personal Sol (ex-PENDIENTE)</t>
        </is>
      </c>
    </row>
    <row r="72">
      <c r="A72" s="43" t="n">
        <v>46077</v>
      </c>
      <c r="B72" s="14" t="inlineStr">
        <is>
          <t>Febrero</t>
        </is>
      </c>
      <c r="C72" s="14" t="inlineStr">
        <is>
          <t>Tuenti</t>
        </is>
      </c>
      <c r="D72" s="15" t="n">
        <v>4000</v>
      </c>
      <c r="E72" s="14" t="inlineStr">
        <is>
          <t>Mercado Pago</t>
        </is>
      </c>
      <c r="F72" s="14" t="inlineStr">
        <is>
          <t>Tuenti · gasto personal Sol · hoja Gasto Personal Sol</t>
        </is>
      </c>
    </row>
    <row r="73">
      <c r="A73" s="43" t="n">
        <v>46080</v>
      </c>
      <c r="B73" s="14" t="inlineStr">
        <is>
          <t>Febrero</t>
        </is>
      </c>
      <c r="C73" s="14" t="inlineStr">
        <is>
          <t>Cesar David Ledesma</t>
        </is>
      </c>
      <c r="D73" s="15" t="n">
        <v>310000</v>
      </c>
      <c r="E73" s="14" t="inlineStr">
        <is>
          <t>Mercado Pago</t>
        </is>
      </c>
      <c r="F73" s="14" t="inlineStr">
        <is>
          <t>transferencia · gasto personal Sol (ex-PENDIENTE)</t>
        </is>
      </c>
    </row>
    <row r="74">
      <c r="A74" s="43" t="n">
        <v>46080</v>
      </c>
      <c r="B74" s="14" t="inlineStr">
        <is>
          <t>Febrero</t>
        </is>
      </c>
      <c r="C74" s="14" t="inlineStr">
        <is>
          <t>Tuenti</t>
        </is>
      </c>
      <c r="D74" s="15" t="n">
        <v>4000</v>
      </c>
      <c r="E74" s="14" t="inlineStr">
        <is>
          <t>Mercado Pago</t>
        </is>
      </c>
      <c r="F74" s="14" t="inlineStr">
        <is>
          <t>Tuenti · gasto personal Sol · hoja Gasto Personal Sol</t>
        </is>
      </c>
    </row>
    <row r="75">
      <c r="A75" s="43" t="n">
        <v>46082</v>
      </c>
      <c r="B75" s="14" t="inlineStr">
        <is>
          <t>Marzo</t>
        </is>
      </c>
      <c r="C75" s="14" t="inlineStr">
        <is>
          <t>Christian Pablo Ventura</t>
        </is>
      </c>
      <c r="D75" s="15" t="n">
        <v>120000</v>
      </c>
      <c r="E75" s="14" t="inlineStr">
        <is>
          <t>Mercado Pago</t>
        </is>
      </c>
      <c r="F75" s="14" t="inlineStr">
        <is>
          <t>transferencia · gasto personal Sol (ex-PENDIENTE)</t>
        </is>
      </c>
    </row>
    <row r="76">
      <c r="A76" s="43" t="n">
        <v>46082</v>
      </c>
      <c r="B76" s="14" t="inlineStr">
        <is>
          <t>Marzo</t>
        </is>
      </c>
      <c r="C76" s="14" t="inlineStr">
        <is>
          <t>Evelyn Rosana Tolaba</t>
        </is>
      </c>
      <c r="D76" s="15" t="n">
        <v>2000</v>
      </c>
      <c r="E76" s="14" t="inlineStr">
        <is>
          <t>Mercado Pago</t>
        </is>
      </c>
      <c r="F76" s="14" t="inlineStr">
        <is>
          <t>transferencia · gasto personal Sol (ex-PENDIENTE)</t>
        </is>
      </c>
    </row>
    <row r="77">
      <c r="A77" s="43" t="n">
        <v>46082</v>
      </c>
      <c r="B77" s="14" t="inlineStr">
        <is>
          <t>Marzo</t>
        </is>
      </c>
      <c r="C77" s="14" t="inlineStr">
        <is>
          <t>Ricardo Rodriguez</t>
        </is>
      </c>
      <c r="D77" s="15" t="n">
        <v>25000</v>
      </c>
      <c r="E77" s="14" t="inlineStr">
        <is>
          <t>Mercado Pago</t>
        </is>
      </c>
      <c r="F77" s="14" t="inlineStr">
        <is>
          <t>tienda física · gasto personal Sol (ex-PENDIENTE)</t>
        </is>
      </c>
    </row>
    <row r="78">
      <c r="A78" s="43" t="n">
        <v>46083</v>
      </c>
      <c r="B78" s="14" t="inlineStr">
        <is>
          <t>Marzo</t>
        </is>
      </c>
      <c r="C78" s="14" t="inlineStr">
        <is>
          <t>Apple</t>
        </is>
      </c>
      <c r="D78" s="15" t="n">
        <v>5453</v>
      </c>
      <c r="E78" s="14" t="inlineStr">
        <is>
          <t>Mercado Pago</t>
        </is>
      </c>
      <c r="F78" s="14" t="inlineStr">
        <is>
          <t>Apple · gasto personal Sol · hoja Gasto Personal Sol</t>
        </is>
      </c>
    </row>
    <row r="79">
      <c r="A79" s="43" t="n">
        <v>46083</v>
      </c>
      <c r="B79" s="14" t="inlineStr">
        <is>
          <t>Marzo</t>
        </is>
      </c>
      <c r="C79" s="14" t="inlineStr">
        <is>
          <t>Lourdes Elizabeth Tadeo Salvador</t>
        </is>
      </c>
      <c r="D79" s="15" t="n">
        <v>400</v>
      </c>
      <c r="E79" s="14" t="inlineStr">
        <is>
          <t>Mercado Pago</t>
        </is>
      </c>
      <c r="F79" s="14" t="inlineStr">
        <is>
          <t>transferencia · gasto personal Sol (ex-PENDIENTE)</t>
        </is>
      </c>
    </row>
    <row r="80">
      <c r="A80" s="43" t="n">
        <v>46085</v>
      </c>
      <c r="B80" s="14" t="inlineStr">
        <is>
          <t>Marzo</t>
        </is>
      </c>
      <c r="C80" s="14" t="inlineStr">
        <is>
          <t>Jardin Del Pilar Sa-Norte</t>
        </is>
      </c>
      <c r="D80" s="15" t="n">
        <v>4000000</v>
      </c>
      <c r="E80" s="14" t="inlineStr">
        <is>
          <t>Mercado Pago</t>
        </is>
      </c>
      <c r="F80" s="14" t="inlineStr">
        <is>
          <t>transferencia grande · gasto personal Sol (ex-PENDIENTE)</t>
        </is>
      </c>
    </row>
    <row r="81">
      <c r="A81" s="43" t="n">
        <v>46086</v>
      </c>
      <c r="B81" s="14" t="inlineStr">
        <is>
          <t>Marzo</t>
        </is>
      </c>
      <c r="C81" s="14" t="inlineStr">
        <is>
          <t>Paws Pet Market</t>
        </is>
      </c>
      <c r="D81" s="15" t="n">
        <v>9000</v>
      </c>
      <c r="E81" s="14" t="inlineStr">
        <is>
          <t>Mercado Pago</t>
        </is>
      </c>
      <c r="F81" s="14" t="inlineStr">
        <is>
          <t>mascotas · gasto personal Sol</t>
        </is>
      </c>
    </row>
    <row r="82">
      <c r="A82" s="43" t="n">
        <v>46087</v>
      </c>
      <c r="B82" s="14" t="inlineStr">
        <is>
          <t>Marzo</t>
        </is>
      </c>
      <c r="C82" s="14" t="inlineStr">
        <is>
          <t>Tuenti</t>
        </is>
      </c>
      <c r="D82" s="15" t="n">
        <v>4000</v>
      </c>
      <c r="E82" s="14" t="inlineStr">
        <is>
          <t>Mercado Pago</t>
        </is>
      </c>
      <c r="F82" s="14" t="inlineStr">
        <is>
          <t>Tuenti · gasto personal Sol · hoja Gasto Personal Sol</t>
        </is>
      </c>
    </row>
    <row r="83">
      <c r="A83" s="43" t="n">
        <v>46090</v>
      </c>
      <c r="B83" s="14" t="inlineStr">
        <is>
          <t>Marzo</t>
        </is>
      </c>
      <c r="C83" s="14" t="inlineStr">
        <is>
          <t>Movistar Arena</t>
        </is>
      </c>
      <c r="D83" s="15" t="n">
        <v>33000</v>
      </c>
      <c r="E83" s="14" t="inlineStr">
        <is>
          <t>Mercado Pago</t>
        </is>
      </c>
      <c r="F83" s="14" t="inlineStr">
        <is>
          <t>evento · gasto personal Sol</t>
        </is>
      </c>
    </row>
    <row r="84">
      <c r="A84" s="43" t="n">
        <v>46090</v>
      </c>
      <c r="B84" s="14" t="inlineStr">
        <is>
          <t>Marzo</t>
        </is>
      </c>
      <c r="C84" s="14" t="inlineStr">
        <is>
          <t>Movistar Arena</t>
        </is>
      </c>
      <c r="D84" s="15" t="n">
        <v>220000</v>
      </c>
      <c r="E84" s="14" t="inlineStr">
        <is>
          <t>Mercado Pago</t>
        </is>
      </c>
      <c r="F84" s="14" t="inlineStr">
        <is>
          <t>evento · gasto personal Sol</t>
        </is>
      </c>
    </row>
    <row r="85">
      <c r="A85" s="43" t="n">
        <v>46091</v>
      </c>
      <c r="B85" s="14" t="inlineStr">
        <is>
          <t>Marzo</t>
        </is>
      </c>
      <c r="C85" s="14" t="inlineStr">
        <is>
          <t>Tuenti</t>
        </is>
      </c>
      <c r="D85" s="15" t="n">
        <v>16000</v>
      </c>
      <c r="E85" s="14" t="inlineStr">
        <is>
          <t>Mercado Pago</t>
        </is>
      </c>
      <c r="F85" s="14" t="inlineStr">
        <is>
          <t>Tuenti · gasto personal Sol · hoja Gasto Personal Sol</t>
        </is>
      </c>
    </row>
    <row r="86">
      <c r="A86" s="43" t="n">
        <v>46094</v>
      </c>
      <c r="B86" s="14" t="inlineStr">
        <is>
          <t>Marzo</t>
        </is>
      </c>
      <c r="C86" s="14" t="inlineStr">
        <is>
          <t>Fernando Paredes Aguilar</t>
        </is>
      </c>
      <c r="D86" s="15" t="n">
        <v>40000</v>
      </c>
      <c r="E86" s="14" t="inlineStr">
        <is>
          <t>Mercado Pago</t>
        </is>
      </c>
      <c r="F86" s="14" t="inlineStr">
        <is>
          <t>transferencia · gasto personal Sol (ex-PENDIENTE)</t>
        </is>
      </c>
    </row>
    <row r="87">
      <c r="A87" s="43" t="n">
        <v>46094</v>
      </c>
      <c r="B87" s="14" t="inlineStr">
        <is>
          <t>Marzo</t>
        </is>
      </c>
      <c r="C87" s="14" t="inlineStr">
        <is>
          <t>Maria Soledad Martinez</t>
        </is>
      </c>
      <c r="D87" s="15" t="n">
        <v>27500</v>
      </c>
      <c r="E87" s="14" t="inlineStr">
        <is>
          <t>Mercado Pago</t>
        </is>
      </c>
      <c r="F87" s="14" t="inlineStr">
        <is>
          <t>transferencia · gasto personal Sol (ex-PENDIENTE)</t>
        </is>
      </c>
    </row>
    <row r="88">
      <c r="A88" s="43" t="n">
        <v>46094</v>
      </c>
      <c r="B88" s="14" t="inlineStr">
        <is>
          <t>Marzo</t>
        </is>
      </c>
      <c r="C88" s="14" t="inlineStr">
        <is>
          <t>Ronda.</t>
        </is>
      </c>
      <c r="D88" s="15" t="n">
        <v>14000</v>
      </c>
      <c r="E88" s="14" t="inlineStr">
        <is>
          <t>Mercado Pago</t>
        </is>
      </c>
      <c r="F88" s="14" t="inlineStr">
        <is>
          <t>tienda física ¿qué es? · gasto personal Sol (ex-PENDIENTE)</t>
        </is>
      </c>
    </row>
    <row r="89">
      <c r="A89" s="43" t="n">
        <v>46096</v>
      </c>
      <c r="B89" s="14" t="inlineStr">
        <is>
          <t>Marzo</t>
        </is>
      </c>
      <c r="C89" s="14" t="inlineStr">
        <is>
          <t>Jorge Celso Doben</t>
        </is>
      </c>
      <c r="D89" s="15" t="n">
        <v>100000</v>
      </c>
      <c r="E89" s="14" t="inlineStr">
        <is>
          <t>Mercado Pago</t>
        </is>
      </c>
      <c r="F89" s="14" t="inlineStr">
        <is>
          <t>transferencia · gasto personal Sol (ex-PENDIENTE)</t>
        </is>
      </c>
    </row>
    <row r="90">
      <c r="A90" s="43" t="n">
        <v>46096</v>
      </c>
      <c r="B90" s="14" t="inlineStr">
        <is>
          <t>Marzo</t>
        </is>
      </c>
      <c r="C90" s="14" t="inlineStr">
        <is>
          <t>Madmuscles</t>
        </is>
      </c>
      <c r="D90" s="15" t="n">
        <v>26489</v>
      </c>
      <c r="E90" s="14" t="inlineStr">
        <is>
          <t>Mercado Pago</t>
        </is>
      </c>
      <c r="F90" s="14" t="inlineStr">
        <is>
          <t>fitness · gasto personal Sol</t>
        </is>
      </c>
    </row>
    <row r="91">
      <c r="A91" s="43" t="n">
        <v>46097</v>
      </c>
      <c r="B91" s="14" t="inlineStr">
        <is>
          <t>Marzo</t>
        </is>
      </c>
      <c r="C91" s="14" t="inlineStr">
        <is>
          <t>ACA</t>
        </is>
      </c>
      <c r="D91" s="15" t="n">
        <v>661</v>
      </c>
      <c r="E91" s="14" t="inlineStr">
        <is>
          <t>Mercado Pago</t>
        </is>
      </c>
      <c r="F91" s="14" t="inlineStr">
        <is>
          <t>ACA · AUTO/ACA · gasto personal Sol</t>
        </is>
      </c>
    </row>
    <row r="92">
      <c r="A92" s="43" t="n">
        <v>46097</v>
      </c>
      <c r="B92" s="14" t="inlineStr">
        <is>
          <t>Marzo</t>
        </is>
      </c>
      <c r="C92" s="14" t="inlineStr">
        <is>
          <t>Andrea Palacios</t>
        </is>
      </c>
      <c r="D92" s="15" t="n">
        <v>50000</v>
      </c>
      <c r="E92" s="14" t="inlineStr">
        <is>
          <t>Mercado Pago</t>
        </is>
      </c>
      <c r="F92" s="14" t="inlineStr">
        <is>
          <t>transferencia · gasto personal Sol (ex-PENDIENTE)</t>
        </is>
      </c>
    </row>
    <row r="93">
      <c r="A93" s="43" t="n">
        <v>46097</v>
      </c>
      <c r="B93" s="14" t="inlineStr">
        <is>
          <t>Marzo</t>
        </is>
      </c>
      <c r="C93" s="14" t="inlineStr">
        <is>
          <t>Locky Plantas</t>
        </is>
      </c>
      <c r="D93" s="15" t="n">
        <v>40000</v>
      </c>
      <c r="E93" s="14" t="inlineStr">
        <is>
          <t>Mercado Pago</t>
        </is>
      </c>
      <c r="F93" s="14" t="inlineStr">
        <is>
          <t>plantas · gasto personal Sol</t>
        </is>
      </c>
    </row>
    <row r="94">
      <c r="A94" s="43" t="n">
        <v>46097</v>
      </c>
      <c r="B94" s="14" t="inlineStr">
        <is>
          <t>Marzo</t>
        </is>
      </c>
      <c r="C94" s="14" t="inlineStr">
        <is>
          <t>Mesarina Castro Kimberly Juliet</t>
        </is>
      </c>
      <c r="D94" s="15" t="n">
        <v>10000</v>
      </c>
      <c r="E94" s="14" t="inlineStr">
        <is>
          <t>Mercado Pago</t>
        </is>
      </c>
      <c r="F94" s="14" t="inlineStr">
        <is>
          <t>transferencia · gasto personal Sol (ex-PENDIENTE)</t>
        </is>
      </c>
    </row>
    <row r="95">
      <c r="A95" s="43" t="n">
        <v>46097</v>
      </c>
      <c r="B95" s="14" t="inlineStr">
        <is>
          <t>Marzo</t>
        </is>
      </c>
      <c r="C95" s="14" t="inlineStr">
        <is>
          <t>Telepase</t>
        </is>
      </c>
      <c r="D95" s="15" t="n">
        <v>8700</v>
      </c>
      <c r="E95" s="14" t="inlineStr">
        <is>
          <t>Mercado Pago</t>
        </is>
      </c>
      <c r="F95" s="14" t="inlineStr">
        <is>
          <t>peaje · AUTO/ACA · gasto personal Sol</t>
        </is>
      </c>
    </row>
    <row r="96">
      <c r="A96" s="43" t="n">
        <v>46098</v>
      </c>
      <c r="B96" s="14" t="inlineStr">
        <is>
          <t>Marzo</t>
        </is>
      </c>
      <c r="C96" s="14" t="inlineStr">
        <is>
          <t>Bin Chen</t>
        </is>
      </c>
      <c r="D96" s="15" t="n">
        <v>8900</v>
      </c>
      <c r="E96" s="14" t="inlineStr">
        <is>
          <t>Mercado Pago</t>
        </is>
      </c>
      <c r="F96" s="14" t="inlineStr">
        <is>
          <t>transferencia · gasto personal Sol (ex-PENDIENTE)</t>
        </is>
      </c>
    </row>
    <row r="97">
      <c r="A97" s="43" t="n">
        <v>46099</v>
      </c>
      <c r="B97" s="14" t="inlineStr">
        <is>
          <t>Marzo</t>
        </is>
      </c>
      <c r="C97" s="14" t="inlineStr">
        <is>
          <t>Cecilia Pons</t>
        </is>
      </c>
      <c r="D97" s="15" t="n">
        <v>89261</v>
      </c>
      <c r="E97" s="14" t="inlineStr">
        <is>
          <t>Mercado Pago</t>
        </is>
      </c>
      <c r="F97" s="14" t="inlineStr">
        <is>
          <t>transferencia · gasto personal Sol (ex-PENDIENTE)</t>
        </is>
      </c>
    </row>
    <row r="98">
      <c r="A98" s="43" t="n">
        <v>46099</v>
      </c>
      <c r="B98" s="14" t="inlineStr">
        <is>
          <t>Marzo</t>
        </is>
      </c>
      <c r="C98" s="14" t="inlineStr">
        <is>
          <t>Sofía Entivero</t>
        </is>
      </c>
      <c r="D98" s="15" t="n">
        <v>528698</v>
      </c>
      <c r="E98" s="14" t="inlineStr">
        <is>
          <t>Mercado Pago</t>
        </is>
      </c>
      <c r="F98" s="14" t="inlineStr">
        <is>
          <t>compra · gasto personal Sol (ex-PENDIENTE)</t>
        </is>
      </c>
    </row>
    <row r="99">
      <c r="A99" s="43" t="n">
        <v>46103</v>
      </c>
      <c r="B99" s="14" t="inlineStr">
        <is>
          <t>Marzo</t>
        </is>
      </c>
      <c r="C99" s="14" t="inlineStr">
        <is>
          <t>Adidas</t>
        </is>
      </c>
      <c r="D99" s="15" t="n">
        <v>137998</v>
      </c>
      <c r="E99" s="14" t="inlineStr">
        <is>
          <t>Mercado Pago</t>
        </is>
      </c>
      <c r="F99" s="14" t="inlineStr">
        <is>
          <t>ropa · gasto personal Sol</t>
        </is>
      </c>
    </row>
    <row r="100">
      <c r="A100" s="43" t="n">
        <v>46103</v>
      </c>
      <c r="B100" s="14" t="inlineStr">
        <is>
          <t>Marzo</t>
        </is>
      </c>
      <c r="C100" s="14" t="inlineStr">
        <is>
          <t>Apple</t>
        </is>
      </c>
      <c r="D100" s="15" t="n">
        <v>29810</v>
      </c>
      <c r="E100" s="14" t="inlineStr">
        <is>
          <t>Mercado Pago</t>
        </is>
      </c>
      <c r="F100" s="14" t="inlineStr">
        <is>
          <t>Apple · gasto personal Sol · hoja Gasto Personal Sol</t>
        </is>
      </c>
    </row>
    <row r="101">
      <c r="A101" s="43" t="n">
        <v>46104</v>
      </c>
      <c r="B101" s="14" t="inlineStr">
        <is>
          <t>Marzo</t>
        </is>
      </c>
      <c r="C101" s="14" t="inlineStr">
        <is>
          <t>Awada</t>
        </is>
      </c>
      <c r="D101" s="15" t="n">
        <v>604001</v>
      </c>
      <c r="E101" s="14" t="inlineStr">
        <is>
          <t>Mercado Pago</t>
        </is>
      </c>
      <c r="F101" s="14" t="inlineStr">
        <is>
          <t>ropa · gasto personal Sol</t>
        </is>
      </c>
    </row>
    <row r="102">
      <c r="A102" s="43" t="n">
        <v>46104</v>
      </c>
      <c r="B102" s="14" t="inlineStr">
        <is>
          <t>Marzo</t>
        </is>
      </c>
      <c r="C102" s="14" t="inlineStr">
        <is>
          <t>Carcasa</t>
        </is>
      </c>
      <c r="D102" s="15" t="n">
        <v>9900</v>
      </c>
      <c r="E102" s="14" t="inlineStr">
        <is>
          <t>Mercado Pago</t>
        </is>
      </c>
      <c r="F102" s="14" t="inlineStr">
        <is>
          <t>accesorio · gasto personal Sol</t>
        </is>
      </c>
    </row>
    <row r="103">
      <c r="A103" s="43" t="n">
        <v>46105</v>
      </c>
      <c r="B103" s="14" t="inlineStr">
        <is>
          <t>Marzo</t>
        </is>
      </c>
      <c r="C103" s="14" t="inlineStr">
        <is>
          <t>Mercado Libre</t>
        </is>
      </c>
      <c r="D103" s="15" t="n">
        <v>60193</v>
      </c>
      <c r="E103" s="14" t="inlineStr">
        <is>
          <t>Mercado Pago</t>
        </is>
      </c>
      <c r="F103" s="14" t="inlineStr">
        <is>
          <t>ML · ML · gasto personal Sol (revisar)</t>
        </is>
      </c>
    </row>
    <row r="104">
      <c r="A104" s="43" t="n">
        <v>46105</v>
      </c>
      <c r="B104" s="14" t="inlineStr">
        <is>
          <t>Marzo</t>
        </is>
      </c>
      <c r="C104" s="14" t="inlineStr">
        <is>
          <t>Mercado Libre</t>
        </is>
      </c>
      <c r="D104" s="15" t="n">
        <v>377337</v>
      </c>
      <c r="E104" s="14" t="inlineStr">
        <is>
          <t>Mercado Pago</t>
        </is>
      </c>
      <c r="F104" s="14" t="inlineStr">
        <is>
          <t>ML · ML · gasto personal Sol (revisar)</t>
        </is>
      </c>
    </row>
    <row r="105">
      <c r="A105" s="43" t="n">
        <v>46105</v>
      </c>
      <c r="B105" s="14" t="inlineStr">
        <is>
          <t>Marzo</t>
        </is>
      </c>
      <c r="C105" s="14" t="inlineStr">
        <is>
          <t>Mercado Libre</t>
        </is>
      </c>
      <c r="D105" s="15" t="n">
        <v>101899</v>
      </c>
      <c r="E105" s="14" t="inlineStr">
        <is>
          <t>Mercado Pago</t>
        </is>
      </c>
      <c r="F105" s="14" t="inlineStr">
        <is>
          <t>ML · ML · gasto personal Sol (revisar)</t>
        </is>
      </c>
    </row>
    <row r="106">
      <c r="A106" s="43" t="n">
        <v>46106</v>
      </c>
      <c r="B106" s="14" t="inlineStr">
        <is>
          <t>Marzo</t>
        </is>
      </c>
      <c r="C106" s="14" t="inlineStr">
        <is>
          <t>Paws Pet Market</t>
        </is>
      </c>
      <c r="D106" s="15" t="n">
        <v>35700</v>
      </c>
      <c r="E106" s="14" t="inlineStr">
        <is>
          <t>Mercado Pago</t>
        </is>
      </c>
      <c r="F106" s="14" t="inlineStr">
        <is>
          <t>mascotas · gasto personal Sol</t>
        </is>
      </c>
    </row>
    <row r="107">
      <c r="A107" s="43" t="n">
        <v>46108</v>
      </c>
      <c r="B107" s="14" t="inlineStr">
        <is>
          <t>Marzo</t>
        </is>
      </c>
      <c r="C107" s="14" t="inlineStr">
        <is>
          <t>Tuenti</t>
        </is>
      </c>
      <c r="D107" s="15" t="n">
        <v>4000</v>
      </c>
      <c r="E107" s="14" t="inlineStr">
        <is>
          <t>Mercado Pago</t>
        </is>
      </c>
      <c r="F107" s="14" t="inlineStr">
        <is>
          <t>Tuenti · gasto personal Sol · hoja Gasto Personal Sol</t>
        </is>
      </c>
    </row>
    <row r="108">
      <c r="A108" s="43" t="n">
        <v>46111</v>
      </c>
      <c r="B108" s="14" t="inlineStr">
        <is>
          <t>Marzo</t>
        </is>
      </c>
      <c r="C108" s="14" t="inlineStr">
        <is>
          <t>Cuota Social Carp</t>
        </is>
      </c>
      <c r="D108" s="15" t="n">
        <v>30560</v>
      </c>
      <c r="E108" s="14" t="inlineStr">
        <is>
          <t>Mercado Pago</t>
        </is>
      </c>
      <c r="F108" s="14" t="inlineStr">
        <is>
          <t>cuota social · gasto personal Sol</t>
        </is>
      </c>
    </row>
    <row r="109">
      <c r="A109" s="43" t="n">
        <v>46111</v>
      </c>
      <c r="B109" s="14" t="inlineStr">
        <is>
          <t>Marzo</t>
        </is>
      </c>
      <c r="C109" s="14" t="inlineStr">
        <is>
          <t>Mercado Libre</t>
        </is>
      </c>
      <c r="D109" s="15" t="n">
        <v>248070</v>
      </c>
      <c r="E109" s="14" t="inlineStr">
        <is>
          <t>Mercado Pago</t>
        </is>
      </c>
      <c r="F109" s="14" t="inlineStr">
        <is>
          <t>ML · ML · gasto personal Sol (revisar)</t>
        </is>
      </c>
    </row>
    <row r="110">
      <c r="A110" s="43" t="n">
        <v>46113</v>
      </c>
      <c r="B110" s="14" t="inlineStr">
        <is>
          <t>Abril</t>
        </is>
      </c>
      <c r="C110" s="14" t="inlineStr">
        <is>
          <t>Libreria Marin</t>
        </is>
      </c>
      <c r="D110" s="15" t="n">
        <v>1500</v>
      </c>
      <c r="E110" s="14" t="inlineStr">
        <is>
          <t>Mercado Pago</t>
        </is>
      </c>
      <c r="F110" s="14" t="inlineStr">
        <is>
          <t>librería · gasto personal Sol</t>
        </is>
      </c>
    </row>
    <row r="111">
      <c r="A111" s="43" t="n">
        <v>46113</v>
      </c>
      <c r="B111" s="14" t="inlineStr">
        <is>
          <t>Abril</t>
        </is>
      </c>
      <c r="C111" s="14" t="inlineStr">
        <is>
          <t>Mercado Libre</t>
        </is>
      </c>
      <c r="D111" s="15" t="n">
        <v>427718</v>
      </c>
      <c r="E111" s="14" t="inlineStr">
        <is>
          <t>Mercado Pago</t>
        </is>
      </c>
      <c r="F111" s="14" t="inlineStr">
        <is>
          <t>ML · ML · gasto personal Sol (revisar)</t>
        </is>
      </c>
    </row>
    <row r="112">
      <c r="A112" s="43" t="n">
        <v>46114</v>
      </c>
      <c r="B112" s="14" t="inlineStr">
        <is>
          <t>Abril</t>
        </is>
      </c>
      <c r="C112" s="14" t="inlineStr">
        <is>
          <t>Apple</t>
        </is>
      </c>
      <c r="D112" s="15" t="n">
        <v>5448</v>
      </c>
      <c r="E112" s="14" t="inlineStr">
        <is>
          <t>Mercado Pago</t>
        </is>
      </c>
      <c r="F112" s="14" t="inlineStr">
        <is>
          <t>Apple · gasto personal Sol · hoja Gasto Personal Sol</t>
        </is>
      </c>
    </row>
    <row r="113">
      <c r="A113" s="43" t="n">
        <v>46115</v>
      </c>
      <c r="B113" s="14" t="inlineStr">
        <is>
          <t>Abril</t>
        </is>
      </c>
      <c r="C113" s="14" t="inlineStr">
        <is>
          <t>ACA</t>
        </is>
      </c>
      <c r="D113" s="15" t="n">
        <v>881</v>
      </c>
      <c r="E113" s="14" t="inlineStr">
        <is>
          <t>Mercado Pago</t>
        </is>
      </c>
      <c r="F113" s="14" t="inlineStr">
        <is>
          <t>ACA · AUTO/ACA · gasto personal Sol</t>
        </is>
      </c>
    </row>
    <row r="114">
      <c r="A114" s="43" t="n">
        <v>46116</v>
      </c>
      <c r="B114" s="14" t="inlineStr">
        <is>
          <t>Abril</t>
        </is>
      </c>
      <c r="C114" s="14" t="inlineStr">
        <is>
          <t>Sofía Entivero</t>
        </is>
      </c>
      <c r="D114" s="15" t="n">
        <v>519441</v>
      </c>
      <c r="E114" s="14" t="inlineStr">
        <is>
          <t>Mercado Pago</t>
        </is>
      </c>
      <c r="F114" s="14" t="inlineStr">
        <is>
          <t>compra · gasto personal Sol (ex-PENDIENTE)</t>
        </is>
      </c>
    </row>
    <row r="115">
      <c r="A115" s="43" t="n">
        <v>46117</v>
      </c>
      <c r="B115" s="14" t="inlineStr">
        <is>
          <t>Abril</t>
        </is>
      </c>
      <c r="C115" s="14" t="inlineStr">
        <is>
          <t>Ema Maldonado</t>
        </is>
      </c>
      <c r="D115" s="15" t="n">
        <v>7000</v>
      </c>
      <c r="E115" s="14" t="inlineStr">
        <is>
          <t>Mercado Pago</t>
        </is>
      </c>
      <c r="F115" s="14" t="inlineStr">
        <is>
          <t>transferencia · gasto personal Sol (ex-PENDIENTE)</t>
        </is>
      </c>
    </row>
    <row r="116">
      <c r="A116" s="43" t="n">
        <v>46119</v>
      </c>
      <c r="B116" s="14" t="inlineStr">
        <is>
          <t>Abril</t>
        </is>
      </c>
      <c r="C116" s="14" t="inlineStr">
        <is>
          <t>Ana Silvia Castillo</t>
        </is>
      </c>
      <c r="D116" s="15" t="n">
        <v>79000</v>
      </c>
      <c r="E116" s="14" t="inlineStr">
        <is>
          <t>Mercado Pago</t>
        </is>
      </c>
      <c r="F116" s="14" t="inlineStr">
        <is>
          <t>transferencia · gasto personal Sol (ex-PENDIENTE)</t>
        </is>
      </c>
    </row>
    <row r="117">
      <c r="A117" s="43" t="n">
        <v>46119</v>
      </c>
      <c r="B117" s="14" t="inlineStr">
        <is>
          <t>Abril</t>
        </is>
      </c>
      <c r="C117" s="14" t="inlineStr">
        <is>
          <t>Gabriel Fradkin</t>
        </is>
      </c>
      <c r="D117" s="15" t="n">
        <v>110000</v>
      </c>
      <c r="E117" s="14" t="inlineStr">
        <is>
          <t>Mercado Pago</t>
        </is>
      </c>
      <c r="F117" s="14" t="inlineStr">
        <is>
          <t>transferencia · gasto personal Sol (ex-PENDIENTE)</t>
        </is>
      </c>
    </row>
    <row r="118">
      <c r="A118" s="43" t="n">
        <v>46119</v>
      </c>
      <c r="B118" s="14" t="inlineStr">
        <is>
          <t>Abril</t>
        </is>
      </c>
      <c r="C118" s="14" t="inlineStr">
        <is>
          <t>Mercado Libre</t>
        </is>
      </c>
      <c r="D118" s="15" t="n">
        <v>29725</v>
      </c>
      <c r="E118" s="14" t="inlineStr">
        <is>
          <t>Mercado Pago</t>
        </is>
      </c>
      <c r="F118" s="14" t="inlineStr">
        <is>
          <t>ML · ML · gasto personal Sol (revisar)</t>
        </is>
      </c>
    </row>
    <row r="119">
      <c r="A119" s="43" t="n">
        <v>46119</v>
      </c>
      <c r="B119" s="14" t="inlineStr">
        <is>
          <t>Abril</t>
        </is>
      </c>
      <c r="C119" s="14" t="inlineStr">
        <is>
          <t>Smartcell Lacroze</t>
        </is>
      </c>
      <c r="D119" s="15" t="n">
        <v>16500</v>
      </c>
      <c r="E119" s="14" t="inlineStr">
        <is>
          <t>Mercado Pago</t>
        </is>
      </c>
      <c r="F119" s="14" t="inlineStr">
        <is>
          <t>celular tienda · celular · gasto personal Sol</t>
        </is>
      </c>
    </row>
    <row r="120">
      <c r="A120" s="43" t="n">
        <v>46120</v>
      </c>
      <c r="B120" s="14" t="inlineStr">
        <is>
          <t>Abril</t>
        </is>
      </c>
      <c r="C120" s="14" t="inlineStr">
        <is>
          <t>Yenny Paola Calisaya</t>
        </is>
      </c>
      <c r="D120" s="15" t="n">
        <v>15120</v>
      </c>
      <c r="E120" s="14" t="inlineStr">
        <is>
          <t>Mercado Pago</t>
        </is>
      </c>
      <c r="F120" s="14" t="inlineStr">
        <is>
          <t>transferencia · gasto personal Sol (ex-PENDIENTE)</t>
        </is>
      </c>
    </row>
    <row r="121">
      <c r="A121" s="43" t="n">
        <v>46121</v>
      </c>
      <c r="B121" s="14" t="inlineStr">
        <is>
          <t>Abril</t>
        </is>
      </c>
      <c r="C121" s="14" t="inlineStr">
        <is>
          <t>Tuenti</t>
        </is>
      </c>
      <c r="D121" s="15" t="n">
        <v>16650</v>
      </c>
      <c r="E121" s="14" t="inlineStr">
        <is>
          <t>Mercado Pago</t>
        </is>
      </c>
      <c r="F121" s="14" t="inlineStr">
        <is>
          <t>Tuenti · gasto personal Sol · hoja Gasto Personal Sol</t>
        </is>
      </c>
    </row>
    <row r="122">
      <c r="A122" s="43" t="n">
        <v>46122</v>
      </c>
      <c r="B122" s="14" t="inlineStr">
        <is>
          <t>Abril</t>
        </is>
      </c>
      <c r="C122" s="14" t="inlineStr">
        <is>
          <t>Apple</t>
        </is>
      </c>
      <c r="D122" s="15" t="n">
        <v>359951</v>
      </c>
      <c r="E122" s="14" t="inlineStr">
        <is>
          <t>Mercado Pago</t>
        </is>
      </c>
      <c r="F122" s="14" t="inlineStr">
        <is>
          <t>Apple · gasto personal Sol · hoja Gasto Personal Sol</t>
        </is>
      </c>
    </row>
    <row r="123">
      <c r="A123" s="43" t="n">
        <v>46122</v>
      </c>
      <c r="B123" s="14" t="inlineStr">
        <is>
          <t>Abril</t>
        </is>
      </c>
      <c r="C123" s="14" t="inlineStr">
        <is>
          <t>Mercado Libre</t>
        </is>
      </c>
      <c r="D123" s="15" t="n">
        <v>17041</v>
      </c>
      <c r="E123" s="14" t="inlineStr">
        <is>
          <t>Mercado Pago</t>
        </is>
      </c>
      <c r="F123" s="14" t="inlineStr">
        <is>
          <t>ML · ML · gasto personal Sol (revisar)</t>
        </is>
      </c>
    </row>
    <row r="124">
      <c r="A124" s="43" t="n">
        <v>46122</v>
      </c>
      <c r="B124" s="14" t="inlineStr">
        <is>
          <t>Abril</t>
        </is>
      </c>
      <c r="C124" s="14" t="inlineStr">
        <is>
          <t>Mercado Libre</t>
        </is>
      </c>
      <c r="D124" s="15" t="n">
        <v>126540</v>
      </c>
      <c r="E124" s="14" t="inlineStr">
        <is>
          <t>Mercado Pago</t>
        </is>
      </c>
      <c r="F124" s="14" t="inlineStr">
        <is>
          <t>ML · ML · gasto personal Sol (revisar)</t>
        </is>
      </c>
    </row>
    <row r="125">
      <c r="A125" s="43" t="n">
        <v>46122</v>
      </c>
      <c r="B125" s="14" t="inlineStr">
        <is>
          <t>Abril</t>
        </is>
      </c>
      <c r="C125" s="14" t="inlineStr">
        <is>
          <t>Mercado Libre</t>
        </is>
      </c>
      <c r="D125" s="15" t="n">
        <v>129200</v>
      </c>
      <c r="E125" s="14" t="inlineStr">
        <is>
          <t>Mercado Pago</t>
        </is>
      </c>
      <c r="F125" s="14" t="inlineStr">
        <is>
          <t>ML · ML · gasto personal Sol (revisar)</t>
        </is>
      </c>
    </row>
    <row r="126">
      <c r="A126" s="43" t="n">
        <v>46122</v>
      </c>
      <c r="B126" s="14" t="inlineStr">
        <is>
          <t>Abril</t>
        </is>
      </c>
      <c r="C126" s="14" t="inlineStr">
        <is>
          <t>Paws Pet Market</t>
        </is>
      </c>
      <c r="D126" s="15" t="n">
        <v>71400</v>
      </c>
      <c r="E126" s="14" t="inlineStr">
        <is>
          <t>Mercado Pago</t>
        </is>
      </c>
      <c r="F126" s="14" t="inlineStr">
        <is>
          <t>mascotas · gasto personal Sol</t>
        </is>
      </c>
    </row>
    <row r="127">
      <c r="A127" s="43" t="n">
        <v>46124</v>
      </c>
      <c r="B127" s="14" t="inlineStr">
        <is>
          <t>Abril</t>
        </is>
      </c>
      <c r="C127" s="14" t="inlineStr">
        <is>
          <t>Apple</t>
        </is>
      </c>
      <c r="D127" s="15" t="n">
        <v>14520</v>
      </c>
      <c r="E127" s="14" t="inlineStr">
        <is>
          <t>Mercado Pago</t>
        </is>
      </c>
      <c r="F127" s="14" t="inlineStr">
        <is>
          <t>Apple · gasto personal Sol · hoja Gasto Personal Sol</t>
        </is>
      </c>
    </row>
    <row r="128">
      <c r="A128" s="43" t="n">
        <v>46125</v>
      </c>
      <c r="B128" s="14" t="inlineStr">
        <is>
          <t>Abril</t>
        </is>
      </c>
      <c r="C128" s="14" t="inlineStr">
        <is>
          <t>Mercado Libre</t>
        </is>
      </c>
      <c r="D128" s="15" t="n">
        <v>13989</v>
      </c>
      <c r="E128" s="14" t="inlineStr">
        <is>
          <t>Mercado Pago</t>
        </is>
      </c>
      <c r="F128" s="14" t="inlineStr">
        <is>
          <t>ML · ML · gasto personal Sol (revisar)</t>
        </is>
      </c>
    </row>
    <row r="129">
      <c r="A129" s="43" t="n">
        <v>46126</v>
      </c>
      <c r="B129" s="14" t="inlineStr">
        <is>
          <t>Abril</t>
        </is>
      </c>
      <c r="C129" s="14" t="inlineStr">
        <is>
          <t>Mercado Libre</t>
        </is>
      </c>
      <c r="D129" s="15" t="n">
        <v>119000</v>
      </c>
      <c r="E129" s="14" t="inlineStr">
        <is>
          <t>Mercado Pago</t>
        </is>
      </c>
      <c r="F129" s="14" t="inlineStr">
        <is>
          <t>ML · ML · gasto personal Sol (revisar)</t>
        </is>
      </c>
    </row>
    <row r="130">
      <c r="A130" s="43" t="n">
        <v>46127</v>
      </c>
      <c r="B130" s="14" t="inlineStr">
        <is>
          <t>Abril</t>
        </is>
      </c>
      <c r="C130" s="14" t="inlineStr">
        <is>
          <t>Fundacion Soplo De Vida</t>
        </is>
      </c>
      <c r="D130" s="15" t="n">
        <v>100000</v>
      </c>
      <c r="E130" s="14" t="inlineStr">
        <is>
          <t>Mercado Pago</t>
        </is>
      </c>
      <c r="F130" s="14" t="inlineStr">
        <is>
          <t>donación · gasto personal Sol</t>
        </is>
      </c>
    </row>
    <row r="131">
      <c r="A131" s="43" t="n">
        <v>46130</v>
      </c>
      <c r="B131" s="14" t="inlineStr">
        <is>
          <t>Abril</t>
        </is>
      </c>
      <c r="C131" s="14" t="inlineStr">
        <is>
          <t>Cosi Mi Piace</t>
        </is>
      </c>
      <c r="D131" s="15" t="n">
        <v>177300</v>
      </c>
      <c r="E131" s="14" t="inlineStr">
        <is>
          <t>Mercado Pago</t>
        </is>
      </c>
      <c r="F131" s="14" t="inlineStr">
        <is>
          <t>evento · gasto personal Sol</t>
        </is>
      </c>
    </row>
    <row r="132">
      <c r="A132" s="43" t="n">
        <v>46130</v>
      </c>
      <c r="B132" s="14" t="inlineStr">
        <is>
          <t>Abril</t>
        </is>
      </c>
      <c r="C132" s="14" t="inlineStr">
        <is>
          <t>Cosi Mi Piace propina</t>
        </is>
      </c>
      <c r="D132" s="15" t="n">
        <v>21276</v>
      </c>
      <c r="E132" s="14" t="inlineStr">
        <is>
          <t>Mercado Pago</t>
        </is>
      </c>
      <c r="F132" s="14" t="inlineStr">
        <is>
          <t>evento · gasto personal Sol</t>
        </is>
      </c>
    </row>
    <row r="133">
      <c r="A133" s="43" t="n">
        <v>46131</v>
      </c>
      <c r="B133" s="14" t="inlineStr">
        <is>
          <t>Abril</t>
        </is>
      </c>
      <c r="C133" s="14" t="inlineStr">
        <is>
          <t>Negri Telma</t>
        </is>
      </c>
      <c r="D133" s="15" t="n">
        <v>50000</v>
      </c>
      <c r="E133" s="14" t="inlineStr">
        <is>
          <t>Mercado Pago</t>
        </is>
      </c>
      <c r="F133" s="14" t="inlineStr">
        <is>
          <t>transferencia · gasto personal Sol (ex-PENDIENTE)</t>
        </is>
      </c>
    </row>
    <row r="134">
      <c r="A134" s="43" t="n">
        <v>46131</v>
      </c>
      <c r="B134" s="14" t="inlineStr">
        <is>
          <t>Abril</t>
        </is>
      </c>
      <c r="C134" s="14" t="inlineStr">
        <is>
          <t>SUBE</t>
        </is>
      </c>
      <c r="D134" s="15" t="n">
        <v>795</v>
      </c>
      <c r="E134" s="14" t="inlineStr">
        <is>
          <t>Mercado Pago</t>
        </is>
      </c>
      <c r="F134" s="14" t="inlineStr">
        <is>
          <t>transporte SUBE · gasto personal Sol</t>
        </is>
      </c>
    </row>
    <row r="135">
      <c r="A135" s="43" t="n">
        <v>46132</v>
      </c>
      <c r="B135" s="14" t="inlineStr">
        <is>
          <t>Abril</t>
        </is>
      </c>
      <c r="C135" s="14" t="inlineStr">
        <is>
          <t>Mercado Libre</t>
        </is>
      </c>
      <c r="D135" s="15" t="n">
        <v>156237</v>
      </c>
      <c r="E135" s="14" t="inlineStr">
        <is>
          <t>Mercado Pago</t>
        </is>
      </c>
      <c r="F135" s="14" t="inlineStr">
        <is>
          <t>ML · ML · gasto personal Sol (revisar)</t>
        </is>
      </c>
    </row>
    <row r="136">
      <c r="A136" s="43" t="n">
        <v>46132</v>
      </c>
      <c r="B136" s="14" t="inlineStr">
        <is>
          <t>Abril</t>
        </is>
      </c>
      <c r="C136" s="14" t="inlineStr">
        <is>
          <t>Mercado Libre</t>
        </is>
      </c>
      <c r="D136" s="15" t="n">
        <v>185340</v>
      </c>
      <c r="E136" s="14" t="inlineStr">
        <is>
          <t>Mercado Pago</t>
        </is>
      </c>
      <c r="F136" s="14" t="inlineStr">
        <is>
          <t>ML · ML · gasto personal Sol (revisar)</t>
        </is>
      </c>
    </row>
    <row r="137">
      <c r="A137" s="43" t="n">
        <v>46133</v>
      </c>
      <c r="B137" s="14" t="inlineStr">
        <is>
          <t>Abril</t>
        </is>
      </c>
      <c r="C137" s="14" t="inlineStr">
        <is>
          <t>Negri Telma</t>
        </is>
      </c>
      <c r="D137" s="15" t="n">
        <v>200000</v>
      </c>
      <c r="E137" s="14" t="inlineStr">
        <is>
          <t>Mercado Pago</t>
        </is>
      </c>
      <c r="F137" s="14" t="inlineStr">
        <is>
          <t>transferencia · gasto personal Sol (ex-PENDIENTE)</t>
        </is>
      </c>
    </row>
    <row r="138">
      <c r="A138" s="43" t="n">
        <v>46134</v>
      </c>
      <c r="B138" s="14" t="inlineStr">
        <is>
          <t>Abril</t>
        </is>
      </c>
      <c r="C138" s="14" t="inlineStr">
        <is>
          <t>Martina Chippano</t>
        </is>
      </c>
      <c r="D138" s="15" t="n">
        <v>153480</v>
      </c>
      <c r="E138" s="14" t="inlineStr">
        <is>
          <t>Mercado Pago</t>
        </is>
      </c>
      <c r="F138" s="14" t="inlineStr">
        <is>
          <t>compra · gasto personal Sol (ex-PENDIENTE)</t>
        </is>
      </c>
    </row>
    <row r="139">
      <c r="A139" s="43" t="n">
        <v>46136</v>
      </c>
      <c r="B139" s="14" t="inlineStr">
        <is>
          <t>Abril</t>
        </is>
      </c>
      <c r="C139" s="14" t="inlineStr">
        <is>
          <t>Fundacion Soplo De Vida</t>
        </is>
      </c>
      <c r="D139" s="15" t="n">
        <v>40000</v>
      </c>
      <c r="E139" s="14" t="inlineStr">
        <is>
          <t>Mercado Pago</t>
        </is>
      </c>
      <c r="F139" s="14" t="inlineStr">
        <is>
          <t>donación · gasto personal Sol</t>
        </is>
      </c>
    </row>
    <row r="140">
      <c r="A140" s="43" t="n">
        <v>46137</v>
      </c>
      <c r="B140" s="14" t="inlineStr">
        <is>
          <t>Abril</t>
        </is>
      </c>
      <c r="C140" s="14" t="inlineStr">
        <is>
          <t>Tuenti</t>
        </is>
      </c>
      <c r="D140" s="15" t="n">
        <v>4200</v>
      </c>
      <c r="E140" s="14" t="inlineStr">
        <is>
          <t>Mercado Pago</t>
        </is>
      </c>
      <c r="F140" s="14" t="inlineStr">
        <is>
          <t>Tuenti · gasto personal Sol · hoja Gasto Personal Sol</t>
        </is>
      </c>
    </row>
    <row r="141">
      <c r="A141" s="43" t="n">
        <v>46138</v>
      </c>
      <c r="B141" s="14" t="inlineStr">
        <is>
          <t>Abril</t>
        </is>
      </c>
      <c r="C141" s="14" t="inlineStr">
        <is>
          <t>Mauro Ascunce</t>
        </is>
      </c>
      <c r="D141" s="15" t="n">
        <v>2100</v>
      </c>
      <c r="E141" s="14" t="inlineStr">
        <is>
          <t>Mercado Pago</t>
        </is>
      </c>
      <c r="F141" s="14" t="inlineStr">
        <is>
          <t>transferencia · gasto personal Sol (ex-PENDIENTE)</t>
        </is>
      </c>
    </row>
    <row r="142">
      <c r="A142" s="43" t="n">
        <v>46140</v>
      </c>
      <c r="B142" s="14" t="inlineStr">
        <is>
          <t>Abril</t>
        </is>
      </c>
      <c r="C142" s="14" t="inlineStr">
        <is>
          <t>Cosi Mi Piace</t>
        </is>
      </c>
      <c r="D142" s="15" t="n">
        <v>277360</v>
      </c>
      <c r="E142" s="14" t="inlineStr">
        <is>
          <t>Mercado Pago</t>
        </is>
      </c>
      <c r="F142" s="14" t="inlineStr">
        <is>
          <t>evento · gasto personal Sol</t>
        </is>
      </c>
    </row>
    <row r="143">
      <c r="A143" s="44" t="n">
        <v>46140</v>
      </c>
      <c r="B143" t="inlineStr">
        <is>
          <t>Abril</t>
        </is>
      </c>
      <c r="C143" t="inlineStr">
        <is>
          <t>Cosi Mi Piace propina</t>
        </is>
      </c>
      <c r="D143" s="26" t="n">
        <v>33283</v>
      </c>
      <c r="E143" t="inlineStr">
        <is>
          <t>Mercado Pago</t>
        </is>
      </c>
      <c r="F143" t="inlineStr">
        <is>
          <t>evento · gasto personal Sol</t>
        </is>
      </c>
    </row>
    <row r="144">
      <c r="A144" s="44" t="n">
        <v>46144</v>
      </c>
      <c r="B144" t="inlineStr">
        <is>
          <t>Mayo</t>
        </is>
      </c>
      <c r="C144" t="inlineStr">
        <is>
          <t>ACA</t>
        </is>
      </c>
      <c r="D144" s="26" t="n">
        <v>751</v>
      </c>
      <c r="E144" t="inlineStr">
        <is>
          <t>Mercado Pago</t>
        </is>
      </c>
      <c r="F144" t="inlineStr">
        <is>
          <t>ACA · AUTO/ACA · gasto personal Sol</t>
        </is>
      </c>
    </row>
    <row r="145">
      <c r="A145" s="44" t="n">
        <v>46144</v>
      </c>
      <c r="B145" t="inlineStr">
        <is>
          <t>Mayo</t>
        </is>
      </c>
      <c r="C145" t="inlineStr">
        <is>
          <t>Cosi Mi Piace</t>
        </is>
      </c>
      <c r="D145" s="26" t="n">
        <v>30133</v>
      </c>
      <c r="E145" t="inlineStr">
        <is>
          <t>Mercado Pago</t>
        </is>
      </c>
      <c r="F145" t="inlineStr">
        <is>
          <t>restaurante · gasto personal Sol</t>
        </is>
      </c>
    </row>
    <row r="146">
      <c r="A146" s="44" t="n">
        <v>46144</v>
      </c>
      <c r="B146" t="inlineStr">
        <is>
          <t>Mayo</t>
        </is>
      </c>
      <c r="C146" t="inlineStr">
        <is>
          <t>Profesional Belgrano</t>
        </is>
      </c>
      <c r="D146" s="26" t="n">
        <v>72249</v>
      </c>
      <c r="E146" t="inlineStr">
        <is>
          <t>Mercado Pago</t>
        </is>
      </c>
      <c r="F146" t="inlineStr">
        <is>
          <t>¿farmacia? · gasto personal Sol</t>
        </is>
      </c>
    </row>
    <row r="147">
      <c r="A147" s="44" t="n">
        <v>46144</v>
      </c>
      <c r="B147" t="inlineStr">
        <is>
          <t>Mayo</t>
        </is>
      </c>
      <c r="C147" t="inlineStr">
        <is>
          <t>Tuenti</t>
        </is>
      </c>
      <c r="D147" s="26" t="n">
        <v>4200</v>
      </c>
      <c r="E147" t="inlineStr">
        <is>
          <t>Mercado Pago</t>
        </is>
      </c>
      <c r="F147" t="inlineStr">
        <is>
          <t>Tuenti · gasto personal Sol · hoja Gasto Personal Sol</t>
        </is>
      </c>
    </row>
    <row r="148">
      <c r="A148" s="44" t="n">
        <v>46146</v>
      </c>
      <c r="B148" t="inlineStr">
        <is>
          <t>Mayo</t>
        </is>
      </c>
      <c r="C148" t="inlineStr">
        <is>
          <t>Clinicas Altamirao</t>
        </is>
      </c>
      <c r="D148" s="26" t="n">
        <v>40000</v>
      </c>
      <c r="E148" t="inlineStr">
        <is>
          <t>Mercado Pago</t>
        </is>
      </c>
      <c r="F148" t="inlineStr">
        <is>
          <t>salud · gasto personal Sol</t>
        </is>
      </c>
    </row>
    <row r="149">
      <c r="A149" s="44" t="n">
        <v>46147</v>
      </c>
      <c r="B149" t="inlineStr">
        <is>
          <t>Mayo</t>
        </is>
      </c>
      <c r="C149" t="inlineStr">
        <is>
          <t>Eva Zarate</t>
        </is>
      </c>
      <c r="D149" s="26" t="n">
        <v>95000</v>
      </c>
      <c r="E149" t="inlineStr">
        <is>
          <t>Mercado Pago</t>
        </is>
      </c>
      <c r="F149" t="inlineStr">
        <is>
          <t>transferencia · gasto personal Sol (ex-PENDIENTE)</t>
        </is>
      </c>
    </row>
    <row r="150">
      <c r="A150" s="44" t="n">
        <v>46149</v>
      </c>
      <c r="B150" t="inlineStr">
        <is>
          <t>Mayo</t>
        </is>
      </c>
      <c r="C150" t="inlineStr">
        <is>
          <t>Tuenti</t>
        </is>
      </c>
      <c r="D150" s="26" t="n">
        <v>16650</v>
      </c>
      <c r="E150" t="inlineStr">
        <is>
          <t>Mercado Pago</t>
        </is>
      </c>
      <c r="F150" t="inlineStr">
        <is>
          <t>Tuenti · gasto personal Sol · hoja Gasto Personal Sol</t>
        </is>
      </c>
    </row>
    <row r="151">
      <c r="A151" s="44" t="n">
        <v>46150</v>
      </c>
      <c r="B151" t="inlineStr">
        <is>
          <t>Mayo</t>
        </is>
      </c>
      <c r="C151" t="inlineStr">
        <is>
          <t>Florencia Risi</t>
        </is>
      </c>
      <c r="D151" s="26" t="n">
        <v>60900</v>
      </c>
      <c r="E151" t="inlineStr">
        <is>
          <t>Mercado Pago</t>
        </is>
      </c>
      <c r="F151" t="inlineStr">
        <is>
          <t>transferencia · gasto personal Sol (ex-PENDIENTE)</t>
        </is>
      </c>
    </row>
    <row r="152">
      <c r="A152" s="44" t="n">
        <v>46150</v>
      </c>
      <c r="B152" t="inlineStr">
        <is>
          <t>Mayo</t>
        </is>
      </c>
      <c r="C152" t="inlineStr">
        <is>
          <t>Ruth Calvetti</t>
        </is>
      </c>
      <c r="D152" s="26" t="n">
        <v>266443</v>
      </c>
      <c r="E152" t="inlineStr">
        <is>
          <t>Mercado Pago</t>
        </is>
      </c>
      <c r="F152" t="inlineStr">
        <is>
          <t>compra · gasto personal Sol (ex-PENDIENTE)</t>
        </is>
      </c>
    </row>
    <row r="153">
      <c r="A153" s="44" t="n">
        <v>46151</v>
      </c>
      <c r="B153" t="inlineStr">
        <is>
          <t>Mayo</t>
        </is>
      </c>
      <c r="C153" t="inlineStr">
        <is>
          <t>Mercado Libre</t>
        </is>
      </c>
      <c r="D153" s="26" t="n">
        <v>38637</v>
      </c>
      <c r="E153" t="inlineStr">
        <is>
          <t>Mercado Pago</t>
        </is>
      </c>
      <c r="F153" t="inlineStr">
        <is>
          <t>ML · ML · gasto personal Sol (revisar)</t>
        </is>
      </c>
    </row>
    <row r="154">
      <c r="A154" s="44" t="n">
        <v>46151</v>
      </c>
      <c r="B154" t="inlineStr">
        <is>
          <t>Mayo</t>
        </is>
      </c>
      <c r="C154" t="inlineStr">
        <is>
          <t>Tuenti</t>
        </is>
      </c>
      <c r="D154" s="26" t="n">
        <v>16650</v>
      </c>
      <c r="E154" t="inlineStr">
        <is>
          <t>Mercado Pago</t>
        </is>
      </c>
      <c r="F154" t="inlineStr">
        <is>
          <t>Tuenti · gasto personal Sol · hoja Gasto Personal Sol</t>
        </is>
      </c>
    </row>
    <row r="155">
      <c r="A155" s="44" t="n">
        <v>46152</v>
      </c>
      <c r="B155" t="inlineStr">
        <is>
          <t>Mayo</t>
        </is>
      </c>
      <c r="C155" t="inlineStr">
        <is>
          <t>Ramira</t>
        </is>
      </c>
      <c r="D155" s="26" t="n">
        <v>117000</v>
      </c>
      <c r="E155" t="inlineStr">
        <is>
          <t>Mercado Pago</t>
        </is>
      </c>
      <c r="F155" t="inlineStr">
        <is>
          <t>salida/evento · gasto personal Sol</t>
        </is>
      </c>
    </row>
    <row r="156">
      <c r="A156" s="44" t="n">
        <v>46153</v>
      </c>
      <c r="B156" t="inlineStr">
        <is>
          <t>Mayo</t>
        </is>
      </c>
      <c r="C156" t="inlineStr">
        <is>
          <t>Andres Di Pasqua</t>
        </is>
      </c>
      <c r="D156" s="26" t="n">
        <v>24852</v>
      </c>
      <c r="E156" t="inlineStr">
        <is>
          <t>Mercado Pago</t>
        </is>
      </c>
      <c r="F156" t="inlineStr">
        <is>
          <t>compra · gasto personal Sol (ex-PENDIENTE)</t>
        </is>
      </c>
    </row>
    <row r="157">
      <c r="A157" s="44" t="n">
        <v>46153</v>
      </c>
      <c r="B157" t="inlineStr">
        <is>
          <t>Mayo</t>
        </is>
      </c>
      <c r="C157" t="inlineStr">
        <is>
          <t>Valeria Mele</t>
        </is>
      </c>
      <c r="D157" s="26" t="n">
        <v>65700</v>
      </c>
      <c r="E157" t="inlineStr">
        <is>
          <t>Mercado Pago</t>
        </is>
      </c>
      <c r="F157" t="inlineStr">
        <is>
          <t>transferencia · gasto personal Sol (ex-PENDIENTE)</t>
        </is>
      </c>
    </row>
    <row r="158">
      <c r="A158" s="44" t="n">
        <v>46154</v>
      </c>
      <c r="B158" t="inlineStr">
        <is>
          <t>Mayo</t>
        </is>
      </c>
      <c r="C158" t="inlineStr">
        <is>
          <t>Apple</t>
        </is>
      </c>
      <c r="D158" s="26" t="n">
        <v>18353</v>
      </c>
      <c r="E158" t="inlineStr">
        <is>
          <t>Mercado Pago</t>
        </is>
      </c>
      <c r="F158" t="inlineStr">
        <is>
          <t>Apple · gasto personal Sol · hoja Gasto Personal Sol</t>
        </is>
      </c>
    </row>
    <row r="159">
      <c r="A159" s="44" t="n">
        <v>46155</v>
      </c>
      <c r="B159" t="inlineStr">
        <is>
          <t>Mayo</t>
        </is>
      </c>
      <c r="C159" t="inlineStr">
        <is>
          <t>Daniela Lopez</t>
        </is>
      </c>
      <c r="D159" s="26" t="n">
        <v>3100</v>
      </c>
      <c r="E159" t="inlineStr">
        <is>
          <t>Mercado Pago</t>
        </is>
      </c>
      <c r="F159" t="inlineStr">
        <is>
          <t>transferencia · gasto personal Sol (ex-PENDIENTE)</t>
        </is>
      </c>
    </row>
    <row r="160">
      <c r="A160" s="44" t="n">
        <v>46155</v>
      </c>
      <c r="B160" t="inlineStr">
        <is>
          <t>Mayo</t>
        </is>
      </c>
      <c r="C160" t="inlineStr">
        <is>
          <t>Mercado Libre</t>
        </is>
      </c>
      <c r="D160" s="26" t="n">
        <v>132299</v>
      </c>
      <c r="E160" t="inlineStr">
        <is>
          <t>Mercado Pago</t>
        </is>
      </c>
      <c r="F160" t="inlineStr">
        <is>
          <t>ML · ML · gasto personal Sol (revisar)</t>
        </is>
      </c>
    </row>
    <row r="161">
      <c r="A161" s="44" t="n">
        <v>46155</v>
      </c>
      <c r="B161" t="inlineStr">
        <is>
          <t>Mayo</t>
        </is>
      </c>
      <c r="C161" t="inlineStr">
        <is>
          <t>Valeria Mele</t>
        </is>
      </c>
      <c r="D161" s="26" t="n">
        <v>21600</v>
      </c>
      <c r="E161" t="inlineStr">
        <is>
          <t>Mercado Pago</t>
        </is>
      </c>
      <c r="F161" t="inlineStr">
        <is>
          <t>transferencia · gasto personal Sol (ex-PENDIENTE)</t>
        </is>
      </c>
    </row>
    <row r="162">
      <c r="A162" s="44" t="n">
        <v>46157</v>
      </c>
      <c r="B162" t="inlineStr">
        <is>
          <t>Mayo</t>
        </is>
      </c>
      <c r="C162" t="inlineStr">
        <is>
          <t>General Collect</t>
        </is>
      </c>
      <c r="D162" s="26" t="n">
        <v>2496700</v>
      </c>
      <c r="E162" t="inlineStr">
        <is>
          <t>Mercado Pago</t>
        </is>
      </c>
      <c r="F162" t="inlineStr">
        <is>
          <t>cobranza · gasto personal Sol (ex-PENDIENTE)</t>
        </is>
      </c>
    </row>
    <row r="163">
      <c r="A163" s="44" t="n">
        <v>46158</v>
      </c>
      <c r="B163" t="inlineStr">
        <is>
          <t>Mayo</t>
        </is>
      </c>
      <c r="C163" t="inlineStr">
        <is>
          <t>Valeria Mele</t>
        </is>
      </c>
      <c r="D163" s="26" t="n">
        <v>90000</v>
      </c>
      <c r="E163" t="inlineStr">
        <is>
          <t>Mercado Pago</t>
        </is>
      </c>
      <c r="F163" t="inlineStr">
        <is>
          <t>transferencia · gasto personal Sol (ex-PENDIENTE)</t>
        </is>
      </c>
    </row>
    <row r="164">
      <c r="A164" s="44" t="n">
        <v>46160</v>
      </c>
      <c r="B164" t="inlineStr">
        <is>
          <t>Mayo</t>
        </is>
      </c>
      <c r="C164" t="inlineStr">
        <is>
          <t>Leocan</t>
        </is>
      </c>
      <c r="D164" s="26" t="n">
        <v>79924</v>
      </c>
      <c r="E164" t="inlineStr">
        <is>
          <t>Mercado Pago</t>
        </is>
      </c>
      <c r="F164" t="inlineStr">
        <is>
          <t>mascotas · gasto personal Sol</t>
        </is>
      </c>
    </row>
    <row r="165">
      <c r="A165" s="44" t="n">
        <v>46163</v>
      </c>
      <c r="B165" t="inlineStr">
        <is>
          <t>Mayo</t>
        </is>
      </c>
      <c r="C165" t="inlineStr">
        <is>
          <t>Federico Cabral</t>
        </is>
      </c>
      <c r="D165" s="26" t="n">
        <v>755800</v>
      </c>
      <c r="E165" t="inlineStr">
        <is>
          <t>Mercado Pago</t>
        </is>
      </c>
      <c r="F165" t="inlineStr">
        <is>
          <t>transferencia · gasto personal Sol (ex-PENDIENTE)</t>
        </is>
      </c>
    </row>
    <row r="166">
      <c r="A166" s="44" t="n">
        <v>46165</v>
      </c>
      <c r="B166" t="inlineStr">
        <is>
          <t>Mayo</t>
        </is>
      </c>
      <c r="C166" t="inlineStr">
        <is>
          <t>Bimba Y Lola</t>
        </is>
      </c>
      <c r="D166" s="26" t="n">
        <v>748000</v>
      </c>
      <c r="E166" t="inlineStr">
        <is>
          <t>Mercado Pago</t>
        </is>
      </c>
      <c r="F166" t="inlineStr">
        <is>
          <t>ropa · gasto personal Sol</t>
        </is>
      </c>
    </row>
    <row r="167">
      <c r="A167" s="44" t="n">
        <v>46165</v>
      </c>
      <c r="B167" t="inlineStr">
        <is>
          <t>Mayo</t>
        </is>
      </c>
      <c r="C167" t="inlineStr">
        <is>
          <t>Christian Ventura</t>
        </is>
      </c>
      <c r="D167" s="26" t="n">
        <v>300000</v>
      </c>
      <c r="E167" t="inlineStr">
        <is>
          <t>Mercado Pago</t>
        </is>
      </c>
      <c r="F167" t="inlineStr">
        <is>
          <t>transferencia · gasto personal Sol (ex-PENDIENTE)</t>
        </is>
      </c>
    </row>
    <row r="168">
      <c r="A168" s="44" t="n">
        <v>46165</v>
      </c>
      <c r="B168" t="inlineStr">
        <is>
          <t>Mayo</t>
        </is>
      </c>
      <c r="C168" t="inlineStr">
        <is>
          <t>Mercado Libre</t>
        </is>
      </c>
      <c r="D168" s="26" t="n">
        <v>35544</v>
      </c>
      <c r="E168" t="inlineStr">
        <is>
          <t>Mercado Pago</t>
        </is>
      </c>
      <c r="F168" t="inlineStr">
        <is>
          <t>ML · ML · gasto personal Sol (revisar)</t>
        </is>
      </c>
    </row>
    <row r="169">
      <c r="A169" s="44" t="n">
        <v>46165</v>
      </c>
      <c r="B169" t="inlineStr">
        <is>
          <t>Mayo</t>
        </is>
      </c>
      <c r="C169" t="inlineStr">
        <is>
          <t>Valeria Mele</t>
        </is>
      </c>
      <c r="D169" s="26" t="n">
        <v>112500</v>
      </c>
      <c r="E169" t="inlineStr">
        <is>
          <t>Mercado Pago</t>
        </is>
      </c>
      <c r="F169" t="inlineStr">
        <is>
          <t>transferencia · gasto personal Sol (ex-PENDIENTE)</t>
        </is>
      </c>
    </row>
    <row r="170">
      <c r="A170" s="44" t="n">
        <v>46168</v>
      </c>
      <c r="B170" t="inlineStr">
        <is>
          <t>Mayo</t>
        </is>
      </c>
      <c r="C170" t="inlineStr">
        <is>
          <t>Movistar Arena</t>
        </is>
      </c>
      <c r="D170" s="26" t="n">
        <v>19000</v>
      </c>
      <c r="E170" t="inlineStr">
        <is>
          <t>Mercado Pago</t>
        </is>
      </c>
      <c r="F170" t="inlineStr">
        <is>
          <t>evento · gasto personal Sol</t>
        </is>
      </c>
    </row>
    <row r="171">
      <c r="A171" s="44" t="n">
        <v>46169</v>
      </c>
      <c r="B171" t="inlineStr">
        <is>
          <t>Mayo</t>
        </is>
      </c>
      <c r="C171" t="inlineStr">
        <is>
          <t>Magic Dragon</t>
        </is>
      </c>
      <c r="D171" s="26" t="n">
        <v>5790</v>
      </c>
      <c r="E171" t="inlineStr">
        <is>
          <t>Mercado Pago</t>
        </is>
      </c>
      <c r="F171" t="inlineStr">
        <is>
          <t>comida/salida · gasto personal Sol</t>
        </is>
      </c>
    </row>
    <row r="172">
      <c r="A172" s="44" t="n">
        <v>46169</v>
      </c>
      <c r="B172" t="inlineStr">
        <is>
          <t>Mayo</t>
        </is>
      </c>
      <c r="C172" t="inlineStr">
        <is>
          <t>Paws Pet Market</t>
        </is>
      </c>
      <c r="D172" s="26" t="n">
        <v>11100</v>
      </c>
      <c r="E172" t="inlineStr">
        <is>
          <t>Mercado Pago</t>
        </is>
      </c>
      <c r="F172" t="inlineStr">
        <is>
          <t>mascotas · gasto personal Sol</t>
        </is>
      </c>
    </row>
    <row r="173">
      <c r="A173" s="44" t="n">
        <v>46170</v>
      </c>
      <c r="B173" t="inlineStr">
        <is>
          <t>Mayo</t>
        </is>
      </c>
      <c r="C173" t="inlineStr">
        <is>
          <t>Zilver Sa</t>
        </is>
      </c>
      <c r="D173" s="26" t="n">
        <v>25971</v>
      </c>
      <c r="E173" t="inlineStr">
        <is>
          <t>Mercado Pago</t>
        </is>
      </c>
      <c r="F173" t="inlineStr">
        <is>
          <t>personal · gasto personal Sol</t>
        </is>
      </c>
    </row>
    <row r="174">
      <c r="A174" s="44" t="n">
        <v>46171</v>
      </c>
      <c r="B174" t="inlineStr">
        <is>
          <t>Mayo</t>
        </is>
      </c>
      <c r="C174" t="inlineStr">
        <is>
          <t>Servicios De Pagos Virtuales</t>
        </is>
      </c>
      <c r="D174" s="26" t="n">
        <v>630000</v>
      </c>
      <c r="E174" t="inlineStr">
        <is>
          <t>Mercado Pago</t>
        </is>
      </c>
      <c r="F174" t="inlineStr">
        <is>
          <t>¿qué es? · gasto personal Sol (ex-PENDIENTE)</t>
        </is>
      </c>
    </row>
    <row r="175">
      <c r="A175" s="44" t="n">
        <v>46175</v>
      </c>
      <c r="B175" t="inlineStr">
        <is>
          <t>Junio</t>
        </is>
      </c>
      <c r="C175" t="inlineStr">
        <is>
          <t>Andres Di Pasqua</t>
        </is>
      </c>
      <c r="D175" s="26" t="n">
        <v>32046</v>
      </c>
      <c r="E175" t="inlineStr">
        <is>
          <t>Mercado Pago</t>
        </is>
      </c>
      <c r="F175" t="inlineStr">
        <is>
          <t>compra · gasto personal Sol (ex-PENDIENTE)</t>
        </is>
      </c>
    </row>
    <row r="176">
      <c r="A176" s="44" t="n">
        <v>46175</v>
      </c>
      <c r="B176" t="inlineStr">
        <is>
          <t>Junio</t>
        </is>
      </c>
      <c r="C176" t="inlineStr">
        <is>
          <t>Correo Argentino</t>
        </is>
      </c>
      <c r="D176" s="26" t="n">
        <v>22500</v>
      </c>
      <c r="E176" t="inlineStr">
        <is>
          <t>Mercado Pago</t>
        </is>
      </c>
      <c r="F176" t="inlineStr">
        <is>
          <t>envíos · gasto personal Sol</t>
        </is>
      </c>
    </row>
    <row r="177">
      <c r="A177" s="44" t="n">
        <v>46179</v>
      </c>
      <c r="B177" t="inlineStr">
        <is>
          <t>Junio</t>
        </is>
      </c>
      <c r="C177" t="inlineStr">
        <is>
          <t>Fundacion Soplo De Vida</t>
        </is>
      </c>
      <c r="D177" s="26" t="n">
        <v>100000</v>
      </c>
      <c r="E177" t="inlineStr">
        <is>
          <t>Mercado Pago</t>
        </is>
      </c>
      <c r="F177" t="inlineStr">
        <is>
          <t>donación · gasto personal Sol</t>
        </is>
      </c>
    </row>
    <row r="178">
      <c r="A178" s="44" t="n">
        <v>46179</v>
      </c>
      <c r="B178" t="inlineStr">
        <is>
          <t>Junio</t>
        </is>
      </c>
      <c r="C178" t="inlineStr">
        <is>
          <t>Guillermo Galarraga</t>
        </is>
      </c>
      <c r="D178" s="26" t="n">
        <v>14500</v>
      </c>
      <c r="E178" t="inlineStr">
        <is>
          <t>Mercado Pago</t>
        </is>
      </c>
      <c r="F178" t="inlineStr">
        <is>
          <t>transferencia · gasto personal Sol (ex-PENDIENTE)</t>
        </is>
      </c>
    </row>
    <row r="179">
      <c r="A179" s="44" t="n">
        <v>46180</v>
      </c>
      <c r="B179" t="inlineStr">
        <is>
          <t>Junio</t>
        </is>
      </c>
      <c r="C179" t="inlineStr">
        <is>
          <t>ACA</t>
        </is>
      </c>
      <c r="D179" s="26" t="n">
        <v>711</v>
      </c>
      <c r="E179" t="inlineStr">
        <is>
          <t>Mercado Pago</t>
        </is>
      </c>
      <c r="F179" t="inlineStr">
        <is>
          <t>ACA · AUTO/ACA · gasto personal Sol</t>
        </is>
      </c>
    </row>
    <row r="180">
      <c r="A180" s="44" t="n">
        <v>46181</v>
      </c>
      <c r="B180" t="inlineStr">
        <is>
          <t>Junio</t>
        </is>
      </c>
      <c r="C180" t="inlineStr">
        <is>
          <t>Tuenti</t>
        </is>
      </c>
      <c r="D180" s="26" t="n">
        <v>17400</v>
      </c>
      <c r="E180" t="inlineStr">
        <is>
          <t>Mercado Pago</t>
        </is>
      </c>
      <c r="F180" t="inlineStr">
        <is>
          <t>Tuenti · gasto personal Sol · hoja Gasto Personal Sol</t>
        </is>
      </c>
    </row>
    <row r="181">
      <c r="A181" s="44" t="n">
        <v>46183</v>
      </c>
      <c r="B181" t="inlineStr">
        <is>
          <t>Junio</t>
        </is>
      </c>
      <c r="C181" t="inlineStr">
        <is>
          <t>Casa Godoy</t>
        </is>
      </c>
      <c r="D181" s="26" t="n">
        <v>806000</v>
      </c>
      <c r="E181" t="inlineStr">
        <is>
          <t>Mercado Pago</t>
        </is>
      </c>
      <c r="F181" t="inlineStr">
        <is>
          <t>¿obra/casa? · gasto personal Sol (ex-PENDIENTE)</t>
        </is>
      </c>
    </row>
    <row r="182">
      <c r="A182" s="44" t="n">
        <v>46183</v>
      </c>
      <c r="B182" t="inlineStr">
        <is>
          <t>Junio</t>
        </is>
      </c>
      <c r="C182" t="inlineStr">
        <is>
          <t>Karina Venturo</t>
        </is>
      </c>
      <c r="D182" s="26" t="n">
        <v>8293</v>
      </c>
      <c r="E182" t="inlineStr">
        <is>
          <t>Mercado Pago</t>
        </is>
      </c>
      <c r="F182" t="inlineStr">
        <is>
          <t>transferencia · gasto personal Sol (ex-PENDIENTE)</t>
        </is>
      </c>
    </row>
    <row r="183">
      <c r="A183" s="44" t="n">
        <v>46184</v>
      </c>
      <c r="B183" t="inlineStr">
        <is>
          <t>Junio</t>
        </is>
      </c>
      <c r="C183" t="inlineStr">
        <is>
          <t>Apple</t>
        </is>
      </c>
      <c r="D183" s="26" t="n">
        <v>331291</v>
      </c>
      <c r="E183" t="inlineStr">
        <is>
          <t>Mercado Pago</t>
        </is>
      </c>
      <c r="F183" t="inlineStr">
        <is>
          <t>Apple · gasto personal Sol · hoja Gasto Personal Sol</t>
        </is>
      </c>
    </row>
    <row r="184">
      <c r="A184" s="44" t="n">
        <v>46185</v>
      </c>
      <c r="B184" t="inlineStr">
        <is>
          <t>Junio</t>
        </is>
      </c>
      <c r="C184" t="inlineStr">
        <is>
          <t>Correo Argentino</t>
        </is>
      </c>
      <c r="D184" s="26" t="n">
        <v>48000</v>
      </c>
      <c r="E184" t="inlineStr">
        <is>
          <t>Mercado Pago</t>
        </is>
      </c>
      <c r="F184" t="inlineStr">
        <is>
          <t>envíos · gasto personal Sol</t>
        </is>
      </c>
    </row>
    <row r="185">
      <c r="A185" s="44" t="n">
        <v>46186</v>
      </c>
      <c r="B185" t="inlineStr">
        <is>
          <t>Junio</t>
        </is>
      </c>
      <c r="C185" t="inlineStr">
        <is>
          <t>Apple</t>
        </is>
      </c>
      <c r="D185" s="26" t="n">
        <v>18558</v>
      </c>
      <c r="E185" t="inlineStr">
        <is>
          <t>Mercado Pago</t>
        </is>
      </c>
      <c r="F185" t="inlineStr">
        <is>
          <t>Apple · gasto personal Sol · hoja Gasto Personal Sol</t>
        </is>
      </c>
    </row>
    <row r="186">
      <c r="A186" s="44" t="n">
        <v>46186</v>
      </c>
      <c r="B186" t="inlineStr">
        <is>
          <t>Junio</t>
        </is>
      </c>
      <c r="C186" t="inlineStr">
        <is>
          <t>Saphirus</t>
        </is>
      </c>
      <c r="D186" s="26" t="n">
        <v>79900</v>
      </c>
      <c r="E186" t="inlineStr">
        <is>
          <t>Mercado Pago</t>
        </is>
      </c>
      <c r="F186" t="inlineStr">
        <is>
          <t>¿hogar? · gasto personal Sol (ex-PENDIENTE)</t>
        </is>
      </c>
    </row>
    <row r="187">
      <c r="A187" s="44" t="n">
        <v>46188</v>
      </c>
      <c r="B187" t="inlineStr">
        <is>
          <t>Junio</t>
        </is>
      </c>
      <c r="C187" t="inlineStr">
        <is>
          <t>Madmuscles</t>
        </is>
      </c>
      <c r="D187" s="26" t="n">
        <v>99727</v>
      </c>
      <c r="E187" t="inlineStr">
        <is>
          <t>Mercado Pago</t>
        </is>
      </c>
      <c r="F187" t="inlineStr">
        <is>
          <t>fitness · gasto personal Sol</t>
        </is>
      </c>
    </row>
    <row r="188">
      <c r="A188" s="44" t="n">
        <v>46189</v>
      </c>
      <c r="B188" t="inlineStr">
        <is>
          <t>Junio</t>
        </is>
      </c>
      <c r="C188" t="inlineStr">
        <is>
          <t>Damaris Oliveira</t>
        </is>
      </c>
      <c r="D188" s="26" t="n">
        <v>2542970</v>
      </c>
      <c r="E188" t="inlineStr">
        <is>
          <t>Mercado Pago</t>
        </is>
      </c>
      <c r="F188" t="inlineStr">
        <is>
          <t>compra grande · gasto personal Sol (ex-PENDIENTE)</t>
        </is>
      </c>
    </row>
    <row r="189">
      <c r="A189" s="44" t="n">
        <v>46189</v>
      </c>
      <c r="B189" t="inlineStr">
        <is>
          <t>Junio</t>
        </is>
      </c>
      <c r="C189" t="inlineStr">
        <is>
          <t>Dermacycle</t>
        </is>
      </c>
      <c r="D189" s="26" t="n">
        <v>150000</v>
      </c>
      <c r="E189" t="inlineStr">
        <is>
          <t>Mercado Pago</t>
        </is>
      </c>
      <c r="F189" t="inlineStr">
        <is>
          <t>estética · gasto personal Sol</t>
        </is>
      </c>
    </row>
    <row r="190">
      <c r="A190" s="44" t="n">
        <v>46191</v>
      </c>
      <c r="B190" t="inlineStr">
        <is>
          <t>Junio</t>
        </is>
      </c>
      <c r="C190" t="inlineStr">
        <is>
          <t>Mercado Libre</t>
        </is>
      </c>
      <c r="D190" s="26" t="n">
        <v>67000</v>
      </c>
      <c r="E190" t="inlineStr">
        <is>
          <t>Mercado Pago</t>
        </is>
      </c>
      <c r="F190" t="inlineStr">
        <is>
          <t>ML · ML · gasto personal Sol (revisar)</t>
        </is>
      </c>
    </row>
    <row r="191">
      <c r="A191" s="44" t="n">
        <v>46193</v>
      </c>
      <c r="B191" t="inlineStr">
        <is>
          <t>Junio</t>
        </is>
      </c>
      <c r="C191" t="inlineStr">
        <is>
          <t>Christian Ventura</t>
        </is>
      </c>
      <c r="D191" s="26" t="n">
        <v>20000</v>
      </c>
      <c r="E191" t="inlineStr">
        <is>
          <t>Mercado Pago</t>
        </is>
      </c>
      <c r="F191" t="inlineStr">
        <is>
          <t>transferencia · gasto personal Sol (ex-PENDIENTE)</t>
        </is>
      </c>
    </row>
    <row r="192">
      <c r="A192" s="44" t="n">
        <v>46196</v>
      </c>
      <c r="B192" t="inlineStr">
        <is>
          <t>Junio</t>
        </is>
      </c>
      <c r="C192" t="inlineStr">
        <is>
          <t>Christian Ventura</t>
        </is>
      </c>
      <c r="D192" s="26" t="n">
        <v>150000</v>
      </c>
      <c r="E192" t="inlineStr">
        <is>
          <t>Mercado Pago</t>
        </is>
      </c>
      <c r="F192" t="inlineStr">
        <is>
          <t>transferencia · gasto personal Sol (ex-PENDIENTE)</t>
        </is>
      </c>
    </row>
    <row r="193">
      <c r="A193" s="44" t="n">
        <v>46196</v>
      </c>
      <c r="B193" t="inlineStr">
        <is>
          <t>Junio</t>
        </is>
      </c>
      <c r="C193" t="inlineStr">
        <is>
          <t>Karina Venturo</t>
        </is>
      </c>
      <c r="D193" s="26" t="n">
        <v>6030</v>
      </c>
      <c r="E193" t="inlineStr">
        <is>
          <t>Mercado Pago</t>
        </is>
      </c>
      <c r="F193" t="inlineStr">
        <is>
          <t>transferencia · gasto personal Sol (ex-PENDIENTE)</t>
        </is>
      </c>
    </row>
    <row r="194">
      <c r="A194" s="44" t="n">
        <v>46196</v>
      </c>
      <c r="B194" t="inlineStr">
        <is>
          <t>Junio</t>
        </is>
      </c>
      <c r="C194" t="inlineStr">
        <is>
          <t>Mazzeo Jose</t>
        </is>
      </c>
      <c r="D194" s="26" t="n">
        <v>6400</v>
      </c>
      <c r="E194" t="inlineStr">
        <is>
          <t>Mercado Pago</t>
        </is>
      </c>
      <c r="F194" t="inlineStr">
        <is>
          <t>transferencia · gasto personal Sol (ex-PENDIENTE)</t>
        </is>
      </c>
    </row>
    <row r="195">
      <c r="A195" s="44" t="n">
        <v>46196</v>
      </c>
      <c r="B195" t="inlineStr">
        <is>
          <t>Junio</t>
        </is>
      </c>
      <c r="C195" t="inlineStr">
        <is>
          <t>Omar Pastran</t>
        </is>
      </c>
      <c r="D195" s="26" t="n">
        <v>7000</v>
      </c>
      <c r="E195" t="inlineStr">
        <is>
          <t>Mercado Pago</t>
        </is>
      </c>
      <c r="F195" t="inlineStr">
        <is>
          <t>transferencia · gasto personal Sol (ex-PENDIENTE)</t>
        </is>
      </c>
    </row>
    <row r="196">
      <c r="A196" s="44" t="n">
        <v>46197</v>
      </c>
      <c r="B196" t="inlineStr">
        <is>
          <t>Junio</t>
        </is>
      </c>
      <c r="C196" t="inlineStr">
        <is>
          <t>Aylen Difeo</t>
        </is>
      </c>
      <c r="D196" s="26" t="n">
        <v>350000</v>
      </c>
      <c r="E196" t="inlineStr">
        <is>
          <t>Mercado Pago</t>
        </is>
      </c>
      <c r="F196" t="inlineStr">
        <is>
          <t>transferencia · gasto personal Sol (ex-PENDIENTE)</t>
        </is>
      </c>
    </row>
    <row r="197">
      <c r="A197" s="44" t="n">
        <v>46197</v>
      </c>
      <c r="B197" t="inlineStr">
        <is>
          <t>Junio</t>
        </is>
      </c>
      <c r="C197" t="inlineStr">
        <is>
          <t>Mercado Libre</t>
        </is>
      </c>
      <c r="D197" s="26" t="n">
        <v>175000</v>
      </c>
      <c r="E197" t="inlineStr">
        <is>
          <t>Mercado Pago</t>
        </is>
      </c>
      <c r="F197" t="inlineStr">
        <is>
          <t>ML · ML · gasto personal Sol (revisar)</t>
        </is>
      </c>
    </row>
    <row r="198">
      <c r="A198" s="44" t="n">
        <v>46198</v>
      </c>
      <c r="B198" t="inlineStr">
        <is>
          <t>Junio</t>
        </is>
      </c>
      <c r="C198" t="inlineStr">
        <is>
          <t>Fundacion Soplo De Vida</t>
        </is>
      </c>
      <c r="D198" s="26" t="n">
        <v>243000</v>
      </c>
      <c r="E198" t="inlineStr">
        <is>
          <t>Mercado Pago</t>
        </is>
      </c>
      <c r="F198" t="inlineStr">
        <is>
          <t>donación · gasto personal Sol</t>
        </is>
      </c>
    </row>
    <row r="199">
      <c r="A199" s="44" t="n">
        <v>46199</v>
      </c>
      <c r="B199" t="inlineStr">
        <is>
          <t>Junio</t>
        </is>
      </c>
      <c r="C199" t="inlineStr">
        <is>
          <t>Valeria Mele</t>
        </is>
      </c>
      <c r="D199" s="26" t="n">
        <v>48600</v>
      </c>
      <c r="E199" t="inlineStr">
        <is>
          <t>Mercado Pago</t>
        </is>
      </c>
      <c r="F199" t="inlineStr">
        <is>
          <t>transferencia · gasto personal Sol (ex-PENDIENTE)</t>
        </is>
      </c>
    </row>
    <row r="200">
      <c r="A200" s="44" t="n">
        <v>46200</v>
      </c>
      <c r="B200" t="inlineStr">
        <is>
          <t>Junio</t>
        </is>
      </c>
      <c r="C200" t="inlineStr">
        <is>
          <t>Belisario Roldán</t>
        </is>
      </c>
      <c r="D200" s="26" t="n">
        <v>206700</v>
      </c>
      <c r="E200" t="inlineStr">
        <is>
          <t>Mercado Pago</t>
        </is>
      </c>
      <c r="F200" t="inlineStr">
        <is>
          <t>salida/evento · gasto personal Sol</t>
        </is>
      </c>
    </row>
    <row r="201">
      <c r="A201" s="44" t="n">
        <v>46200</v>
      </c>
      <c r="B201" t="inlineStr">
        <is>
          <t>Junio</t>
        </is>
      </c>
      <c r="C201" t="inlineStr">
        <is>
          <t>Florencia De La Torre</t>
        </is>
      </c>
      <c r="D201" s="26" t="n">
        <v>20000</v>
      </c>
      <c r="E201" t="inlineStr">
        <is>
          <t>Mercado Pago</t>
        </is>
      </c>
      <c r="F201" t="inlineStr">
        <is>
          <t>transferencia · gasto personal Sol (ex-PENDIENTE)</t>
        </is>
      </c>
    </row>
    <row r="202">
      <c r="A202" s="44" t="n">
        <v>46203</v>
      </c>
      <c r="B202" t="inlineStr">
        <is>
          <t>Junio</t>
        </is>
      </c>
      <c r="C202" t="inlineStr">
        <is>
          <t>ACA</t>
        </is>
      </c>
      <c r="D202" s="26" t="n">
        <v>330</v>
      </c>
      <c r="E202" t="inlineStr">
        <is>
          <t>Mercado Pago</t>
        </is>
      </c>
      <c r="F202" t="inlineStr">
        <is>
          <t>ACA · AUTO/ACA · gasto personal Sol</t>
        </is>
      </c>
    </row>
    <row r="203">
      <c r="A203" s="44" t="n">
        <v>46205</v>
      </c>
      <c r="B203" t="inlineStr">
        <is>
          <t>Julio</t>
        </is>
      </c>
      <c r="C203" t="inlineStr">
        <is>
          <t>Veterinaria</t>
        </is>
      </c>
      <c r="D203" s="26" t="n">
        <v>107000</v>
      </c>
      <c r="E203" t="inlineStr">
        <is>
          <t>Mercado Pago</t>
        </is>
      </c>
      <c r="F203" t="inlineStr">
        <is>
          <t>veterinaria · gasto personal Sol</t>
        </is>
      </c>
    </row>
    <row r="204">
      <c r="A204" s="44" t="n">
        <v>46208</v>
      </c>
      <c r="B204" t="inlineStr">
        <is>
          <t>Julio</t>
        </is>
      </c>
      <c r="C204" t="inlineStr">
        <is>
          <t>Analia Veronica Roay</t>
        </is>
      </c>
      <c r="D204" s="26" t="n">
        <v>49000</v>
      </c>
      <c r="E204" t="inlineStr">
        <is>
          <t>Mercado Pago</t>
        </is>
      </c>
      <c r="F204" t="inlineStr">
        <is>
          <t>transferencia · gasto personal Sol (ex-PENDIENTE)</t>
        </is>
      </c>
    </row>
    <row r="205">
      <c r="A205" s="44" t="n">
        <v>46208</v>
      </c>
      <c r="B205" t="inlineStr">
        <is>
          <t>Julio</t>
        </is>
      </c>
      <c r="C205" t="inlineStr">
        <is>
          <t>Antonela Guidobono</t>
        </is>
      </c>
      <c r="D205" s="26" t="n">
        <v>38700</v>
      </c>
      <c r="E205" t="inlineStr">
        <is>
          <t>Mercado Pago</t>
        </is>
      </c>
      <c r="F205" t="inlineStr">
        <is>
          <t>transferencia · gasto personal Sol (ex-PENDIENTE)</t>
        </is>
      </c>
    </row>
    <row r="206">
      <c r="A206" s="44" t="n">
        <v>46209</v>
      </c>
      <c r="B206" t="inlineStr">
        <is>
          <t>Julio</t>
        </is>
      </c>
      <c r="C206" t="inlineStr">
        <is>
          <t>Analia Veronica Roay</t>
        </is>
      </c>
      <c r="D206" s="26" t="n">
        <v>8002</v>
      </c>
      <c r="E206" t="inlineStr">
        <is>
          <t>Mercado Pago</t>
        </is>
      </c>
      <c r="F206" t="inlineStr">
        <is>
          <t>transferencia · gasto personal Sol (ex-PENDIENTE)</t>
        </is>
      </c>
    </row>
    <row r="207">
      <c r="A207" s="44" t="n">
        <v>46209</v>
      </c>
      <c r="B207" t="inlineStr">
        <is>
          <t>Julio</t>
        </is>
      </c>
      <c r="C207" t="inlineStr">
        <is>
          <t>Federico Martinez Escariz</t>
        </is>
      </c>
      <c r="D207" s="26" t="n">
        <v>572005</v>
      </c>
      <c r="E207" t="inlineStr">
        <is>
          <t>Mercado Pago</t>
        </is>
      </c>
      <c r="F207" t="inlineStr">
        <is>
          <t>transferencia · gasto personal Sol (ex-PENDIENTE)</t>
        </is>
      </c>
    </row>
    <row r="208">
      <c r="A208" s="44" t="n">
        <v>46209</v>
      </c>
      <c r="B208" t="inlineStr">
        <is>
          <t>Julio</t>
        </is>
      </c>
      <c r="C208" t="inlineStr">
        <is>
          <t>Jose Cristian Montaño</t>
        </is>
      </c>
      <c r="D208" s="26" t="n">
        <v>2500</v>
      </c>
      <c r="E208" t="inlineStr">
        <is>
          <t>Mercado Pago</t>
        </is>
      </c>
      <c r="F208" t="inlineStr">
        <is>
          <t>transferencia · gasto personal Sol (ex-PENDIENTE)</t>
        </is>
      </c>
    </row>
    <row r="209">
      <c r="A209" s="44" t="n">
        <v>46211</v>
      </c>
      <c r="B209" t="inlineStr">
        <is>
          <t>Julio</t>
        </is>
      </c>
      <c r="C209" t="inlineStr">
        <is>
          <t>Mara Sikorski</t>
        </is>
      </c>
      <c r="D209" s="26" t="n">
        <v>159000</v>
      </c>
      <c r="E209" t="inlineStr">
        <is>
          <t>Mercado Pago</t>
        </is>
      </c>
      <c r="F209" t="inlineStr">
        <is>
          <t>personal · gasto personal Sol</t>
        </is>
      </c>
    </row>
    <row r="210">
      <c r="A210" s="44" t="n">
        <v>46211</v>
      </c>
      <c r="B210" t="inlineStr">
        <is>
          <t>Julio</t>
        </is>
      </c>
      <c r="C210" t="inlineStr">
        <is>
          <t>Tuenti</t>
        </is>
      </c>
      <c r="D210" s="26" t="n">
        <v>18000</v>
      </c>
      <c r="E210" t="inlineStr">
        <is>
          <t>Mercado Pago</t>
        </is>
      </c>
      <c r="F210" t="inlineStr">
        <is>
          <t>Tuenti · gasto personal Sol · hoja Gasto Personal Sol</t>
        </is>
      </c>
    </row>
    <row r="211">
      <c r="A211" s="44" t="n">
        <v>46213</v>
      </c>
      <c r="B211" t="inlineStr">
        <is>
          <t>Julio</t>
        </is>
      </c>
      <c r="C211" t="inlineStr">
        <is>
          <t>Sikorski Mara</t>
        </is>
      </c>
      <c r="D211" s="26" t="n">
        <v>5000</v>
      </c>
      <c r="E211" t="inlineStr">
        <is>
          <t>Mercado Pago</t>
        </is>
      </c>
      <c r="F211" t="inlineStr">
        <is>
          <t>transferencia · gasto personal Sol (ex-PENDIENTE)</t>
        </is>
      </c>
    </row>
    <row r="212">
      <c r="A212" s="44" t="n">
        <v>46214</v>
      </c>
      <c r="B212" t="inlineStr">
        <is>
          <t>Julio</t>
        </is>
      </c>
      <c r="C212" t="inlineStr">
        <is>
          <t>Comercio</t>
        </is>
      </c>
      <c r="D212" s="26" t="n">
        <v>18300</v>
      </c>
      <c r="E212" t="inlineStr">
        <is>
          <t>Mercado Pago</t>
        </is>
      </c>
      <c r="F212" t="inlineStr">
        <is>
          <t>tienda física · gasto personal Sol (ex-PENDIENTE)</t>
        </is>
      </c>
    </row>
    <row r="213">
      <c r="A213" s="44" t="n">
        <v>46214</v>
      </c>
      <c r="B213" t="inlineStr">
        <is>
          <t>Julio</t>
        </is>
      </c>
      <c r="C213" t="inlineStr">
        <is>
          <t>Franco Yonatan Britez</t>
        </is>
      </c>
      <c r="D213" s="26" t="n">
        <v>1500</v>
      </c>
      <c r="E213" t="inlineStr">
        <is>
          <t>Mercado Pago</t>
        </is>
      </c>
      <c r="F213" t="inlineStr">
        <is>
          <t>transferencia · gasto personal Sol (ex-PENDIENTE)</t>
        </is>
      </c>
    </row>
    <row r="214">
      <c r="A214" s="44" t="n">
        <v>46215</v>
      </c>
      <c r="B214" t="inlineStr">
        <is>
          <t>Julio</t>
        </is>
      </c>
      <c r="C214" t="inlineStr">
        <is>
          <t>Apple</t>
        </is>
      </c>
      <c r="D214" s="26" t="n">
        <v>19481</v>
      </c>
      <c r="E214" t="inlineStr">
        <is>
          <t>Mercado Pago</t>
        </is>
      </c>
      <c r="F214" t="inlineStr">
        <is>
          <t>Apple · gasto personal Sol · hoja Gasto Personal Sol</t>
        </is>
      </c>
    </row>
    <row r="215">
      <c r="A215" s="44" t="n">
        <v>46215</v>
      </c>
      <c r="B215" t="inlineStr">
        <is>
          <t>Julio</t>
        </is>
      </c>
      <c r="C215" t="inlineStr">
        <is>
          <t>Klash Pro</t>
        </is>
      </c>
      <c r="D215" s="26" t="n">
        <v>27000</v>
      </c>
      <c r="E215" t="inlineStr">
        <is>
          <t>Mercado Pago</t>
        </is>
      </c>
      <c r="F215" t="inlineStr">
        <is>
          <t>compra · gasto personal Sol (ex-PENDIENTE)</t>
        </is>
      </c>
    </row>
    <row r="216">
      <c r="A216" s="44" t="n">
        <v>46215</v>
      </c>
      <c r="B216" t="inlineStr">
        <is>
          <t>Julio</t>
        </is>
      </c>
      <c r="C216" t="inlineStr">
        <is>
          <t>Mercado Libre</t>
        </is>
      </c>
      <c r="D216" s="26" t="n">
        <v>24499</v>
      </c>
      <c r="E216" t="inlineStr">
        <is>
          <t>Mercado Pago</t>
        </is>
      </c>
      <c r="F216" t="inlineStr">
        <is>
          <t>ML · ML · gasto personal Sol (revisar)</t>
        </is>
      </c>
    </row>
    <row r="217">
      <c r="A217" s="44" t="n">
        <v>46217</v>
      </c>
      <c r="B217" t="inlineStr">
        <is>
          <t>Julio</t>
        </is>
      </c>
      <c r="C217" t="inlineStr">
        <is>
          <t>Carenzo Santiago P</t>
        </is>
      </c>
      <c r="D217" s="26" t="n">
        <v>398240</v>
      </c>
      <c r="E217" t="inlineStr">
        <is>
          <t>Mercado Pago</t>
        </is>
      </c>
      <c r="F217" t="inlineStr">
        <is>
          <t>transferencia · gasto personal Sol (ex-PENDIENTE)</t>
        </is>
      </c>
    </row>
    <row r="218">
      <c r="A218" s="44" t="n">
        <v>46218</v>
      </c>
      <c r="B218" t="inlineStr">
        <is>
          <t>Julio</t>
        </is>
      </c>
      <c r="C218" t="inlineStr">
        <is>
          <t>Mercado Libre</t>
        </is>
      </c>
      <c r="D218" s="26" t="n">
        <v>30318</v>
      </c>
      <c r="E218" t="inlineStr">
        <is>
          <t>Mercado Pago</t>
        </is>
      </c>
      <c r="F218" t="inlineStr">
        <is>
          <t>ML · ML · gasto personal Sol (revisar)</t>
        </is>
      </c>
    </row>
    <row r="219">
      <c r="A219" s="44" t="n">
        <v>46218</v>
      </c>
      <c r="B219" t="inlineStr">
        <is>
          <t>Julio</t>
        </is>
      </c>
      <c r="C219" t="inlineStr">
        <is>
          <t>Mercado Libre</t>
        </is>
      </c>
      <c r="D219" s="26" t="n">
        <v>18525</v>
      </c>
      <c r="E219" t="inlineStr">
        <is>
          <t>Mercado Pago</t>
        </is>
      </c>
      <c r="F219" t="inlineStr">
        <is>
          <t>ML · ML · gasto personal Sol (revisar)</t>
        </is>
      </c>
    </row>
    <row r="220">
      <c r="A220" s="44" t="n">
        <v>46219</v>
      </c>
      <c r="B220" t="inlineStr">
        <is>
          <t>Julio</t>
        </is>
      </c>
      <c r="C220" t="inlineStr">
        <is>
          <t>Mercado Libre</t>
        </is>
      </c>
      <c r="D220" s="26" t="n">
        <v>62900</v>
      </c>
      <c r="E220" t="inlineStr">
        <is>
          <t>Mercado Pago</t>
        </is>
      </c>
      <c r="F220" t="inlineStr">
        <is>
          <t>ML · ML · gasto personal Sol (revisar)</t>
        </is>
      </c>
    </row>
    <row r="221">
      <c r="A221" s="44" t="n">
        <v>46220</v>
      </c>
      <c r="B221" t="inlineStr">
        <is>
          <t>Julio</t>
        </is>
      </c>
      <c r="C221" t="inlineStr">
        <is>
          <t>Mercado Libre</t>
        </is>
      </c>
      <c r="D221" s="26" t="n">
        <v>11747</v>
      </c>
      <c r="E221" t="inlineStr">
        <is>
          <t>Mercado Pago</t>
        </is>
      </c>
      <c r="F221" t="inlineStr">
        <is>
          <t>ML · ML · gasto personal Sol (revisar)</t>
        </is>
      </c>
    </row>
    <row r="222">
      <c r="A222" s="44" t="n">
        <v>46220</v>
      </c>
      <c r="B222" t="inlineStr">
        <is>
          <t>Julio</t>
        </is>
      </c>
      <c r="C222" t="inlineStr">
        <is>
          <t>Mercado Libre</t>
        </is>
      </c>
      <c r="D222" s="26" t="n">
        <v>26311</v>
      </c>
      <c r="E222" t="inlineStr">
        <is>
          <t>Mercado Pago</t>
        </is>
      </c>
      <c r="F222" t="inlineStr">
        <is>
          <t>ML · ML · gasto personal Sol (revisar)</t>
        </is>
      </c>
    </row>
    <row r="223">
      <c r="A223" s="44" t="n"/>
      <c r="D223" s="26" t="n"/>
    </row>
    <row r="224">
      <c r="A224" s="44" t="n"/>
      <c r="D224" s="26" t="n"/>
    </row>
    <row r="225">
      <c r="A225" s="44" t="n"/>
      <c r="D225" s="26" t="n"/>
    </row>
    <row r="226">
      <c r="A226" s="44" t="n"/>
      <c r="D226" s="26" t="n"/>
    </row>
    <row r="227">
      <c r="A227" s="44" t="n"/>
      <c r="D227" s="26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2026-07-19T13:29:20Z</dcterms:modified>
</cp:coreProperties>
</file>
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26" sheetId="1" state="visible" r:id="rId1"/>
    <sheet name="Cashflow Cuotas BBVA" sheetId="2" state="visible" r:id="rId2"/>
    <sheet name="Almacen Detalle" sheetId="3" state="visible" r:id="rId3"/>
    <sheet name="Detalle" sheetId="4" state="visible" r:id="rId4"/>
    <sheet name="Dinero Retirado" sheetId="5" state="visible" r:id="rId5"/>
    <sheet name="MP No Gasto" sheetId="6" state="visible" r:id="rId6"/>
    <sheet name="Inversión" sheetId="7" state="visible" r:id="rId7"/>
    <sheet name="Transferencias recibidas" sheetId="8" state="visible" r:id="rId8"/>
    <sheet name="Pago de Tarjetas" sheetId="9" state="visible" r:id="rId9"/>
    <sheet name="Expensas Consorcios" sheetId="10" state="visible" r:id="rId10"/>
    <sheet name="Gasto Personal Sol" sheetId="11" state="visible" r:id="rId11"/>
    <sheet name="Cashflow Compromisos" sheetId="12" state="visible" r:id="rId12"/>
    <sheet name="Sol Dollar Mdp" sheetId="13" state="visible" r:id="rId13"/>
  </sheets>
  <definedNames>
    <definedName name="_xlnm._FilterDatabase" localSheetId="3" hidden="1">'Detalle'!$A$3:$I$51</definedName>
    <definedName name="_xlnm._FilterDatabase" localSheetId="6" hidden="1">'Inversión'!$A$23:$J$223</definedName>
  </definedNames>
  <calcPr calcId="124519" calcMode="auto" fullCalcOnLoad="1" forceFullCalc="1"/>
</workbook>
</file>

<file path=xl/styles.xml><?xml version="1.0" encoding="utf-8"?>
<styleSheet xmlns="http://schemas.openxmlformats.org/spreadsheetml/2006/main">
  <numFmts count="5">
    <numFmt numFmtId="164" formatCode="dd/mm/yyyy"/>
    <numFmt numFmtId="165" formatCode="DD/MM/YYYY"/>
    <numFmt numFmtId="166" formatCode="yyyy-mm-dd h:mm:ss"/>
    <numFmt numFmtId="167" formatCode="YYYY-MM-DD"/>
    <numFmt numFmtId="168" formatCode="yyyy-mm-dd"/>
  </numFmts>
  <fonts count="17">
    <font>
      <name val="Calibri"/>
      <family val="2"/>
      <color theme="1"/>
      <sz val="11"/>
      <scheme val="minor"/>
    </font>
    <font>
      <name val="Calibri"/>
      <b val="1"/>
      <color rgb="001F4E79"/>
      <sz val="14"/>
    </font>
    <font>
      <i val="1"/>
      <color rgb="00666666"/>
    </font>
    <font>
      <name val="Calibri"/>
      <b val="1"/>
      <color rgb="00FFFFFF"/>
      <sz val="11"/>
    </font>
    <font>
      <name val="Calibri"/>
      <b val="1"/>
      <sz val="11"/>
    </font>
    <font>
      <i val="1"/>
      <color rgb="00C65911"/>
    </font>
    <font>
      <b val="1"/>
    </font>
    <font>
      <b val="1"/>
      <color rgb="00FFFFFF"/>
    </font>
    <font>
      <b val="1"/>
      <i val="1"/>
    </font>
    <font>
      <name val="Calibri"/>
      <color rgb="00666666"/>
      <sz val="10"/>
    </font>
    <font>
      <name val="Calibri"/>
      <b val="1"/>
      <color rgb="001F4E79"/>
      <sz val="12"/>
    </font>
    <font>
      <name val="Calibri"/>
      <b val="1"/>
      <color rgb="00FFFFFF"/>
    </font>
    <font>
      <name val="Calibri"/>
      <b val="1"/>
    </font>
    <font>
      <b val="1"/>
      <color rgb="001F4E79"/>
      <sz val="12"/>
    </font>
    <font>
      <b val="1"/>
      <color rgb="0017365D"/>
    </font>
    <font>
      <b val="1"/>
      <color rgb="0017365D"/>
      <sz val="12"/>
    </font>
    <font>
      <b val="1"/>
      <color rgb="00FFFFFF"/>
      <sz val="16"/>
    </font>
  </fonts>
  <fills count="12">
    <fill>
      <patternFill/>
    </fill>
    <fill>
      <patternFill patternType="gray125"/>
    </fill>
    <fill>
      <patternFill patternType="solid">
        <fgColor rgb="001F4E79"/>
      </patternFill>
    </fill>
    <fill>
      <patternFill patternType="solid">
        <fgColor rgb="00FCE4D6"/>
      </patternFill>
    </fill>
    <fill>
      <patternFill patternType="solid">
        <fgColor rgb="00D6EAF8"/>
      </patternFill>
    </fill>
    <fill>
      <patternFill patternType="solid">
        <fgColor rgb="00F5F8FB"/>
      </patternFill>
    </fill>
    <fill>
      <patternFill patternType="solid">
        <fgColor rgb="00E8F5E9"/>
      </patternFill>
    </fill>
    <fill>
      <patternFill patternType="solid">
        <fgColor rgb="00E3F2FD"/>
      </patternFill>
    </fill>
    <fill>
      <patternFill patternType="solid">
        <fgColor rgb="00D6E3F0"/>
      </patternFill>
    </fill>
    <fill>
      <patternFill patternType="solid">
        <fgColor rgb="0017365D"/>
      </patternFill>
    </fill>
    <fill>
      <patternFill patternType="solid">
        <fgColor rgb="00E2F0D9"/>
      </patternFill>
    </fill>
    <fill>
      <patternFill patternType="solid">
        <fgColor rgb="005B9BD5"/>
      </patternFill>
    </fill>
  </fills>
  <borders count="7">
    <border>
      <left/>
      <right/>
      <top/>
      <bottom/>
      <diagonal/>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
      <left style="thin">
        <color rgb="00D9E1F2"/>
      </left>
      <right style="thin">
        <color rgb="00D9E1F2"/>
      </right>
      <top style="thin">
        <color rgb="00D9E1F2"/>
      </top>
      <bottom style="thin">
        <color rgb="00D9E1F2"/>
      </bottom>
    </border>
  </borders>
  <cellStyleXfs count="1">
    <xf numFmtId="0" fontId="0" fillId="0" borderId="0"/>
  </cellStyleXfs>
  <cellXfs count="7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xf>
    <xf numFmtId="0" fontId="4" fillId="0" borderId="1" pivotButton="0" quotePrefix="0" xfId="0"/>
    <xf numFmtId="3" fontId="0" fillId="0" borderId="1" applyAlignment="1" pivotButton="0" quotePrefix="0" xfId="0">
      <alignment horizontal="right"/>
    </xf>
    <xf numFmtId="3" fontId="5" fillId="3" borderId="1" applyAlignment="1" pivotButton="0" quotePrefix="0" xfId="0">
      <alignment horizontal="center"/>
    </xf>
    <xf numFmtId="3" fontId="6" fillId="4" borderId="1" pivotButton="0" quotePrefix="0" xfId="0"/>
    <xf numFmtId="0" fontId="4" fillId="5" borderId="1" pivotButton="0" quotePrefix="0" xfId="0"/>
    <xf numFmtId="3" fontId="0" fillId="5" borderId="1" applyAlignment="1" pivotButton="0" quotePrefix="0" xfId="0">
      <alignment horizontal="right"/>
    </xf>
    <xf numFmtId="0" fontId="6" fillId="4" borderId="1" pivotButton="0" quotePrefix="0" xfId="0"/>
    <xf numFmtId="0" fontId="6" fillId="0" borderId="0" pivotButton="0" quotePrefix="0" xfId="0"/>
    <xf numFmtId="0" fontId="3" fillId="2" borderId="1" pivotButton="0" quotePrefix="0" xfId="0"/>
    <xf numFmtId="164" fontId="0" fillId="0" borderId="1" pivotButton="0" quotePrefix="0" xfId="0"/>
    <xf numFmtId="0" fontId="0" fillId="0" borderId="1" pivotButton="0" quotePrefix="0" xfId="0"/>
    <xf numFmtId="3" fontId="0" fillId="0" borderId="1" pivotButton="0" quotePrefix="0" xfId="0"/>
    <xf numFmtId="0" fontId="7" fillId="2" borderId="1" pivotButton="0" quotePrefix="0" xfId="0"/>
    <xf numFmtId="164" fontId="0" fillId="0" borderId="1" pivotButton="0" quotePrefix="0" xfId="0"/>
    <xf numFmtId="49" fontId="0" fillId="0" borderId="1" pivotButton="0" quotePrefix="0" xfId="0"/>
    <xf numFmtId="0" fontId="6" fillId="0" borderId="1" pivotButton="0" quotePrefix="0" xfId="0"/>
    <xf numFmtId="0" fontId="0" fillId="5" borderId="1" pivotButton="0" quotePrefix="0" xfId="0"/>
    <xf numFmtId="0" fontId="6" fillId="5" borderId="1" pivotButton="0" quotePrefix="0" xfId="0"/>
    <xf numFmtId="0" fontId="0" fillId="4" borderId="1" pivotButton="0" quotePrefix="0" xfId="0"/>
    <xf numFmtId="0" fontId="0" fillId="0" borderId="4" pivotButton="0" quotePrefix="0" xfId="0"/>
    <xf numFmtId="0" fontId="0" fillId="0" borderId="5" pivotButton="0" quotePrefix="0" xfId="0"/>
    <xf numFmtId="164" fontId="0" fillId="0" borderId="0" pivotButton="0" quotePrefix="0" xfId="0"/>
    <xf numFmtId="3" fontId="0" fillId="0" borderId="0" pivotButton="0" quotePrefix="0" xfId="0"/>
    <xf numFmtId="3" fontId="0" fillId="6" borderId="1" pivotButton="0" quotePrefix="0" xfId="0"/>
    <xf numFmtId="3" fontId="0" fillId="7" borderId="1" pivotButton="0" quotePrefix="0" xfId="0"/>
    <xf numFmtId="0" fontId="8" fillId="4" borderId="1" pivotButton="0" quotePrefix="0" xfId="0"/>
    <xf numFmtId="0" fontId="9" fillId="0" borderId="0" pivotButton="0" quotePrefix="0" xfId="0"/>
    <xf numFmtId="0" fontId="10" fillId="0" borderId="0" pivotButton="0" quotePrefix="0" xfId="0"/>
    <xf numFmtId="0" fontId="4" fillId="8" borderId="1" pivotButton="0" quotePrefix="0" xfId="0"/>
    <xf numFmtId="3" fontId="4" fillId="8" borderId="1" pivotButton="0" quotePrefix="0" xfId="0"/>
    <xf numFmtId="0" fontId="11" fillId="2" borderId="1" pivotButton="0" quotePrefix="0" xfId="0"/>
    <xf numFmtId="0" fontId="6" fillId="8" borderId="1" pivotButton="0" quotePrefix="0" xfId="0"/>
    <xf numFmtId="3" fontId="6" fillId="8" borderId="1" pivotButton="0" quotePrefix="0" xfId="0"/>
    <xf numFmtId="10" fontId="0" fillId="0" borderId="1" pivotButton="0" quotePrefix="0" xfId="0"/>
    <xf numFmtId="0" fontId="12" fillId="8" borderId="1" pivotButton="0" quotePrefix="0" xfId="0"/>
    <xf numFmtId="3" fontId="12" fillId="8" borderId="1" pivotButton="0" quotePrefix="0" xfId="0"/>
    <xf numFmtId="0" fontId="3" fillId="2" borderId="0" pivotButton="0" quotePrefix="0" xfId="0"/>
    <xf numFmtId="165" fontId="0" fillId="0" borderId="0" pivotButton="0" quotePrefix="0" xfId="0"/>
    <xf numFmtId="165" fontId="0" fillId="0" borderId="1" pivotButton="0" quotePrefix="0" xfId="0"/>
    <xf numFmtId="165" fontId="0" fillId="0" borderId="1" pivotButton="0" quotePrefix="0" xfId="0"/>
    <xf numFmtId="165" fontId="0" fillId="0" borderId="0" pivotButton="0" quotePrefix="0" xfId="0"/>
    <xf numFmtId="0" fontId="12" fillId="0" borderId="0" pivotButton="0" quotePrefix="0" xfId="0"/>
    <xf numFmtId="0" fontId="11" fillId="2" borderId="0" pivotButton="0" quotePrefix="0" xfId="0"/>
    <xf numFmtId="0" fontId="6" fillId="8" borderId="0" pivotButton="0" quotePrefix="0" xfId="0"/>
    <xf numFmtId="0" fontId="0" fillId="8" borderId="0" pivotButton="0" quotePrefix="0" xfId="0"/>
    <xf numFmtId="3" fontId="0" fillId="8" borderId="0" pivotButton="0" quotePrefix="0" xfId="0"/>
    <xf numFmtId="0" fontId="0" fillId="0" borderId="0" applyAlignment="1" pivotButton="0" quotePrefix="0" xfId="0">
      <alignment vertical="top" wrapText="1"/>
    </xf>
    <xf numFmtId="0" fontId="13" fillId="0" borderId="0" pivotButton="0" quotePrefix="0" xfId="0"/>
    <xf numFmtId="166" fontId="0" fillId="0" borderId="0" pivotButton="0" quotePrefix="0" xfId="0"/>
    <xf numFmtId="167" fontId="0" fillId="0" borderId="1" pivotButton="0" quotePrefix="0" xfId="0"/>
    <xf numFmtId="167" fontId="0" fillId="0" borderId="0" pivotButton="0" quotePrefix="0" xfId="0"/>
    <xf numFmtId="3" fontId="6" fillId="0" borderId="0" pivotButton="0" quotePrefix="0" xfId="0"/>
    <xf numFmtId="165" fontId="6" fillId="0" borderId="1" pivotButton="0" quotePrefix="0" xfId="0"/>
    <xf numFmtId="167" fontId="6" fillId="0" borderId="1" pivotButton="0" quotePrefix="0" xfId="0"/>
    <xf numFmtId="0" fontId="7" fillId="9" borderId="6" pivotButton="0" quotePrefix="0" xfId="0"/>
    <xf numFmtId="0" fontId="14" fillId="0" borderId="0" pivotButton="0" quotePrefix="0" xfId="0"/>
    <xf numFmtId="0" fontId="7" fillId="9" borderId="0" pivotButton="0" quotePrefix="0" xfId="0"/>
    <xf numFmtId="0" fontId="15" fillId="0" borderId="0" pivotButton="0" quotePrefix="0" xfId="0"/>
    <xf numFmtId="167" fontId="11" fillId="2" borderId="1" pivotButton="0" quotePrefix="0" xfId="0"/>
    <xf numFmtId="168" fontId="0" fillId="0" borderId="0" pivotButton="0" quotePrefix="0" xfId="0"/>
    <xf numFmtId="0" fontId="16" fillId="9" borderId="0" applyAlignment="1" pivotButton="0" quotePrefix="0" xfId="0">
      <alignment vertical="center"/>
    </xf>
    <xf numFmtId="4" fontId="0" fillId="10" borderId="0" pivotButton="0" quotePrefix="0" xfId="0"/>
    <xf numFmtId="0" fontId="7" fillId="9" borderId="6" applyAlignment="1" pivotButton="0" quotePrefix="0" xfId="0">
      <alignment horizontal="center" wrapText="1"/>
    </xf>
    <xf numFmtId="167" fontId="0" fillId="10" borderId="6" pivotButton="0" quotePrefix="0" xfId="0"/>
    <xf numFmtId="0" fontId="0" fillId="10" borderId="6" pivotButton="0" quotePrefix="0" xfId="0"/>
    <xf numFmtId="4" fontId="0" fillId="10" borderId="6" pivotButton="0" quotePrefix="0" xfId="0"/>
    <xf numFmtId="0" fontId="7" fillId="11" borderId="6" pivotButton="0" quotePrefix="0" xfId="0"/>
    <xf numFmtId="167" fontId="0" fillId="0" borderId="6" pivotButton="0" quotePrefix="0" xfId="0"/>
    <xf numFmtId="0" fontId="0" fillId="0" borderId="6" pivotButton="0" quotePrefix="0" xfId="0"/>
    <xf numFmtId="4" fontId="0" fillId="0" borderId="6" pivotButton="0" quotePrefix="0" xfId="0"/>
    <xf numFmtId="3" fontId="0" fillId="0"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9"/>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2" customWidth="1" min="2" max="2"/>
    <col width="18"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s>
  <sheetData>
    <row r="1">
      <c r="A1" s="1" t="inlineStr">
        <is>
          <t>CIUDAD 1132</t>
        </is>
      </c>
    </row>
    <row r="2">
      <c r="A2" s="2" t="inlineStr">
        <is>
          <t>Gastos 2026 — catálogo de conceptos por mes</t>
        </is>
      </c>
    </row>
    <row r="4">
      <c r="A4" s="3" t="inlineStr">
        <is>
          <t>Tipo</t>
        </is>
      </c>
      <c r="B4" s="3" t="inlineStr">
        <is>
          <t>Categoría</t>
        </is>
      </c>
      <c r="C4" s="3" t="inlineStr">
        <is>
          <t>Descripción</t>
        </is>
      </c>
      <c r="D4" s="3" t="inlineStr">
        <is>
          <t>Enero</t>
        </is>
      </c>
      <c r="E4" s="3" t="inlineStr">
        <is>
          <t>Febrero</t>
        </is>
      </c>
      <c r="F4" s="3" t="inlineStr">
        <is>
          <t>Marzo</t>
        </is>
      </c>
      <c r="G4" s="3" t="inlineStr">
        <is>
          <t>Abril</t>
        </is>
      </c>
      <c r="H4" s="3" t="inlineStr">
        <is>
          <t>Mayo</t>
        </is>
      </c>
      <c r="I4" s="3" t="inlineStr">
        <is>
          <t>Junio</t>
        </is>
      </c>
      <c r="J4" s="3" t="inlineStr">
        <is>
          <t>Julio</t>
        </is>
      </c>
      <c r="K4" s="3" t="inlineStr">
        <is>
          <t>Agosto</t>
        </is>
      </c>
      <c r="L4" s="3" t="inlineStr">
        <is>
          <t>Septiembre</t>
        </is>
      </c>
      <c r="M4" s="3" t="inlineStr">
        <is>
          <t>Octubre</t>
        </is>
      </c>
      <c r="N4" s="3" t="inlineStr">
        <is>
          <t>Noviembre</t>
        </is>
      </c>
      <c r="O4" s="3" t="inlineStr">
        <is>
          <t>Diciembre</t>
        </is>
      </c>
      <c r="P4" s="3" t="inlineStr">
        <is>
          <t>TOTAL</t>
        </is>
      </c>
    </row>
    <row r="5">
      <c r="A5" s="14" t="inlineStr">
        <is>
          <t>SERVICIOS</t>
        </is>
      </c>
      <c r="B5" s="14" t="inlineStr">
        <is>
          <t>EXPENSAS</t>
        </is>
      </c>
      <c r="C5" s="19" t="inlineStr">
        <is>
          <t>Expensas</t>
        </is>
      </c>
      <c r="D5" s="5" t="n">
        <v>273500</v>
      </c>
      <c r="E5" s="5" t="n">
        <v>218800</v>
      </c>
      <c r="F5" s="5" t="n">
        <v>218800</v>
      </c>
      <c r="G5" s="6" t="n">
        <v>235210</v>
      </c>
      <c r="H5" s="6" t="n">
        <v>246150</v>
      </c>
      <c r="I5" s="5" t="n">
        <v>273500</v>
      </c>
      <c r="J5" s="5" t="n">
        <v>300850</v>
      </c>
      <c r="K5" s="5" t="n">
        <v>300850</v>
      </c>
      <c r="L5" s="5" t="n">
        <v>328200</v>
      </c>
      <c r="M5" s="5" t="n"/>
      <c r="N5" s="5" t="n"/>
      <c r="O5" s="5" t="n"/>
      <c r="P5" s="7">
        <f>SUM(D5:O5)</f>
        <v/>
      </c>
    </row>
    <row r="6">
      <c r="A6" s="20" t="inlineStr">
        <is>
          <t>SERVICIOS</t>
        </is>
      </c>
      <c r="B6" s="20" t="inlineStr">
        <is>
          <t>TV CABLE</t>
        </is>
      </c>
      <c r="C6" s="21" t="inlineStr">
        <is>
          <t>Telecentro — CIUDAD</t>
        </is>
      </c>
      <c r="D6" s="9" t="n">
        <v>37984</v>
      </c>
      <c r="E6" s="9" t="n">
        <v>38489</v>
      </c>
      <c r="F6" s="9" t="n">
        <v>39163</v>
      </c>
      <c r="G6" s="9" t="n">
        <v>50000</v>
      </c>
      <c r="H6" s="9" t="n">
        <v>50000</v>
      </c>
      <c r="I6" s="9" t="n">
        <v>48420</v>
      </c>
      <c r="J6" s="9" t="n">
        <v>31999</v>
      </c>
      <c r="K6" s="9" t="n">
        <v>50000</v>
      </c>
      <c r="L6" s="9" t="n">
        <v>69659</v>
      </c>
      <c r="M6" s="9" t="n">
        <v>50000</v>
      </c>
      <c r="N6" s="9" t="n">
        <v>50000</v>
      </c>
      <c r="O6" s="9" t="n">
        <v>50000</v>
      </c>
      <c r="P6" s="7">
        <f>SUM(D6:O6)</f>
        <v/>
      </c>
    </row>
    <row r="7">
      <c r="A7" s="14" t="inlineStr">
        <is>
          <t>SERVICIOS</t>
        </is>
      </c>
      <c r="B7" s="14" t="inlineStr">
        <is>
          <t>GAS</t>
        </is>
      </c>
      <c r="C7" s="19" t="inlineStr">
        <is>
          <t>Metrogas — cliente 30010996459</t>
        </is>
      </c>
      <c r="D7" s="5" t="n">
        <v>26412</v>
      </c>
      <c r="E7" s="5" t="n">
        <v>25745</v>
      </c>
      <c r="F7" s="5" t="n">
        <v>37316</v>
      </c>
      <c r="G7" s="5" t="n">
        <v>37569</v>
      </c>
      <c r="H7" s="5" t="n">
        <v>36014</v>
      </c>
      <c r="I7" s="5" t="n">
        <v>30643</v>
      </c>
      <c r="J7" s="5" t="n"/>
      <c r="K7" s="5" t="n"/>
      <c r="L7" s="5" t="n">
        <v>105839</v>
      </c>
      <c r="M7" s="5" t="n"/>
      <c r="N7" s="5" t="n"/>
      <c r="O7" s="5" t="n"/>
      <c r="P7" s="7">
        <f>SUM(D7:O7)</f>
        <v/>
      </c>
    </row>
    <row r="8">
      <c r="A8" s="20" t="inlineStr">
        <is>
          <t>SERVICIOS</t>
        </is>
      </c>
      <c r="B8" s="20" t="inlineStr">
        <is>
          <t>LUZ</t>
        </is>
      </c>
      <c r="C8" s="21" t="inlineStr">
        <is>
          <t>Luz Edenor — Sanes (cuenta 008917502309)</t>
        </is>
      </c>
      <c r="D8" s="9" t="n">
        <v>127554</v>
      </c>
      <c r="E8" s="9" t="n">
        <v>121952</v>
      </c>
      <c r="F8" s="9" t="n">
        <v>82994</v>
      </c>
      <c r="G8" s="9" t="n">
        <v>56700</v>
      </c>
      <c r="H8" s="9" t="n">
        <v>52012</v>
      </c>
      <c r="I8" s="9" t="n">
        <v>106212</v>
      </c>
      <c r="J8" s="9" t="n">
        <v>128877</v>
      </c>
      <c r="K8" s="9" t="n"/>
      <c r="L8" s="9" t="n">
        <v>63980</v>
      </c>
      <c r="M8" s="9" t="n"/>
      <c r="N8" s="9" t="n"/>
      <c r="O8" s="9" t="n"/>
      <c r="P8" s="7">
        <f>SUM(D8:O8)</f>
        <v/>
      </c>
    </row>
    <row r="9">
      <c r="A9" s="14" t="inlineStr">
        <is>
          <t>SERVICIOS</t>
        </is>
      </c>
      <c r="B9" s="14" t="inlineStr">
        <is>
          <t>IMPUESTOS</t>
        </is>
      </c>
      <c r="C9" s="19" t="inlineStr">
        <is>
          <t>ABL — partida 397789</t>
        </is>
      </c>
      <c r="D9" s="5" t="n">
        <v>12435</v>
      </c>
      <c r="E9" s="5" t="n"/>
      <c r="F9" s="5" t="n"/>
      <c r="G9" s="5" t="n"/>
      <c r="H9" s="5" t="n">
        <v>132599</v>
      </c>
      <c r="I9" s="5" t="n"/>
      <c r="J9" s="5" t="n">
        <v>26175</v>
      </c>
      <c r="K9" s="5" t="n"/>
      <c r="L9" s="5" t="n">
        <v>27635</v>
      </c>
      <c r="M9" s="5" t="n"/>
      <c r="N9" s="5" t="n"/>
      <c r="O9" s="5" t="n"/>
      <c r="P9" s="7">
        <f>SUM(D9:O9)</f>
        <v/>
      </c>
    </row>
    <row r="10">
      <c r="A10" s="20" t="inlineStr">
        <is>
          <t>SERVICIOS</t>
        </is>
      </c>
      <c r="B10" s="20" t="inlineStr">
        <is>
          <t>LIMPIEZA CASA</t>
        </is>
      </c>
      <c r="C10" s="21" t="inlineStr">
        <is>
          <t>Limpieza Susana</t>
        </is>
      </c>
      <c r="D10" s="9" t="n">
        <v>650122</v>
      </c>
      <c r="E10" s="9" t="n">
        <v>515550</v>
      </c>
      <c r="F10" s="9" t="n">
        <v>524479</v>
      </c>
      <c r="G10" s="9" t="n">
        <v>501015</v>
      </c>
      <c r="H10" s="9" t="n">
        <v>545533</v>
      </c>
      <c r="I10" s="9" t="n">
        <v>876981</v>
      </c>
      <c r="J10" s="9" t="n">
        <v>400640</v>
      </c>
      <c r="K10" s="9" t="n"/>
      <c r="L10" s="9" t="n">
        <v>835200</v>
      </c>
      <c r="M10" s="9" t="n"/>
      <c r="N10" s="9" t="n"/>
      <c r="O10" s="9" t="n"/>
      <c r="P10" s="7">
        <f>SUM(D10:O10)</f>
        <v/>
      </c>
    </row>
    <row r="11">
      <c r="A11" s="14" t="inlineStr">
        <is>
          <t>SERVICIOS</t>
        </is>
      </c>
      <c r="B11" s="14" t="inlineStr">
        <is>
          <t>CASA</t>
        </is>
      </c>
      <c r="C11" s="19" t="inlineStr">
        <is>
          <t>AGUS/PSA</t>
        </is>
      </c>
      <c r="D11" s="5" t="n"/>
      <c r="E11" s="5" t="n"/>
      <c r="F11" s="5" t="n"/>
      <c r="G11" s="5" t="n"/>
      <c r="H11" s="5" t="n"/>
      <c r="I11" s="5" t="n"/>
      <c r="J11" s="5" t="n"/>
      <c r="K11" s="5" t="n"/>
      <c r="L11" s="5" t="n"/>
      <c r="M11" s="5" t="n"/>
      <c r="N11" s="5" t="n"/>
      <c r="O11" s="5" t="n"/>
      <c r="P11" s="7">
        <f>SUM(D11:O11)</f>
        <v/>
      </c>
    </row>
    <row r="12">
      <c r="A12" s="20" t="inlineStr">
        <is>
          <t>SERVICIOS</t>
        </is>
      </c>
      <c r="B12" s="20" t="inlineStr">
        <is>
          <t>STREAMING</t>
        </is>
      </c>
      <c r="C12" s="21" t="inlineStr">
        <is>
          <t>Streaming música — Spotify</t>
        </is>
      </c>
      <c r="D12" s="9" t="n">
        <v>4640</v>
      </c>
      <c r="E12" s="9" t="n">
        <v>4601</v>
      </c>
      <c r="F12" s="9" t="n">
        <v>4633</v>
      </c>
      <c r="G12" s="9" t="n">
        <v>4503</v>
      </c>
      <c r="H12" s="9" t="n">
        <v>4504</v>
      </c>
      <c r="I12" s="9" t="n">
        <v>4389</v>
      </c>
      <c r="J12" s="9" t="n"/>
      <c r="K12" s="9" t="n"/>
      <c r="L12" s="9" t="n">
        <v>5999</v>
      </c>
      <c r="M12" s="9" t="n"/>
      <c r="N12" s="9" t="n"/>
      <c r="O12" s="9" t="n"/>
      <c r="P12" s="7">
        <f>SUM(D12:O12)</f>
        <v/>
      </c>
    </row>
    <row r="13">
      <c r="A13" s="14" t="inlineStr">
        <is>
          <t>SERVICIOS</t>
        </is>
      </c>
      <c r="B13" s="14" t="inlineStr">
        <is>
          <t>ALMACEN</t>
        </is>
      </c>
      <c r="C13" s="19" t="inlineStr">
        <is>
          <t>ALMACEN SOL</t>
        </is>
      </c>
      <c r="D13" s="5">
        <f>'Almacen Detalle'!D47</f>
        <v/>
      </c>
      <c r="E13" s="5">
        <f>'Almacen Detalle'!D87</f>
        <v/>
      </c>
      <c r="F13" s="5">
        <f>'Almacen Detalle'!D131</f>
        <v/>
      </c>
      <c r="G13" s="5">
        <f>'Almacen Detalle'!D176</f>
        <v/>
      </c>
      <c r="H13" s="5">
        <f>'Almacen Detalle'!D228</f>
        <v/>
      </c>
      <c r="I13" s="5">
        <f>'Almacen Detalle'!D273</f>
        <v/>
      </c>
      <c r="J13" s="5">
        <f>'Almacen Detalle'!D312</f>
        <v/>
      </c>
      <c r="K13" s="5">
        <f>'Almacen Detalle'!D354</f>
        <v/>
      </c>
      <c r="L13" s="5">
        <f>'Almacen Detalle'!D426</f>
        <v/>
      </c>
      <c r="M13" s="5">
        <f>'Almacen Detalle'!D468</f>
        <v/>
      </c>
      <c r="N13" s="5">
        <f>'Almacen Detalle'!D510</f>
        <v/>
      </c>
      <c r="O13" s="5">
        <f>'Almacen Detalle'!D552</f>
        <v/>
      </c>
      <c r="P13" s="7">
        <f>SUM(D13:O13)</f>
        <v/>
      </c>
    </row>
    <row r="14">
      <c r="A14" s="20" t="inlineStr">
        <is>
          <t>SERVICIOS</t>
        </is>
      </c>
      <c r="B14" s="20" t="inlineStr">
        <is>
          <t>ALMACEN</t>
        </is>
      </c>
      <c r="C14" s="21" t="inlineStr">
        <is>
          <t>ALMACEN CHRIS</t>
        </is>
      </c>
      <c r="D14" s="9">
        <f>'Almacen Detalle'!E47</f>
        <v/>
      </c>
      <c r="E14" s="9">
        <f>'Almacen Detalle'!E87</f>
        <v/>
      </c>
      <c r="F14" s="9">
        <f>'Almacen Detalle'!E131</f>
        <v/>
      </c>
      <c r="G14" s="9">
        <f>'Almacen Detalle'!E176</f>
        <v/>
      </c>
      <c r="H14" s="9">
        <f>'Almacen Detalle'!E228</f>
        <v/>
      </c>
      <c r="I14" s="9">
        <f>'Almacen Detalle'!E273</f>
        <v/>
      </c>
      <c r="J14" s="9">
        <f>'Almacen Detalle'!E312</f>
        <v/>
      </c>
      <c r="K14" s="9">
        <f>'Almacen Detalle'!E354</f>
        <v/>
      </c>
      <c r="L14" s="9">
        <f>'Almacen Detalle'!E426</f>
        <v/>
      </c>
      <c r="M14" s="9">
        <f>'Almacen Detalle'!E468</f>
        <v/>
      </c>
      <c r="N14" s="9">
        <f>'Almacen Detalle'!E510</f>
        <v/>
      </c>
      <c r="O14" s="9">
        <f>'Almacen Detalle'!E552</f>
        <v/>
      </c>
      <c r="P14" s="7">
        <f>SUM(D14:O14)</f>
        <v/>
      </c>
    </row>
    <row r="15">
      <c r="A15" s="14" t="n"/>
      <c r="B15" s="14" t="n"/>
      <c r="C15" s="19" t="n"/>
      <c r="D15" s="5" t="n"/>
      <c r="E15" s="5" t="n"/>
      <c r="F15" s="5" t="n"/>
      <c r="G15" s="5" t="n"/>
      <c r="H15" s="5" t="n"/>
      <c r="I15" s="5" t="n"/>
      <c r="J15" s="5" t="n"/>
      <c r="K15" s="5" t="n"/>
      <c r="L15" s="5" t="n"/>
      <c r="M15" s="5" t="n"/>
      <c r="N15" s="5" t="n"/>
      <c r="O15" s="5" t="n"/>
      <c r="P15" s="7">
        <f>SUM(D15:O15)</f>
        <v/>
      </c>
    </row>
    <row r="16">
      <c r="A16" s="20" t="inlineStr">
        <is>
          <t>EXTRAS</t>
        </is>
      </c>
      <c r="B16" s="20" t="inlineStr">
        <is>
          <t>EXTRAS</t>
        </is>
      </c>
      <c r="C16" s="21" t="inlineStr">
        <is>
          <t>Extras Sol</t>
        </is>
      </c>
      <c r="D16" s="9" t="n"/>
      <c r="E16" s="9" t="n"/>
      <c r="F16" s="9" t="n"/>
      <c r="G16" s="9" t="n"/>
      <c r="H16" s="9" t="n"/>
      <c r="I16" s="9" t="n"/>
      <c r="J16" s="9" t="n"/>
      <c r="K16" s="9" t="n"/>
      <c r="L16" s="9" t="n"/>
      <c r="M16" s="9" t="n"/>
      <c r="N16" s="9" t="n"/>
      <c r="O16" s="9" t="n"/>
      <c r="P16" s="7">
        <f>SUM(D16:O16)</f>
        <v/>
      </c>
    </row>
    <row r="17">
      <c r="A17" s="14" t="inlineStr">
        <is>
          <t>EXTRAS</t>
        </is>
      </c>
      <c r="B17" s="14" t="inlineStr">
        <is>
          <t>EXTRAS</t>
        </is>
      </c>
      <c r="C17" s="19" t="inlineStr">
        <is>
          <t>Extras Chris</t>
        </is>
      </c>
      <c r="D17" s="5" t="n"/>
      <c r="E17" s="5" t="n"/>
      <c r="F17" s="5" t="n"/>
      <c r="G17" s="5" t="n"/>
      <c r="H17" s="5" t="n"/>
      <c r="I17" s="5" t="n"/>
      <c r="J17" s="5" t="n"/>
      <c r="K17" s="5" t="n"/>
      <c r="L17" s="5" t="n"/>
      <c r="M17" s="5" t="n"/>
      <c r="N17" s="5" t="n"/>
      <c r="O17" s="5" t="n"/>
      <c r="P17" s="7">
        <f>SUM(D17:O17)</f>
        <v/>
      </c>
    </row>
    <row r="18">
      <c r="D18" s="26" t="n"/>
      <c r="E18" s="26" t="n"/>
      <c r="F18" s="26" t="n"/>
      <c r="G18" s="26" t="n"/>
      <c r="H18" s="26" t="n"/>
      <c r="I18" s="26" t="n"/>
      <c r="J18" s="26" t="n"/>
      <c r="P18" s="26">
        <f>SUM(D18:O18)</f>
        <v/>
      </c>
    </row>
    <row r="19">
      <c r="D19" s="26" t="n"/>
      <c r="E19" s="26" t="n"/>
      <c r="G19" s="26" t="n"/>
      <c r="H19" s="26" t="n"/>
      <c r="J19" s="26" t="n"/>
      <c r="P19" s="26">
        <f>SUM(D19:O19)</f>
        <v/>
      </c>
    </row>
    <row r="20">
      <c r="A20" s="20" t="inlineStr">
        <is>
          <t>SERVICIOS</t>
        </is>
      </c>
      <c r="B20" s="20" t="inlineStr">
        <is>
          <t>SUSCRIPCIONES</t>
        </is>
      </c>
      <c r="C20" s="21" t="inlineStr">
        <is>
          <t>PedidosYa Plus</t>
        </is>
      </c>
      <c r="D20" t="n">
        <v>5490</v>
      </c>
      <c r="E20" t="n">
        <v>5990</v>
      </c>
    </row>
    <row r="21">
      <c r="A21" s="10" t="inlineStr">
        <is>
          <t>TOTAL</t>
        </is>
      </c>
      <c r="B21" s="23" t="n"/>
      <c r="C21" s="24" t="n"/>
      <c r="D21" s="7">
        <f>SUM(D5:D20)</f>
        <v/>
      </c>
      <c r="E21" s="7">
        <f>SUM(E5:E20)</f>
        <v/>
      </c>
      <c r="F21" s="7">
        <f>SUM(F5:F20)</f>
        <v/>
      </c>
      <c r="G21" s="7">
        <f>SUM(G5:G20)</f>
        <v/>
      </c>
      <c r="H21" s="7">
        <f>SUM(H5:H20)</f>
        <v/>
      </c>
      <c r="I21" s="7">
        <f>SUM(I5:I20)</f>
        <v/>
      </c>
      <c r="J21" s="7">
        <f>SUM(J5:J20)</f>
        <v/>
      </c>
      <c r="K21" s="7">
        <f>SUM(K5:K20)</f>
        <v/>
      </c>
      <c r="L21" s="7">
        <f>SUM(L5:L20)</f>
        <v/>
      </c>
      <c r="M21" s="7">
        <f>SUM(M5:M20)</f>
        <v/>
      </c>
      <c r="N21" s="7">
        <f>SUM(N5:N20)</f>
        <v/>
      </c>
      <c r="O21" s="7">
        <f>SUM(O5:O20)</f>
        <v/>
      </c>
      <c r="P21" s="7">
        <f>SUM(P5:P19)</f>
        <v/>
      </c>
    </row>
    <row r="22">
      <c r="A22" s="10" t="inlineStr">
        <is>
          <t>CADA UNO</t>
        </is>
      </c>
      <c r="B22" s="23" t="n"/>
      <c r="C22" s="24" t="inlineStr">
        <is>
          <t>Total ÷ 2 — parte de Sol y de Chris</t>
        </is>
      </c>
      <c r="D22" s="7">
        <f>D21/2</f>
        <v/>
      </c>
      <c r="E22" s="7">
        <f>E21/2</f>
        <v/>
      </c>
      <c r="F22" s="7">
        <f>F21/2</f>
        <v/>
      </c>
      <c r="G22" s="7">
        <f>G21/2</f>
        <v/>
      </c>
      <c r="H22" s="7">
        <f>H21/2</f>
        <v/>
      </c>
      <c r="I22" s="7">
        <f>I21/2</f>
        <v/>
      </c>
      <c r="J22" s="7">
        <f>J21/2</f>
        <v/>
      </c>
      <c r="K22" s="7">
        <f>K21/2</f>
        <v/>
      </c>
      <c r="L22" s="7">
        <f>L21/2</f>
        <v/>
      </c>
      <c r="M22" s="7">
        <f>M21/2</f>
        <v/>
      </c>
      <c r="N22" s="7">
        <f>N21/2</f>
        <v/>
      </c>
      <c r="O22" s="7">
        <f>O21/2</f>
        <v/>
      </c>
    </row>
    <row r="24">
      <c r="A24" s="10" t="inlineStr">
        <is>
          <t>SOL</t>
        </is>
      </c>
      <c r="B24" s="23" t="n"/>
      <c r="C24" s="24" t="inlineStr">
        <is>
          <t>Pendiente Sol = Cada uno − pagado por Sol (todos los servicios + ALMACEN SOL). Positivo: Sol le paga a Chris; negativo: a favor de Sol</t>
        </is>
      </c>
      <c r="D24" s="7">
        <f>D22-(D21-D14)</f>
        <v/>
      </c>
      <c r="E24" s="7">
        <f>E22-(E21-E14)</f>
        <v/>
      </c>
      <c r="F24" s="7">
        <f>F22-(F21-F14)</f>
        <v/>
      </c>
      <c r="G24" s="7">
        <f>G22-(G21-G14)</f>
        <v/>
      </c>
      <c r="H24" s="7">
        <f>H22-(H21-H14)</f>
        <v/>
      </c>
      <c r="I24" s="7">
        <f>I22-(I21-I14)</f>
        <v/>
      </c>
      <c r="J24" s="7">
        <f>J22-(J21-J14)</f>
        <v/>
      </c>
      <c r="K24" s="7">
        <f>K22-(K21-K14)</f>
        <v/>
      </c>
      <c r="L24" s="7">
        <f>L22-(L21-L14)</f>
        <v/>
      </c>
      <c r="M24" s="7">
        <f>M22-(M21-M14)</f>
        <v/>
      </c>
      <c r="N24" s="7">
        <f>N22-(N21-N14)</f>
        <v/>
      </c>
      <c r="O24" s="7">
        <f>O22-(O21-O14)</f>
        <v/>
      </c>
    </row>
    <row r="25">
      <c r="A25" s="10" t="inlineStr">
        <is>
          <t>CHRIS</t>
        </is>
      </c>
      <c r="B25" s="23" t="n"/>
      <c r="C25" s="24" t="inlineStr">
        <is>
          <t>Pendiente Chris = Cada uno − ALMACEN CHRIS (único pagado por Chris). Positivo: Chris le paga a Sol</t>
        </is>
      </c>
      <c r="D25" s="7">
        <f>D22-D14</f>
        <v/>
      </c>
      <c r="E25" s="7">
        <f>E22-E14</f>
        <v/>
      </c>
      <c r="F25" s="7">
        <f>F22-F14</f>
        <v/>
      </c>
      <c r="G25" s="7">
        <f>G22-G14</f>
        <v/>
      </c>
      <c r="H25" s="7">
        <f>H22-H14</f>
        <v/>
      </c>
      <c r="I25" s="7">
        <f>I22-I14</f>
        <v/>
      </c>
      <c r="J25" s="7">
        <f>J22-J14</f>
        <v/>
      </c>
      <c r="K25" s="7">
        <f>K22-K14</f>
        <v/>
      </c>
      <c r="L25" s="7">
        <f>L22-L14</f>
        <v/>
      </c>
      <c r="M25" s="7">
        <f>M22-M14</f>
        <v/>
      </c>
      <c r="N25" s="7">
        <f>N22-N14</f>
        <v/>
      </c>
      <c r="O25" s="7">
        <f>O22-O14</f>
        <v/>
      </c>
    </row>
    <row r="26">
      <c r="A26" t="inlineStr">
        <is>
          <t>• PedidosYa Plus / suscripciones PedidosYa → CIUDAD SUSCRIPCIONES (no Gasto Personal Sol)</t>
        </is>
      </c>
    </row>
    <row r="27">
      <c r="A27" s="11" t="inlineStr">
        <is>
          <t>Notas</t>
        </is>
      </c>
    </row>
    <row r="28">
      <c r="A28" t="inlineStr">
        <is>
          <t>• Catálogo fijo de conceptos CIUDAD 1132</t>
        </is>
      </c>
    </row>
    <row r="29">
      <c r="A29" t="inlineStr">
        <is>
          <t>• Telecentro: $50.000 mensuales hasta nuevo aviso</t>
        </is>
      </c>
    </row>
    <row r="30">
      <c r="A30" t="inlineStr">
        <is>
          <t>• Montos enteros, siempre redondeados hacia arriba</t>
        </is>
      </c>
    </row>
    <row r="31">
      <c r="A31" t="inlineStr">
        <is>
          <t>• Expensas: abr $235.210 (banco 7-abr → Consorcio De Propiet Patagonia); may/jun desde MP con período Gmail (pago jun=mayo, pago jul=junio). Julio período pendiente.</t>
        </is>
      </c>
    </row>
    <row r="32">
      <c r="A32" t="inlineStr">
        <is>
          <t>• En Detalle: Forma de pago, N° Cliente y N° Medidor cuando existan</t>
        </is>
      </c>
    </row>
    <row r="33">
      <c r="A33" t="inlineStr">
        <is>
          <t>• ALMACEN SOL / ALMACEN CHRIS: totales automáticos desde hoja "Almacen Detalle"</t>
        </is>
      </c>
    </row>
    <row r="34">
      <c r="A34" t="inlineStr">
        <is>
          <t>• TRANSPORTE (Cabify/Uber/Didi/Emova) → solo Gasto Personal Sol; sin fila en matriz 2026</t>
        </is>
      </c>
    </row>
    <row r="35">
      <c r="A35" s="30" t="inlineStr">
        <is>
          <t>• Dinero retirado: hoja "Dinero Retirado" (no suma al TOTAL de gastos)</t>
        </is>
      </c>
    </row>
    <row r="36">
      <c r="A36" s="30" t="inlineStr">
        <is>
          <t>• FARMACIA · Farmacity → Almacen Detalle. Farmacia Maure / Selma → Gasto Personal Sol · FARMACIA SALUD</t>
        </is>
      </c>
    </row>
    <row r="37">
      <c r="A37" s="30" t="inlineStr">
        <is>
          <t>• Personal (Pago directo): va a OHIGGINS → TV CABLE-INTERNET — no CIUDAD</t>
        </is>
      </c>
    </row>
    <row r="38">
      <c r="A38" s="30" t="inlineStr">
        <is>
          <t>• Inversión: hoja "Inversión" (bonos, plazos fijos y otros; no suma al TOTAL de gastos)</t>
        </is>
      </c>
    </row>
    <row r="39">
      <c r="A39" s="30" t="inlineStr">
        <is>
          <t>• Transferencias recibidas: hoja "Transferencias recibidas" (no suma al total de gastos)</t>
        </is>
      </c>
    </row>
    <row r="40">
      <c r="A40" s="30" t="inlineStr">
        <is>
          <t>• Expensas consorcios: hoja "Expensas Consorcios" (Consorcio De Propiet = CIUDAD; no ALMACEN SOL)</t>
        </is>
      </c>
    </row>
    <row r="41">
      <c r="A41" s="30" t="inlineStr">
        <is>
          <t>• Gasto personal Sol (Tuenti, Apple, ropa, ML, extras, transferencias a terceros): hoja "Gasto Personal Sol" (no suma al total CIUDAD)</t>
        </is>
      </c>
    </row>
    <row r="42">
      <c r="A42" t="inlineStr">
        <is>
          <t>• Pago de tarjetas: hoja "Pago de Tarjetas" (pago de resumen TC; no es gasto nuevo de la matriz)</t>
        </is>
      </c>
    </row>
    <row r="43">
      <c r="A43" t="inlineStr">
        <is>
          <t>• ALMACEN SOL: solo comida/súper/combustible en "Almacen Detalle". Resto personal → "Gasto Personal Sol"</t>
        </is>
      </c>
    </row>
    <row r="44">
      <c r="A44" t="inlineStr">
        <is>
          <t>• ABL CIUDAD: partida AGIP 397789 (OHIGGINS = 3016365 → otra carpeta)</t>
        </is>
      </c>
    </row>
    <row r="45">
      <c r="A45" t="inlineStr">
        <is>
          <t>• Edesur → BONORINO. Edenor: Sanes=CIUDAD; Ivilmar/Marta Chagas=OHIGGINS. Telecentro=CIUDAD.</t>
        </is>
      </c>
    </row>
    <row r="46">
      <c r="A46" t="inlineStr">
        <is>
          <t>• STREAMING: Spotify (BBVA Visa USD) → ARS con TC MEP del mes (tabla AVA). Fila STREAMING / Streaming música — Spotify</t>
        </is>
      </c>
    </row>
    <row r="47">
      <c r="A47" t="inlineStr">
        <is>
          <t>• GAS CIUDAD (Metrogas 30010996459): mes = fecha de cobro BBVA / pago / vencimiento factura — no período de consumo</t>
        </is>
      </c>
    </row>
    <row r="48">
      <c r="A48" t="inlineStr">
        <is>
          <t>• FARMACIA · Farmacity y REPUESTOS · Sodastream → hoja "Almacen Detalle" (suman en ALMACEN SOL)</t>
        </is>
      </c>
    </row>
    <row r="49">
      <c r="A49" t="inlineStr">
        <is>
          <t>• TRANSPORTE personal (Cabify/Uber/Didi) → solo hoja "Gasto Personal Sol" (no fila en matriz 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89"/>
  <sheetViews>
    <sheetView workbookViewId="0">
      <selection activeCell="A1" sqref="A1"/>
    </sheetView>
  </sheetViews>
  <sheetFormatPr baseColWidth="8" defaultRowHeight="15"/>
  <sheetData>
    <row r="1">
      <c r="A1" s="11" t="inlineStr">
        <is>
          <t>Compra</t>
        </is>
      </c>
      <c r="B1" s="11" t="inlineStr">
        <is>
          <t>Comercio</t>
        </is>
      </c>
      <c r="C1" s="11" t="inlineStr">
        <is>
          <t>Categoría</t>
        </is>
      </c>
      <c r="D1" s="11" t="inlineStr">
        <is>
          <t>Tarjeta</t>
        </is>
      </c>
      <c r="E1" s="11" t="inlineStr">
        <is>
          <t>Cuota</t>
        </is>
      </c>
      <c r="F1" s="11" t="inlineStr">
        <is>
          <t>De</t>
        </is>
      </c>
      <c r="G1" s="11" t="inlineStr">
        <is>
          <t>Monto cuota</t>
        </is>
      </c>
      <c r="H1" s="11" t="inlineStr">
        <is>
          <t>Mes cobro</t>
        </is>
      </c>
      <c r="I1" s="11" t="inlineStr">
        <is>
          <t>Año-Mes</t>
        </is>
      </c>
      <c r="J1" s="11" t="inlineStr">
        <is>
          <t>Estado</t>
        </is>
      </c>
      <c r="K1" s="11" t="inlineStr">
        <is>
          <t>Comentario</t>
        </is>
      </c>
    </row>
    <row r="2">
      <c r="A2" s="54" t="n">
        <v>45789</v>
      </c>
      <c r="B2" t="inlineStr">
        <is>
          <t>DIEGOJULIANKOZ</t>
        </is>
      </c>
      <c r="C2" t="inlineStr">
        <is>
          <t>Personal</t>
        </is>
      </c>
      <c r="D2" t="inlineStr">
        <is>
          <t>VISA</t>
        </is>
      </c>
      <c r="E2" t="n">
        <v>1</v>
      </c>
      <c r="F2" t="n">
        <v>9</v>
      </c>
      <c r="G2" s="26" t="n">
        <v>84906</v>
      </c>
      <c r="H2" t="inlineStr">
        <is>
          <t>Mayo 2025</t>
        </is>
      </c>
      <c r="I2" t="inlineStr">
        <is>
          <t>2025-05</t>
        </is>
      </c>
      <c r="J2" t="inlineStr">
        <is>
          <t>PAGADO</t>
        </is>
      </c>
      <c r="K2" t="inlineStr">
        <is>
          <t>C.01/09 · cashflow BBVA · gasto personal Sol</t>
        </is>
      </c>
    </row>
    <row r="3">
      <c r="A3" s="54" t="n">
        <v>45789</v>
      </c>
      <c r="B3" t="inlineStr">
        <is>
          <t>DIEGOJULIANKOZ</t>
        </is>
      </c>
      <c r="C3" t="inlineStr">
        <is>
          <t>Personal</t>
        </is>
      </c>
      <c r="D3" t="inlineStr">
        <is>
          <t>VISA</t>
        </is>
      </c>
      <c r="E3" t="n">
        <v>2</v>
      </c>
      <c r="F3" t="n">
        <v>9</v>
      </c>
      <c r="G3" s="26" t="n">
        <v>84906</v>
      </c>
      <c r="H3" t="inlineStr">
        <is>
          <t>Junio 2025</t>
        </is>
      </c>
      <c r="I3" t="inlineStr">
        <is>
          <t>2025-06</t>
        </is>
      </c>
      <c r="J3" t="inlineStr">
        <is>
          <t>PAGADO</t>
        </is>
      </c>
      <c r="K3" t="inlineStr">
        <is>
          <t>C.02/09 · cashflow BBVA · gasto personal Sol</t>
        </is>
      </c>
    </row>
    <row r="4">
      <c r="A4" s="54" t="n">
        <v>45827</v>
      </c>
      <c r="B4" t="inlineStr">
        <is>
          <t>ELCACOSMETICOSINC</t>
        </is>
      </c>
      <c r="C4" t="inlineStr">
        <is>
          <t>Personal</t>
        </is>
      </c>
      <c r="D4" t="inlineStr">
        <is>
          <t>VISA</t>
        </is>
      </c>
      <c r="E4" t="n">
        <v>1</v>
      </c>
      <c r="F4" t="n">
        <v>9</v>
      </c>
      <c r="G4" s="26" t="n">
        <v>15054</v>
      </c>
      <c r="H4" t="inlineStr">
        <is>
          <t>Junio 2025</t>
        </is>
      </c>
      <c r="I4" t="inlineStr">
        <is>
          <t>2025-06</t>
        </is>
      </c>
      <c r="J4" t="inlineStr">
        <is>
          <t>PAGADO</t>
        </is>
      </c>
      <c r="K4" t="inlineStr">
        <is>
          <t>C.01/09 · cashflow BBVA · gasto personal Sol</t>
        </is>
      </c>
    </row>
    <row r="5">
      <c r="A5" s="54" t="n">
        <v>45815</v>
      </c>
      <c r="B5" t="inlineStr">
        <is>
          <t>MONSERVO</t>
        </is>
      </c>
      <c r="C5" t="inlineStr">
        <is>
          <t>Personal</t>
        </is>
      </c>
      <c r="D5" t="inlineStr">
        <is>
          <t>MASTERCARD</t>
        </is>
      </c>
      <c r="E5" t="n">
        <v>1</v>
      </c>
      <c r="F5" t="n">
        <v>9</v>
      </c>
      <c r="G5" s="26" t="n">
        <v>6665</v>
      </c>
      <c r="H5" t="inlineStr">
        <is>
          <t>Junio 2025</t>
        </is>
      </c>
      <c r="I5" t="inlineStr">
        <is>
          <t>2025-06</t>
        </is>
      </c>
      <c r="J5" t="inlineStr">
        <is>
          <t>PAGADO</t>
        </is>
      </c>
      <c r="K5" t="inlineStr">
        <is>
          <t>C.01/09 · cashflow BBVA · gasto personal Sol</t>
        </is>
      </c>
    </row>
    <row r="6">
      <c r="A6" s="54" t="n">
        <v>45865</v>
      </c>
      <c r="B6" t="inlineStr">
        <is>
          <t>3PRODUCTOS</t>
        </is>
      </c>
      <c r="C6" t="inlineStr">
        <is>
          <t>Personal</t>
        </is>
      </c>
      <c r="D6" t="inlineStr">
        <is>
          <t>VISA</t>
        </is>
      </c>
      <c r="E6" t="n">
        <v>1</v>
      </c>
      <c r="F6" t="n">
        <v>9</v>
      </c>
      <c r="G6" s="26" t="n">
        <v>5445</v>
      </c>
      <c r="H6" t="inlineStr">
        <is>
          <t>Julio 2025</t>
        </is>
      </c>
      <c r="I6" t="inlineStr">
        <is>
          <t>2025-07</t>
        </is>
      </c>
      <c r="J6" t="inlineStr">
        <is>
          <t>PAGADO</t>
        </is>
      </c>
      <c r="K6" t="inlineStr">
        <is>
          <t>C.01/09 · cashflow BBVA · gasto personal Sol</t>
        </is>
      </c>
    </row>
    <row r="7">
      <c r="A7" s="54" t="n">
        <v>45789</v>
      </c>
      <c r="B7" t="inlineStr">
        <is>
          <t>DIEGOJULIANKOZ</t>
        </is>
      </c>
      <c r="C7" t="inlineStr">
        <is>
          <t>Personal</t>
        </is>
      </c>
      <c r="D7" t="inlineStr">
        <is>
          <t>VISA</t>
        </is>
      </c>
      <c r="E7" t="n">
        <v>3</v>
      </c>
      <c r="F7" t="n">
        <v>9</v>
      </c>
      <c r="G7" s="26" t="n">
        <v>84906</v>
      </c>
      <c r="H7" t="inlineStr">
        <is>
          <t>Julio 2025</t>
        </is>
      </c>
      <c r="I7" t="inlineStr">
        <is>
          <t>2025-07</t>
        </is>
      </c>
      <c r="J7" t="inlineStr">
        <is>
          <t>PAGADO</t>
        </is>
      </c>
      <c r="K7" t="inlineStr">
        <is>
          <t>C.03/09 · cashflow BBVA · gasto personal Sol</t>
        </is>
      </c>
    </row>
    <row r="8">
      <c r="A8" s="54" t="n">
        <v>45827</v>
      </c>
      <c r="B8" t="inlineStr">
        <is>
          <t>ELCACOSMETICOSINC</t>
        </is>
      </c>
      <c r="C8" t="inlineStr">
        <is>
          <t>Personal</t>
        </is>
      </c>
      <c r="D8" t="inlineStr">
        <is>
          <t>VISA</t>
        </is>
      </c>
      <c r="E8" t="n">
        <v>2</v>
      </c>
      <c r="F8" t="n">
        <v>9</v>
      </c>
      <c r="G8" s="26" t="n">
        <v>15054</v>
      </c>
      <c r="H8" t="inlineStr">
        <is>
          <t>Julio 2025</t>
        </is>
      </c>
      <c r="I8" t="inlineStr">
        <is>
          <t>2025-07</t>
        </is>
      </c>
      <c r="J8" t="inlineStr">
        <is>
          <t>PAGADO</t>
        </is>
      </c>
      <c r="K8" t="inlineStr">
        <is>
          <t>C.02/09 · cashflow BBVA · gasto personal Sol</t>
        </is>
      </c>
    </row>
    <row r="9">
      <c r="A9" s="54" t="n">
        <v>45815</v>
      </c>
      <c r="B9" t="inlineStr">
        <is>
          <t>MONSERVO</t>
        </is>
      </c>
      <c r="C9" t="inlineStr">
        <is>
          <t>Personal</t>
        </is>
      </c>
      <c r="D9" t="inlineStr">
        <is>
          <t>MASTERCARD</t>
        </is>
      </c>
      <c r="E9" t="n">
        <v>2</v>
      </c>
      <c r="F9" t="n">
        <v>9</v>
      </c>
      <c r="G9" s="26" t="n">
        <v>6665</v>
      </c>
      <c r="H9" t="inlineStr">
        <is>
          <t>Julio 2025</t>
        </is>
      </c>
      <c r="I9" t="inlineStr">
        <is>
          <t>2025-07</t>
        </is>
      </c>
      <c r="J9" t="inlineStr">
        <is>
          <t>PAGADO</t>
        </is>
      </c>
      <c r="K9" t="inlineStr">
        <is>
          <t>C.02/09 · cashflow BBVA · gasto personal Sol</t>
        </is>
      </c>
    </row>
    <row r="10">
      <c r="A10" s="54" t="n">
        <v>45865</v>
      </c>
      <c r="B10" t="inlineStr">
        <is>
          <t>3PRODUCTOS</t>
        </is>
      </c>
      <c r="C10" t="inlineStr">
        <is>
          <t>Personal</t>
        </is>
      </c>
      <c r="D10" t="inlineStr">
        <is>
          <t>VISA</t>
        </is>
      </c>
      <c r="E10" t="n">
        <v>2</v>
      </c>
      <c r="F10" t="n">
        <v>9</v>
      </c>
      <c r="G10" s="26" t="n">
        <v>5445</v>
      </c>
      <c r="H10" t="inlineStr">
        <is>
          <t>Agosto 2025</t>
        </is>
      </c>
      <c r="I10" t="inlineStr">
        <is>
          <t>2025-08</t>
        </is>
      </c>
      <c r="J10" t="inlineStr">
        <is>
          <t>PAGADO</t>
        </is>
      </c>
      <c r="K10" t="inlineStr">
        <is>
          <t>C.02/09 · cashflow BBVA · gasto personal Sol</t>
        </is>
      </c>
    </row>
    <row r="11">
      <c r="A11" s="54" t="n">
        <v>45789</v>
      </c>
      <c r="B11" t="inlineStr">
        <is>
          <t>DIEGOJULIANKOZ</t>
        </is>
      </c>
      <c r="C11" t="inlineStr">
        <is>
          <t>Personal</t>
        </is>
      </c>
      <c r="D11" t="inlineStr">
        <is>
          <t>VISA</t>
        </is>
      </c>
      <c r="E11" t="n">
        <v>4</v>
      </c>
      <c r="F11" t="n">
        <v>9</v>
      </c>
      <c r="G11" s="26" t="n">
        <v>84906</v>
      </c>
      <c r="H11" t="inlineStr">
        <is>
          <t>Agosto 2025</t>
        </is>
      </c>
      <c r="I11" t="inlineStr">
        <is>
          <t>2025-08</t>
        </is>
      </c>
      <c r="J11" t="inlineStr">
        <is>
          <t>PAGADO</t>
        </is>
      </c>
      <c r="K11" t="inlineStr">
        <is>
          <t>C.04/09 · cashflow BBVA · gasto personal Sol</t>
        </is>
      </c>
    </row>
    <row r="12">
      <c r="A12" s="54" t="n">
        <v>45827</v>
      </c>
      <c r="B12" t="inlineStr">
        <is>
          <t>ELCACOSMETICOSINC</t>
        </is>
      </c>
      <c r="C12" t="inlineStr">
        <is>
          <t>Personal</t>
        </is>
      </c>
      <c r="D12" t="inlineStr">
        <is>
          <t>VISA</t>
        </is>
      </c>
      <c r="E12" t="n">
        <v>3</v>
      </c>
      <c r="F12" t="n">
        <v>9</v>
      </c>
      <c r="G12" s="26" t="n">
        <v>15054</v>
      </c>
      <c r="H12" t="inlineStr">
        <is>
          <t>Agosto 2025</t>
        </is>
      </c>
      <c r="I12" t="inlineStr">
        <is>
          <t>2025-08</t>
        </is>
      </c>
      <c r="J12" t="inlineStr">
        <is>
          <t>PAGADO</t>
        </is>
      </c>
      <c r="K12" t="inlineStr">
        <is>
          <t>C.03/09 · cashflow BBVA · gasto personal Sol</t>
        </is>
      </c>
    </row>
    <row r="13">
      <c r="A13" s="54" t="n">
        <v>45890</v>
      </c>
      <c r="B13" t="inlineStr">
        <is>
          <t>JACKIESMITH</t>
        </is>
      </c>
      <c r="C13" t="inlineStr">
        <is>
          <t>Personal</t>
        </is>
      </c>
      <c r="D13" t="inlineStr">
        <is>
          <t>VISA</t>
        </is>
      </c>
      <c r="E13" t="n">
        <v>1</v>
      </c>
      <c r="F13" t="n">
        <v>6</v>
      </c>
      <c r="G13" s="26" t="n">
        <v>10970</v>
      </c>
      <c r="H13" t="inlineStr">
        <is>
          <t>Agosto 2025</t>
        </is>
      </c>
      <c r="I13" t="inlineStr">
        <is>
          <t>2025-08</t>
        </is>
      </c>
      <c r="J13" t="inlineStr">
        <is>
          <t>PAGADO</t>
        </is>
      </c>
      <c r="K13" t="inlineStr">
        <is>
          <t>C.01/06 · cashflow BBVA · gasto personal Sol</t>
        </is>
      </c>
    </row>
    <row r="14">
      <c r="A14" s="54" t="n">
        <v>45895</v>
      </c>
      <c r="B14" t="inlineStr">
        <is>
          <t>MERCADOLIBRE</t>
        </is>
      </c>
      <c r="C14" t="inlineStr">
        <is>
          <t>Mercado Libre</t>
        </is>
      </c>
      <c r="D14" t="inlineStr">
        <is>
          <t>VISA</t>
        </is>
      </c>
      <c r="E14" t="n">
        <v>1</v>
      </c>
      <c r="F14" t="n">
        <v>6</v>
      </c>
      <c r="G14" s="26" t="n">
        <v>22460</v>
      </c>
      <c r="H14" t="inlineStr">
        <is>
          <t>Agosto 2025</t>
        </is>
      </c>
      <c r="I14" t="inlineStr">
        <is>
          <t>2025-08</t>
        </is>
      </c>
      <c r="J14" t="inlineStr">
        <is>
          <t>PAGADO</t>
        </is>
      </c>
      <c r="K14" t="inlineStr">
        <is>
          <t>C.01/06 · cashflow BBVA · gasto personal Sol</t>
        </is>
      </c>
    </row>
    <row r="15">
      <c r="A15" s="54" t="n">
        <v>45815</v>
      </c>
      <c r="B15" t="inlineStr">
        <is>
          <t>MONSERVO</t>
        </is>
      </c>
      <c r="C15" t="inlineStr">
        <is>
          <t>Personal</t>
        </is>
      </c>
      <c r="D15" t="inlineStr">
        <is>
          <t>MASTERCARD</t>
        </is>
      </c>
      <c r="E15" t="n">
        <v>3</v>
      </c>
      <c r="F15" t="n">
        <v>9</v>
      </c>
      <c r="G15" s="26" t="n">
        <v>6665</v>
      </c>
      <c r="H15" t="inlineStr">
        <is>
          <t>Agosto 2025</t>
        </is>
      </c>
      <c r="I15" t="inlineStr">
        <is>
          <t>2025-08</t>
        </is>
      </c>
      <c r="J15" t="inlineStr">
        <is>
          <t>PAGADO</t>
        </is>
      </c>
      <c r="K15" t="inlineStr">
        <is>
          <t>C.03/09 · cashflow BBVA · gasto personal Sol</t>
        </is>
      </c>
    </row>
    <row r="16">
      <c r="A16" s="54" t="n">
        <v>45865</v>
      </c>
      <c r="B16" t="inlineStr">
        <is>
          <t>3PRODUCTOS</t>
        </is>
      </c>
      <c r="C16" t="inlineStr">
        <is>
          <t>Personal</t>
        </is>
      </c>
      <c r="D16" t="inlineStr">
        <is>
          <t>VISA</t>
        </is>
      </c>
      <c r="E16" t="n">
        <v>3</v>
      </c>
      <c r="F16" t="n">
        <v>9</v>
      </c>
      <c r="G16" s="26" t="n">
        <v>5445</v>
      </c>
      <c r="H16" t="inlineStr">
        <is>
          <t>Septiembre 2025</t>
        </is>
      </c>
      <c r="I16" t="inlineStr">
        <is>
          <t>2025-09</t>
        </is>
      </c>
      <c r="J16" t="inlineStr">
        <is>
          <t>PAGADO</t>
        </is>
      </c>
      <c r="K16" t="inlineStr">
        <is>
          <t>C.03/09 · cashflow BBVA · gasto personal Sol</t>
        </is>
      </c>
    </row>
    <row r="17">
      <c r="A17" s="54" t="n">
        <v>45912</v>
      </c>
      <c r="B17" t="inlineStr">
        <is>
          <t>4PRODUCTOS</t>
        </is>
      </c>
      <c r="C17" t="inlineStr">
        <is>
          <t>Personal</t>
        </is>
      </c>
      <c r="D17" t="inlineStr">
        <is>
          <t>VISA</t>
        </is>
      </c>
      <c r="E17" t="n">
        <v>1</v>
      </c>
      <c r="F17" t="n">
        <v>6</v>
      </c>
      <c r="G17" s="26" t="n">
        <v>13735</v>
      </c>
      <c r="H17" t="inlineStr">
        <is>
          <t>Septiembre 2025</t>
        </is>
      </c>
      <c r="I17" t="inlineStr">
        <is>
          <t>2025-09</t>
        </is>
      </c>
      <c r="J17" t="inlineStr">
        <is>
          <t>PAGADO</t>
        </is>
      </c>
      <c r="K17" t="inlineStr">
        <is>
          <t>C.01/06 · cashflow BBVA · gasto personal Sol</t>
        </is>
      </c>
    </row>
    <row r="18">
      <c r="A18" s="54" t="n">
        <v>45918</v>
      </c>
      <c r="B18" t="inlineStr">
        <is>
          <t>BOSSRECOVERY</t>
        </is>
      </c>
      <c r="C18" t="inlineStr">
        <is>
          <t>Personal</t>
        </is>
      </c>
      <c r="D18" t="inlineStr">
        <is>
          <t>VISA</t>
        </is>
      </c>
      <c r="E18" t="n">
        <v>1</v>
      </c>
      <c r="F18" t="n">
        <v>6</v>
      </c>
      <c r="G18" s="26" t="n">
        <v>299834</v>
      </c>
      <c r="H18" t="inlineStr">
        <is>
          <t>Septiembre 2025</t>
        </is>
      </c>
      <c r="I18" t="inlineStr">
        <is>
          <t>2025-09</t>
        </is>
      </c>
      <c r="J18" t="inlineStr">
        <is>
          <t>PAGADO</t>
        </is>
      </c>
      <c r="K18" t="inlineStr">
        <is>
          <t>C.01/06 · cashflow BBVA · gasto personal Sol</t>
        </is>
      </c>
    </row>
    <row r="19">
      <c r="A19" s="54" t="n">
        <v>45789</v>
      </c>
      <c r="B19" t="inlineStr">
        <is>
          <t>DIEGOJULIANKOZ</t>
        </is>
      </c>
      <c r="C19" t="inlineStr">
        <is>
          <t>Personal</t>
        </is>
      </c>
      <c r="D19" t="inlineStr">
        <is>
          <t>VISA</t>
        </is>
      </c>
      <c r="E19" t="n">
        <v>5</v>
      </c>
      <c r="F19" t="n">
        <v>9</v>
      </c>
      <c r="G19" s="26" t="n">
        <v>84906</v>
      </c>
      <c r="H19" t="inlineStr">
        <is>
          <t>Septiembre 2025</t>
        </is>
      </c>
      <c r="I19" t="inlineStr">
        <is>
          <t>2025-09</t>
        </is>
      </c>
      <c r="J19" t="inlineStr">
        <is>
          <t>PAGADO</t>
        </is>
      </c>
      <c r="K19" t="inlineStr">
        <is>
          <t>C.05/09 · cashflow BBVA · gasto personal Sol</t>
        </is>
      </c>
    </row>
    <row r="20">
      <c r="A20" s="54" t="n">
        <v>45827</v>
      </c>
      <c r="B20" t="inlineStr">
        <is>
          <t>ELCACOSMETICOSINC</t>
        </is>
      </c>
      <c r="C20" t="inlineStr">
        <is>
          <t>Personal</t>
        </is>
      </c>
      <c r="D20" t="inlineStr">
        <is>
          <t>VISA</t>
        </is>
      </c>
      <c r="E20" t="n">
        <v>4</v>
      </c>
      <c r="F20" t="n">
        <v>9</v>
      </c>
      <c r="G20" s="26" t="n">
        <v>15054</v>
      </c>
      <c r="H20" t="inlineStr">
        <is>
          <t>Septiembre 2025</t>
        </is>
      </c>
      <c r="I20" t="inlineStr">
        <is>
          <t>2025-09</t>
        </is>
      </c>
      <c r="J20" t="inlineStr">
        <is>
          <t>PAGADO</t>
        </is>
      </c>
      <c r="K20" t="inlineStr">
        <is>
          <t>C.04/09 · cashflow BBVA · gasto personal Sol</t>
        </is>
      </c>
    </row>
    <row r="21">
      <c r="A21" s="54" t="n">
        <v>45890</v>
      </c>
      <c r="B21" t="inlineStr">
        <is>
          <t>JACKIESMITH</t>
        </is>
      </c>
      <c r="C21" t="inlineStr">
        <is>
          <t>Personal</t>
        </is>
      </c>
      <c r="D21" t="inlineStr">
        <is>
          <t>VISA</t>
        </is>
      </c>
      <c r="E21" t="n">
        <v>2</v>
      </c>
      <c r="F21" t="n">
        <v>6</v>
      </c>
      <c r="G21" s="26" t="n">
        <v>10970</v>
      </c>
      <c r="H21" t="inlineStr">
        <is>
          <t>Septiembre 2025</t>
        </is>
      </c>
      <c r="I21" t="inlineStr">
        <is>
          <t>2025-09</t>
        </is>
      </c>
      <c r="J21" t="inlineStr">
        <is>
          <t>PAGADO</t>
        </is>
      </c>
      <c r="K21" t="inlineStr">
        <is>
          <t>C.02/06 · cashflow BBVA · gasto personal Sol</t>
        </is>
      </c>
    </row>
    <row r="22">
      <c r="A22" s="54" t="n">
        <v>45895</v>
      </c>
      <c r="B22" t="inlineStr">
        <is>
          <t>MERCADOLIBRE</t>
        </is>
      </c>
      <c r="C22" t="inlineStr">
        <is>
          <t>Mercado Libre</t>
        </is>
      </c>
      <c r="D22" t="inlineStr">
        <is>
          <t>VISA</t>
        </is>
      </c>
      <c r="E22" t="n">
        <v>2</v>
      </c>
      <c r="F22" t="n">
        <v>6</v>
      </c>
      <c r="G22" s="26" t="n">
        <v>22460</v>
      </c>
      <c r="H22" t="inlineStr">
        <is>
          <t>Septiembre 2025</t>
        </is>
      </c>
      <c r="I22" t="inlineStr">
        <is>
          <t>2025-09</t>
        </is>
      </c>
      <c r="J22" t="inlineStr">
        <is>
          <t>PAGADO</t>
        </is>
      </c>
      <c r="K22" t="inlineStr">
        <is>
          <t>C.02/06 · cashflow BBVA · gasto personal Sol</t>
        </is>
      </c>
    </row>
    <row r="23">
      <c r="A23" s="54" t="n">
        <v>45815</v>
      </c>
      <c r="B23" t="inlineStr">
        <is>
          <t>MONSERVO</t>
        </is>
      </c>
      <c r="C23" t="inlineStr">
        <is>
          <t>Personal</t>
        </is>
      </c>
      <c r="D23" t="inlineStr">
        <is>
          <t>MASTERCARD</t>
        </is>
      </c>
      <c r="E23" t="n">
        <v>4</v>
      </c>
      <c r="F23" t="n">
        <v>9</v>
      </c>
      <c r="G23" s="26" t="n">
        <v>6665</v>
      </c>
      <c r="H23" t="inlineStr">
        <is>
          <t>Septiembre 2025</t>
        </is>
      </c>
      <c r="I23" t="inlineStr">
        <is>
          <t>2025-09</t>
        </is>
      </c>
      <c r="J23" t="inlineStr">
        <is>
          <t>PAGADO</t>
        </is>
      </c>
      <c r="K23" t="inlineStr">
        <is>
          <t>C.04/09 · cashflow BBVA · gasto personal Sol</t>
        </is>
      </c>
    </row>
    <row r="24">
      <c r="A24" s="54" t="n">
        <v>45953</v>
      </c>
      <c r="B24" t="inlineStr">
        <is>
          <t>2PRODUCTOS</t>
        </is>
      </c>
      <c r="C24" t="inlineStr">
        <is>
          <t>Personal</t>
        </is>
      </c>
      <c r="D24" t="inlineStr">
        <is>
          <t>VISA</t>
        </is>
      </c>
      <c r="E24" t="n">
        <v>1</v>
      </c>
      <c r="F24" t="n">
        <v>9</v>
      </c>
      <c r="G24" s="26" t="n">
        <v>7367</v>
      </c>
      <c r="H24" t="inlineStr">
        <is>
          <t>Octubre 2025</t>
        </is>
      </c>
      <c r="I24" t="inlineStr">
        <is>
          <t>2025-10</t>
        </is>
      </c>
      <c r="J24" t="inlineStr">
        <is>
          <t>PAGADO</t>
        </is>
      </c>
      <c r="K24" t="inlineStr">
        <is>
          <t>C.01/09 · cashflow BBVA · gasto personal Sol</t>
        </is>
      </c>
    </row>
    <row r="25">
      <c r="A25" s="54" t="n">
        <v>45865</v>
      </c>
      <c r="B25" t="inlineStr">
        <is>
          <t>3PRODUCTOS</t>
        </is>
      </c>
      <c r="C25" t="inlineStr">
        <is>
          <t>Personal</t>
        </is>
      </c>
      <c r="D25" t="inlineStr">
        <is>
          <t>VISA</t>
        </is>
      </c>
      <c r="E25" t="n">
        <v>4</v>
      </c>
      <c r="F25" t="n">
        <v>9</v>
      </c>
      <c r="G25" s="26" t="n">
        <v>5445</v>
      </c>
      <c r="H25" t="inlineStr">
        <is>
          <t>Octubre 2025</t>
        </is>
      </c>
      <c r="I25" t="inlineStr">
        <is>
          <t>2025-10</t>
        </is>
      </c>
      <c r="J25" t="inlineStr">
        <is>
          <t>PAGADO</t>
        </is>
      </c>
      <c r="K25" t="inlineStr">
        <is>
          <t>C.04/09 · cashflow BBVA · gasto personal Sol</t>
        </is>
      </c>
    </row>
    <row r="26">
      <c r="A26" s="54" t="n">
        <v>45912</v>
      </c>
      <c r="B26" t="inlineStr">
        <is>
          <t>4PRODUCTOS</t>
        </is>
      </c>
      <c r="C26" t="inlineStr">
        <is>
          <t>Personal</t>
        </is>
      </c>
      <c r="D26" t="inlineStr">
        <is>
          <t>VISA</t>
        </is>
      </c>
      <c r="E26" t="n">
        <v>2</v>
      </c>
      <c r="F26" t="n">
        <v>6</v>
      </c>
      <c r="G26" s="26" t="n">
        <v>13735</v>
      </c>
      <c r="H26" t="inlineStr">
        <is>
          <t>Octubre 2025</t>
        </is>
      </c>
      <c r="I26" t="inlineStr">
        <is>
          <t>2025-10</t>
        </is>
      </c>
      <c r="J26" t="inlineStr">
        <is>
          <t>PAGADO</t>
        </is>
      </c>
      <c r="K26" t="inlineStr">
        <is>
          <t>C.02/06 · cashflow BBVA · gasto personal Sol</t>
        </is>
      </c>
    </row>
    <row r="27">
      <c r="A27" s="54" t="n">
        <v>45918</v>
      </c>
      <c r="B27" t="inlineStr">
        <is>
          <t>BOSSRECOVERY</t>
        </is>
      </c>
      <c r="C27" t="inlineStr">
        <is>
          <t>Personal</t>
        </is>
      </c>
      <c r="D27" t="inlineStr">
        <is>
          <t>VISA</t>
        </is>
      </c>
      <c r="E27" t="n">
        <v>2</v>
      </c>
      <c r="F27" t="n">
        <v>6</v>
      </c>
      <c r="G27" s="26" t="n">
        <v>299834</v>
      </c>
      <c r="H27" t="inlineStr">
        <is>
          <t>Octubre 2025</t>
        </is>
      </c>
      <c r="I27" t="inlineStr">
        <is>
          <t>2025-10</t>
        </is>
      </c>
      <c r="J27" t="inlineStr">
        <is>
          <t>PAGADO</t>
        </is>
      </c>
      <c r="K27" t="inlineStr">
        <is>
          <t>C.02/06 · cashflow BBVA · gasto personal Sol</t>
        </is>
      </c>
    </row>
    <row r="28">
      <c r="A28" s="54" t="n">
        <v>45789</v>
      </c>
      <c r="B28" t="inlineStr">
        <is>
          <t>DIEGOJULIANKOZ</t>
        </is>
      </c>
      <c r="C28" t="inlineStr">
        <is>
          <t>Personal</t>
        </is>
      </c>
      <c r="D28" t="inlineStr">
        <is>
          <t>VISA</t>
        </is>
      </c>
      <c r="E28" t="n">
        <v>6</v>
      </c>
      <c r="F28" t="n">
        <v>9</v>
      </c>
      <c r="G28" s="26" t="n">
        <v>84906</v>
      </c>
      <c r="H28" t="inlineStr">
        <is>
          <t>Octubre 2025</t>
        </is>
      </c>
      <c r="I28" t="inlineStr">
        <is>
          <t>2025-10</t>
        </is>
      </c>
      <c r="J28" t="inlineStr">
        <is>
          <t>PAGADO</t>
        </is>
      </c>
      <c r="K28" t="inlineStr">
        <is>
          <t>C.06/09 · cashflow BBVA · gasto personal Sol</t>
        </is>
      </c>
    </row>
    <row r="29">
      <c r="A29" s="54" t="n">
        <v>45827</v>
      </c>
      <c r="B29" t="inlineStr">
        <is>
          <t>ELCACOSMETICOSINC</t>
        </is>
      </c>
      <c r="C29" t="inlineStr">
        <is>
          <t>Personal</t>
        </is>
      </c>
      <c r="D29" t="inlineStr">
        <is>
          <t>VISA</t>
        </is>
      </c>
      <c r="E29" t="n">
        <v>5</v>
      </c>
      <c r="F29" t="n">
        <v>9</v>
      </c>
      <c r="G29" s="26" t="n">
        <v>15054</v>
      </c>
      <c r="H29" t="inlineStr">
        <is>
          <t>Octubre 2025</t>
        </is>
      </c>
      <c r="I29" t="inlineStr">
        <is>
          <t>2025-10</t>
        </is>
      </c>
      <c r="J29" t="inlineStr">
        <is>
          <t>PAGADO</t>
        </is>
      </c>
      <c r="K29" t="inlineStr">
        <is>
          <t>C.05/09 · cashflow BBVA · gasto personal Sol</t>
        </is>
      </c>
    </row>
    <row r="30">
      <c r="A30" s="54" t="n">
        <v>45890</v>
      </c>
      <c r="B30" t="inlineStr">
        <is>
          <t>JACKIESMITH</t>
        </is>
      </c>
      <c r="C30" t="inlineStr">
        <is>
          <t>Personal</t>
        </is>
      </c>
      <c r="D30" t="inlineStr">
        <is>
          <t>VISA</t>
        </is>
      </c>
      <c r="E30" t="n">
        <v>3</v>
      </c>
      <c r="F30" t="n">
        <v>6</v>
      </c>
      <c r="G30" s="26" t="n">
        <v>10970</v>
      </c>
      <c r="H30" t="inlineStr">
        <is>
          <t>Octubre 2025</t>
        </is>
      </c>
      <c r="I30" t="inlineStr">
        <is>
          <t>2025-10</t>
        </is>
      </c>
      <c r="J30" t="inlineStr">
        <is>
          <t>PAGADO</t>
        </is>
      </c>
      <c r="K30" t="inlineStr">
        <is>
          <t>C.03/06 · cashflow BBVA · gasto personal Sol</t>
        </is>
      </c>
    </row>
    <row r="31">
      <c r="A31" s="54" t="n">
        <v>45895</v>
      </c>
      <c r="B31" t="inlineStr">
        <is>
          <t>MERCADOLIBRE</t>
        </is>
      </c>
      <c r="C31" t="inlineStr">
        <is>
          <t>Mercado Libre</t>
        </is>
      </c>
      <c r="D31" t="inlineStr">
        <is>
          <t>VISA</t>
        </is>
      </c>
      <c r="E31" t="n">
        <v>3</v>
      </c>
      <c r="F31" t="n">
        <v>6</v>
      </c>
      <c r="G31" s="26" t="n">
        <v>22460</v>
      </c>
      <c r="H31" t="inlineStr">
        <is>
          <t>Octubre 2025</t>
        </is>
      </c>
      <c r="I31" t="inlineStr">
        <is>
          <t>2025-10</t>
        </is>
      </c>
      <c r="J31" t="inlineStr">
        <is>
          <t>PAGADO</t>
        </is>
      </c>
      <c r="K31" t="inlineStr">
        <is>
          <t>C.03/06 · cashflow BBVA · gasto personal Sol</t>
        </is>
      </c>
    </row>
    <row r="32">
      <c r="A32" s="54" t="n">
        <v>45815</v>
      </c>
      <c r="B32" t="inlineStr">
        <is>
          <t>MONSERVO</t>
        </is>
      </c>
      <c r="C32" t="inlineStr">
        <is>
          <t>Personal</t>
        </is>
      </c>
      <c r="D32" t="inlineStr">
        <is>
          <t>MASTERCARD</t>
        </is>
      </c>
      <c r="E32" t="n">
        <v>5</v>
      </c>
      <c r="F32" t="n">
        <v>9</v>
      </c>
      <c r="G32" s="26" t="n">
        <v>6665</v>
      </c>
      <c r="H32" t="inlineStr">
        <is>
          <t>Octubre 2025</t>
        </is>
      </c>
      <c r="I32" t="inlineStr">
        <is>
          <t>2025-10</t>
        </is>
      </c>
      <c r="J32" t="inlineStr">
        <is>
          <t>PAGADO</t>
        </is>
      </c>
      <c r="K32" t="inlineStr">
        <is>
          <t>C.05/09 · cashflow BBVA · gasto personal Sol</t>
        </is>
      </c>
    </row>
    <row r="33">
      <c r="A33" s="54" t="n">
        <v>45949</v>
      </c>
      <c r="B33" t="inlineStr">
        <is>
          <t>SELMAMARTINEZ</t>
        </is>
      </c>
      <c r="C33" t="inlineStr">
        <is>
          <t>Personal</t>
        </is>
      </c>
      <c r="D33" t="inlineStr">
        <is>
          <t>VISA</t>
        </is>
      </c>
      <c r="E33" t="n">
        <v>1</v>
      </c>
      <c r="F33" t="n">
        <v>6</v>
      </c>
      <c r="G33" s="26" t="n">
        <v>25259</v>
      </c>
      <c r="H33" t="inlineStr">
        <is>
          <t>Octubre 2025</t>
        </is>
      </c>
      <c r="I33" t="inlineStr">
        <is>
          <t>2025-10</t>
        </is>
      </c>
      <c r="J33" t="inlineStr">
        <is>
          <t>PAGADO</t>
        </is>
      </c>
      <c r="K33" t="inlineStr">
        <is>
          <t>C.01/06 · cashflow BBVA · gasto personal Sol</t>
        </is>
      </c>
    </row>
    <row r="34">
      <c r="A34" s="54" t="n">
        <v>45953</v>
      </c>
      <c r="B34" t="inlineStr">
        <is>
          <t>2PRODUCTOS</t>
        </is>
      </c>
      <c r="C34" t="inlineStr">
        <is>
          <t>Personal</t>
        </is>
      </c>
      <c r="D34" t="inlineStr">
        <is>
          <t>VISA</t>
        </is>
      </c>
      <c r="E34" t="n">
        <v>2</v>
      </c>
      <c r="F34" t="n">
        <v>9</v>
      </c>
      <c r="G34" s="26" t="n">
        <v>7367</v>
      </c>
      <c r="H34" t="inlineStr">
        <is>
          <t>Noviembre 2025</t>
        </is>
      </c>
      <c r="I34" t="inlineStr">
        <is>
          <t>2025-11</t>
        </is>
      </c>
      <c r="J34" t="inlineStr">
        <is>
          <t>PAGADO</t>
        </is>
      </c>
      <c r="K34" t="inlineStr">
        <is>
          <t>C.02/09 · cashflow BBVA · gasto personal Sol</t>
        </is>
      </c>
    </row>
    <row r="35">
      <c r="A35" s="54" t="n">
        <v>45865</v>
      </c>
      <c r="B35" t="inlineStr">
        <is>
          <t>3PRODUCTOS</t>
        </is>
      </c>
      <c r="C35" t="inlineStr">
        <is>
          <t>Personal</t>
        </is>
      </c>
      <c r="D35" t="inlineStr">
        <is>
          <t>VISA</t>
        </is>
      </c>
      <c r="E35" t="n">
        <v>5</v>
      </c>
      <c r="F35" t="n">
        <v>9</v>
      </c>
      <c r="G35" s="26" t="n">
        <v>5445</v>
      </c>
      <c r="H35" t="inlineStr">
        <is>
          <t>Noviembre 2025</t>
        </is>
      </c>
      <c r="I35" t="inlineStr">
        <is>
          <t>2025-11</t>
        </is>
      </c>
      <c r="J35" t="inlineStr">
        <is>
          <t>PAGADO</t>
        </is>
      </c>
      <c r="K35" t="inlineStr">
        <is>
          <t>C.05/09 · cashflow BBVA · gasto personal Sol</t>
        </is>
      </c>
    </row>
    <row r="36">
      <c r="A36" s="54" t="n">
        <v>45912</v>
      </c>
      <c r="B36" t="inlineStr">
        <is>
          <t>4PRODUCTOS</t>
        </is>
      </c>
      <c r="C36" t="inlineStr">
        <is>
          <t>Personal</t>
        </is>
      </c>
      <c r="D36" t="inlineStr">
        <is>
          <t>VISA</t>
        </is>
      </c>
      <c r="E36" t="n">
        <v>3</v>
      </c>
      <c r="F36" t="n">
        <v>6</v>
      </c>
      <c r="G36" s="26" t="n">
        <v>13735</v>
      </c>
      <c r="H36" t="inlineStr">
        <is>
          <t>Noviembre 2025</t>
        </is>
      </c>
      <c r="I36" t="inlineStr">
        <is>
          <t>2025-11</t>
        </is>
      </c>
      <c r="J36" t="inlineStr">
        <is>
          <t>PAGADO</t>
        </is>
      </c>
      <c r="K36" t="inlineStr">
        <is>
          <t>C.03/06 · cashflow BBVA · gasto personal Sol</t>
        </is>
      </c>
    </row>
    <row r="37">
      <c r="A37" s="54" t="n">
        <v>45918</v>
      </c>
      <c r="B37" t="inlineStr">
        <is>
          <t>BOSSRECOVERY</t>
        </is>
      </c>
      <c r="C37" t="inlineStr">
        <is>
          <t>Personal</t>
        </is>
      </c>
      <c r="D37" t="inlineStr">
        <is>
          <t>VISA</t>
        </is>
      </c>
      <c r="E37" t="n">
        <v>3</v>
      </c>
      <c r="F37" t="n">
        <v>6</v>
      </c>
      <c r="G37" s="26" t="n">
        <v>299834</v>
      </c>
      <c r="H37" t="inlineStr">
        <is>
          <t>Noviembre 2025</t>
        </is>
      </c>
      <c r="I37" t="inlineStr">
        <is>
          <t>2025-11</t>
        </is>
      </c>
      <c r="J37" t="inlineStr">
        <is>
          <t>PAGADO</t>
        </is>
      </c>
      <c r="K37" t="inlineStr">
        <is>
          <t>C.03/06 · cashflow BBVA · gasto personal Sol</t>
        </is>
      </c>
    </row>
    <row r="38">
      <c r="A38" s="54" t="n">
        <v>45789</v>
      </c>
      <c r="B38" t="inlineStr">
        <is>
          <t>DIEGOJULIANKOZ</t>
        </is>
      </c>
      <c r="C38" t="inlineStr">
        <is>
          <t>Personal</t>
        </is>
      </c>
      <c r="D38" t="inlineStr">
        <is>
          <t>VISA</t>
        </is>
      </c>
      <c r="E38" t="n">
        <v>7</v>
      </c>
      <c r="F38" t="n">
        <v>9</v>
      </c>
      <c r="G38" s="26" t="n">
        <v>84906</v>
      </c>
      <c r="H38" t="inlineStr">
        <is>
          <t>Noviembre 2025</t>
        </is>
      </c>
      <c r="I38" t="inlineStr">
        <is>
          <t>2025-11</t>
        </is>
      </c>
      <c r="J38" t="inlineStr">
        <is>
          <t>PAGADO</t>
        </is>
      </c>
      <c r="K38" t="inlineStr">
        <is>
          <t>C.07/09 · cashflow BBVA · gasto personal Sol</t>
        </is>
      </c>
    </row>
    <row r="39">
      <c r="A39" s="54" t="n">
        <v>45827</v>
      </c>
      <c r="B39" t="inlineStr">
        <is>
          <t>ELCACOSMETICOSINC</t>
        </is>
      </c>
      <c r="C39" t="inlineStr">
        <is>
          <t>Personal</t>
        </is>
      </c>
      <c r="D39" t="inlineStr">
        <is>
          <t>VISA</t>
        </is>
      </c>
      <c r="E39" t="n">
        <v>6</v>
      </c>
      <c r="F39" t="n">
        <v>9</v>
      </c>
      <c r="G39" s="26" t="n">
        <v>15054</v>
      </c>
      <c r="H39" t="inlineStr">
        <is>
          <t>Noviembre 2025</t>
        </is>
      </c>
      <c r="I39" t="inlineStr">
        <is>
          <t>2025-11</t>
        </is>
      </c>
      <c r="J39" t="inlineStr">
        <is>
          <t>PAGADO</t>
        </is>
      </c>
      <c r="K39" t="inlineStr">
        <is>
          <t>C.06/09 · cashflow BBVA · gasto personal Sol</t>
        </is>
      </c>
    </row>
    <row r="40">
      <c r="A40" s="54" t="n">
        <v>45890</v>
      </c>
      <c r="B40" t="inlineStr">
        <is>
          <t>JACKIESMITH</t>
        </is>
      </c>
      <c r="C40" t="inlineStr">
        <is>
          <t>Personal</t>
        </is>
      </c>
      <c r="D40" t="inlineStr">
        <is>
          <t>VISA</t>
        </is>
      </c>
      <c r="E40" t="n">
        <v>4</v>
      </c>
      <c r="F40" t="n">
        <v>6</v>
      </c>
      <c r="G40" s="26" t="n">
        <v>10970</v>
      </c>
      <c r="H40" t="inlineStr">
        <is>
          <t>Noviembre 2025</t>
        </is>
      </c>
      <c r="I40" t="inlineStr">
        <is>
          <t>2025-11</t>
        </is>
      </c>
      <c r="J40" t="inlineStr">
        <is>
          <t>PAGADO</t>
        </is>
      </c>
      <c r="K40" t="inlineStr">
        <is>
          <t>C.04/06 · cashflow BBVA · gasto personal Sol</t>
        </is>
      </c>
    </row>
    <row r="41">
      <c r="A41" s="54" t="n">
        <v>45895</v>
      </c>
      <c r="B41" t="inlineStr">
        <is>
          <t>MERCADOLIBRE</t>
        </is>
      </c>
      <c r="C41" t="inlineStr">
        <is>
          <t>Mercado Libre</t>
        </is>
      </c>
      <c r="D41" t="inlineStr">
        <is>
          <t>VISA</t>
        </is>
      </c>
      <c r="E41" t="n">
        <v>4</v>
      </c>
      <c r="F41" t="n">
        <v>6</v>
      </c>
      <c r="G41" s="26" t="n">
        <v>22460</v>
      </c>
      <c r="H41" t="inlineStr">
        <is>
          <t>Noviembre 2025</t>
        </is>
      </c>
      <c r="I41" t="inlineStr">
        <is>
          <t>2025-11</t>
        </is>
      </c>
      <c r="J41" t="inlineStr">
        <is>
          <t>PAGADO</t>
        </is>
      </c>
      <c r="K41" t="inlineStr">
        <is>
          <t>C.04/06 · cashflow BBVA · gasto personal Sol</t>
        </is>
      </c>
    </row>
    <row r="42">
      <c r="A42" s="54" t="n">
        <v>45815</v>
      </c>
      <c r="B42" t="inlineStr">
        <is>
          <t>MONSERVO</t>
        </is>
      </c>
      <c r="C42" t="inlineStr">
        <is>
          <t>Personal</t>
        </is>
      </c>
      <c r="D42" t="inlineStr">
        <is>
          <t>MASTERCARD</t>
        </is>
      </c>
      <c r="E42" t="n">
        <v>6</v>
      </c>
      <c r="F42" t="n">
        <v>9</v>
      </c>
      <c r="G42" s="26" t="n">
        <v>6665</v>
      </c>
      <c r="H42" t="inlineStr">
        <is>
          <t>Noviembre 2025</t>
        </is>
      </c>
      <c r="I42" t="inlineStr">
        <is>
          <t>2025-11</t>
        </is>
      </c>
      <c r="J42" t="inlineStr">
        <is>
          <t>PAGADO</t>
        </is>
      </c>
      <c r="K42" t="inlineStr">
        <is>
          <t>C.06/09 · cashflow BBVA · gasto personal Sol</t>
        </is>
      </c>
    </row>
    <row r="43">
      <c r="A43" s="54" t="n">
        <v>45949</v>
      </c>
      <c r="B43" t="inlineStr">
        <is>
          <t>SELMAMARTINEZ</t>
        </is>
      </c>
      <c r="C43" t="inlineStr">
        <is>
          <t>Personal</t>
        </is>
      </c>
      <c r="D43" t="inlineStr">
        <is>
          <t>VISA</t>
        </is>
      </c>
      <c r="E43" t="n">
        <v>2</v>
      </c>
      <c r="F43" t="n">
        <v>6</v>
      </c>
      <c r="G43" s="26" t="n">
        <v>25259</v>
      </c>
      <c r="H43" t="inlineStr">
        <is>
          <t>Noviembre 2025</t>
        </is>
      </c>
      <c r="I43" t="inlineStr">
        <is>
          <t>2025-11</t>
        </is>
      </c>
      <c r="J43" t="inlineStr">
        <is>
          <t>PAGADO</t>
        </is>
      </c>
      <c r="K43" t="inlineStr">
        <is>
          <t>C.02/06 · cashflow BBVA · gasto personal Sol</t>
        </is>
      </c>
    </row>
    <row r="44">
      <c r="A44" s="54" t="n">
        <v>45970</v>
      </c>
      <c r="B44" t="inlineStr">
        <is>
          <t>THECANDLESHOP</t>
        </is>
      </c>
      <c r="C44" t="inlineStr">
        <is>
          <t>Personal</t>
        </is>
      </c>
      <c r="D44" t="inlineStr">
        <is>
          <t>MASTERCARD</t>
        </is>
      </c>
      <c r="E44" t="n">
        <v>1</v>
      </c>
      <c r="F44" t="n">
        <v>3</v>
      </c>
      <c r="G44" s="26" t="n">
        <v>71230</v>
      </c>
      <c r="H44" t="inlineStr">
        <is>
          <t>Noviembre 2025</t>
        </is>
      </c>
      <c r="I44" t="inlineStr">
        <is>
          <t>2025-11</t>
        </is>
      </c>
      <c r="J44" t="inlineStr">
        <is>
          <t>PAGADO</t>
        </is>
      </c>
      <c r="K44" t="inlineStr">
        <is>
          <t>C.01/03 · cashflow BBVA · gasto personal Sol</t>
        </is>
      </c>
    </row>
    <row r="45">
      <c r="A45" s="54" t="n">
        <v>45953</v>
      </c>
      <c r="B45" t="inlineStr">
        <is>
          <t>2PRODUCTOS</t>
        </is>
      </c>
      <c r="C45" t="inlineStr">
        <is>
          <t>Personal</t>
        </is>
      </c>
      <c r="D45" t="inlineStr">
        <is>
          <t>VISA</t>
        </is>
      </c>
      <c r="E45" t="n">
        <v>3</v>
      </c>
      <c r="F45" t="n">
        <v>9</v>
      </c>
      <c r="G45" s="26" t="n">
        <v>7367</v>
      </c>
      <c r="H45" t="inlineStr">
        <is>
          <t>Diciembre 2025</t>
        </is>
      </c>
      <c r="I45" t="inlineStr">
        <is>
          <t>2025-12</t>
        </is>
      </c>
      <c r="J45" t="inlineStr">
        <is>
          <t>PAGADO</t>
        </is>
      </c>
      <c r="K45" t="inlineStr">
        <is>
          <t>C.03/09 · cashflow BBVA · gasto personal Sol</t>
        </is>
      </c>
    </row>
    <row r="46">
      <c r="A46" s="54" t="n">
        <v>45865</v>
      </c>
      <c r="B46" t="inlineStr">
        <is>
          <t>3PRODUCTOS</t>
        </is>
      </c>
      <c r="C46" t="inlineStr">
        <is>
          <t>Personal</t>
        </is>
      </c>
      <c r="D46" t="inlineStr">
        <is>
          <t>VISA</t>
        </is>
      </c>
      <c r="E46" t="n">
        <v>6</v>
      </c>
      <c r="F46" t="n">
        <v>9</v>
      </c>
      <c r="G46" s="26" t="n">
        <v>5445</v>
      </c>
      <c r="H46" t="inlineStr">
        <is>
          <t>Diciembre 2025</t>
        </is>
      </c>
      <c r="I46" t="inlineStr">
        <is>
          <t>2025-12</t>
        </is>
      </c>
      <c r="J46" t="inlineStr">
        <is>
          <t>PAGADO</t>
        </is>
      </c>
      <c r="K46" t="inlineStr">
        <is>
          <t>C.06/09 · cashflow BBVA · gasto personal Sol</t>
        </is>
      </c>
    </row>
    <row r="47">
      <c r="A47" s="54" t="n">
        <v>45912</v>
      </c>
      <c r="B47" t="inlineStr">
        <is>
          <t>4PRODUCTOS</t>
        </is>
      </c>
      <c r="C47" t="inlineStr">
        <is>
          <t>Personal</t>
        </is>
      </c>
      <c r="D47" t="inlineStr">
        <is>
          <t>VISA</t>
        </is>
      </c>
      <c r="E47" t="n">
        <v>4</v>
      </c>
      <c r="F47" t="n">
        <v>6</v>
      </c>
      <c r="G47" s="26" t="n">
        <v>13735</v>
      </c>
      <c r="H47" t="inlineStr">
        <is>
          <t>Diciembre 2025</t>
        </is>
      </c>
      <c r="I47" t="inlineStr">
        <is>
          <t>2025-12</t>
        </is>
      </c>
      <c r="J47" t="inlineStr">
        <is>
          <t>PAGADO</t>
        </is>
      </c>
      <c r="K47" t="inlineStr">
        <is>
          <t>C.04/06 · cashflow BBVA · gasto personal Sol</t>
        </is>
      </c>
    </row>
    <row r="48">
      <c r="A48" s="54" t="n">
        <v>45918</v>
      </c>
      <c r="B48" t="inlineStr">
        <is>
          <t>BOSSRECOVERY</t>
        </is>
      </c>
      <c r="C48" t="inlineStr">
        <is>
          <t>Personal</t>
        </is>
      </c>
      <c r="D48" t="inlineStr">
        <is>
          <t>VISA</t>
        </is>
      </c>
      <c r="E48" t="n">
        <v>4</v>
      </c>
      <c r="F48" t="n">
        <v>6</v>
      </c>
      <c r="G48" s="26" t="n">
        <v>299834</v>
      </c>
      <c r="H48" t="inlineStr">
        <is>
          <t>Diciembre 2025</t>
        </is>
      </c>
      <c r="I48" t="inlineStr">
        <is>
          <t>2025-12</t>
        </is>
      </c>
      <c r="J48" t="inlineStr">
        <is>
          <t>PAGADO</t>
        </is>
      </c>
      <c r="K48" t="inlineStr">
        <is>
          <t>C.04/06 · cashflow BBVA · gasto personal Sol</t>
        </is>
      </c>
    </row>
    <row r="49">
      <c r="A49" s="54" t="n">
        <v>45789</v>
      </c>
      <c r="B49" t="inlineStr">
        <is>
          <t>DIEGOJULIANKOZ</t>
        </is>
      </c>
      <c r="C49" t="inlineStr">
        <is>
          <t>Personal</t>
        </is>
      </c>
      <c r="D49" t="inlineStr">
        <is>
          <t>VISA</t>
        </is>
      </c>
      <c r="E49" t="n">
        <v>8</v>
      </c>
      <c r="F49" t="n">
        <v>9</v>
      </c>
      <c r="G49" s="26" t="n">
        <v>84906</v>
      </c>
      <c r="H49" t="inlineStr">
        <is>
          <t>Diciembre 2025</t>
        </is>
      </c>
      <c r="I49" t="inlineStr">
        <is>
          <t>2025-12</t>
        </is>
      </c>
      <c r="J49" t="inlineStr">
        <is>
          <t>PAGADO</t>
        </is>
      </c>
      <c r="K49" t="inlineStr">
        <is>
          <t>C.08/09 · cashflow BBVA · gasto personal Sol</t>
        </is>
      </c>
    </row>
    <row r="50">
      <c r="A50" s="54" t="n">
        <v>45827</v>
      </c>
      <c r="B50" t="inlineStr">
        <is>
          <t>ELCACOSMETICOSINC</t>
        </is>
      </c>
      <c r="C50" t="inlineStr">
        <is>
          <t>Personal</t>
        </is>
      </c>
      <c r="D50" t="inlineStr">
        <is>
          <t>VISA</t>
        </is>
      </c>
      <c r="E50" t="n">
        <v>7</v>
      </c>
      <c r="F50" t="n">
        <v>9</v>
      </c>
      <c r="G50" s="26" t="n">
        <v>15054</v>
      </c>
      <c r="H50" t="inlineStr">
        <is>
          <t>Diciembre 2025</t>
        </is>
      </c>
      <c r="I50" t="inlineStr">
        <is>
          <t>2025-12</t>
        </is>
      </c>
      <c r="J50" t="inlineStr">
        <is>
          <t>PAGADO</t>
        </is>
      </c>
      <c r="K50" t="inlineStr">
        <is>
          <t>C.07/09 · cashflow BBVA · gasto personal Sol</t>
        </is>
      </c>
    </row>
    <row r="51">
      <c r="A51" s="54" t="n">
        <v>45890</v>
      </c>
      <c r="B51" t="inlineStr">
        <is>
          <t>JACKIESMITH</t>
        </is>
      </c>
      <c r="C51" t="inlineStr">
        <is>
          <t>Personal</t>
        </is>
      </c>
      <c r="D51" t="inlineStr">
        <is>
          <t>VISA</t>
        </is>
      </c>
      <c r="E51" t="n">
        <v>5</v>
      </c>
      <c r="F51" t="n">
        <v>6</v>
      </c>
      <c r="G51" s="26" t="n">
        <v>10970</v>
      </c>
      <c r="H51" t="inlineStr">
        <is>
          <t>Diciembre 2025</t>
        </is>
      </c>
      <c r="I51" t="inlineStr">
        <is>
          <t>2025-12</t>
        </is>
      </c>
      <c r="J51" t="inlineStr">
        <is>
          <t>PAGADO</t>
        </is>
      </c>
      <c r="K51" t="inlineStr">
        <is>
          <t>C.05/06 · cashflow BBVA · gasto personal Sol</t>
        </is>
      </c>
    </row>
    <row r="52">
      <c r="A52" s="54" t="n">
        <v>45895</v>
      </c>
      <c r="B52" t="inlineStr">
        <is>
          <t>MERCADOLIBRE</t>
        </is>
      </c>
      <c r="C52" t="inlineStr">
        <is>
          <t>Mercado Libre</t>
        </is>
      </c>
      <c r="D52" t="inlineStr">
        <is>
          <t>VISA</t>
        </is>
      </c>
      <c r="E52" t="n">
        <v>5</v>
      </c>
      <c r="F52" t="n">
        <v>6</v>
      </c>
      <c r="G52" s="26" t="n">
        <v>22460</v>
      </c>
      <c r="H52" t="inlineStr">
        <is>
          <t>Diciembre 2025</t>
        </is>
      </c>
      <c r="I52" t="inlineStr">
        <is>
          <t>2025-12</t>
        </is>
      </c>
      <c r="J52" t="inlineStr">
        <is>
          <t>PAGADO</t>
        </is>
      </c>
      <c r="K52" t="inlineStr">
        <is>
          <t>C.05/06 · cashflow BBVA · gasto personal Sol</t>
        </is>
      </c>
    </row>
    <row r="53">
      <c r="A53" s="54" t="n">
        <v>45815</v>
      </c>
      <c r="B53" t="inlineStr">
        <is>
          <t>MONSERVO</t>
        </is>
      </c>
      <c r="C53" t="inlineStr">
        <is>
          <t>Personal</t>
        </is>
      </c>
      <c r="D53" t="inlineStr">
        <is>
          <t>MASTERCARD</t>
        </is>
      </c>
      <c r="E53" t="n">
        <v>7</v>
      </c>
      <c r="F53" t="n">
        <v>9</v>
      </c>
      <c r="G53" s="26" t="n">
        <v>6665</v>
      </c>
      <c r="H53" t="inlineStr">
        <is>
          <t>Diciembre 2025</t>
        </is>
      </c>
      <c r="I53" t="inlineStr">
        <is>
          <t>2025-12</t>
        </is>
      </c>
      <c r="J53" t="inlineStr">
        <is>
          <t>PAGADO</t>
        </is>
      </c>
      <c r="K53" t="inlineStr">
        <is>
          <t>C.07/09 · cashflow BBVA · gasto personal Sol</t>
        </is>
      </c>
    </row>
    <row r="54">
      <c r="A54" s="54" t="n">
        <v>46016</v>
      </c>
      <c r="B54" t="inlineStr">
        <is>
          <t>PANALESENOFER</t>
        </is>
      </c>
      <c r="C54" t="inlineStr">
        <is>
          <t>Personal</t>
        </is>
      </c>
      <c r="D54" t="inlineStr">
        <is>
          <t>MASTERCARD</t>
        </is>
      </c>
      <c r="E54" t="n">
        <v>1</v>
      </c>
      <c r="F54" t="n">
        <v>2</v>
      </c>
      <c r="G54" s="26" t="n">
        <v>16335</v>
      </c>
      <c r="H54" t="inlineStr">
        <is>
          <t>Diciembre 2025</t>
        </is>
      </c>
      <c r="I54" t="inlineStr">
        <is>
          <t>2025-12</t>
        </is>
      </c>
      <c r="J54" t="inlineStr">
        <is>
          <t>PAGADO</t>
        </is>
      </c>
      <c r="K54" t="inlineStr">
        <is>
          <t>C.01/02 · cashflow BBVA · gasto personal Sol</t>
        </is>
      </c>
    </row>
    <row r="55">
      <c r="A55" s="54" t="n">
        <v>45949</v>
      </c>
      <c r="B55" t="inlineStr">
        <is>
          <t>SELMAMARTINEZ</t>
        </is>
      </c>
      <c r="C55" t="inlineStr">
        <is>
          <t>Personal</t>
        </is>
      </c>
      <c r="D55" t="inlineStr">
        <is>
          <t>VISA</t>
        </is>
      </c>
      <c r="E55" t="n">
        <v>3</v>
      </c>
      <c r="F55" t="n">
        <v>6</v>
      </c>
      <c r="G55" s="26" t="n">
        <v>25259</v>
      </c>
      <c r="H55" t="inlineStr">
        <is>
          <t>Diciembre 2025</t>
        </is>
      </c>
      <c r="I55" t="inlineStr">
        <is>
          <t>2025-12</t>
        </is>
      </c>
      <c r="J55" t="inlineStr">
        <is>
          <t>PAGADO</t>
        </is>
      </c>
      <c r="K55" t="inlineStr">
        <is>
          <t>C.03/06 · cashflow BBVA · gasto personal Sol</t>
        </is>
      </c>
    </row>
    <row r="56">
      <c r="A56" s="54" t="n">
        <v>45970</v>
      </c>
      <c r="B56" t="inlineStr">
        <is>
          <t>THECANDLESHOP</t>
        </is>
      </c>
      <c r="C56" t="inlineStr">
        <is>
          <t>Personal</t>
        </is>
      </c>
      <c r="D56" t="inlineStr">
        <is>
          <t>MASTERCARD</t>
        </is>
      </c>
      <c r="E56" t="n">
        <v>2</v>
      </c>
      <c r="F56" t="n">
        <v>3</v>
      </c>
      <c r="G56" s="26" t="n">
        <v>71230</v>
      </c>
      <c r="H56" t="inlineStr">
        <is>
          <t>Diciembre 2025</t>
        </is>
      </c>
      <c r="I56" t="inlineStr">
        <is>
          <t>2025-12</t>
        </is>
      </c>
      <c r="J56" t="inlineStr">
        <is>
          <t>PAGADO</t>
        </is>
      </c>
      <c r="K56" t="inlineStr">
        <is>
          <t>C.02/03 · cashflow BBVA · gasto personal Sol</t>
        </is>
      </c>
    </row>
    <row r="57">
      <c r="A57" s="54" t="n">
        <v>45953</v>
      </c>
      <c r="B57" t="inlineStr">
        <is>
          <t>2PRODUCTOS</t>
        </is>
      </c>
      <c r="C57" t="inlineStr">
        <is>
          <t>Personal</t>
        </is>
      </c>
      <c r="D57" t="inlineStr">
        <is>
          <t>VISA</t>
        </is>
      </c>
      <c r="E57" t="n">
        <v>4</v>
      </c>
      <c r="F57" t="n">
        <v>9</v>
      </c>
      <c r="G57" s="26" t="n">
        <v>7367</v>
      </c>
      <c r="H57" t="inlineStr">
        <is>
          <t>Enero 2026</t>
        </is>
      </c>
      <c r="I57" t="inlineStr">
        <is>
          <t>2026-01</t>
        </is>
      </c>
      <c r="J57" t="inlineStr">
        <is>
          <t>PAGADO</t>
        </is>
      </c>
      <c r="K57" t="inlineStr">
        <is>
          <t>C.04/09 · cashflow BBVA · gasto personal Sol</t>
        </is>
      </c>
    </row>
    <row r="58">
      <c r="A58" s="54" t="n">
        <v>45865</v>
      </c>
      <c r="B58" t="inlineStr">
        <is>
          <t>3PRODUCTOS</t>
        </is>
      </c>
      <c r="C58" t="inlineStr">
        <is>
          <t>Personal</t>
        </is>
      </c>
      <c r="D58" t="inlineStr">
        <is>
          <t>VISA</t>
        </is>
      </c>
      <c r="E58" t="n">
        <v>7</v>
      </c>
      <c r="F58" t="n">
        <v>9</v>
      </c>
      <c r="G58" s="26" t="n">
        <v>5445</v>
      </c>
      <c r="H58" t="inlineStr">
        <is>
          <t>Enero 2026</t>
        </is>
      </c>
      <c r="I58" t="inlineStr">
        <is>
          <t>2026-01</t>
        </is>
      </c>
      <c r="J58" t="inlineStr">
        <is>
          <t>PAGADO</t>
        </is>
      </c>
      <c r="K58" t="inlineStr">
        <is>
          <t>C.07/09 · cashflow BBVA · gasto personal Sol</t>
        </is>
      </c>
    </row>
    <row r="59">
      <c r="A59" s="54" t="n">
        <v>45912</v>
      </c>
      <c r="B59" t="inlineStr">
        <is>
          <t>4PRODUCTOS</t>
        </is>
      </c>
      <c r="C59" t="inlineStr">
        <is>
          <t>Personal</t>
        </is>
      </c>
      <c r="D59" t="inlineStr">
        <is>
          <t>VISA</t>
        </is>
      </c>
      <c r="E59" t="n">
        <v>5</v>
      </c>
      <c r="F59" t="n">
        <v>6</v>
      </c>
      <c r="G59" s="26" t="n">
        <v>13735</v>
      </c>
      <c r="H59" t="inlineStr">
        <is>
          <t>Enero 2026</t>
        </is>
      </c>
      <c r="I59" t="inlineStr">
        <is>
          <t>2026-01</t>
        </is>
      </c>
      <c r="J59" t="inlineStr">
        <is>
          <t>PAGADO</t>
        </is>
      </c>
      <c r="K59" t="inlineStr">
        <is>
          <t>C.05/06 · cashflow BBVA · gasto personal Sol</t>
        </is>
      </c>
    </row>
    <row r="60">
      <c r="A60" s="54" t="n">
        <v>46033</v>
      </c>
      <c r="B60" t="inlineStr">
        <is>
          <t>ARTEREGAL</t>
        </is>
      </c>
      <c r="C60" t="inlineStr">
        <is>
          <t>Personal</t>
        </is>
      </c>
      <c r="D60" t="inlineStr">
        <is>
          <t>MASTERCARD</t>
        </is>
      </c>
      <c r="E60" t="n">
        <v>1</v>
      </c>
      <c r="F60" t="n">
        <v>3</v>
      </c>
      <c r="G60" s="26" t="n">
        <v>24800</v>
      </c>
      <c r="H60" t="inlineStr">
        <is>
          <t>Enero 2026</t>
        </is>
      </c>
      <c r="I60" t="inlineStr">
        <is>
          <t>2026-01</t>
        </is>
      </c>
      <c r="J60" t="inlineStr">
        <is>
          <t>PAGADO</t>
        </is>
      </c>
      <c r="K60" t="inlineStr">
        <is>
          <t>C.01/03 · cashflow BBVA · gasto personal Sol</t>
        </is>
      </c>
    </row>
    <row r="61">
      <c r="A61" s="54" t="n">
        <v>45918</v>
      </c>
      <c r="B61" t="inlineStr">
        <is>
          <t>BOSSRECOVERY</t>
        </is>
      </c>
      <c r="C61" t="inlineStr">
        <is>
          <t>Personal</t>
        </is>
      </c>
      <c r="D61" t="inlineStr">
        <is>
          <t>VISA</t>
        </is>
      </c>
      <c r="E61" t="n">
        <v>5</v>
      </c>
      <c r="F61" t="n">
        <v>6</v>
      </c>
      <c r="G61" s="26" t="n">
        <v>299834</v>
      </c>
      <c r="H61" t="inlineStr">
        <is>
          <t>Enero 2026</t>
        </is>
      </c>
      <c r="I61" t="inlineStr">
        <is>
          <t>2026-01</t>
        </is>
      </c>
      <c r="J61" t="inlineStr">
        <is>
          <t>PAGADO</t>
        </is>
      </c>
      <c r="K61" t="inlineStr">
        <is>
          <t>C.05/06 · cashflow BBVA · gasto personal Sol</t>
        </is>
      </c>
    </row>
    <row r="62">
      <c r="A62" s="54" t="n">
        <v>45789</v>
      </c>
      <c r="B62" t="inlineStr">
        <is>
          <t>DIEGOJULIANKOZ</t>
        </is>
      </c>
      <c r="C62" t="inlineStr">
        <is>
          <t>Personal</t>
        </is>
      </c>
      <c r="D62" t="inlineStr">
        <is>
          <t>VISA</t>
        </is>
      </c>
      <c r="E62" t="n">
        <v>9</v>
      </c>
      <c r="F62" t="n">
        <v>9</v>
      </c>
      <c r="G62" s="26" t="n">
        <v>84906</v>
      </c>
      <c r="H62" t="inlineStr">
        <is>
          <t>Enero 2026</t>
        </is>
      </c>
      <c r="I62" t="inlineStr">
        <is>
          <t>2026-01</t>
        </is>
      </c>
      <c r="J62" t="inlineStr">
        <is>
          <t>PAGADO</t>
        </is>
      </c>
      <c r="K62" t="inlineStr">
        <is>
          <t>C.09/09 · cashflow BBVA · gasto personal Sol</t>
        </is>
      </c>
    </row>
    <row r="63">
      <c r="A63" s="54" t="n">
        <v>46032</v>
      </c>
      <c r="B63" t="inlineStr">
        <is>
          <t>DLO*SANBRAS</t>
        </is>
      </c>
      <c r="C63" t="inlineStr">
        <is>
          <t>Personal</t>
        </is>
      </c>
      <c r="D63" t="inlineStr">
        <is>
          <t>VISA</t>
        </is>
      </c>
      <c r="E63" t="n">
        <v>1</v>
      </c>
      <c r="F63" t="n">
        <v>3</v>
      </c>
      <c r="G63" s="26" t="n">
        <v>40334</v>
      </c>
      <c r="H63" t="inlineStr">
        <is>
          <t>Enero 2026</t>
        </is>
      </c>
      <c r="I63" t="inlineStr">
        <is>
          <t>2026-01</t>
        </is>
      </c>
      <c r="J63" t="inlineStr">
        <is>
          <t>PAGADO</t>
        </is>
      </c>
      <c r="K63" t="inlineStr">
        <is>
          <t>C.01/03 · cashflow BBVA · gasto personal Sol</t>
        </is>
      </c>
    </row>
    <row r="64">
      <c r="A64" s="54" t="n">
        <v>45827</v>
      </c>
      <c r="B64" t="inlineStr">
        <is>
          <t>ELCACOSMETICOSINC</t>
        </is>
      </c>
      <c r="C64" t="inlineStr">
        <is>
          <t>Personal</t>
        </is>
      </c>
      <c r="D64" t="inlineStr">
        <is>
          <t>VISA</t>
        </is>
      </c>
      <c r="E64" t="n">
        <v>8</v>
      </c>
      <c r="F64" t="n">
        <v>9</v>
      </c>
      <c r="G64" s="26" t="n">
        <v>15054</v>
      </c>
      <c r="H64" t="inlineStr">
        <is>
          <t>Enero 2026</t>
        </is>
      </c>
      <c r="I64" t="inlineStr">
        <is>
          <t>2026-01</t>
        </is>
      </c>
      <c r="J64" t="inlineStr">
        <is>
          <t>PAGADO</t>
        </is>
      </c>
      <c r="K64" t="inlineStr">
        <is>
          <t>C.08/09 · cashflow BBVA · gasto personal Sol</t>
        </is>
      </c>
    </row>
    <row r="65">
      <c r="A65" s="54" t="n">
        <v>45890</v>
      </c>
      <c r="B65" t="inlineStr">
        <is>
          <t>JACKIESMITH</t>
        </is>
      </c>
      <c r="C65" t="inlineStr">
        <is>
          <t>Personal</t>
        </is>
      </c>
      <c r="D65" t="inlineStr">
        <is>
          <t>VISA</t>
        </is>
      </c>
      <c r="E65" t="n">
        <v>6</v>
      </c>
      <c r="F65" t="n">
        <v>6</v>
      </c>
      <c r="G65" s="26" t="n">
        <v>10970</v>
      </c>
      <c r="H65" t="inlineStr">
        <is>
          <t>Enero 2026</t>
        </is>
      </c>
      <c r="I65" t="inlineStr">
        <is>
          <t>2026-01</t>
        </is>
      </c>
      <c r="J65" t="inlineStr">
        <is>
          <t>PAGADO</t>
        </is>
      </c>
      <c r="K65" t="inlineStr">
        <is>
          <t>C.06/06 · cashflow BBVA · gasto personal Sol</t>
        </is>
      </c>
    </row>
    <row r="66">
      <c r="A66" s="54" t="n">
        <v>46021</v>
      </c>
      <c r="B66" t="inlineStr">
        <is>
          <t>LONGCHAMP</t>
        </is>
      </c>
      <c r="C66" t="inlineStr">
        <is>
          <t>ROPA</t>
        </is>
      </c>
      <c r="D66" t="inlineStr">
        <is>
          <t>MASTERCARD</t>
        </is>
      </c>
      <c r="E66" t="n">
        <v>1</v>
      </c>
      <c r="F66" t="n">
        <v>6</v>
      </c>
      <c r="G66" s="26" t="n">
        <v>63750</v>
      </c>
      <c r="H66" t="inlineStr">
        <is>
          <t>Enero 2026</t>
        </is>
      </c>
      <c r="I66" t="inlineStr">
        <is>
          <t>2026-01</t>
        </is>
      </c>
      <c r="J66" t="inlineStr">
        <is>
          <t>PAGADO</t>
        </is>
      </c>
      <c r="K66" t="inlineStr">
        <is>
          <t>C.01/06 · cashflow BBVA · gasto personal Sol</t>
        </is>
      </c>
    </row>
    <row r="67">
      <c r="A67" s="54" t="n">
        <v>45895</v>
      </c>
      <c r="B67" t="inlineStr">
        <is>
          <t>MERCADOLIBRE</t>
        </is>
      </c>
      <c r="C67" t="inlineStr">
        <is>
          <t>Mercado Libre</t>
        </is>
      </c>
      <c r="D67" t="inlineStr">
        <is>
          <t>VISA</t>
        </is>
      </c>
      <c r="E67" t="n">
        <v>6</v>
      </c>
      <c r="F67" t="n">
        <v>6</v>
      </c>
      <c r="G67" s="26" t="n">
        <v>22460</v>
      </c>
      <c r="H67" t="inlineStr">
        <is>
          <t>Enero 2026</t>
        </is>
      </c>
      <c r="I67" t="inlineStr">
        <is>
          <t>2026-01</t>
        </is>
      </c>
      <c r="J67" t="inlineStr">
        <is>
          <t>PAGADO</t>
        </is>
      </c>
      <c r="K67" t="inlineStr">
        <is>
          <t>C.06/06 · cashflow BBVA · gasto personal Sol</t>
        </is>
      </c>
    </row>
    <row r="68">
      <c r="A68" s="54" t="n">
        <v>45815</v>
      </c>
      <c r="B68" t="inlineStr">
        <is>
          <t>MONSERVO</t>
        </is>
      </c>
      <c r="C68" t="inlineStr">
        <is>
          <t>Personal</t>
        </is>
      </c>
      <c r="D68" t="inlineStr">
        <is>
          <t>MASTERCARD</t>
        </is>
      </c>
      <c r="E68" t="n">
        <v>8</v>
      </c>
      <c r="F68" t="n">
        <v>9</v>
      </c>
      <c r="G68" s="26" t="n">
        <v>6665</v>
      </c>
      <c r="H68" t="inlineStr">
        <is>
          <t>Enero 2026</t>
        </is>
      </c>
      <c r="I68" t="inlineStr">
        <is>
          <t>2026-01</t>
        </is>
      </c>
      <c r="J68" t="inlineStr">
        <is>
          <t>PAGADO</t>
        </is>
      </c>
      <c r="K68" t="inlineStr">
        <is>
          <t>C.08/09 · cashflow BBVA · gasto personal Sol</t>
        </is>
      </c>
    </row>
    <row r="69">
      <c r="A69" s="54" t="n">
        <v>46016</v>
      </c>
      <c r="B69" t="inlineStr">
        <is>
          <t>PANALESENOFER</t>
        </is>
      </c>
      <c r="C69" t="inlineStr">
        <is>
          <t>Personal</t>
        </is>
      </c>
      <c r="D69" t="inlineStr">
        <is>
          <t>MASTERCARD</t>
        </is>
      </c>
      <c r="E69" t="n">
        <v>2</v>
      </c>
      <c r="F69" t="n">
        <v>2</v>
      </c>
      <c r="G69" s="26" t="n">
        <v>16335</v>
      </c>
      <c r="H69" t="inlineStr">
        <is>
          <t>Enero 2026</t>
        </is>
      </c>
      <c r="I69" t="inlineStr">
        <is>
          <t>2026-01</t>
        </is>
      </c>
      <c r="J69" t="inlineStr">
        <is>
          <t>PAGADO</t>
        </is>
      </c>
      <c r="K69" t="inlineStr">
        <is>
          <t>C.02/02 · cashflow BBVA · gasto personal Sol</t>
        </is>
      </c>
    </row>
    <row r="70">
      <c r="A70" s="54" t="n">
        <v>45949</v>
      </c>
      <c r="B70" t="inlineStr">
        <is>
          <t>SELMAMARTINEZ</t>
        </is>
      </c>
      <c r="C70" t="inlineStr">
        <is>
          <t>Personal</t>
        </is>
      </c>
      <c r="D70" t="inlineStr">
        <is>
          <t>VISA</t>
        </is>
      </c>
      <c r="E70" t="n">
        <v>4</v>
      </c>
      <c r="F70" t="n">
        <v>6</v>
      </c>
      <c r="G70" s="26" t="n">
        <v>25259</v>
      </c>
      <c r="H70" t="inlineStr">
        <is>
          <t>Enero 2026</t>
        </is>
      </c>
      <c r="I70" t="inlineStr">
        <is>
          <t>2026-01</t>
        </is>
      </c>
      <c r="J70" t="inlineStr">
        <is>
          <t>PAGADO</t>
        </is>
      </c>
      <c r="K70" t="inlineStr">
        <is>
          <t>C.04/06 · cashflow BBVA · gasto personal Sol</t>
        </is>
      </c>
    </row>
    <row r="71">
      <c r="A71" s="54" t="n">
        <v>45970</v>
      </c>
      <c r="B71" t="inlineStr">
        <is>
          <t>THECANDLESHOP</t>
        </is>
      </c>
      <c r="C71" t="inlineStr">
        <is>
          <t>Personal</t>
        </is>
      </c>
      <c r="D71" t="inlineStr">
        <is>
          <t>MASTERCARD</t>
        </is>
      </c>
      <c r="E71" t="n">
        <v>3</v>
      </c>
      <c r="F71" t="n">
        <v>3</v>
      </c>
      <c r="G71" s="26" t="n">
        <v>71230</v>
      </c>
      <c r="H71" t="inlineStr">
        <is>
          <t>Enero 2026</t>
        </is>
      </c>
      <c r="I71" t="inlineStr">
        <is>
          <t>2026-01</t>
        </is>
      </c>
      <c r="J71" t="inlineStr">
        <is>
          <t>PAGADO</t>
        </is>
      </c>
      <c r="K71" t="inlineStr">
        <is>
          <t>C.03/03 · cashflow BBVA · gasto personal Sol</t>
        </is>
      </c>
    </row>
    <row r="72">
      <c r="A72" s="54" t="n">
        <v>46046</v>
      </c>
      <c r="B72" t="inlineStr">
        <is>
          <t>TODOVISION</t>
        </is>
      </c>
      <c r="C72" t="inlineStr">
        <is>
          <t>Personal</t>
        </is>
      </c>
      <c r="D72" t="inlineStr">
        <is>
          <t>MASTERCARD</t>
        </is>
      </c>
      <c r="E72" t="n">
        <v>1</v>
      </c>
      <c r="F72" t="n">
        <v>2</v>
      </c>
      <c r="G72" s="26" t="n">
        <v>28999</v>
      </c>
      <c r="H72" t="inlineStr">
        <is>
          <t>Enero 2026</t>
        </is>
      </c>
      <c r="I72" t="inlineStr">
        <is>
          <t>2026-01</t>
        </is>
      </c>
      <c r="J72" t="inlineStr">
        <is>
          <t>PAGADO</t>
        </is>
      </c>
      <c r="K72" t="inlineStr">
        <is>
          <t>C.01/02 · cashflow BBVA · gasto personal Sol</t>
        </is>
      </c>
    </row>
    <row r="73">
      <c r="A73" s="54" t="n">
        <v>45953</v>
      </c>
      <c r="B73" t="inlineStr">
        <is>
          <t>2PRODUCTOS</t>
        </is>
      </c>
      <c r="C73" t="inlineStr">
        <is>
          <t>Personal</t>
        </is>
      </c>
      <c r="D73" t="inlineStr">
        <is>
          <t>VISA</t>
        </is>
      </c>
      <c r="E73" t="n">
        <v>5</v>
      </c>
      <c r="F73" t="n">
        <v>9</v>
      </c>
      <c r="G73" s="26" t="n">
        <v>7367</v>
      </c>
      <c r="H73" t="inlineStr">
        <is>
          <t>Febrero 2026</t>
        </is>
      </c>
      <c r="I73" t="inlineStr">
        <is>
          <t>2026-02</t>
        </is>
      </c>
      <c r="J73" t="inlineStr">
        <is>
          <t>PAGADO</t>
        </is>
      </c>
      <c r="K73" t="inlineStr">
        <is>
          <t>C.05/09 · cashflow BBVA · gasto personal Sol</t>
        </is>
      </c>
    </row>
    <row r="74">
      <c r="A74" s="54" t="n">
        <v>45865</v>
      </c>
      <c r="B74" t="inlineStr">
        <is>
          <t>3PRODUCTOS</t>
        </is>
      </c>
      <c r="C74" t="inlineStr">
        <is>
          <t>Personal</t>
        </is>
      </c>
      <c r="D74" t="inlineStr">
        <is>
          <t>VISA</t>
        </is>
      </c>
      <c r="E74" t="n">
        <v>8</v>
      </c>
      <c r="F74" t="n">
        <v>9</v>
      </c>
      <c r="G74" s="26" t="n">
        <v>5445</v>
      </c>
      <c r="H74" t="inlineStr">
        <is>
          <t>Febrero 2026</t>
        </is>
      </c>
      <c r="I74" t="inlineStr">
        <is>
          <t>2026-02</t>
        </is>
      </c>
      <c r="J74" t="inlineStr">
        <is>
          <t>PAGADO</t>
        </is>
      </c>
      <c r="K74" t="inlineStr">
        <is>
          <t>C.08/09 · cashflow BBVA · gasto personal Sol</t>
        </is>
      </c>
    </row>
    <row r="75">
      <c r="A75" s="54" t="n">
        <v>45912</v>
      </c>
      <c r="B75" t="inlineStr">
        <is>
          <t>4PRODUCTOS</t>
        </is>
      </c>
      <c r="C75" t="inlineStr">
        <is>
          <t>Personal</t>
        </is>
      </c>
      <c r="D75" t="inlineStr">
        <is>
          <t>VISA</t>
        </is>
      </c>
      <c r="E75" t="n">
        <v>6</v>
      </c>
      <c r="F75" t="n">
        <v>6</v>
      </c>
      <c r="G75" s="26" t="n">
        <v>13735</v>
      </c>
      <c r="H75" t="inlineStr">
        <is>
          <t>Febrero 2026</t>
        </is>
      </c>
      <c r="I75" t="inlineStr">
        <is>
          <t>2026-02</t>
        </is>
      </c>
      <c r="J75" t="inlineStr">
        <is>
          <t>PAGADO</t>
        </is>
      </c>
      <c r="K75" t="inlineStr">
        <is>
          <t>C.06/06 · cashflow BBVA · gasto personal Sol</t>
        </is>
      </c>
    </row>
    <row r="76">
      <c r="A76" s="54" t="n">
        <v>46033</v>
      </c>
      <c r="B76" t="inlineStr">
        <is>
          <t>ARTEREGAL</t>
        </is>
      </c>
      <c r="C76" t="inlineStr">
        <is>
          <t>Personal</t>
        </is>
      </c>
      <c r="D76" t="inlineStr">
        <is>
          <t>MASTERCARD</t>
        </is>
      </c>
      <c r="E76" t="n">
        <v>2</v>
      </c>
      <c r="F76" t="n">
        <v>3</v>
      </c>
      <c r="G76" s="26" t="n">
        <v>24800</v>
      </c>
      <c r="H76" t="inlineStr">
        <is>
          <t>Febrero 2026</t>
        </is>
      </c>
      <c r="I76" t="inlineStr">
        <is>
          <t>2026-02</t>
        </is>
      </c>
      <c r="J76" t="inlineStr">
        <is>
          <t>PAGADO</t>
        </is>
      </c>
      <c r="K76" t="inlineStr">
        <is>
          <t>C.02/03 · cashflow BBVA · gasto personal Sol</t>
        </is>
      </c>
    </row>
    <row r="77">
      <c r="A77" s="54" t="n">
        <v>45918</v>
      </c>
      <c r="B77" t="inlineStr">
        <is>
          <t>BOSSRECOVERY</t>
        </is>
      </c>
      <c r="C77" t="inlineStr">
        <is>
          <t>Personal</t>
        </is>
      </c>
      <c r="D77" t="inlineStr">
        <is>
          <t>VISA</t>
        </is>
      </c>
      <c r="E77" t="n">
        <v>6</v>
      </c>
      <c r="F77" t="n">
        <v>6</v>
      </c>
      <c r="G77" s="26" t="n">
        <v>299834</v>
      </c>
      <c r="H77" t="inlineStr">
        <is>
          <t>Febrero 2026</t>
        </is>
      </c>
      <c r="I77" t="inlineStr">
        <is>
          <t>2026-02</t>
        </is>
      </c>
      <c r="J77" t="inlineStr">
        <is>
          <t>PAGADO</t>
        </is>
      </c>
      <c r="K77" t="inlineStr">
        <is>
          <t>C.06/06 · cashflow BBVA · gasto personal Sol</t>
        </is>
      </c>
    </row>
    <row r="78">
      <c r="A78" s="54" t="n">
        <v>46032</v>
      </c>
      <c r="B78" t="inlineStr">
        <is>
          <t>DLO*SANBRAS</t>
        </is>
      </c>
      <c r="C78" t="inlineStr">
        <is>
          <t>Personal</t>
        </is>
      </c>
      <c r="D78" t="inlineStr">
        <is>
          <t>VISA</t>
        </is>
      </c>
      <c r="E78" t="n">
        <v>2</v>
      </c>
      <c r="F78" t="n">
        <v>3</v>
      </c>
      <c r="G78" s="26" t="n">
        <v>40334</v>
      </c>
      <c r="H78" t="inlineStr">
        <is>
          <t>Febrero 2026</t>
        </is>
      </c>
      <c r="I78" t="inlineStr">
        <is>
          <t>2026-02</t>
        </is>
      </c>
      <c r="J78" t="inlineStr">
        <is>
          <t>PAGADO</t>
        </is>
      </c>
      <c r="K78" t="inlineStr">
        <is>
          <t>C.02/03 · cashflow BBVA · gasto personal Sol</t>
        </is>
      </c>
    </row>
    <row r="79">
      <c r="A79" s="54" t="n">
        <v>45827</v>
      </c>
      <c r="B79" t="inlineStr">
        <is>
          <t>ELCACOSMETICOSINC</t>
        </is>
      </c>
      <c r="C79" t="inlineStr">
        <is>
          <t>Personal</t>
        </is>
      </c>
      <c r="D79" t="inlineStr">
        <is>
          <t>VISA</t>
        </is>
      </c>
      <c r="E79" t="n">
        <v>9</v>
      </c>
      <c r="F79" t="n">
        <v>9</v>
      </c>
      <c r="G79" s="26" t="n">
        <v>15054</v>
      </c>
      <c r="H79" t="inlineStr">
        <is>
          <t>Febrero 2026</t>
        </is>
      </c>
      <c r="I79" t="inlineStr">
        <is>
          <t>2026-02</t>
        </is>
      </c>
      <c r="J79" t="inlineStr">
        <is>
          <t>PAGADO</t>
        </is>
      </c>
      <c r="K79" t="inlineStr">
        <is>
          <t>C.09/09 · cashflow BBVA · gasto personal Sol</t>
        </is>
      </c>
    </row>
    <row r="80">
      <c r="A80" s="54" t="n">
        <v>46069</v>
      </c>
      <c r="B80" t="inlineStr">
        <is>
          <t>HENRYCOLOMERA</t>
        </is>
      </c>
      <c r="C80" t="inlineStr">
        <is>
          <t>Personal</t>
        </is>
      </c>
      <c r="D80" t="inlineStr">
        <is>
          <t>MASTERCARD</t>
        </is>
      </c>
      <c r="E80" t="n">
        <v>1</v>
      </c>
      <c r="F80" t="n">
        <v>3</v>
      </c>
      <c r="G80" s="26" t="n">
        <v>104260</v>
      </c>
      <c r="H80" t="inlineStr">
        <is>
          <t>Febrero 2026</t>
        </is>
      </c>
      <c r="I80" t="inlineStr">
        <is>
          <t>2026-02</t>
        </is>
      </c>
      <c r="J80" t="inlineStr">
        <is>
          <t>PAGADO</t>
        </is>
      </c>
      <c r="K80" t="inlineStr">
        <is>
          <t>C.01/03 · cashflow BBVA · gasto personal Sol</t>
        </is>
      </c>
    </row>
    <row r="81">
      <c r="A81" s="54" t="n">
        <v>46061</v>
      </c>
      <c r="B81" t="inlineStr">
        <is>
          <t>LEVIS</t>
        </is>
      </c>
      <c r="C81" t="inlineStr">
        <is>
          <t>ROPA</t>
        </is>
      </c>
      <c r="D81" t="inlineStr">
        <is>
          <t>MASTERCARD</t>
        </is>
      </c>
      <c r="E81" t="n">
        <v>1</v>
      </c>
      <c r="F81" t="n">
        <v>3</v>
      </c>
      <c r="G81" s="26" t="n">
        <v>74667</v>
      </c>
      <c r="H81" t="inlineStr">
        <is>
          <t>Febrero 2026</t>
        </is>
      </c>
      <c r="I81" t="inlineStr">
        <is>
          <t>2026-02</t>
        </is>
      </c>
      <c r="J81" t="inlineStr">
        <is>
          <t>PAGADO</t>
        </is>
      </c>
      <c r="K81" t="inlineStr">
        <is>
          <t>C.01/03 · cashflow BBVA · gasto personal Sol</t>
        </is>
      </c>
    </row>
    <row r="82">
      <c r="A82" s="54" t="n">
        <v>46021</v>
      </c>
      <c r="B82" t="inlineStr">
        <is>
          <t>LONGCHAMP</t>
        </is>
      </c>
      <c r="C82" t="inlineStr">
        <is>
          <t>ROPA</t>
        </is>
      </c>
      <c r="D82" t="inlineStr">
        <is>
          <t>MASTERCARD</t>
        </is>
      </c>
      <c r="E82" t="n">
        <v>2</v>
      </c>
      <c r="F82" t="n">
        <v>6</v>
      </c>
      <c r="G82" s="26" t="n">
        <v>63750</v>
      </c>
      <c r="H82" t="inlineStr">
        <is>
          <t>Febrero 2026</t>
        </is>
      </c>
      <c r="I82" t="inlineStr">
        <is>
          <t>2026-02</t>
        </is>
      </c>
      <c r="J82" t="inlineStr">
        <is>
          <t>PAGADO</t>
        </is>
      </c>
      <c r="K82" t="inlineStr">
        <is>
          <t>C.02/06 · cashflow BBVA · gasto personal Sol</t>
        </is>
      </c>
    </row>
    <row r="83">
      <c r="A83" s="54" t="n">
        <v>46069</v>
      </c>
      <c r="B83" t="inlineStr">
        <is>
          <t>MERCADOLIBRE</t>
        </is>
      </c>
      <c r="C83" t="inlineStr">
        <is>
          <t>Mercado Libre</t>
        </is>
      </c>
      <c r="D83" t="inlineStr">
        <is>
          <t>MASTERCARD</t>
        </is>
      </c>
      <c r="E83" t="n">
        <v>1</v>
      </c>
      <c r="F83" t="n">
        <v>9</v>
      </c>
      <c r="G83" s="26" t="n">
        <v>17360</v>
      </c>
      <c r="H83" t="inlineStr">
        <is>
          <t>Febrero 2026</t>
        </is>
      </c>
      <c r="I83" t="inlineStr">
        <is>
          <t>2026-02</t>
        </is>
      </c>
      <c r="J83" t="inlineStr">
        <is>
          <t>PAGADO</t>
        </is>
      </c>
      <c r="K83" t="inlineStr">
        <is>
          <t>C.01/09 · cashflow BBVA · gasto personal Sol</t>
        </is>
      </c>
    </row>
    <row r="84">
      <c r="A84" s="54" t="n">
        <v>46077</v>
      </c>
      <c r="B84" t="inlineStr">
        <is>
          <t>MERCADOLIBRE</t>
        </is>
      </c>
      <c r="C84" t="inlineStr">
        <is>
          <t>Mercado Libre</t>
        </is>
      </c>
      <c r="D84" t="inlineStr">
        <is>
          <t>MASTERCARD</t>
        </is>
      </c>
      <c r="E84" t="n">
        <v>1</v>
      </c>
      <c r="F84" t="n">
        <v>9</v>
      </c>
      <c r="G84" s="26" t="n">
        <v>16950</v>
      </c>
      <c r="H84" t="inlineStr">
        <is>
          <t>Febrero 2026</t>
        </is>
      </c>
      <c r="I84" t="inlineStr">
        <is>
          <t>2026-02</t>
        </is>
      </c>
      <c r="J84" t="inlineStr">
        <is>
          <t>PAGADO</t>
        </is>
      </c>
      <c r="K84" t="inlineStr">
        <is>
          <t>C.01/09 · cashflow BBVA · gasto personal Sol</t>
        </is>
      </c>
    </row>
    <row r="85">
      <c r="A85" s="54" t="n">
        <v>45815</v>
      </c>
      <c r="B85" t="inlineStr">
        <is>
          <t>MONSERVO</t>
        </is>
      </c>
      <c r="C85" t="inlineStr">
        <is>
          <t>Personal</t>
        </is>
      </c>
      <c r="D85" t="inlineStr">
        <is>
          <t>MASTERCARD</t>
        </is>
      </c>
      <c r="E85" t="n">
        <v>9</v>
      </c>
      <c r="F85" t="n">
        <v>9</v>
      </c>
      <c r="G85" s="26" t="n">
        <v>6665</v>
      </c>
      <c r="H85" t="inlineStr">
        <is>
          <t>Febrero 2026</t>
        </is>
      </c>
      <c r="I85" t="inlineStr">
        <is>
          <t>2026-02</t>
        </is>
      </c>
      <c r="J85" t="inlineStr">
        <is>
          <t>PAGADO</t>
        </is>
      </c>
      <c r="K85" t="inlineStr">
        <is>
          <t>C.09/09 · cashflow BBVA · gasto personal Sol</t>
        </is>
      </c>
    </row>
    <row r="86">
      <c r="A86" s="54" t="n">
        <v>45949</v>
      </c>
      <c r="B86" t="inlineStr">
        <is>
          <t>SELMAMARTINEZ</t>
        </is>
      </c>
      <c r="C86" t="inlineStr">
        <is>
          <t>Personal</t>
        </is>
      </c>
      <c r="D86" t="inlineStr">
        <is>
          <t>VISA</t>
        </is>
      </c>
      <c r="E86" t="n">
        <v>5</v>
      </c>
      <c r="F86" t="n">
        <v>6</v>
      </c>
      <c r="G86" s="26" t="n">
        <v>25259</v>
      </c>
      <c r="H86" t="inlineStr">
        <is>
          <t>Febrero 2026</t>
        </is>
      </c>
      <c r="I86" t="inlineStr">
        <is>
          <t>2026-02</t>
        </is>
      </c>
      <c r="J86" t="inlineStr">
        <is>
          <t>PAGADO</t>
        </is>
      </c>
      <c r="K86" t="inlineStr">
        <is>
          <t>C.05/06 · cashflow BBVA · gasto personal Sol</t>
        </is>
      </c>
    </row>
    <row r="87">
      <c r="A87" s="54" t="n">
        <v>46046</v>
      </c>
      <c r="B87" t="inlineStr">
        <is>
          <t>TODOVISION</t>
        </is>
      </c>
      <c r="C87" t="inlineStr">
        <is>
          <t>Personal</t>
        </is>
      </c>
      <c r="D87" t="inlineStr">
        <is>
          <t>MASTERCARD</t>
        </is>
      </c>
      <c r="E87" t="n">
        <v>2</v>
      </c>
      <c r="F87" t="n">
        <v>2</v>
      </c>
      <c r="G87" s="26" t="n">
        <v>28999</v>
      </c>
      <c r="H87" t="inlineStr">
        <is>
          <t>Febrero 2026</t>
        </is>
      </c>
      <c r="I87" t="inlineStr">
        <is>
          <t>2026-02</t>
        </is>
      </c>
      <c r="J87" t="inlineStr">
        <is>
          <t>PAGADO</t>
        </is>
      </c>
      <c r="K87" t="inlineStr">
        <is>
          <t>C.02/02 · cashflow BBVA · gasto personal Sol</t>
        </is>
      </c>
    </row>
    <row r="88">
      <c r="A88" s="54" t="n">
        <v>45953</v>
      </c>
      <c r="B88" t="inlineStr">
        <is>
          <t>2PRODUCTOS</t>
        </is>
      </c>
      <c r="C88" t="inlineStr">
        <is>
          <t>Personal</t>
        </is>
      </c>
      <c r="D88" t="inlineStr">
        <is>
          <t>VISA</t>
        </is>
      </c>
      <c r="E88" t="n">
        <v>6</v>
      </c>
      <c r="F88" t="n">
        <v>9</v>
      </c>
      <c r="G88" s="26" t="n">
        <v>7367</v>
      </c>
      <c r="H88" t="inlineStr">
        <is>
          <t>Marzo 2026</t>
        </is>
      </c>
      <c r="I88" t="inlineStr">
        <is>
          <t>2026-03</t>
        </is>
      </c>
      <c r="J88" t="inlineStr">
        <is>
          <t>PAGADO</t>
        </is>
      </c>
      <c r="K88" t="inlineStr">
        <is>
          <t>C.06/09 · cashflow BBVA · gasto personal Sol</t>
        </is>
      </c>
    </row>
    <row r="89">
      <c r="A89" s="54" t="n">
        <v>46033</v>
      </c>
      <c r="B89" t="inlineStr">
        <is>
          <t>ARTEREGAL</t>
        </is>
      </c>
      <c r="C89" t="inlineStr">
        <is>
          <t>Personal</t>
        </is>
      </c>
      <c r="D89" t="inlineStr">
        <is>
          <t>MASTERCARD</t>
        </is>
      </c>
      <c r="E89" t="n">
        <v>3</v>
      </c>
      <c r="F89" t="n">
        <v>3</v>
      </c>
      <c r="G89" s="26" t="n">
        <v>24800</v>
      </c>
      <c r="H89" t="inlineStr">
        <is>
          <t>Marzo 2026</t>
        </is>
      </c>
      <c r="I89" t="inlineStr">
        <is>
          <t>2026-03</t>
        </is>
      </c>
      <c r="J89" t="inlineStr">
        <is>
          <t>PAGADO</t>
        </is>
      </c>
      <c r="K89" t="inlineStr">
        <is>
          <t>C.03/03 · cashflow BBVA · gasto personal Sol</t>
        </is>
      </c>
    </row>
    <row r="90">
      <c r="A90" s="54" t="n">
        <v>46032</v>
      </c>
      <c r="B90" t="inlineStr">
        <is>
          <t>DLO*SANBRAS</t>
        </is>
      </c>
      <c r="C90" t="inlineStr">
        <is>
          <t>Personal</t>
        </is>
      </c>
      <c r="D90" t="inlineStr">
        <is>
          <t>VISA</t>
        </is>
      </c>
      <c r="E90" t="n">
        <v>3</v>
      </c>
      <c r="F90" t="n">
        <v>3</v>
      </c>
      <c r="G90" s="26" t="n">
        <v>40334</v>
      </c>
      <c r="H90" t="inlineStr">
        <is>
          <t>Marzo 2026</t>
        </is>
      </c>
      <c r="I90" t="inlineStr">
        <is>
          <t>2026-03</t>
        </is>
      </c>
      <c r="J90" t="inlineStr">
        <is>
          <t>PAGADO</t>
        </is>
      </c>
      <c r="K90" t="inlineStr">
        <is>
          <t>C.03/03 · cashflow BBVA · gasto personal Sol</t>
        </is>
      </c>
    </row>
    <row r="91">
      <c r="A91" s="54" t="n">
        <v>46069</v>
      </c>
      <c r="B91" t="inlineStr">
        <is>
          <t>HENRYCOLOMERA</t>
        </is>
      </c>
      <c r="C91" t="inlineStr">
        <is>
          <t>Personal</t>
        </is>
      </c>
      <c r="D91" t="inlineStr">
        <is>
          <t>MASTERCARD</t>
        </is>
      </c>
      <c r="E91" t="n">
        <v>2</v>
      </c>
      <c r="F91" t="n">
        <v>3</v>
      </c>
      <c r="G91" s="26" t="n">
        <v>104260</v>
      </c>
      <c r="H91" t="inlineStr">
        <is>
          <t>Marzo 2026</t>
        </is>
      </c>
      <c r="I91" t="inlineStr">
        <is>
          <t>2026-03</t>
        </is>
      </c>
      <c r="J91" t="inlineStr">
        <is>
          <t>PAGADO</t>
        </is>
      </c>
      <c r="K91" t="inlineStr">
        <is>
          <t>C.02/03 · cashflow BBVA · gasto personal Sol</t>
        </is>
      </c>
    </row>
    <row r="92">
      <c r="A92" s="54" t="n">
        <v>46061</v>
      </c>
      <c r="B92" t="inlineStr">
        <is>
          <t>LEVIS</t>
        </is>
      </c>
      <c r="C92" t="inlineStr">
        <is>
          <t>ROPA</t>
        </is>
      </c>
      <c r="D92" t="inlineStr">
        <is>
          <t>MASTERCARD</t>
        </is>
      </c>
      <c r="E92" t="n">
        <v>2</v>
      </c>
      <c r="F92" t="n">
        <v>3</v>
      </c>
      <c r="G92" s="26" t="n">
        <v>74667</v>
      </c>
      <c r="H92" t="inlineStr">
        <is>
          <t>Marzo 2026</t>
        </is>
      </c>
      <c r="I92" t="inlineStr">
        <is>
          <t>2026-03</t>
        </is>
      </c>
      <c r="J92" t="inlineStr">
        <is>
          <t>PAGADO</t>
        </is>
      </c>
      <c r="K92" t="inlineStr">
        <is>
          <t>C.02/03 · cashflow BBVA · gasto personal Sol</t>
        </is>
      </c>
    </row>
    <row r="93">
      <c r="A93" s="54" t="n">
        <v>46021</v>
      </c>
      <c r="B93" t="inlineStr">
        <is>
          <t>LONGCHAMP</t>
        </is>
      </c>
      <c r="C93" t="inlineStr">
        <is>
          <t>ROPA</t>
        </is>
      </c>
      <c r="D93" t="inlineStr">
        <is>
          <t>MASTERCARD</t>
        </is>
      </c>
      <c r="E93" t="n">
        <v>3</v>
      </c>
      <c r="F93" t="n">
        <v>6</v>
      </c>
      <c r="G93" s="26" t="n">
        <v>63750</v>
      </c>
      <c r="H93" t="inlineStr">
        <is>
          <t>Marzo 2026</t>
        </is>
      </c>
      <c r="I93" t="inlineStr">
        <is>
          <t>2026-03</t>
        </is>
      </c>
      <c r="J93" t="inlineStr">
        <is>
          <t>PAGADO</t>
        </is>
      </c>
      <c r="K93" t="inlineStr">
        <is>
          <t>C.03/06 · cashflow BBVA · gasto personal Sol</t>
        </is>
      </c>
    </row>
    <row r="94">
      <c r="A94" s="54" t="n">
        <v>46094</v>
      </c>
      <c r="B94" t="inlineStr">
        <is>
          <t>MERCADOLIBRE</t>
        </is>
      </c>
      <c r="C94" t="inlineStr">
        <is>
          <t>Mercado Libre</t>
        </is>
      </c>
      <c r="D94" t="inlineStr">
        <is>
          <t>MASTERCARD</t>
        </is>
      </c>
      <c r="E94" t="n">
        <v>1</v>
      </c>
      <c r="F94" t="n">
        <v>12</v>
      </c>
      <c r="G94" s="26" t="n">
        <v>275000</v>
      </c>
      <c r="H94" t="inlineStr">
        <is>
          <t>Marzo 2026</t>
        </is>
      </c>
      <c r="I94" t="inlineStr">
        <is>
          <t>2026-03</t>
        </is>
      </c>
      <c r="J94" t="inlineStr">
        <is>
          <t>PAGADO</t>
        </is>
      </c>
      <c r="K94" t="inlineStr">
        <is>
          <t>C.01/12 · cashflow BBVA · gasto personal Sol</t>
        </is>
      </c>
    </row>
    <row r="95">
      <c r="A95" s="54" t="n">
        <v>46069</v>
      </c>
      <c r="B95" t="inlineStr">
        <is>
          <t>MERCADOLIBRE</t>
        </is>
      </c>
      <c r="C95" t="inlineStr">
        <is>
          <t>Mercado Libre</t>
        </is>
      </c>
      <c r="D95" t="inlineStr">
        <is>
          <t>MASTERCARD</t>
        </is>
      </c>
      <c r="E95" t="n">
        <v>2</v>
      </c>
      <c r="F95" t="n">
        <v>9</v>
      </c>
      <c r="G95" s="26" t="n">
        <v>17360</v>
      </c>
      <c r="H95" t="inlineStr">
        <is>
          <t>Marzo 2026</t>
        </is>
      </c>
      <c r="I95" t="inlineStr">
        <is>
          <t>2026-03</t>
        </is>
      </c>
      <c r="J95" t="inlineStr">
        <is>
          <t>PAGADO</t>
        </is>
      </c>
      <c r="K95" t="inlineStr">
        <is>
          <t>C.02/09 · cashflow BBVA · gasto personal Sol</t>
        </is>
      </c>
    </row>
    <row r="96">
      <c r="A96" s="54" t="n">
        <v>46077</v>
      </c>
      <c r="B96" t="inlineStr">
        <is>
          <t>MERCADOLIBRE</t>
        </is>
      </c>
      <c r="C96" t="inlineStr">
        <is>
          <t>Mercado Libre</t>
        </is>
      </c>
      <c r="D96" t="inlineStr">
        <is>
          <t>MASTERCARD</t>
        </is>
      </c>
      <c r="E96" t="n">
        <v>2</v>
      </c>
      <c r="F96" t="n">
        <v>9</v>
      </c>
      <c r="G96" s="26" t="n">
        <v>16950</v>
      </c>
      <c r="H96" t="inlineStr">
        <is>
          <t>Marzo 2026</t>
        </is>
      </c>
      <c r="I96" t="inlineStr">
        <is>
          <t>2026-03</t>
        </is>
      </c>
      <c r="J96" t="inlineStr">
        <is>
          <t>PAGADO</t>
        </is>
      </c>
      <c r="K96" t="inlineStr">
        <is>
          <t>C.02/09 · cashflow BBVA · gasto personal Sol</t>
        </is>
      </c>
    </row>
    <row r="97">
      <c r="A97" s="54" t="n">
        <v>45949</v>
      </c>
      <c r="B97" t="inlineStr">
        <is>
          <t>SELMAMARTINEZ</t>
        </is>
      </c>
      <c r="C97" t="inlineStr">
        <is>
          <t>Personal</t>
        </is>
      </c>
      <c r="D97" t="inlineStr">
        <is>
          <t>VISA</t>
        </is>
      </c>
      <c r="E97" t="n">
        <v>6</v>
      </c>
      <c r="F97" t="n">
        <v>6</v>
      </c>
      <c r="G97" s="26" t="n">
        <v>25259</v>
      </c>
      <c r="H97" t="inlineStr">
        <is>
          <t>Marzo 2026</t>
        </is>
      </c>
      <c r="I97" t="inlineStr">
        <is>
          <t>2026-03</t>
        </is>
      </c>
      <c r="J97" t="inlineStr">
        <is>
          <t>PAGADO</t>
        </is>
      </c>
      <c r="K97" t="inlineStr">
        <is>
          <t>C.06/06 · cashflow BBVA · gasto personal Sol</t>
        </is>
      </c>
    </row>
    <row r="98">
      <c r="A98" s="54" t="n">
        <v>45953</v>
      </c>
      <c r="B98" t="inlineStr">
        <is>
          <t>2PRODUCTOS</t>
        </is>
      </c>
      <c r="C98" t="inlineStr">
        <is>
          <t>Personal</t>
        </is>
      </c>
      <c r="D98" t="inlineStr">
        <is>
          <t>VISA</t>
        </is>
      </c>
      <c r="E98" t="n">
        <v>7</v>
      </c>
      <c r="F98" t="n">
        <v>9</v>
      </c>
      <c r="G98" s="26" t="n">
        <v>7367</v>
      </c>
      <c r="H98" t="inlineStr">
        <is>
          <t>Abril 2026</t>
        </is>
      </c>
      <c r="I98" t="inlineStr">
        <is>
          <t>2026-04</t>
        </is>
      </c>
      <c r="J98" t="inlineStr">
        <is>
          <t>PAGADO</t>
        </is>
      </c>
      <c r="K98" t="inlineStr">
        <is>
          <t>C.07/09 · cashflow BBVA · gasto personal Sol</t>
        </is>
      </c>
    </row>
    <row r="99">
      <c r="A99" s="54" t="n">
        <v>45865</v>
      </c>
      <c r="B99" t="inlineStr">
        <is>
          <t>3PRODUCTOS</t>
        </is>
      </c>
      <c r="C99" t="inlineStr">
        <is>
          <t>Personal</t>
        </is>
      </c>
      <c r="D99" t="inlineStr">
        <is>
          <t>VISA</t>
        </is>
      </c>
      <c r="E99" t="n">
        <v>9</v>
      </c>
      <c r="F99" t="n">
        <v>9</v>
      </c>
      <c r="G99" s="26" t="n">
        <v>5445</v>
      </c>
      <c r="H99" t="inlineStr">
        <is>
          <t>Abril 2026</t>
        </is>
      </c>
      <c r="I99" t="inlineStr">
        <is>
          <t>2026-04</t>
        </is>
      </c>
      <c r="J99" t="inlineStr">
        <is>
          <t>PAGADO</t>
        </is>
      </c>
      <c r="K99" t="inlineStr">
        <is>
          <t>C.09/09 · cashflow BBVA · gasto personal Sol</t>
        </is>
      </c>
    </row>
    <row r="100">
      <c r="A100" s="54" t="n">
        <v>46069</v>
      </c>
      <c r="B100" t="inlineStr">
        <is>
          <t>HENRYCOLOMERA</t>
        </is>
      </c>
      <c r="C100" t="inlineStr">
        <is>
          <t>Personal</t>
        </is>
      </c>
      <c r="D100" t="inlineStr">
        <is>
          <t>MASTERCARD</t>
        </is>
      </c>
      <c r="E100" t="n">
        <v>3</v>
      </c>
      <c r="F100" t="n">
        <v>3</v>
      </c>
      <c r="G100" s="26" t="n">
        <v>104260</v>
      </c>
      <c r="H100" t="inlineStr">
        <is>
          <t>Abril 2026</t>
        </is>
      </c>
      <c r="I100" t="inlineStr">
        <is>
          <t>2026-04</t>
        </is>
      </c>
      <c r="J100" t="inlineStr">
        <is>
          <t>PAGADO</t>
        </is>
      </c>
      <c r="K100" t="inlineStr">
        <is>
          <t>C.03/03 · cashflow BBVA · gasto personal Sol</t>
        </is>
      </c>
    </row>
    <row r="101">
      <c r="A101" s="54" t="n">
        <v>46132</v>
      </c>
      <c r="B101" t="inlineStr">
        <is>
          <t>LABORATORIOBE</t>
        </is>
      </c>
      <c r="C101" t="inlineStr">
        <is>
          <t>Personal</t>
        </is>
      </c>
      <c r="D101" t="inlineStr">
        <is>
          <t>MASTERCARD</t>
        </is>
      </c>
      <c r="E101" t="n">
        <v>1</v>
      </c>
      <c r="F101" t="n">
        <v>6</v>
      </c>
      <c r="G101" s="26" t="n">
        <v>54033</v>
      </c>
      <c r="H101" t="inlineStr">
        <is>
          <t>Abril 2026</t>
        </is>
      </c>
      <c r="I101" t="inlineStr">
        <is>
          <t>2026-04</t>
        </is>
      </c>
      <c r="J101" t="inlineStr">
        <is>
          <t>PAGADO</t>
        </is>
      </c>
      <c r="K101" t="inlineStr">
        <is>
          <t>C.01/06 · cashflow BBVA · gasto personal Sol</t>
        </is>
      </c>
    </row>
    <row r="102">
      <c r="A102" s="54" t="n">
        <v>46061</v>
      </c>
      <c r="B102" t="inlineStr">
        <is>
          <t>LEVIS</t>
        </is>
      </c>
      <c r="C102" t="inlineStr">
        <is>
          <t>ROPA</t>
        </is>
      </c>
      <c r="D102" t="inlineStr">
        <is>
          <t>MASTERCARD</t>
        </is>
      </c>
      <c r="E102" t="n">
        <v>3</v>
      </c>
      <c r="F102" t="n">
        <v>3</v>
      </c>
      <c r="G102" s="26" t="n">
        <v>74667</v>
      </c>
      <c r="H102" t="inlineStr">
        <is>
          <t>Abril 2026</t>
        </is>
      </c>
      <c r="I102" t="inlineStr">
        <is>
          <t>2026-04</t>
        </is>
      </c>
      <c r="J102" t="inlineStr">
        <is>
          <t>PAGADO</t>
        </is>
      </c>
      <c r="K102" t="inlineStr">
        <is>
          <t>C.03/03 · cashflow BBVA · gasto personal Sol</t>
        </is>
      </c>
    </row>
    <row r="103">
      <c r="A103" s="54" t="n">
        <v>46021</v>
      </c>
      <c r="B103" t="inlineStr">
        <is>
          <t>LONGCHAMP</t>
        </is>
      </c>
      <c r="C103" t="inlineStr">
        <is>
          <t>ROPA</t>
        </is>
      </c>
      <c r="D103" t="inlineStr">
        <is>
          <t>MASTERCARD</t>
        </is>
      </c>
      <c r="E103" t="n">
        <v>4</v>
      </c>
      <c r="F103" t="n">
        <v>6</v>
      </c>
      <c r="G103" s="26" t="n">
        <v>63750</v>
      </c>
      <c r="H103" t="inlineStr">
        <is>
          <t>Abril 2026</t>
        </is>
      </c>
      <c r="I103" t="inlineStr">
        <is>
          <t>2026-04</t>
        </is>
      </c>
      <c r="J103" t="inlineStr">
        <is>
          <t>PAGADO</t>
        </is>
      </c>
      <c r="K103" t="inlineStr">
        <is>
          <t>C.04/06 · cashflow BBVA · gasto personal Sol</t>
        </is>
      </c>
    </row>
    <row r="104">
      <c r="A104" s="54" t="n">
        <v>46094</v>
      </c>
      <c r="B104" t="inlineStr">
        <is>
          <t>MERCADOLIBRE</t>
        </is>
      </c>
      <c r="C104" t="inlineStr">
        <is>
          <t>Mercado Libre</t>
        </is>
      </c>
      <c r="D104" t="inlineStr">
        <is>
          <t>MASTERCARD</t>
        </is>
      </c>
      <c r="E104" t="n">
        <v>2</v>
      </c>
      <c r="F104" t="n">
        <v>12</v>
      </c>
      <c r="G104" s="26" t="n">
        <v>275000</v>
      </c>
      <c r="H104" t="inlineStr">
        <is>
          <t>Abril 2026</t>
        </is>
      </c>
      <c r="I104" t="inlineStr">
        <is>
          <t>2026-04</t>
        </is>
      </c>
      <c r="J104" t="inlineStr">
        <is>
          <t>PAGADO</t>
        </is>
      </c>
      <c r="K104" t="inlineStr">
        <is>
          <t>C.02/12 · cashflow BBVA · gasto personal Sol</t>
        </is>
      </c>
    </row>
    <row r="105">
      <c r="A105" s="54" t="n">
        <v>46069</v>
      </c>
      <c r="B105" t="inlineStr">
        <is>
          <t>MERCADOLIBRE</t>
        </is>
      </c>
      <c r="C105" t="inlineStr">
        <is>
          <t>Mercado Libre</t>
        </is>
      </c>
      <c r="D105" t="inlineStr">
        <is>
          <t>MASTERCARD</t>
        </is>
      </c>
      <c r="E105" t="n">
        <v>3</v>
      </c>
      <c r="F105" t="n">
        <v>9</v>
      </c>
      <c r="G105" s="26" t="n">
        <v>17360</v>
      </c>
      <c r="H105" t="inlineStr">
        <is>
          <t>Abril 2026</t>
        </is>
      </c>
      <c r="I105" t="inlineStr">
        <is>
          <t>2026-04</t>
        </is>
      </c>
      <c r="J105" t="inlineStr">
        <is>
          <t>PAGADO</t>
        </is>
      </c>
      <c r="K105" t="inlineStr">
        <is>
          <t>C.03/09 · cashflow BBVA · gasto personal Sol</t>
        </is>
      </c>
    </row>
    <row r="106">
      <c r="A106" s="54" t="n">
        <v>46125</v>
      </c>
      <c r="B106" t="inlineStr">
        <is>
          <t>MONOFUK</t>
        </is>
      </c>
      <c r="C106" t="inlineStr">
        <is>
          <t>Personal</t>
        </is>
      </c>
      <c r="D106" t="inlineStr">
        <is>
          <t>MASTERCARD</t>
        </is>
      </c>
      <c r="E106" t="n">
        <v>1</v>
      </c>
      <c r="F106" t="n">
        <v>6</v>
      </c>
      <c r="G106" s="26" t="n">
        <v>95984</v>
      </c>
      <c r="H106" t="inlineStr">
        <is>
          <t>Abril 2026</t>
        </is>
      </c>
      <c r="I106" t="inlineStr">
        <is>
          <t>2026-04</t>
        </is>
      </c>
      <c r="J106" t="inlineStr">
        <is>
          <t>PAGADO</t>
        </is>
      </c>
      <c r="K106" t="inlineStr">
        <is>
          <t>C.01/06 · cashflow BBVA · gasto personal Sol</t>
        </is>
      </c>
    </row>
    <row r="107">
      <c r="A107" s="54" t="n">
        <v>46138</v>
      </c>
      <c r="B107" t="inlineStr">
        <is>
          <t>PROMARINEANTIOXID</t>
        </is>
      </c>
      <c r="C107" t="inlineStr">
        <is>
          <t>SALUD</t>
        </is>
      </c>
      <c r="D107" t="inlineStr">
        <is>
          <t>VISA</t>
        </is>
      </c>
      <c r="E107" t="n">
        <v>1</v>
      </c>
      <c r="F107" t="n">
        <v>6</v>
      </c>
      <c r="G107" s="26" t="n">
        <v>87900</v>
      </c>
      <c r="H107" t="inlineStr">
        <is>
          <t>Abril 2026</t>
        </is>
      </c>
      <c r="I107" t="inlineStr">
        <is>
          <t>2026-04</t>
        </is>
      </c>
      <c r="J107" t="inlineStr">
        <is>
          <t>PAGADO</t>
        </is>
      </c>
      <c r="K107" t="inlineStr">
        <is>
          <t>C.01/06 · cashflow BBVA · gasto personal Sol</t>
        </is>
      </c>
    </row>
    <row r="108">
      <c r="A108" s="54" t="n">
        <v>46134</v>
      </c>
      <c r="B108" t="inlineStr">
        <is>
          <t>STANLEYARGENT</t>
        </is>
      </c>
      <c r="C108" t="inlineStr">
        <is>
          <t>Personal</t>
        </is>
      </c>
      <c r="D108" t="inlineStr">
        <is>
          <t>MASTERCARD</t>
        </is>
      </c>
      <c r="E108" t="n">
        <v>1</v>
      </c>
      <c r="F108" t="n">
        <v>6</v>
      </c>
      <c r="G108" s="26" t="n">
        <v>18334</v>
      </c>
      <c r="H108" t="inlineStr">
        <is>
          <t>Abril 2026</t>
        </is>
      </c>
      <c r="I108" t="inlineStr">
        <is>
          <t>2026-04</t>
        </is>
      </c>
      <c r="J108" t="inlineStr">
        <is>
          <t>PAGADO</t>
        </is>
      </c>
      <c r="K108" t="inlineStr">
        <is>
          <t>C.01/06 · cashflow BBVA · gasto personal Sol</t>
        </is>
      </c>
    </row>
    <row r="109">
      <c r="A109" s="54" t="n">
        <v>45953</v>
      </c>
      <c r="B109" t="inlineStr">
        <is>
          <t>2PRODUCTOS</t>
        </is>
      </c>
      <c r="C109" t="inlineStr">
        <is>
          <t>Personal</t>
        </is>
      </c>
      <c r="D109" t="inlineStr">
        <is>
          <t>VISA</t>
        </is>
      </c>
      <c r="E109" t="n">
        <v>8</v>
      </c>
      <c r="F109" t="n">
        <v>9</v>
      </c>
      <c r="G109" s="26" t="n">
        <v>7367</v>
      </c>
      <c r="H109" t="inlineStr">
        <is>
          <t>Mayo 2026</t>
        </is>
      </c>
      <c r="I109" t="inlineStr">
        <is>
          <t>2026-05</t>
        </is>
      </c>
      <c r="J109" t="inlineStr">
        <is>
          <t>PAGADO</t>
        </is>
      </c>
      <c r="K109" t="inlineStr">
        <is>
          <t>C.08/09 · cashflow BBVA · gasto personal Sol</t>
        </is>
      </c>
    </row>
    <row r="110">
      <c r="A110" s="54" t="n">
        <v>46166</v>
      </c>
      <c r="B110" t="inlineStr">
        <is>
          <t>BIMBAYLOLA</t>
        </is>
      </c>
      <c r="C110" t="inlineStr">
        <is>
          <t>ROPA</t>
        </is>
      </c>
      <c r="D110" t="inlineStr">
        <is>
          <t>VISA</t>
        </is>
      </c>
      <c r="E110" t="n">
        <v>1</v>
      </c>
      <c r="F110" t="n">
        <v>6</v>
      </c>
      <c r="G110" s="26" t="n">
        <v>124667</v>
      </c>
      <c r="H110" t="inlineStr">
        <is>
          <t>Mayo 2026</t>
        </is>
      </c>
      <c r="I110" t="inlineStr">
        <is>
          <t>2026-05</t>
        </is>
      </c>
      <c r="J110" t="inlineStr">
        <is>
          <t>PAGADO</t>
        </is>
      </c>
      <c r="K110" t="inlineStr">
        <is>
          <t>C.01/06 · cashflow BBVA · gasto personal Sol</t>
        </is>
      </c>
    </row>
    <row r="111">
      <c r="A111" s="54" t="n">
        <v>46158</v>
      </c>
      <c r="B111" t="inlineStr">
        <is>
          <t>BOKENVORENO</t>
        </is>
      </c>
      <c r="C111" t="inlineStr">
        <is>
          <t>Personal</t>
        </is>
      </c>
      <c r="D111" t="inlineStr">
        <is>
          <t>VISA</t>
        </is>
      </c>
      <c r="E111" t="n">
        <v>1</v>
      </c>
      <c r="F111" t="n">
        <v>6</v>
      </c>
      <c r="G111" s="26" t="n">
        <v>98334</v>
      </c>
      <c r="H111" t="inlineStr">
        <is>
          <t>Mayo 2026</t>
        </is>
      </c>
      <c r="I111" t="inlineStr">
        <is>
          <t>2026-05</t>
        </is>
      </c>
      <c r="J111" t="inlineStr">
        <is>
          <t>PAGADO</t>
        </is>
      </c>
      <c r="K111" t="inlineStr">
        <is>
          <t>C.01/06 · cashflow BBVA · gasto personal Sol</t>
        </is>
      </c>
    </row>
    <row r="112">
      <c r="A112" s="54" t="n">
        <v>46151</v>
      </c>
      <c r="B112" t="inlineStr">
        <is>
          <t>CAMBIODEAIRES</t>
        </is>
      </c>
      <c r="C112" t="inlineStr">
        <is>
          <t>Personal</t>
        </is>
      </c>
      <c r="D112" t="inlineStr">
        <is>
          <t>VISA</t>
        </is>
      </c>
      <c r="E112" t="n">
        <v>1</v>
      </c>
      <c r="F112" t="n">
        <v>3</v>
      </c>
      <c r="G112" s="26" t="n">
        <v>329986</v>
      </c>
      <c r="H112" t="inlineStr">
        <is>
          <t>Mayo 2026</t>
        </is>
      </c>
      <c r="I112" t="inlineStr">
        <is>
          <t>2026-05</t>
        </is>
      </c>
      <c r="J112" t="inlineStr">
        <is>
          <t>PAGADO</t>
        </is>
      </c>
      <c r="K112" t="inlineStr">
        <is>
          <t>C.01/03 · cashflow BBVA · gasto personal Sol</t>
        </is>
      </c>
    </row>
    <row r="113">
      <c r="A113" s="54" t="n">
        <v>46151</v>
      </c>
      <c r="B113" t="inlineStr">
        <is>
          <t>JUSTA OSADIA</t>
        </is>
      </c>
      <c r="C113" t="inlineStr">
        <is>
          <t>ROPA</t>
        </is>
      </c>
      <c r="D113" t="inlineStr">
        <is>
          <t>MASTERCARD</t>
        </is>
      </c>
      <c r="E113" t="n">
        <v>1</v>
      </c>
      <c r="F113" t="n">
        <v>6</v>
      </c>
      <c r="G113" s="26" t="n">
        <v>80834</v>
      </c>
      <c r="H113" t="inlineStr">
        <is>
          <t>Mayo 2026</t>
        </is>
      </c>
      <c r="I113" t="inlineStr">
        <is>
          <t>2026-05</t>
        </is>
      </c>
      <c r="J113" t="inlineStr">
        <is>
          <t>PAGADO</t>
        </is>
      </c>
      <c r="K113" t="inlineStr">
        <is>
          <t>C.01/06 · cashflow BBVA · gasto personal Sol</t>
        </is>
      </c>
    </row>
    <row r="114">
      <c r="A114" s="54" t="n">
        <v>46132</v>
      </c>
      <c r="B114" t="inlineStr">
        <is>
          <t>LABORATORIOBE</t>
        </is>
      </c>
      <c r="C114" t="inlineStr">
        <is>
          <t>Personal</t>
        </is>
      </c>
      <c r="D114" t="inlineStr">
        <is>
          <t>MASTERCARD</t>
        </is>
      </c>
      <c r="E114" t="n">
        <v>2</v>
      </c>
      <c r="F114" t="n">
        <v>6</v>
      </c>
      <c r="G114" s="26" t="n">
        <v>54033</v>
      </c>
      <c r="H114" t="inlineStr">
        <is>
          <t>Mayo 2026</t>
        </is>
      </c>
      <c r="I114" t="inlineStr">
        <is>
          <t>2026-05</t>
        </is>
      </c>
      <c r="J114" t="inlineStr">
        <is>
          <t>PAGADO</t>
        </is>
      </c>
      <c r="K114" t="inlineStr">
        <is>
          <t>C.02/06 · cashflow BBVA · gasto personal Sol</t>
        </is>
      </c>
    </row>
    <row r="115">
      <c r="A115" s="54" t="n">
        <v>46021</v>
      </c>
      <c r="B115" t="inlineStr">
        <is>
          <t>LONGCHAMP</t>
        </is>
      </c>
      <c r="C115" t="inlineStr">
        <is>
          <t>ROPA</t>
        </is>
      </c>
      <c r="D115" t="inlineStr">
        <is>
          <t>MASTERCARD</t>
        </is>
      </c>
      <c r="E115" t="n">
        <v>5</v>
      </c>
      <c r="F115" t="n">
        <v>6</v>
      </c>
      <c r="G115" s="26" t="n">
        <v>63750</v>
      </c>
      <c r="H115" t="inlineStr">
        <is>
          <t>Mayo 2026</t>
        </is>
      </c>
      <c r="I115" t="inlineStr">
        <is>
          <t>2026-05</t>
        </is>
      </c>
      <c r="J115" t="inlineStr">
        <is>
          <t>PAGADO</t>
        </is>
      </c>
      <c r="K115" t="inlineStr">
        <is>
          <t>C.05/06 · cashflow BBVA · gasto personal Sol</t>
        </is>
      </c>
    </row>
    <row r="116">
      <c r="A116" s="54" t="n">
        <v>46077</v>
      </c>
      <c r="B116" t="inlineStr">
        <is>
          <t>MERCADOLIBRE</t>
        </is>
      </c>
      <c r="C116" t="inlineStr">
        <is>
          <t>Mercado Libre</t>
        </is>
      </c>
      <c r="D116" t="inlineStr">
        <is>
          <t>MASTERCARD</t>
        </is>
      </c>
      <c r="E116" t="n">
        <v>3</v>
      </c>
      <c r="F116" t="n">
        <v>9</v>
      </c>
      <c r="G116" s="26" t="n">
        <v>16950</v>
      </c>
      <c r="H116" t="inlineStr">
        <is>
          <t>Mayo 2026</t>
        </is>
      </c>
      <c r="I116" t="inlineStr">
        <is>
          <t>2026-05</t>
        </is>
      </c>
      <c r="J116" t="inlineStr">
        <is>
          <t>PAGADO</t>
        </is>
      </c>
      <c r="K116" t="inlineStr">
        <is>
          <t>C.03/09 · cashflow BBVA · gasto personal Sol</t>
        </is>
      </c>
    </row>
    <row r="117">
      <c r="A117" s="54" t="n">
        <v>46094</v>
      </c>
      <c r="B117" t="inlineStr">
        <is>
          <t>MERCADOLIBRE</t>
        </is>
      </c>
      <c r="C117" t="inlineStr">
        <is>
          <t>Mercado Libre</t>
        </is>
      </c>
      <c r="D117" t="inlineStr">
        <is>
          <t>MASTERCARD</t>
        </is>
      </c>
      <c r="E117" t="n">
        <v>3</v>
      </c>
      <c r="F117" t="n">
        <v>12</v>
      </c>
      <c r="G117" s="26" t="n">
        <v>275000</v>
      </c>
      <c r="H117" t="inlineStr">
        <is>
          <t>Mayo 2026</t>
        </is>
      </c>
      <c r="I117" t="inlineStr">
        <is>
          <t>2026-05</t>
        </is>
      </c>
      <c r="J117" t="inlineStr">
        <is>
          <t>PAGADO</t>
        </is>
      </c>
      <c r="K117" t="inlineStr">
        <is>
          <t>C.03/12 · cashflow BBVA · gasto personal Sol</t>
        </is>
      </c>
    </row>
    <row r="118">
      <c r="A118" s="54" t="n">
        <v>46069</v>
      </c>
      <c r="B118" t="inlineStr">
        <is>
          <t>MERCADOLIBRE</t>
        </is>
      </c>
      <c r="C118" t="inlineStr">
        <is>
          <t>Mercado Libre</t>
        </is>
      </c>
      <c r="D118" t="inlineStr">
        <is>
          <t>MASTERCARD</t>
        </is>
      </c>
      <c r="E118" t="n">
        <v>4</v>
      </c>
      <c r="F118" t="n">
        <v>9</v>
      </c>
      <c r="G118" s="26" t="n">
        <v>17360</v>
      </c>
      <c r="H118" t="inlineStr">
        <is>
          <t>Mayo 2026</t>
        </is>
      </c>
      <c r="I118" t="inlineStr">
        <is>
          <t>2026-05</t>
        </is>
      </c>
      <c r="J118" t="inlineStr">
        <is>
          <t>PAGADO</t>
        </is>
      </c>
      <c r="K118" t="inlineStr">
        <is>
          <t>C.04/09 · cashflow BBVA · gasto personal Sol</t>
        </is>
      </c>
    </row>
    <row r="119">
      <c r="A119" s="54" t="n">
        <v>46125</v>
      </c>
      <c r="B119" t="inlineStr">
        <is>
          <t>MONOFUK</t>
        </is>
      </c>
      <c r="C119" t="inlineStr">
        <is>
          <t>Personal</t>
        </is>
      </c>
      <c r="D119" t="inlineStr">
        <is>
          <t>MASTERCARD</t>
        </is>
      </c>
      <c r="E119" t="n">
        <v>2</v>
      </c>
      <c r="F119" t="n">
        <v>6</v>
      </c>
      <c r="G119" s="26" t="n">
        <v>95984</v>
      </c>
      <c r="H119" t="inlineStr">
        <is>
          <t>Mayo 2026</t>
        </is>
      </c>
      <c r="I119" t="inlineStr">
        <is>
          <t>2026-05</t>
        </is>
      </c>
      <c r="J119" t="inlineStr">
        <is>
          <t>PAGADO</t>
        </is>
      </c>
      <c r="K119" t="inlineStr">
        <is>
          <t>C.02/06 · cashflow BBVA · gasto personal Sol</t>
        </is>
      </c>
    </row>
    <row r="120">
      <c r="A120" s="54" t="n">
        <v>46145</v>
      </c>
      <c r="B120" t="inlineStr">
        <is>
          <t>PAYU*AR*ADIDAS</t>
        </is>
      </c>
      <c r="C120" t="inlineStr">
        <is>
          <t>ROPA</t>
        </is>
      </c>
      <c r="D120" t="inlineStr">
        <is>
          <t>MASTERCARD</t>
        </is>
      </c>
      <c r="E120" t="n">
        <v>1</v>
      </c>
      <c r="F120" t="n">
        <v>3</v>
      </c>
      <c r="G120" s="26" t="n">
        <v>73333</v>
      </c>
      <c r="H120" t="inlineStr">
        <is>
          <t>Mayo 2026</t>
        </is>
      </c>
      <c r="I120" t="inlineStr">
        <is>
          <t>2026-05</t>
        </is>
      </c>
      <c r="J120" t="inlineStr">
        <is>
          <t>PAGADO</t>
        </is>
      </c>
      <c r="K120" t="inlineStr">
        <is>
          <t>C.01/03 · cashflow BBVA · gasto personal Sol</t>
        </is>
      </c>
    </row>
    <row r="121">
      <c r="A121" s="54" t="n">
        <v>46138</v>
      </c>
      <c r="B121" t="inlineStr">
        <is>
          <t>PROMARINEANTIOXID</t>
        </is>
      </c>
      <c r="C121" t="inlineStr">
        <is>
          <t>SALUD</t>
        </is>
      </c>
      <c r="D121" t="inlineStr">
        <is>
          <t>VISA</t>
        </is>
      </c>
      <c r="E121" t="n">
        <v>2</v>
      </c>
      <c r="F121" t="n">
        <v>6</v>
      </c>
      <c r="G121" s="26" t="n">
        <v>87900</v>
      </c>
      <c r="H121" t="inlineStr">
        <is>
          <t>Mayo 2026</t>
        </is>
      </c>
      <c r="I121" t="inlineStr">
        <is>
          <t>2026-05</t>
        </is>
      </c>
      <c r="J121" t="inlineStr">
        <is>
          <t>PAGADO</t>
        </is>
      </c>
      <c r="K121" t="inlineStr">
        <is>
          <t>C.02/06 · cashflow BBVA · gasto personal Sol</t>
        </is>
      </c>
    </row>
    <row r="122">
      <c r="A122" s="54" t="n">
        <v>46144</v>
      </c>
      <c r="B122" t="inlineStr">
        <is>
          <t>SPORTING</t>
        </is>
      </c>
      <c r="C122" t="inlineStr">
        <is>
          <t>ROPA</t>
        </is>
      </c>
      <c r="D122" t="inlineStr">
        <is>
          <t>MASTERCARD</t>
        </is>
      </c>
      <c r="E122" t="n">
        <v>1</v>
      </c>
      <c r="F122" t="n">
        <v>6</v>
      </c>
      <c r="G122" s="26" t="n">
        <v>36667</v>
      </c>
      <c r="H122" t="inlineStr">
        <is>
          <t>Mayo 2026</t>
        </is>
      </c>
      <c r="I122" t="inlineStr">
        <is>
          <t>2026-05</t>
        </is>
      </c>
      <c r="J122" t="inlineStr">
        <is>
          <t>PAGADO</t>
        </is>
      </c>
      <c r="K122" t="inlineStr">
        <is>
          <t>C.01/06 · cashflow BBVA · gasto personal Sol</t>
        </is>
      </c>
    </row>
    <row r="123">
      <c r="A123" s="54" t="n">
        <v>46134</v>
      </c>
      <c r="B123" t="inlineStr">
        <is>
          <t>STANLEYARGENT</t>
        </is>
      </c>
      <c r="C123" t="inlineStr">
        <is>
          <t>Personal</t>
        </is>
      </c>
      <c r="D123" t="inlineStr">
        <is>
          <t>MASTERCARD</t>
        </is>
      </c>
      <c r="E123" t="n">
        <v>2</v>
      </c>
      <c r="F123" t="n">
        <v>6</v>
      </c>
      <c r="G123" s="26" t="n">
        <v>18334</v>
      </c>
      <c r="H123" t="inlineStr">
        <is>
          <t>Mayo 2026</t>
        </is>
      </c>
      <c r="I123" t="inlineStr">
        <is>
          <t>2026-05</t>
        </is>
      </c>
      <c r="J123" t="inlineStr">
        <is>
          <t>PAGADO</t>
        </is>
      </c>
      <c r="K123" t="inlineStr">
        <is>
          <t>C.02/06 · cashflow BBVA · gasto personal Sol</t>
        </is>
      </c>
    </row>
    <row r="124">
      <c r="A124" s="54" t="n">
        <v>46152</v>
      </c>
      <c r="B124" t="inlineStr">
        <is>
          <t>TIENDARIVER</t>
        </is>
      </c>
      <c r="C124" t="inlineStr">
        <is>
          <t>ROPA</t>
        </is>
      </c>
      <c r="D124" t="inlineStr">
        <is>
          <t>MASTERCARD</t>
        </is>
      </c>
      <c r="E124" t="n">
        <v>1</v>
      </c>
      <c r="F124" t="n">
        <v>3</v>
      </c>
      <c r="G124" s="26" t="n">
        <v>84216</v>
      </c>
      <c r="H124" t="inlineStr">
        <is>
          <t>Mayo 2026</t>
        </is>
      </c>
      <c r="I124" t="inlineStr">
        <is>
          <t>2026-05</t>
        </is>
      </c>
      <c r="J124" t="inlineStr">
        <is>
          <t>PAGADO</t>
        </is>
      </c>
      <c r="K124" t="inlineStr">
        <is>
          <t>C.01/03 · cashflow BBVA · gasto personal Sol</t>
        </is>
      </c>
    </row>
    <row r="125">
      <c r="A125" s="54" t="n">
        <v>46148</v>
      </c>
      <c r="B125" t="inlineStr">
        <is>
          <t>ZADIG</t>
        </is>
      </c>
      <c r="C125" t="inlineStr">
        <is>
          <t>ROPA</t>
        </is>
      </c>
      <c r="D125" t="inlineStr">
        <is>
          <t>VISA</t>
        </is>
      </c>
      <c r="E125" t="n">
        <v>1</v>
      </c>
      <c r="F125" t="n">
        <v>12</v>
      </c>
      <c r="G125" s="26" t="n">
        <v>60917</v>
      </c>
      <c r="H125" t="inlineStr">
        <is>
          <t>Mayo 2026</t>
        </is>
      </c>
      <c r="I125" t="inlineStr">
        <is>
          <t>2026-05</t>
        </is>
      </c>
      <c r="J125" t="inlineStr">
        <is>
          <t>PAGADO</t>
        </is>
      </c>
      <c r="K125" t="inlineStr">
        <is>
          <t>C.01/12 · cashflow BBVA · gasto personal Sol</t>
        </is>
      </c>
    </row>
    <row r="126">
      <c r="A126" s="54" t="n">
        <v>46151</v>
      </c>
      <c r="B126" t="inlineStr">
        <is>
          <t>ZADIG</t>
        </is>
      </c>
      <c r="C126" t="inlineStr">
        <is>
          <t>ROPA</t>
        </is>
      </c>
      <c r="D126" t="inlineStr">
        <is>
          <t>VISA</t>
        </is>
      </c>
      <c r="E126" t="n">
        <v>1</v>
      </c>
      <c r="F126" t="n">
        <v>12</v>
      </c>
      <c r="G126" s="26" t="n">
        <v>69750</v>
      </c>
      <c r="H126" t="inlineStr">
        <is>
          <t>Mayo 2026</t>
        </is>
      </c>
      <c r="I126" t="inlineStr">
        <is>
          <t>2026-05</t>
        </is>
      </c>
      <c r="J126" t="inlineStr">
        <is>
          <t>PAGADO</t>
        </is>
      </c>
      <c r="K126" t="inlineStr">
        <is>
          <t>C.01/12 · cashflow BBVA · gasto personal Sol</t>
        </is>
      </c>
    </row>
    <row r="127">
      <c r="A127" s="54" t="n">
        <v>46159</v>
      </c>
      <c r="B127" t="inlineStr">
        <is>
          <t>ZARA</t>
        </is>
      </c>
      <c r="C127" t="inlineStr">
        <is>
          <t>ROPA</t>
        </is>
      </c>
      <c r="D127" t="inlineStr">
        <is>
          <t>MASTERCARD</t>
        </is>
      </c>
      <c r="E127" t="n">
        <v>1</v>
      </c>
      <c r="F127" t="n">
        <v>3</v>
      </c>
      <c r="G127" s="26" t="n">
        <v>40004</v>
      </c>
      <c r="H127" t="inlineStr">
        <is>
          <t>Mayo 2026</t>
        </is>
      </c>
      <c r="I127" t="inlineStr">
        <is>
          <t>2026-05</t>
        </is>
      </c>
      <c r="J127" t="inlineStr">
        <is>
          <t>PAGADO</t>
        </is>
      </c>
      <c r="K127" t="inlineStr">
        <is>
          <t>C.01/03 · cashflow BBVA · gasto personal Sol</t>
        </is>
      </c>
    </row>
    <row r="128">
      <c r="A128" s="54" t="n">
        <v>46077</v>
      </c>
      <c r="B128" t="inlineStr">
        <is>
          <t>MERCADOLIBRE</t>
        </is>
      </c>
      <c r="C128" t="inlineStr">
        <is>
          <t>Mercado Libre</t>
        </is>
      </c>
      <c r="D128" t="inlineStr">
        <is>
          <t>MASTERCARD</t>
        </is>
      </c>
      <c r="E128" t="n">
        <v>5</v>
      </c>
      <c r="F128" t="n">
        <v>9</v>
      </c>
      <c r="G128" s="26" t="n">
        <v>16950</v>
      </c>
      <c r="H128" t="inlineStr">
        <is>
          <t>Junio 2026</t>
        </is>
      </c>
      <c r="I128" t="inlineStr">
        <is>
          <t>2026-06</t>
        </is>
      </c>
      <c r="J128" t="inlineStr">
        <is>
          <t>PENDIENTE</t>
        </is>
      </c>
      <c r="K128" t="inlineStr">
        <is>
          <t>C.05/09 · cashflow BBVA · gasto personal Sol</t>
        </is>
      </c>
    </row>
    <row r="129">
      <c r="A129" s="54" t="n">
        <v>46145</v>
      </c>
      <c r="B129" t="inlineStr">
        <is>
          <t>PAYU*AR*ADIDAS</t>
        </is>
      </c>
      <c r="C129" t="inlineStr">
        <is>
          <t>ROPA</t>
        </is>
      </c>
      <c r="D129" t="inlineStr">
        <is>
          <t>MASTERCARD</t>
        </is>
      </c>
      <c r="E129" t="n">
        <v>2</v>
      </c>
      <c r="F129" t="n">
        <v>3</v>
      </c>
      <c r="G129" s="26" t="n">
        <v>73333</v>
      </c>
      <c r="H129" t="inlineStr">
        <is>
          <t>Junio 2026</t>
        </is>
      </c>
      <c r="I129" t="inlineStr">
        <is>
          <t>2026-06</t>
        </is>
      </c>
      <c r="J129" t="inlineStr">
        <is>
          <t>PENDIENTE</t>
        </is>
      </c>
      <c r="K129" t="inlineStr">
        <is>
          <t>C.02/03 · cashflow BBVA · gasto personal Sol</t>
        </is>
      </c>
    </row>
    <row r="130">
      <c r="A130" s="54" t="n">
        <v>45953</v>
      </c>
      <c r="B130" t="inlineStr">
        <is>
          <t>2PRODUCTOS</t>
        </is>
      </c>
      <c r="C130" t="inlineStr">
        <is>
          <t>Personal</t>
        </is>
      </c>
      <c r="D130" t="inlineStr">
        <is>
          <t>VISA</t>
        </is>
      </c>
      <c r="E130" t="n">
        <v>9</v>
      </c>
      <c r="F130" t="n">
        <v>9</v>
      </c>
      <c r="G130" s="26" t="n">
        <v>7367</v>
      </c>
      <c r="H130" t="inlineStr">
        <is>
          <t>Julio 2026</t>
        </is>
      </c>
      <c r="I130" t="inlineStr">
        <is>
          <t>2026-07</t>
        </is>
      </c>
      <c r="J130" t="inlineStr">
        <is>
          <t>PAGADO</t>
        </is>
      </c>
      <c r="K130" t="inlineStr">
        <is>
          <t>C.09/09 · cashflow BBVA · gasto personal Sol</t>
        </is>
      </c>
    </row>
    <row r="131">
      <c r="A131" s="54" t="n">
        <v>46166</v>
      </c>
      <c r="B131" t="inlineStr">
        <is>
          <t>BIMBAYLOLA</t>
        </is>
      </c>
      <c r="C131" t="inlineStr">
        <is>
          <t>ROPA</t>
        </is>
      </c>
      <c r="D131" t="inlineStr">
        <is>
          <t>VISA</t>
        </is>
      </c>
      <c r="E131" t="n">
        <v>2</v>
      </c>
      <c r="F131" t="n">
        <v>6</v>
      </c>
      <c r="G131" s="26" t="n">
        <v>124667</v>
      </c>
      <c r="H131" t="inlineStr">
        <is>
          <t>Julio 2026</t>
        </is>
      </c>
      <c r="I131" t="inlineStr">
        <is>
          <t>2026-07</t>
        </is>
      </c>
      <c r="J131" t="inlineStr">
        <is>
          <t>PAGADO</t>
        </is>
      </c>
      <c r="K131" t="inlineStr">
        <is>
          <t>C.02/06 · cashflow BBVA · gasto personal Sol</t>
        </is>
      </c>
    </row>
    <row r="132">
      <c r="A132" s="54" t="n">
        <v>46166</v>
      </c>
      <c r="B132" t="inlineStr">
        <is>
          <t>BIMBAYLOLA</t>
        </is>
      </c>
      <c r="C132" t="inlineStr">
        <is>
          <t>ROPA</t>
        </is>
      </c>
      <c r="D132" t="inlineStr">
        <is>
          <t>VISA</t>
        </is>
      </c>
      <c r="E132" t="n">
        <v>3</v>
      </c>
      <c r="F132" t="n">
        <v>6</v>
      </c>
      <c r="G132" s="26" t="n">
        <v>124667</v>
      </c>
      <c r="H132" t="inlineStr">
        <is>
          <t>Julio 2026</t>
        </is>
      </c>
      <c r="I132" t="inlineStr">
        <is>
          <t>2026-07</t>
        </is>
      </c>
      <c r="J132" t="inlineStr">
        <is>
          <t>PENDIENTE</t>
        </is>
      </c>
      <c r="K132" t="inlineStr">
        <is>
          <t>C.03/06 · cashflow BBVA · gasto personal Sol</t>
        </is>
      </c>
    </row>
    <row r="133">
      <c r="A133" s="54" t="n">
        <v>46158</v>
      </c>
      <c r="B133" t="inlineStr">
        <is>
          <t>BOKENVORENO</t>
        </is>
      </c>
      <c r="C133" t="inlineStr">
        <is>
          <t>Personal</t>
        </is>
      </c>
      <c r="D133" t="inlineStr">
        <is>
          <t>VISA</t>
        </is>
      </c>
      <c r="E133" t="n">
        <v>2</v>
      </c>
      <c r="F133" t="n">
        <v>6</v>
      </c>
      <c r="G133" s="26" t="n">
        <v>98334</v>
      </c>
      <c r="H133" t="inlineStr">
        <is>
          <t>Julio 2026</t>
        </is>
      </c>
      <c r="I133" t="inlineStr">
        <is>
          <t>2026-07</t>
        </is>
      </c>
      <c r="J133" t="inlineStr">
        <is>
          <t>PAGADO</t>
        </is>
      </c>
      <c r="K133" t="inlineStr">
        <is>
          <t>C.02/06 · cashflow BBVA · gasto personal Sol</t>
        </is>
      </c>
    </row>
    <row r="134">
      <c r="A134" s="54" t="n">
        <v>46158</v>
      </c>
      <c r="B134" t="inlineStr">
        <is>
          <t>BOKENVORENO</t>
        </is>
      </c>
      <c r="C134" t="inlineStr">
        <is>
          <t>Personal</t>
        </is>
      </c>
      <c r="D134" t="inlineStr">
        <is>
          <t>VISA</t>
        </is>
      </c>
      <c r="E134" t="n">
        <v>3</v>
      </c>
      <c r="F134" t="n">
        <v>6</v>
      </c>
      <c r="G134" s="26" t="n">
        <v>98334</v>
      </c>
      <c r="H134" t="inlineStr">
        <is>
          <t>Julio 2026</t>
        </is>
      </c>
      <c r="I134" t="inlineStr">
        <is>
          <t>2026-07</t>
        </is>
      </c>
      <c r="J134" t="inlineStr">
        <is>
          <t>PENDIENTE</t>
        </is>
      </c>
      <c r="K134" t="inlineStr">
        <is>
          <t>C.03/06 · cashflow BBVA · gasto personal Sol</t>
        </is>
      </c>
    </row>
    <row r="135">
      <c r="A135" s="54" t="n">
        <v>46151</v>
      </c>
      <c r="B135" t="inlineStr">
        <is>
          <t>CAMBIODEAIRES</t>
        </is>
      </c>
      <c r="C135" t="inlineStr">
        <is>
          <t>Personal</t>
        </is>
      </c>
      <c r="D135" t="inlineStr">
        <is>
          <t>VISA</t>
        </is>
      </c>
      <c r="E135" t="n">
        <v>2</v>
      </c>
      <c r="F135" t="n">
        <v>3</v>
      </c>
      <c r="G135" s="26" t="n">
        <v>329986</v>
      </c>
      <c r="H135" t="inlineStr">
        <is>
          <t>Julio 2026</t>
        </is>
      </c>
      <c r="I135" t="inlineStr">
        <is>
          <t>2026-07</t>
        </is>
      </c>
      <c r="J135" t="inlineStr">
        <is>
          <t>PAGADO</t>
        </is>
      </c>
      <c r="K135" t="inlineStr">
        <is>
          <t>C.02/03 · cashflow BBVA · gasto personal Sol</t>
        </is>
      </c>
    </row>
    <row r="136">
      <c r="A136" s="54" t="n">
        <v>46151</v>
      </c>
      <c r="B136" t="inlineStr">
        <is>
          <t>CAMBIODEAIRES</t>
        </is>
      </c>
      <c r="C136" t="inlineStr">
        <is>
          <t>Personal</t>
        </is>
      </c>
      <c r="D136" t="inlineStr">
        <is>
          <t>VISA</t>
        </is>
      </c>
      <c r="E136" t="n">
        <v>3</v>
      </c>
      <c r="F136" t="n">
        <v>3</v>
      </c>
      <c r="G136" s="26" t="n">
        <v>329986</v>
      </c>
      <c r="H136" t="inlineStr">
        <is>
          <t>Julio 2026</t>
        </is>
      </c>
      <c r="I136" t="inlineStr">
        <is>
          <t>2026-07</t>
        </is>
      </c>
      <c r="J136" t="inlineStr">
        <is>
          <t>PENDIENTE</t>
        </is>
      </c>
      <c r="K136" t="inlineStr">
        <is>
          <t>C.03/03 · cashflow BBVA · gasto personal Sol</t>
        </is>
      </c>
    </row>
    <row r="137">
      <c r="A137" s="54" t="n">
        <v>46201</v>
      </c>
      <c r="B137" t="inlineStr">
        <is>
          <t>FRIVILLI</t>
        </is>
      </c>
      <c r="C137" t="inlineStr">
        <is>
          <t>Personal</t>
        </is>
      </c>
      <c r="D137" t="inlineStr">
        <is>
          <t>VISA</t>
        </is>
      </c>
      <c r="E137" t="n">
        <v>1</v>
      </c>
      <c r="F137" t="n">
        <v>3</v>
      </c>
      <c r="G137" s="26" t="n">
        <v>31700</v>
      </c>
      <c r="H137" t="inlineStr">
        <is>
          <t>Julio 2026</t>
        </is>
      </c>
      <c r="I137" t="inlineStr">
        <is>
          <t>2026-07</t>
        </is>
      </c>
      <c r="J137" t="inlineStr">
        <is>
          <t>PAGADO</t>
        </is>
      </c>
      <c r="K137" t="inlineStr">
        <is>
          <t>C.01/03 · cashflow BBVA · gasto personal Sol</t>
        </is>
      </c>
    </row>
    <row r="138">
      <c r="A138" s="54" t="n">
        <v>46151</v>
      </c>
      <c r="B138" t="inlineStr">
        <is>
          <t>JUSTA OSADIA</t>
        </is>
      </c>
      <c r="C138" t="inlineStr">
        <is>
          <t>ROPA</t>
        </is>
      </c>
      <c r="D138" t="inlineStr">
        <is>
          <t>MASTERCARD</t>
        </is>
      </c>
      <c r="E138" t="n">
        <v>2</v>
      </c>
      <c r="F138" t="n">
        <v>6</v>
      </c>
      <c r="G138" s="26" t="n">
        <v>80834</v>
      </c>
      <c r="H138" t="inlineStr">
        <is>
          <t>Julio 2026</t>
        </is>
      </c>
      <c r="I138" t="inlineStr">
        <is>
          <t>2026-07</t>
        </is>
      </c>
      <c r="J138" t="inlineStr">
        <is>
          <t>PAGADO</t>
        </is>
      </c>
      <c r="K138" t="inlineStr">
        <is>
          <t>C.02/06 · cashflow BBVA · gasto personal Sol</t>
        </is>
      </c>
    </row>
    <row r="139">
      <c r="A139" s="54" t="n">
        <v>46151</v>
      </c>
      <c r="B139" t="inlineStr">
        <is>
          <t>JUSTA OSADIA</t>
        </is>
      </c>
      <c r="C139" t="inlineStr">
        <is>
          <t>ROPA</t>
        </is>
      </c>
      <c r="D139" t="inlineStr">
        <is>
          <t>MASTERCARD</t>
        </is>
      </c>
      <c r="E139" t="n">
        <v>3</v>
      </c>
      <c r="F139" t="n">
        <v>6</v>
      </c>
      <c r="G139" s="26" t="n">
        <v>80834</v>
      </c>
      <c r="H139" t="inlineStr">
        <is>
          <t>Julio 2026</t>
        </is>
      </c>
      <c r="I139" t="inlineStr">
        <is>
          <t>2026-07</t>
        </is>
      </c>
      <c r="J139" t="inlineStr">
        <is>
          <t>PENDIENTE</t>
        </is>
      </c>
      <c r="K139" t="inlineStr">
        <is>
          <t>C.03/06 · cashflow BBVA · gasto personal Sol</t>
        </is>
      </c>
    </row>
    <row r="140">
      <c r="A140" s="54" t="n">
        <v>46132</v>
      </c>
      <c r="B140" t="inlineStr">
        <is>
          <t>LABORATORIOBE</t>
        </is>
      </c>
      <c r="C140" t="inlineStr">
        <is>
          <t>Personal</t>
        </is>
      </c>
      <c r="D140" t="inlineStr">
        <is>
          <t>MASTERCARD</t>
        </is>
      </c>
      <c r="E140" t="n">
        <v>3</v>
      </c>
      <c r="F140" t="n">
        <v>6</v>
      </c>
      <c r="G140" s="26" t="n">
        <v>54033</v>
      </c>
      <c r="H140" t="inlineStr">
        <is>
          <t>Julio 2026</t>
        </is>
      </c>
      <c r="I140" t="inlineStr">
        <is>
          <t>2026-07</t>
        </is>
      </c>
      <c r="J140" t="inlineStr">
        <is>
          <t>PAGADO</t>
        </is>
      </c>
      <c r="K140" t="inlineStr">
        <is>
          <t>C.03/06 · cashflow BBVA · gasto personal Sol</t>
        </is>
      </c>
    </row>
    <row r="141">
      <c r="A141" s="54" t="n">
        <v>46132</v>
      </c>
      <c r="B141" t="inlineStr">
        <is>
          <t>LABORATORIOBE</t>
        </is>
      </c>
      <c r="C141" t="inlineStr">
        <is>
          <t>Personal</t>
        </is>
      </c>
      <c r="D141" t="inlineStr">
        <is>
          <t>MASTERCARD</t>
        </is>
      </c>
      <c r="E141" t="n">
        <v>4</v>
      </c>
      <c r="F141" t="n">
        <v>6</v>
      </c>
      <c r="G141" s="26" t="n">
        <v>54033</v>
      </c>
      <c r="H141" t="inlineStr">
        <is>
          <t>Julio 2026</t>
        </is>
      </c>
      <c r="I141" t="inlineStr">
        <is>
          <t>2026-07</t>
        </is>
      </c>
      <c r="J141" t="inlineStr">
        <is>
          <t>PENDIENTE</t>
        </is>
      </c>
      <c r="K141" t="inlineStr">
        <is>
          <t>C.04/06 · cashflow BBVA · gasto personal Sol</t>
        </is>
      </c>
    </row>
    <row r="142">
      <c r="A142" s="54" t="n">
        <v>46021</v>
      </c>
      <c r="B142" t="inlineStr">
        <is>
          <t>LONGCHAMP</t>
        </is>
      </c>
      <c r="C142" t="inlineStr">
        <is>
          <t>ROPA</t>
        </is>
      </c>
      <c r="D142" t="inlineStr">
        <is>
          <t>MASTERCARD</t>
        </is>
      </c>
      <c r="E142" t="n">
        <v>6</v>
      </c>
      <c r="F142" t="n">
        <v>6</v>
      </c>
      <c r="G142" s="26" t="n">
        <v>63750</v>
      </c>
      <c r="H142" t="inlineStr">
        <is>
          <t>Julio 2026</t>
        </is>
      </c>
      <c r="I142" t="inlineStr">
        <is>
          <t>2026-07</t>
        </is>
      </c>
      <c r="J142" t="inlineStr">
        <is>
          <t>PAGADO</t>
        </is>
      </c>
      <c r="K142" t="inlineStr">
        <is>
          <t>C.06/06 · cashflow BBVA · gasto personal Sol</t>
        </is>
      </c>
    </row>
    <row r="143">
      <c r="A143" s="54" t="n">
        <v>46198</v>
      </c>
      <c r="B143" t="inlineStr">
        <is>
          <t>MERCADOLIBRE</t>
        </is>
      </c>
      <c r="C143" t="inlineStr">
        <is>
          <t>Mercado Libre</t>
        </is>
      </c>
      <c r="D143" t="inlineStr">
        <is>
          <t>VISA</t>
        </is>
      </c>
      <c r="E143" t="n">
        <v>1</v>
      </c>
      <c r="F143" t="n">
        <v>6</v>
      </c>
      <c r="G143" s="26" t="n">
        <v>12084</v>
      </c>
      <c r="H143" t="inlineStr">
        <is>
          <t>Julio 2026</t>
        </is>
      </c>
      <c r="I143" t="inlineStr">
        <is>
          <t>2026-07</t>
        </is>
      </c>
      <c r="J143" t="inlineStr">
        <is>
          <t>PAGADO</t>
        </is>
      </c>
      <c r="K143" t="inlineStr">
        <is>
          <t>C.01/06 · cashflow BBVA · gasto personal Sol</t>
        </is>
      </c>
    </row>
    <row r="144">
      <c r="A144" s="54" t="n">
        <v>46077</v>
      </c>
      <c r="B144" t="inlineStr">
        <is>
          <t>MERCADOLIBRE</t>
        </is>
      </c>
      <c r="C144" t="inlineStr">
        <is>
          <t>Mercado Libre</t>
        </is>
      </c>
      <c r="D144" t="inlineStr">
        <is>
          <t>MASTERCARD</t>
        </is>
      </c>
      <c r="E144" t="n">
        <v>4</v>
      </c>
      <c r="F144" t="n">
        <v>9</v>
      </c>
      <c r="G144" s="26" t="n">
        <v>16950</v>
      </c>
      <c r="H144" t="inlineStr">
        <is>
          <t>Julio 2026</t>
        </is>
      </c>
      <c r="I144" t="inlineStr">
        <is>
          <t>2026-07</t>
        </is>
      </c>
      <c r="J144" t="inlineStr">
        <is>
          <t>PAGADO</t>
        </is>
      </c>
      <c r="K144" t="inlineStr">
        <is>
          <t>C.04/09 · cashflow BBVA · gasto personal Sol</t>
        </is>
      </c>
    </row>
    <row r="145">
      <c r="A145" s="54" t="n">
        <v>46094</v>
      </c>
      <c r="B145" t="inlineStr">
        <is>
          <t>MERCADOLIBRE</t>
        </is>
      </c>
      <c r="C145" t="inlineStr">
        <is>
          <t>Mercado Libre</t>
        </is>
      </c>
      <c r="D145" t="inlineStr">
        <is>
          <t>MASTERCARD</t>
        </is>
      </c>
      <c r="E145" t="n">
        <v>4</v>
      </c>
      <c r="F145" t="n">
        <v>12</v>
      </c>
      <c r="G145" s="26" t="n">
        <v>275000</v>
      </c>
      <c r="H145" t="inlineStr">
        <is>
          <t>Julio 2026</t>
        </is>
      </c>
      <c r="I145" t="inlineStr">
        <is>
          <t>2026-07</t>
        </is>
      </c>
      <c r="J145" t="inlineStr">
        <is>
          <t>PAGADO</t>
        </is>
      </c>
      <c r="K145" t="inlineStr">
        <is>
          <t>C.04/12 · cashflow BBVA · gasto personal Sol</t>
        </is>
      </c>
    </row>
    <row r="146">
      <c r="A146" s="54" t="n">
        <v>46069</v>
      </c>
      <c r="B146" t="inlineStr">
        <is>
          <t>MERCADOLIBRE</t>
        </is>
      </c>
      <c r="C146" t="inlineStr">
        <is>
          <t>Mercado Libre</t>
        </is>
      </c>
      <c r="D146" t="inlineStr">
        <is>
          <t>MASTERCARD</t>
        </is>
      </c>
      <c r="E146" t="n">
        <v>5</v>
      </c>
      <c r="F146" t="n">
        <v>9</v>
      </c>
      <c r="G146" s="26" t="n">
        <v>17360</v>
      </c>
      <c r="H146" t="inlineStr">
        <is>
          <t>Julio 2026</t>
        </is>
      </c>
      <c r="I146" t="inlineStr">
        <is>
          <t>2026-07</t>
        </is>
      </c>
      <c r="J146" t="inlineStr">
        <is>
          <t>PAGADO</t>
        </is>
      </c>
      <c r="K146" t="inlineStr">
        <is>
          <t>C.05/09 · cashflow BBVA · gasto personal Sol</t>
        </is>
      </c>
    </row>
    <row r="147">
      <c r="A147" s="54" t="n">
        <v>46094</v>
      </c>
      <c r="B147" t="inlineStr">
        <is>
          <t>MERCADOLIBRE</t>
        </is>
      </c>
      <c r="C147" t="inlineStr">
        <is>
          <t>Mercado Libre</t>
        </is>
      </c>
      <c r="D147" t="inlineStr">
        <is>
          <t>MASTERCARD</t>
        </is>
      </c>
      <c r="E147" t="n">
        <v>5</v>
      </c>
      <c r="F147" t="n">
        <v>12</v>
      </c>
      <c r="G147" s="26" t="n">
        <v>275000</v>
      </c>
      <c r="H147" t="inlineStr">
        <is>
          <t>Julio 2026</t>
        </is>
      </c>
      <c r="I147" t="inlineStr">
        <is>
          <t>2026-07</t>
        </is>
      </c>
      <c r="J147" t="inlineStr">
        <is>
          <t>PENDIENTE</t>
        </is>
      </c>
      <c r="K147" t="inlineStr">
        <is>
          <t>C.05/12 · cashflow BBVA · gasto personal Sol</t>
        </is>
      </c>
    </row>
    <row r="148">
      <c r="A148" s="54" t="n">
        <v>46069</v>
      </c>
      <c r="B148" t="inlineStr">
        <is>
          <t>MERCADOLIBRE</t>
        </is>
      </c>
      <c r="C148" t="inlineStr">
        <is>
          <t>Mercado Libre</t>
        </is>
      </c>
      <c r="D148" t="inlineStr">
        <is>
          <t>MASTERCARD</t>
        </is>
      </c>
      <c r="E148" t="n">
        <v>6</v>
      </c>
      <c r="F148" t="n">
        <v>9</v>
      </c>
      <c r="G148" s="26" t="n">
        <v>17360</v>
      </c>
      <c r="H148" t="inlineStr">
        <is>
          <t>Julio 2026</t>
        </is>
      </c>
      <c r="I148" t="inlineStr">
        <is>
          <t>2026-07</t>
        </is>
      </c>
      <c r="J148" t="inlineStr">
        <is>
          <t>PENDIENTE</t>
        </is>
      </c>
      <c r="K148" t="inlineStr">
        <is>
          <t>C.06/09 · cashflow BBVA · gasto personal Sol</t>
        </is>
      </c>
    </row>
    <row r="149">
      <c r="A149" s="54" t="n">
        <v>46077</v>
      </c>
      <c r="B149" t="inlineStr">
        <is>
          <t>MERCADOLIBRE</t>
        </is>
      </c>
      <c r="C149" t="inlineStr">
        <is>
          <t>Mercado Libre</t>
        </is>
      </c>
      <c r="D149" t="inlineStr">
        <is>
          <t>MASTERCARD</t>
        </is>
      </c>
      <c r="E149" t="n">
        <v>6</v>
      </c>
      <c r="F149" t="n">
        <v>9</v>
      </c>
      <c r="G149" s="26" t="n">
        <v>16950</v>
      </c>
      <c r="H149" t="inlineStr">
        <is>
          <t>Julio 2026</t>
        </is>
      </c>
      <c r="I149" t="inlineStr">
        <is>
          <t>2026-07</t>
        </is>
      </c>
      <c r="J149" t="inlineStr">
        <is>
          <t>PENDIENTE</t>
        </is>
      </c>
      <c r="K149" t="inlineStr">
        <is>
          <t>C.06/09 · cashflow BBVA · gasto personal Sol</t>
        </is>
      </c>
    </row>
    <row r="150">
      <c r="A150" s="54" t="n">
        <v>46125</v>
      </c>
      <c r="B150" t="inlineStr">
        <is>
          <t>MONOFUK</t>
        </is>
      </c>
      <c r="C150" t="inlineStr">
        <is>
          <t>Personal</t>
        </is>
      </c>
      <c r="D150" t="inlineStr">
        <is>
          <t>MASTERCARD</t>
        </is>
      </c>
      <c r="E150" t="n">
        <v>3</v>
      </c>
      <c r="F150" t="n">
        <v>6</v>
      </c>
      <c r="G150" s="26" t="n">
        <v>95984</v>
      </c>
      <c r="H150" t="inlineStr">
        <is>
          <t>Julio 2026</t>
        </is>
      </c>
      <c r="I150" t="inlineStr">
        <is>
          <t>2026-07</t>
        </is>
      </c>
      <c r="J150" t="inlineStr">
        <is>
          <t>PAGADO</t>
        </is>
      </c>
      <c r="K150" t="inlineStr">
        <is>
          <t>C.03/06 · cashflow BBVA · gasto personal Sol</t>
        </is>
      </c>
    </row>
    <row r="151">
      <c r="A151" s="54" t="n">
        <v>46125</v>
      </c>
      <c r="B151" t="inlineStr">
        <is>
          <t>MONOFUK</t>
        </is>
      </c>
      <c r="C151" t="inlineStr">
        <is>
          <t>Personal</t>
        </is>
      </c>
      <c r="D151" t="inlineStr">
        <is>
          <t>MASTERCARD</t>
        </is>
      </c>
      <c r="E151" t="n">
        <v>4</v>
      </c>
      <c r="F151" t="n">
        <v>6</v>
      </c>
      <c r="G151" s="26" t="n">
        <v>95984</v>
      </c>
      <c r="H151" t="inlineStr">
        <is>
          <t>Julio 2026</t>
        </is>
      </c>
      <c r="I151" t="inlineStr">
        <is>
          <t>2026-07</t>
        </is>
      </c>
      <c r="J151" t="inlineStr">
        <is>
          <t>PENDIENTE</t>
        </is>
      </c>
      <c r="K151" t="inlineStr">
        <is>
          <t>C.04/06 · cashflow BBVA · gasto personal Sol</t>
        </is>
      </c>
    </row>
    <row r="152">
      <c r="A152" s="54" t="n">
        <v>46176</v>
      </c>
      <c r="B152" t="inlineStr">
        <is>
          <t>PANDORA</t>
        </is>
      </c>
      <c r="C152" t="inlineStr">
        <is>
          <t>ROPA</t>
        </is>
      </c>
      <c r="D152" t="inlineStr">
        <is>
          <t>VISA</t>
        </is>
      </c>
      <c r="E152" t="n">
        <v>1</v>
      </c>
      <c r="F152" t="n">
        <v>6</v>
      </c>
      <c r="G152" s="26" t="n">
        <v>284794</v>
      </c>
      <c r="H152" t="inlineStr">
        <is>
          <t>Julio 2026</t>
        </is>
      </c>
      <c r="I152" t="inlineStr">
        <is>
          <t>2026-07</t>
        </is>
      </c>
      <c r="J152" t="inlineStr">
        <is>
          <t>PAGADO</t>
        </is>
      </c>
      <c r="K152" t="inlineStr">
        <is>
          <t>C.01/06 · cashflow BBVA · gasto personal Sol</t>
        </is>
      </c>
    </row>
    <row r="153">
      <c r="A153" s="54" t="n">
        <v>46174</v>
      </c>
      <c r="B153" t="inlineStr">
        <is>
          <t>PANDORA</t>
        </is>
      </c>
      <c r="C153" t="inlineStr">
        <is>
          <t>ROPA</t>
        </is>
      </c>
      <c r="D153" t="inlineStr">
        <is>
          <t>MASTERCARD</t>
        </is>
      </c>
      <c r="E153" t="n">
        <v>1</v>
      </c>
      <c r="F153" t="n">
        <v>6</v>
      </c>
      <c r="G153" s="26" t="n">
        <v>73600</v>
      </c>
      <c r="H153" t="inlineStr">
        <is>
          <t>Julio 2026</t>
        </is>
      </c>
      <c r="I153" t="inlineStr">
        <is>
          <t>2026-07</t>
        </is>
      </c>
      <c r="J153" t="inlineStr">
        <is>
          <t>PAGADO</t>
        </is>
      </c>
      <c r="K153" t="inlineStr">
        <is>
          <t>C.01/06 · cashflow BBVA · gasto personal Sol</t>
        </is>
      </c>
    </row>
    <row r="154">
      <c r="A154" s="54" t="n">
        <v>46145</v>
      </c>
      <c r="B154" t="inlineStr">
        <is>
          <t>PAYU*AR*ADIDAS</t>
        </is>
      </c>
      <c r="C154" t="inlineStr">
        <is>
          <t>ROPA</t>
        </is>
      </c>
      <c r="D154" t="inlineStr">
        <is>
          <t>MASTERCARD</t>
        </is>
      </c>
      <c r="E154" t="n">
        <v>3</v>
      </c>
      <c r="F154" t="n">
        <v>3</v>
      </c>
      <c r="G154" s="26" t="n">
        <v>73333</v>
      </c>
      <c r="H154" t="inlineStr">
        <is>
          <t>Julio 2026</t>
        </is>
      </c>
      <c r="I154" t="inlineStr">
        <is>
          <t>2026-07</t>
        </is>
      </c>
      <c r="J154" t="inlineStr">
        <is>
          <t>PENDIENTE</t>
        </is>
      </c>
      <c r="K154" t="inlineStr">
        <is>
          <t>C.03/03 · cashflow BBVA · gasto personal Sol</t>
        </is>
      </c>
    </row>
    <row r="155">
      <c r="A155" s="54" t="n">
        <v>46138</v>
      </c>
      <c r="B155" t="inlineStr">
        <is>
          <t>PROMARINEANTIOXID</t>
        </is>
      </c>
      <c r="C155" t="inlineStr">
        <is>
          <t>SALUD</t>
        </is>
      </c>
      <c r="D155" t="inlineStr">
        <is>
          <t>VISA</t>
        </is>
      </c>
      <c r="E155" t="n">
        <v>3</v>
      </c>
      <c r="F155" t="n">
        <v>6</v>
      </c>
      <c r="G155" s="26" t="n">
        <v>87900</v>
      </c>
      <c r="H155" t="inlineStr">
        <is>
          <t>Julio 2026</t>
        </is>
      </c>
      <c r="I155" t="inlineStr">
        <is>
          <t>2026-07</t>
        </is>
      </c>
      <c r="J155" t="inlineStr">
        <is>
          <t>PAGADO</t>
        </is>
      </c>
      <c r="K155" t="inlineStr">
        <is>
          <t>C.03/06 · cashflow BBVA · gasto personal Sol</t>
        </is>
      </c>
    </row>
    <row r="156">
      <c r="A156" s="54" t="n">
        <v>46138</v>
      </c>
      <c r="B156" t="inlineStr">
        <is>
          <t>PROMARINEANTIOXID</t>
        </is>
      </c>
      <c r="C156" t="inlineStr">
        <is>
          <t>SALUD</t>
        </is>
      </c>
      <c r="D156" t="inlineStr">
        <is>
          <t>VISA</t>
        </is>
      </c>
      <c r="E156" t="n">
        <v>4</v>
      </c>
      <c r="F156" t="n">
        <v>6</v>
      </c>
      <c r="G156" s="26" t="n">
        <v>87900</v>
      </c>
      <c r="H156" t="inlineStr">
        <is>
          <t>Julio 2026</t>
        </is>
      </c>
      <c r="I156" t="inlineStr">
        <is>
          <t>2026-07</t>
        </is>
      </c>
      <c r="J156" t="inlineStr">
        <is>
          <t>PENDIENTE</t>
        </is>
      </c>
      <c r="K156" t="inlineStr">
        <is>
          <t>C.04/06 · cashflow BBVA · gasto personal Sol</t>
        </is>
      </c>
    </row>
    <row r="157">
      <c r="A157" s="54" t="n">
        <v>46144</v>
      </c>
      <c r="B157" t="inlineStr">
        <is>
          <t>SPORTING</t>
        </is>
      </c>
      <c r="C157" t="inlineStr">
        <is>
          <t>ROPA</t>
        </is>
      </c>
      <c r="D157" t="inlineStr">
        <is>
          <t>MASTERCARD</t>
        </is>
      </c>
      <c r="E157" t="n">
        <v>2</v>
      </c>
      <c r="F157" t="n">
        <v>6</v>
      </c>
      <c r="G157" s="26" t="n">
        <v>36667</v>
      </c>
      <c r="H157" t="inlineStr">
        <is>
          <t>Julio 2026</t>
        </is>
      </c>
      <c r="I157" t="inlineStr">
        <is>
          <t>2026-07</t>
        </is>
      </c>
      <c r="J157" t="inlineStr">
        <is>
          <t>PAGADO</t>
        </is>
      </c>
      <c r="K157" t="inlineStr">
        <is>
          <t>C.02/06 · cashflow BBVA · gasto personal Sol</t>
        </is>
      </c>
    </row>
    <row r="158">
      <c r="A158" s="54" t="n">
        <v>46144</v>
      </c>
      <c r="B158" t="inlineStr">
        <is>
          <t>SPORTING</t>
        </is>
      </c>
      <c r="C158" t="inlineStr">
        <is>
          <t>ROPA</t>
        </is>
      </c>
      <c r="D158" t="inlineStr">
        <is>
          <t>MASTERCARD</t>
        </is>
      </c>
      <c r="E158" t="n">
        <v>3</v>
      </c>
      <c r="F158" t="n">
        <v>6</v>
      </c>
      <c r="G158" s="26" t="n">
        <v>36667</v>
      </c>
      <c r="H158" t="inlineStr">
        <is>
          <t>Julio 2026</t>
        </is>
      </c>
      <c r="I158" t="inlineStr">
        <is>
          <t>2026-07</t>
        </is>
      </c>
      <c r="J158" t="inlineStr">
        <is>
          <t>PENDIENTE</t>
        </is>
      </c>
      <c r="K158" t="inlineStr">
        <is>
          <t>C.03/06 · cashflow BBVA · gasto personal Sol</t>
        </is>
      </c>
    </row>
    <row r="159">
      <c r="A159" s="54" t="n">
        <v>46134</v>
      </c>
      <c r="B159" t="inlineStr">
        <is>
          <t>STANLEYARGENT</t>
        </is>
      </c>
      <c r="C159" t="inlineStr">
        <is>
          <t>Personal</t>
        </is>
      </c>
      <c r="D159" t="inlineStr">
        <is>
          <t>MASTERCARD</t>
        </is>
      </c>
      <c r="E159" t="n">
        <v>3</v>
      </c>
      <c r="F159" t="n">
        <v>6</v>
      </c>
      <c r="G159" s="26" t="n">
        <v>18334</v>
      </c>
      <c r="H159" t="inlineStr">
        <is>
          <t>Julio 2026</t>
        </is>
      </c>
      <c r="I159" t="inlineStr">
        <is>
          <t>2026-07</t>
        </is>
      </c>
      <c r="J159" t="inlineStr">
        <is>
          <t>PAGADO</t>
        </is>
      </c>
      <c r="K159" t="inlineStr">
        <is>
          <t>C.03/06 · cashflow BBVA · gasto personal Sol</t>
        </is>
      </c>
    </row>
    <row r="160">
      <c r="A160" s="54" t="n">
        <v>46134</v>
      </c>
      <c r="B160" t="inlineStr">
        <is>
          <t>STANLEYARGENT</t>
        </is>
      </c>
      <c r="C160" t="inlineStr">
        <is>
          <t>Personal</t>
        </is>
      </c>
      <c r="D160" t="inlineStr">
        <is>
          <t>MASTERCARD</t>
        </is>
      </c>
      <c r="E160" t="n">
        <v>4</v>
      </c>
      <c r="F160" t="n">
        <v>6</v>
      </c>
      <c r="G160" s="26" t="n">
        <v>18334</v>
      </c>
      <c r="H160" t="inlineStr">
        <is>
          <t>Julio 2026</t>
        </is>
      </c>
      <c r="I160" t="inlineStr">
        <is>
          <t>2026-07</t>
        </is>
      </c>
      <c r="J160" t="inlineStr">
        <is>
          <t>PENDIENTE</t>
        </is>
      </c>
      <c r="K160" t="inlineStr">
        <is>
          <t>C.04/06 · cashflow BBVA · gasto personal Sol</t>
        </is>
      </c>
    </row>
    <row r="161">
      <c r="A161" s="54" t="n">
        <v>46152</v>
      </c>
      <c r="B161" t="inlineStr">
        <is>
          <t>TIENDARIVER</t>
        </is>
      </c>
      <c r="C161" t="inlineStr">
        <is>
          <t>ROPA</t>
        </is>
      </c>
      <c r="D161" t="inlineStr">
        <is>
          <t>MASTERCARD</t>
        </is>
      </c>
      <c r="E161" t="n">
        <v>2</v>
      </c>
      <c r="F161" t="n">
        <v>3</v>
      </c>
      <c r="G161" s="26" t="n">
        <v>84216</v>
      </c>
      <c r="H161" t="inlineStr">
        <is>
          <t>Julio 2026</t>
        </is>
      </c>
      <c r="I161" t="inlineStr">
        <is>
          <t>2026-07</t>
        </is>
      </c>
      <c r="J161" t="inlineStr">
        <is>
          <t>PAGADO</t>
        </is>
      </c>
      <c r="K161" t="inlineStr">
        <is>
          <t>C.02/03 · cashflow BBVA · gasto personal Sol</t>
        </is>
      </c>
    </row>
    <row r="162">
      <c r="A162" s="54" t="n">
        <v>46152</v>
      </c>
      <c r="B162" t="inlineStr">
        <is>
          <t>TIENDARIVER</t>
        </is>
      </c>
      <c r="C162" t="inlineStr">
        <is>
          <t>ROPA</t>
        </is>
      </c>
      <c r="D162" t="inlineStr">
        <is>
          <t>MASTERCARD</t>
        </is>
      </c>
      <c r="E162" t="n">
        <v>3</v>
      </c>
      <c r="F162" t="n">
        <v>3</v>
      </c>
      <c r="G162" s="26" t="n">
        <v>84216</v>
      </c>
      <c r="H162" t="inlineStr">
        <is>
          <t>Julio 2026</t>
        </is>
      </c>
      <c r="I162" t="inlineStr">
        <is>
          <t>2026-07</t>
        </is>
      </c>
      <c r="J162" t="inlineStr">
        <is>
          <t>PENDIENTE</t>
        </is>
      </c>
      <c r="K162" t="inlineStr">
        <is>
          <t>C.03/03 · cashflow BBVA · gasto personal Sol</t>
        </is>
      </c>
    </row>
    <row r="163">
      <c r="A163" s="54" t="n">
        <v>46198</v>
      </c>
      <c r="B163" t="inlineStr">
        <is>
          <t>TLM CARP</t>
        </is>
      </c>
      <c r="C163" t="inlineStr">
        <is>
          <t>Eventos deportivos - River</t>
        </is>
      </c>
      <c r="D163" t="inlineStr">
        <is>
          <t>VISA</t>
        </is>
      </c>
      <c r="E163" t="n">
        <v>1</v>
      </c>
      <c r="F163" t="n">
        <v>6</v>
      </c>
      <c r="G163" s="26" t="n">
        <v>169667</v>
      </c>
      <c r="H163" t="inlineStr">
        <is>
          <t>Julio 2026</t>
        </is>
      </c>
      <c r="I163" t="inlineStr">
        <is>
          <t>2026-07</t>
        </is>
      </c>
      <c r="J163" t="inlineStr">
        <is>
          <t>PAGADO</t>
        </is>
      </c>
      <c r="K163" t="inlineStr">
        <is>
          <t>C.01/06 · cashflow BBVA · gasto personal Sol</t>
        </is>
      </c>
    </row>
    <row r="164">
      <c r="A164" s="54" t="n">
        <v>46148</v>
      </c>
      <c r="B164" t="inlineStr">
        <is>
          <t>ZADIG</t>
        </is>
      </c>
      <c r="C164" t="inlineStr">
        <is>
          <t>ROPA</t>
        </is>
      </c>
      <c r="D164" t="inlineStr">
        <is>
          <t>VISA</t>
        </is>
      </c>
      <c r="E164" t="n">
        <v>2</v>
      </c>
      <c r="F164" t="n">
        <v>12</v>
      </c>
      <c r="G164" s="26" t="n">
        <v>60917</v>
      </c>
      <c r="H164" t="inlineStr">
        <is>
          <t>Julio 2026</t>
        </is>
      </c>
      <c r="I164" t="inlineStr">
        <is>
          <t>2026-07</t>
        </is>
      </c>
      <c r="J164" t="inlineStr">
        <is>
          <t>PAGADO</t>
        </is>
      </c>
      <c r="K164" t="inlineStr">
        <is>
          <t>C.02/12 · cashflow BBVA · gasto personal Sol</t>
        </is>
      </c>
    </row>
    <row r="165">
      <c r="A165" s="54" t="n">
        <v>46151</v>
      </c>
      <c r="B165" t="inlineStr">
        <is>
          <t>ZADIG</t>
        </is>
      </c>
      <c r="C165" t="inlineStr">
        <is>
          <t>ROPA</t>
        </is>
      </c>
      <c r="D165" t="inlineStr">
        <is>
          <t>VISA</t>
        </is>
      </c>
      <c r="E165" t="n">
        <v>2</v>
      </c>
      <c r="F165" t="n">
        <v>12</v>
      </c>
      <c r="G165" s="26" t="n">
        <v>69750</v>
      </c>
      <c r="H165" t="inlineStr">
        <is>
          <t>Julio 2026</t>
        </is>
      </c>
      <c r="I165" t="inlineStr">
        <is>
          <t>2026-07</t>
        </is>
      </c>
      <c r="J165" t="inlineStr">
        <is>
          <t>PAGADO</t>
        </is>
      </c>
      <c r="K165" t="inlineStr">
        <is>
          <t>C.02/12 · cashflow BBVA · gasto personal Sol</t>
        </is>
      </c>
    </row>
    <row r="166">
      <c r="A166" s="54" t="n">
        <v>46148</v>
      </c>
      <c r="B166" t="inlineStr">
        <is>
          <t>ZADIG</t>
        </is>
      </c>
      <c r="C166" t="inlineStr">
        <is>
          <t>ROPA</t>
        </is>
      </c>
      <c r="D166" t="inlineStr">
        <is>
          <t>VISA</t>
        </is>
      </c>
      <c r="E166" t="n">
        <v>3</v>
      </c>
      <c r="F166" t="n">
        <v>12</v>
      </c>
      <c r="G166" s="26" t="n">
        <v>60917</v>
      </c>
      <c r="H166" t="inlineStr">
        <is>
          <t>Julio 2026</t>
        </is>
      </c>
      <c r="I166" t="inlineStr">
        <is>
          <t>2026-07</t>
        </is>
      </c>
      <c r="J166" t="inlineStr">
        <is>
          <t>PENDIENTE</t>
        </is>
      </c>
      <c r="K166" t="inlineStr">
        <is>
          <t>C.03/12 · cashflow BBVA · gasto personal Sol</t>
        </is>
      </c>
    </row>
    <row r="167">
      <c r="A167" s="54" t="n">
        <v>46151</v>
      </c>
      <c r="B167" t="inlineStr">
        <is>
          <t>ZADIG</t>
        </is>
      </c>
      <c r="C167" t="inlineStr">
        <is>
          <t>ROPA</t>
        </is>
      </c>
      <c r="D167" t="inlineStr">
        <is>
          <t>VISA</t>
        </is>
      </c>
      <c r="E167" t="n">
        <v>3</v>
      </c>
      <c r="F167" t="n">
        <v>12</v>
      </c>
      <c r="G167" s="26" t="n">
        <v>69750</v>
      </c>
      <c r="H167" t="inlineStr">
        <is>
          <t>Julio 2026</t>
        </is>
      </c>
      <c r="I167" t="inlineStr">
        <is>
          <t>2026-07</t>
        </is>
      </c>
      <c r="J167" t="inlineStr">
        <is>
          <t>PENDIENTE</t>
        </is>
      </c>
      <c r="K167" t="inlineStr">
        <is>
          <t>C.03/12 · cashflow BBVA · gasto personal Sol</t>
        </is>
      </c>
    </row>
    <row r="168">
      <c r="A168" s="54" t="n">
        <v>46159</v>
      </c>
      <c r="B168" t="inlineStr">
        <is>
          <t>ZARA</t>
        </is>
      </c>
      <c r="C168" t="inlineStr">
        <is>
          <t>ROPA</t>
        </is>
      </c>
      <c r="D168" t="inlineStr">
        <is>
          <t>MASTERCARD</t>
        </is>
      </c>
      <c r="E168" t="n">
        <v>2</v>
      </c>
      <c r="F168" t="n">
        <v>3</v>
      </c>
      <c r="G168" s="26" t="n">
        <v>40004</v>
      </c>
      <c r="H168" t="inlineStr">
        <is>
          <t>Julio 2026</t>
        </is>
      </c>
      <c r="I168" t="inlineStr">
        <is>
          <t>2026-07</t>
        </is>
      </c>
      <c r="J168" t="inlineStr">
        <is>
          <t>PAGADO</t>
        </is>
      </c>
      <c r="K168" t="inlineStr">
        <is>
          <t>C.02/03 · cashflow BBVA · gasto personal Sol</t>
        </is>
      </c>
    </row>
    <row r="169">
      <c r="A169" s="54" t="n">
        <v>46159</v>
      </c>
      <c r="B169" t="inlineStr">
        <is>
          <t>ZARA</t>
        </is>
      </c>
      <c r="C169" t="inlineStr">
        <is>
          <t>ROPA</t>
        </is>
      </c>
      <c r="D169" t="inlineStr">
        <is>
          <t>MASTERCARD</t>
        </is>
      </c>
      <c r="E169" t="n">
        <v>3</v>
      </c>
      <c r="F169" t="n">
        <v>3</v>
      </c>
      <c r="G169" s="26" t="n">
        <v>40004</v>
      </c>
      <c r="H169" t="inlineStr">
        <is>
          <t>Julio 2026</t>
        </is>
      </c>
      <c r="I169" t="inlineStr">
        <is>
          <t>2026-07</t>
        </is>
      </c>
      <c r="J169" t="inlineStr">
        <is>
          <t>PENDIENTE</t>
        </is>
      </c>
      <c r="K169" t="inlineStr">
        <is>
          <t>C.03/03 · cashflow BBVA · gasto personal Sol</t>
        </is>
      </c>
    </row>
    <row r="170">
      <c r="A170" s="54" t="n">
        <v>46166</v>
      </c>
      <c r="B170" t="inlineStr">
        <is>
          <t>BIMBAYLOLA</t>
        </is>
      </c>
      <c r="C170" t="inlineStr">
        <is>
          <t>ROPA</t>
        </is>
      </c>
      <c r="D170" t="inlineStr">
        <is>
          <t>VISA</t>
        </is>
      </c>
      <c r="E170" t="n">
        <v>4</v>
      </c>
      <c r="F170" t="n">
        <v>6</v>
      </c>
      <c r="G170" s="26" t="n">
        <v>124667</v>
      </c>
      <c r="H170" t="inlineStr">
        <is>
          <t>Agosto 2026</t>
        </is>
      </c>
      <c r="I170" t="inlineStr">
        <is>
          <t>2026-08</t>
        </is>
      </c>
      <c r="J170" t="inlineStr">
        <is>
          <t>PENDIENTE</t>
        </is>
      </c>
      <c r="K170" t="inlineStr">
        <is>
          <t>C.04/06 · cashflow BBVA · gasto personal Sol</t>
        </is>
      </c>
    </row>
    <row r="171">
      <c r="A171" s="54" t="n">
        <v>46158</v>
      </c>
      <c r="B171" t="inlineStr">
        <is>
          <t>BOKENVORENO</t>
        </is>
      </c>
      <c r="C171" t="inlineStr">
        <is>
          <t>Personal</t>
        </is>
      </c>
      <c r="D171" t="inlineStr">
        <is>
          <t>VISA</t>
        </is>
      </c>
      <c r="E171" t="n">
        <v>4</v>
      </c>
      <c r="F171" t="n">
        <v>6</v>
      </c>
      <c r="G171" s="26" t="n">
        <v>98334</v>
      </c>
      <c r="H171" t="inlineStr">
        <is>
          <t>Agosto 2026</t>
        </is>
      </c>
      <c r="I171" t="inlineStr">
        <is>
          <t>2026-08</t>
        </is>
      </c>
      <c r="J171" t="inlineStr">
        <is>
          <t>PENDIENTE</t>
        </is>
      </c>
      <c r="K171" t="inlineStr">
        <is>
          <t>C.04/06 · cashflow BBVA · gasto personal Sol</t>
        </is>
      </c>
    </row>
    <row r="172">
      <c r="A172" s="54" t="n">
        <v>46201</v>
      </c>
      <c r="B172" t="inlineStr">
        <is>
          <t>FRIVILLI</t>
        </is>
      </c>
      <c r="C172" t="inlineStr">
        <is>
          <t>Personal</t>
        </is>
      </c>
      <c r="D172" t="inlineStr">
        <is>
          <t>VISA</t>
        </is>
      </c>
      <c r="E172" t="n">
        <v>2</v>
      </c>
      <c r="F172" t="n">
        <v>3</v>
      </c>
      <c r="G172" s="26" t="n">
        <v>31700</v>
      </c>
      <c r="H172" t="inlineStr">
        <is>
          <t>Agosto 2026</t>
        </is>
      </c>
      <c r="I172" t="inlineStr">
        <is>
          <t>2026-08</t>
        </is>
      </c>
      <c r="J172" t="inlineStr">
        <is>
          <t>PENDIENTE</t>
        </is>
      </c>
      <c r="K172" t="inlineStr">
        <is>
          <t>C.02/03 · cashflow BBVA · gasto personal Sol</t>
        </is>
      </c>
    </row>
    <row r="173">
      <c r="A173" s="54" t="n">
        <v>46151</v>
      </c>
      <c r="B173" t="inlineStr">
        <is>
          <t>JUSTA OSADIA</t>
        </is>
      </c>
      <c r="C173" t="inlineStr">
        <is>
          <t>ROPA</t>
        </is>
      </c>
      <c r="D173" t="inlineStr">
        <is>
          <t>MASTERCARD</t>
        </is>
      </c>
      <c r="E173" t="n">
        <v>4</v>
      </c>
      <c r="F173" t="n">
        <v>6</v>
      </c>
      <c r="G173" s="26" t="n">
        <v>80834</v>
      </c>
      <c r="H173" t="inlineStr">
        <is>
          <t>Agosto 2026</t>
        </is>
      </c>
      <c r="I173" t="inlineStr">
        <is>
          <t>2026-08</t>
        </is>
      </c>
      <c r="J173" t="inlineStr">
        <is>
          <t>PENDIENTE</t>
        </is>
      </c>
      <c r="K173" t="inlineStr">
        <is>
          <t>C.04/06 · cashflow BBVA · gasto personal Sol</t>
        </is>
      </c>
    </row>
    <row r="174">
      <c r="A174" s="54" t="n">
        <v>46132</v>
      </c>
      <c r="B174" t="inlineStr">
        <is>
          <t>LABORATORIOBE</t>
        </is>
      </c>
      <c r="C174" t="inlineStr">
        <is>
          <t>Personal</t>
        </is>
      </c>
      <c r="D174" t="inlineStr">
        <is>
          <t>MASTERCARD</t>
        </is>
      </c>
      <c r="E174" t="n">
        <v>5</v>
      </c>
      <c r="F174" t="n">
        <v>6</v>
      </c>
      <c r="G174" s="26" t="n">
        <v>54033</v>
      </c>
      <c r="H174" t="inlineStr">
        <is>
          <t>Agosto 2026</t>
        </is>
      </c>
      <c r="I174" t="inlineStr">
        <is>
          <t>2026-08</t>
        </is>
      </c>
      <c r="J174" t="inlineStr">
        <is>
          <t>PENDIENTE</t>
        </is>
      </c>
      <c r="K174" t="inlineStr">
        <is>
          <t>C.05/06 · cashflow BBVA · gasto personal Sol</t>
        </is>
      </c>
    </row>
    <row r="175">
      <c r="A175" s="54" t="n">
        <v>46198</v>
      </c>
      <c r="B175" t="inlineStr">
        <is>
          <t>MERCADOLIBRE</t>
        </is>
      </c>
      <c r="C175" t="inlineStr">
        <is>
          <t>Mercado Libre</t>
        </is>
      </c>
      <c r="D175" t="inlineStr">
        <is>
          <t>VISA</t>
        </is>
      </c>
      <c r="E175" t="n">
        <v>2</v>
      </c>
      <c r="F175" t="n">
        <v>6</v>
      </c>
      <c r="G175" s="26" t="n">
        <v>12084</v>
      </c>
      <c r="H175" t="inlineStr">
        <is>
          <t>Agosto 2026</t>
        </is>
      </c>
      <c r="I175" t="inlineStr">
        <is>
          <t>2026-08</t>
        </is>
      </c>
      <c r="J175" t="inlineStr">
        <is>
          <t>PENDIENTE</t>
        </is>
      </c>
      <c r="K175" t="inlineStr">
        <is>
          <t>C.02/06 · cashflow BBVA · gasto personal Sol</t>
        </is>
      </c>
    </row>
    <row r="176">
      <c r="A176" s="54" t="n">
        <v>46094</v>
      </c>
      <c r="B176" t="inlineStr">
        <is>
          <t>MERCADOLIBRE</t>
        </is>
      </c>
      <c r="C176" t="inlineStr">
        <is>
          <t>Mercado Libre</t>
        </is>
      </c>
      <c r="D176" t="inlineStr">
        <is>
          <t>MASTERCARD</t>
        </is>
      </c>
      <c r="E176" t="n">
        <v>6</v>
      </c>
      <c r="F176" t="n">
        <v>12</v>
      </c>
      <c r="G176" s="26" t="n">
        <v>275000</v>
      </c>
      <c r="H176" t="inlineStr">
        <is>
          <t>Agosto 2026</t>
        </is>
      </c>
      <c r="I176" t="inlineStr">
        <is>
          <t>2026-08</t>
        </is>
      </c>
      <c r="J176" t="inlineStr">
        <is>
          <t>PENDIENTE</t>
        </is>
      </c>
      <c r="K176" t="inlineStr">
        <is>
          <t>C.06/12 · cashflow BBVA · gasto personal Sol</t>
        </is>
      </c>
    </row>
    <row r="177">
      <c r="A177" s="54" t="n">
        <v>46069</v>
      </c>
      <c r="B177" t="inlineStr">
        <is>
          <t>MERCADOLIBRE</t>
        </is>
      </c>
      <c r="C177" t="inlineStr">
        <is>
          <t>Mercado Libre</t>
        </is>
      </c>
      <c r="D177" t="inlineStr">
        <is>
          <t>MASTERCARD</t>
        </is>
      </c>
      <c r="E177" t="n">
        <v>7</v>
      </c>
      <c r="F177" t="n">
        <v>9</v>
      </c>
      <c r="G177" s="26" t="n">
        <v>17360</v>
      </c>
      <c r="H177" t="inlineStr">
        <is>
          <t>Agosto 2026</t>
        </is>
      </c>
      <c r="I177" t="inlineStr">
        <is>
          <t>2026-08</t>
        </is>
      </c>
      <c r="J177" t="inlineStr">
        <is>
          <t>PENDIENTE</t>
        </is>
      </c>
      <c r="K177" t="inlineStr">
        <is>
          <t>C.07/09 · cashflow BBVA · gasto personal Sol</t>
        </is>
      </c>
    </row>
    <row r="178">
      <c r="A178" s="54" t="n">
        <v>46077</v>
      </c>
      <c r="B178" t="inlineStr">
        <is>
          <t>MERCADOLIBRE</t>
        </is>
      </c>
      <c r="C178" t="inlineStr">
        <is>
          <t>Mercado Libre</t>
        </is>
      </c>
      <c r="D178" t="inlineStr">
        <is>
          <t>MASTERCARD</t>
        </is>
      </c>
      <c r="E178" t="n">
        <v>7</v>
      </c>
      <c r="F178" t="n">
        <v>9</v>
      </c>
      <c r="G178" s="26" t="n">
        <v>16950</v>
      </c>
      <c r="H178" t="inlineStr">
        <is>
          <t>Agosto 2026</t>
        </is>
      </c>
      <c r="I178" t="inlineStr">
        <is>
          <t>2026-08</t>
        </is>
      </c>
      <c r="J178" t="inlineStr">
        <is>
          <t>PENDIENTE</t>
        </is>
      </c>
      <c r="K178" t="inlineStr">
        <is>
          <t>C.07/09 · cashflow BBVA · gasto personal Sol</t>
        </is>
      </c>
    </row>
    <row r="179">
      <c r="A179" s="54" t="n">
        <v>46125</v>
      </c>
      <c r="B179" t="inlineStr">
        <is>
          <t>MONOFUK</t>
        </is>
      </c>
      <c r="C179" t="inlineStr">
        <is>
          <t>Personal</t>
        </is>
      </c>
      <c r="D179" t="inlineStr">
        <is>
          <t>MASTERCARD</t>
        </is>
      </c>
      <c r="E179" t="n">
        <v>5</v>
      </c>
      <c r="F179" t="n">
        <v>6</v>
      </c>
      <c r="G179" s="26" t="n">
        <v>95984</v>
      </c>
      <c r="H179" t="inlineStr">
        <is>
          <t>Agosto 2026</t>
        </is>
      </c>
      <c r="I179" t="inlineStr">
        <is>
          <t>2026-08</t>
        </is>
      </c>
      <c r="J179" t="inlineStr">
        <is>
          <t>PENDIENTE</t>
        </is>
      </c>
      <c r="K179" t="inlineStr">
        <is>
          <t>C.05/06 · cashflow BBVA · gasto personal Sol</t>
        </is>
      </c>
    </row>
    <row r="180">
      <c r="A180" s="54" t="n">
        <v>46176</v>
      </c>
      <c r="B180" t="inlineStr">
        <is>
          <t>PANDORA</t>
        </is>
      </c>
      <c r="C180" t="inlineStr">
        <is>
          <t>ROPA</t>
        </is>
      </c>
      <c r="D180" t="inlineStr">
        <is>
          <t>VISA</t>
        </is>
      </c>
      <c r="E180" t="n">
        <v>2</v>
      </c>
      <c r="F180" t="n">
        <v>6</v>
      </c>
      <c r="G180" s="26" t="n">
        <v>284794</v>
      </c>
      <c r="H180" t="inlineStr">
        <is>
          <t>Agosto 2026</t>
        </is>
      </c>
      <c r="I180" t="inlineStr">
        <is>
          <t>2026-08</t>
        </is>
      </c>
      <c r="J180" t="inlineStr">
        <is>
          <t>PENDIENTE</t>
        </is>
      </c>
      <c r="K180" t="inlineStr">
        <is>
          <t>C.02/06 · cashflow BBVA · gasto personal Sol</t>
        </is>
      </c>
    </row>
    <row r="181">
      <c r="A181" s="54" t="n">
        <v>46174</v>
      </c>
      <c r="B181" t="inlineStr">
        <is>
          <t>PANDORA</t>
        </is>
      </c>
      <c r="C181" t="inlineStr">
        <is>
          <t>ROPA</t>
        </is>
      </c>
      <c r="D181" t="inlineStr">
        <is>
          <t>MASTERCARD</t>
        </is>
      </c>
      <c r="E181" t="n">
        <v>2</v>
      </c>
      <c r="F181" t="n">
        <v>6</v>
      </c>
      <c r="G181" s="26" t="n">
        <v>73600</v>
      </c>
      <c r="H181" t="inlineStr">
        <is>
          <t>Agosto 2026</t>
        </is>
      </c>
      <c r="I181" t="inlineStr">
        <is>
          <t>2026-08</t>
        </is>
      </c>
      <c r="J181" t="inlineStr">
        <is>
          <t>PENDIENTE</t>
        </is>
      </c>
      <c r="K181" t="inlineStr">
        <is>
          <t>C.02/06 · cashflow BBVA · gasto personal Sol</t>
        </is>
      </c>
    </row>
    <row r="182">
      <c r="A182" s="54" t="n">
        <v>46138</v>
      </c>
      <c r="B182" t="inlineStr">
        <is>
          <t>PROMARINEANTIOXID</t>
        </is>
      </c>
      <c r="C182" t="inlineStr">
        <is>
          <t>SALUD</t>
        </is>
      </c>
      <c r="D182" t="inlineStr">
        <is>
          <t>VISA</t>
        </is>
      </c>
      <c r="E182" t="n">
        <v>5</v>
      </c>
      <c r="F182" t="n">
        <v>6</v>
      </c>
      <c r="G182" s="26" t="n">
        <v>87900</v>
      </c>
      <c r="H182" t="inlineStr">
        <is>
          <t>Agosto 2026</t>
        </is>
      </c>
      <c r="I182" t="inlineStr">
        <is>
          <t>2026-08</t>
        </is>
      </c>
      <c r="J182" t="inlineStr">
        <is>
          <t>PENDIENTE</t>
        </is>
      </c>
      <c r="K182" t="inlineStr">
        <is>
          <t>C.05/06 · cashflow BBVA · gasto personal Sol</t>
        </is>
      </c>
    </row>
    <row r="183">
      <c r="A183" s="54" t="n">
        <v>46144</v>
      </c>
      <c r="B183" t="inlineStr">
        <is>
          <t>SPORTING</t>
        </is>
      </c>
      <c r="C183" t="inlineStr">
        <is>
          <t>ROPA</t>
        </is>
      </c>
      <c r="D183" t="inlineStr">
        <is>
          <t>MASTERCARD</t>
        </is>
      </c>
      <c r="E183" t="n">
        <v>4</v>
      </c>
      <c r="F183" t="n">
        <v>6</v>
      </c>
      <c r="G183" s="26" t="n">
        <v>36667</v>
      </c>
      <c r="H183" t="inlineStr">
        <is>
          <t>Agosto 2026</t>
        </is>
      </c>
      <c r="I183" t="inlineStr">
        <is>
          <t>2026-08</t>
        </is>
      </c>
      <c r="J183" t="inlineStr">
        <is>
          <t>PENDIENTE</t>
        </is>
      </c>
      <c r="K183" t="inlineStr">
        <is>
          <t>C.04/06 · cashflow BBVA · gasto personal Sol</t>
        </is>
      </c>
    </row>
    <row r="184">
      <c r="A184" s="54" t="n">
        <v>46134</v>
      </c>
      <c r="B184" t="inlineStr">
        <is>
          <t>STANLEYARGENT</t>
        </is>
      </c>
      <c r="C184" t="inlineStr">
        <is>
          <t>Personal</t>
        </is>
      </c>
      <c r="D184" t="inlineStr">
        <is>
          <t>MASTERCARD</t>
        </is>
      </c>
      <c r="E184" t="n">
        <v>5</v>
      </c>
      <c r="F184" t="n">
        <v>6</v>
      </c>
      <c r="G184" s="26" t="n">
        <v>18334</v>
      </c>
      <c r="H184" t="inlineStr">
        <is>
          <t>Agosto 2026</t>
        </is>
      </c>
      <c r="I184" t="inlineStr">
        <is>
          <t>2026-08</t>
        </is>
      </c>
      <c r="J184" t="inlineStr">
        <is>
          <t>PENDIENTE</t>
        </is>
      </c>
      <c r="K184" t="inlineStr">
        <is>
          <t>C.05/06 · cashflow BBVA · gasto personal Sol</t>
        </is>
      </c>
    </row>
    <row r="185">
      <c r="A185" s="54" t="n">
        <v>46198</v>
      </c>
      <c r="B185" t="inlineStr">
        <is>
          <t>TLM CARP</t>
        </is>
      </c>
      <c r="C185" t="inlineStr">
        <is>
          <t>Eventos deportivos - River</t>
        </is>
      </c>
      <c r="D185" t="inlineStr">
        <is>
          <t>VISA</t>
        </is>
      </c>
      <c r="E185" t="n">
        <v>2</v>
      </c>
      <c r="F185" t="n">
        <v>6</v>
      </c>
      <c r="G185" s="26" t="n">
        <v>169667</v>
      </c>
      <c r="H185" t="inlineStr">
        <is>
          <t>Agosto 2026</t>
        </is>
      </c>
      <c r="I185" t="inlineStr">
        <is>
          <t>2026-08</t>
        </is>
      </c>
      <c r="J185" t="inlineStr">
        <is>
          <t>PENDIENTE</t>
        </is>
      </c>
      <c r="K185" t="inlineStr">
        <is>
          <t>C.02/06 · cashflow BBVA · gasto personal Sol</t>
        </is>
      </c>
    </row>
    <row r="186">
      <c r="A186" s="54" t="n">
        <v>46148</v>
      </c>
      <c r="B186" t="inlineStr">
        <is>
          <t>ZADIG</t>
        </is>
      </c>
      <c r="C186" t="inlineStr">
        <is>
          <t>ROPA</t>
        </is>
      </c>
      <c r="D186" t="inlineStr">
        <is>
          <t>VISA</t>
        </is>
      </c>
      <c r="E186" t="n">
        <v>4</v>
      </c>
      <c r="F186" t="n">
        <v>12</v>
      </c>
      <c r="G186" s="26" t="n">
        <v>60917</v>
      </c>
      <c r="H186" t="inlineStr">
        <is>
          <t>Agosto 2026</t>
        </is>
      </c>
      <c r="I186" t="inlineStr">
        <is>
          <t>2026-08</t>
        </is>
      </c>
      <c r="J186" t="inlineStr">
        <is>
          <t>PENDIENTE</t>
        </is>
      </c>
      <c r="K186" t="inlineStr">
        <is>
          <t>C.04/12 · cashflow BBVA · gasto personal Sol</t>
        </is>
      </c>
    </row>
    <row r="187">
      <c r="A187" s="54" t="n">
        <v>46151</v>
      </c>
      <c r="B187" t="inlineStr">
        <is>
          <t>ZADIG</t>
        </is>
      </c>
      <c r="C187" t="inlineStr">
        <is>
          <t>ROPA</t>
        </is>
      </c>
      <c r="D187" t="inlineStr">
        <is>
          <t>VISA</t>
        </is>
      </c>
      <c r="E187" t="n">
        <v>4</v>
      </c>
      <c r="F187" t="n">
        <v>12</v>
      </c>
      <c r="G187" s="26" t="n">
        <v>69750</v>
      </c>
      <c r="H187" t="inlineStr">
        <is>
          <t>Agosto 2026</t>
        </is>
      </c>
      <c r="I187" t="inlineStr">
        <is>
          <t>2026-08</t>
        </is>
      </c>
      <c r="J187" t="inlineStr">
        <is>
          <t>PENDIENTE</t>
        </is>
      </c>
      <c r="K187" t="inlineStr">
        <is>
          <t>C.04/12 · cashflow BBVA · gasto personal Sol</t>
        </is>
      </c>
    </row>
    <row r="188">
      <c r="A188" s="54" t="n">
        <v>46166</v>
      </c>
      <c r="B188" t="inlineStr">
        <is>
          <t>BIMBAYLOLA</t>
        </is>
      </c>
      <c r="C188" t="inlineStr">
        <is>
          <t>ROPA</t>
        </is>
      </c>
      <c r="D188" t="inlineStr">
        <is>
          <t>VISA</t>
        </is>
      </c>
      <c r="E188" t="n">
        <v>5</v>
      </c>
      <c r="F188" t="n">
        <v>6</v>
      </c>
      <c r="G188" s="26" t="n">
        <v>124667</v>
      </c>
      <c r="H188" t="inlineStr">
        <is>
          <t>Septiembre 2026</t>
        </is>
      </c>
      <c r="I188" t="inlineStr">
        <is>
          <t>2026-09</t>
        </is>
      </c>
      <c r="J188" t="inlineStr">
        <is>
          <t>PENDIENTE</t>
        </is>
      </c>
      <c r="K188" t="inlineStr">
        <is>
          <t>C.05/06 · cashflow BBVA · gasto personal Sol</t>
        </is>
      </c>
    </row>
    <row r="189">
      <c r="A189" s="54" t="n">
        <v>46158</v>
      </c>
      <c r="B189" t="inlineStr">
        <is>
          <t>BOKENVORENO</t>
        </is>
      </c>
      <c r="C189" t="inlineStr">
        <is>
          <t>Personal</t>
        </is>
      </c>
      <c r="D189" t="inlineStr">
        <is>
          <t>VISA</t>
        </is>
      </c>
      <c r="E189" t="n">
        <v>5</v>
      </c>
      <c r="F189" t="n">
        <v>6</v>
      </c>
      <c r="G189" s="26" t="n">
        <v>98334</v>
      </c>
      <c r="H189" t="inlineStr">
        <is>
          <t>Septiembre 2026</t>
        </is>
      </c>
      <c r="I189" t="inlineStr">
        <is>
          <t>2026-09</t>
        </is>
      </c>
      <c r="J189" t="inlineStr">
        <is>
          <t>PENDIENTE</t>
        </is>
      </c>
      <c r="K189" t="inlineStr">
        <is>
          <t>C.05/06 · cashflow BBVA · gasto personal Sol</t>
        </is>
      </c>
    </row>
    <row r="190">
      <c r="A190" s="54" t="n">
        <v>46201</v>
      </c>
      <c r="B190" t="inlineStr">
        <is>
          <t>FRIVILLI</t>
        </is>
      </c>
      <c r="C190" t="inlineStr">
        <is>
          <t>Personal</t>
        </is>
      </c>
      <c r="D190" t="inlineStr">
        <is>
          <t>VISA</t>
        </is>
      </c>
      <c r="E190" t="n">
        <v>3</v>
      </c>
      <c r="F190" t="n">
        <v>3</v>
      </c>
      <c r="G190" s="26" t="n">
        <v>31700</v>
      </c>
      <c r="H190" t="inlineStr">
        <is>
          <t>Septiembre 2026</t>
        </is>
      </c>
      <c r="I190" t="inlineStr">
        <is>
          <t>2026-09</t>
        </is>
      </c>
      <c r="J190" t="inlineStr">
        <is>
          <t>PENDIENTE</t>
        </is>
      </c>
      <c r="K190" t="inlineStr">
        <is>
          <t>C.03/03 · cashflow BBVA · gasto personal Sol</t>
        </is>
      </c>
    </row>
    <row r="191">
      <c r="A191" s="54" t="n">
        <v>46151</v>
      </c>
      <c r="B191" t="inlineStr">
        <is>
          <t>JUSTA OSADIA</t>
        </is>
      </c>
      <c r="C191" t="inlineStr">
        <is>
          <t>ROPA</t>
        </is>
      </c>
      <c r="D191" t="inlineStr">
        <is>
          <t>MASTERCARD</t>
        </is>
      </c>
      <c r="E191" t="n">
        <v>5</v>
      </c>
      <c r="F191" t="n">
        <v>6</v>
      </c>
      <c r="G191" s="26" t="n">
        <v>80834</v>
      </c>
      <c r="H191" t="inlineStr">
        <is>
          <t>Septiembre 2026</t>
        </is>
      </c>
      <c r="I191" t="inlineStr">
        <is>
          <t>2026-09</t>
        </is>
      </c>
      <c r="J191" t="inlineStr">
        <is>
          <t>PENDIENTE</t>
        </is>
      </c>
      <c r="K191" t="inlineStr">
        <is>
          <t>C.05/06 · cashflow BBVA · gasto personal Sol</t>
        </is>
      </c>
    </row>
    <row r="192">
      <c r="A192" s="54" t="n">
        <v>46132</v>
      </c>
      <c r="B192" t="inlineStr">
        <is>
          <t>LABORATORIOBE</t>
        </is>
      </c>
      <c r="C192" t="inlineStr">
        <is>
          <t>Personal</t>
        </is>
      </c>
      <c r="D192" t="inlineStr">
        <is>
          <t>MASTERCARD</t>
        </is>
      </c>
      <c r="E192" t="n">
        <v>6</v>
      </c>
      <c r="F192" t="n">
        <v>6</v>
      </c>
      <c r="G192" s="26" t="n">
        <v>54033</v>
      </c>
      <c r="H192" t="inlineStr">
        <is>
          <t>Septiembre 2026</t>
        </is>
      </c>
      <c r="I192" t="inlineStr">
        <is>
          <t>2026-09</t>
        </is>
      </c>
      <c r="J192" t="inlineStr">
        <is>
          <t>PENDIENTE</t>
        </is>
      </c>
      <c r="K192" t="inlineStr">
        <is>
          <t>C.06/06 · cashflow BBVA · gasto personal Sol</t>
        </is>
      </c>
    </row>
    <row r="193">
      <c r="A193" s="54" t="n">
        <v>46198</v>
      </c>
      <c r="B193" t="inlineStr">
        <is>
          <t>MERCADOLIBRE</t>
        </is>
      </c>
      <c r="C193" t="inlineStr">
        <is>
          <t>Mercado Libre</t>
        </is>
      </c>
      <c r="D193" t="inlineStr">
        <is>
          <t>VISA</t>
        </is>
      </c>
      <c r="E193" t="n">
        <v>3</v>
      </c>
      <c r="F193" t="n">
        <v>6</v>
      </c>
      <c r="G193" s="26" t="n">
        <v>12084</v>
      </c>
      <c r="H193" t="inlineStr">
        <is>
          <t>Septiembre 2026</t>
        </is>
      </c>
      <c r="I193" t="inlineStr">
        <is>
          <t>2026-09</t>
        </is>
      </c>
      <c r="J193" t="inlineStr">
        <is>
          <t>PENDIENTE</t>
        </is>
      </c>
      <c r="K193" t="inlineStr">
        <is>
          <t>C.03/06 · cashflow BBVA · gasto personal Sol</t>
        </is>
      </c>
    </row>
    <row r="194">
      <c r="A194" s="54" t="n">
        <v>46094</v>
      </c>
      <c r="B194" t="inlineStr">
        <is>
          <t>MERCADOLIBRE</t>
        </is>
      </c>
      <c r="C194" t="inlineStr">
        <is>
          <t>Mercado Libre</t>
        </is>
      </c>
      <c r="D194" t="inlineStr">
        <is>
          <t>MASTERCARD</t>
        </is>
      </c>
      <c r="E194" t="n">
        <v>7</v>
      </c>
      <c r="F194" t="n">
        <v>12</v>
      </c>
      <c r="G194" s="26" t="n">
        <v>275000</v>
      </c>
      <c r="H194" t="inlineStr">
        <is>
          <t>Septiembre 2026</t>
        </is>
      </c>
      <c r="I194" t="inlineStr">
        <is>
          <t>2026-09</t>
        </is>
      </c>
      <c r="J194" t="inlineStr">
        <is>
          <t>PENDIENTE</t>
        </is>
      </c>
      <c r="K194" t="inlineStr">
        <is>
          <t>C.07/12 · cashflow BBVA · gasto personal Sol</t>
        </is>
      </c>
    </row>
    <row r="195">
      <c r="A195" s="54" t="n">
        <v>46069</v>
      </c>
      <c r="B195" t="inlineStr">
        <is>
          <t>MERCADOLIBRE</t>
        </is>
      </c>
      <c r="C195" t="inlineStr">
        <is>
          <t>Mercado Libre</t>
        </is>
      </c>
      <c r="D195" t="inlineStr">
        <is>
          <t>MASTERCARD</t>
        </is>
      </c>
      <c r="E195" t="n">
        <v>8</v>
      </c>
      <c r="F195" t="n">
        <v>9</v>
      </c>
      <c r="G195" s="26" t="n">
        <v>17360</v>
      </c>
      <c r="H195" t="inlineStr">
        <is>
          <t>Septiembre 2026</t>
        </is>
      </c>
      <c r="I195" t="inlineStr">
        <is>
          <t>2026-09</t>
        </is>
      </c>
      <c r="J195" t="inlineStr">
        <is>
          <t>PENDIENTE</t>
        </is>
      </c>
      <c r="K195" t="inlineStr">
        <is>
          <t>C.08/09 · cashflow BBVA · gasto personal Sol</t>
        </is>
      </c>
    </row>
    <row r="196">
      <c r="A196" s="54" t="n">
        <v>46077</v>
      </c>
      <c r="B196" t="inlineStr">
        <is>
          <t>MERCADOLIBRE</t>
        </is>
      </c>
      <c r="C196" t="inlineStr">
        <is>
          <t>Mercado Libre</t>
        </is>
      </c>
      <c r="D196" t="inlineStr">
        <is>
          <t>MASTERCARD</t>
        </is>
      </c>
      <c r="E196" t="n">
        <v>8</v>
      </c>
      <c r="F196" t="n">
        <v>9</v>
      </c>
      <c r="G196" s="26" t="n">
        <v>16950</v>
      </c>
      <c r="H196" t="inlineStr">
        <is>
          <t>Septiembre 2026</t>
        </is>
      </c>
      <c r="I196" t="inlineStr">
        <is>
          <t>2026-09</t>
        </is>
      </c>
      <c r="J196" t="inlineStr">
        <is>
          <t>PENDIENTE</t>
        </is>
      </c>
      <c r="K196" t="inlineStr">
        <is>
          <t>C.08/09 · cashflow BBVA · gasto personal Sol</t>
        </is>
      </c>
    </row>
    <row r="197">
      <c r="A197" s="54" t="n">
        <v>46125</v>
      </c>
      <c r="B197" t="inlineStr">
        <is>
          <t>MONOFUK</t>
        </is>
      </c>
      <c r="C197" t="inlineStr">
        <is>
          <t>Personal</t>
        </is>
      </c>
      <c r="D197" t="inlineStr">
        <is>
          <t>MASTERCARD</t>
        </is>
      </c>
      <c r="E197" t="n">
        <v>6</v>
      </c>
      <c r="F197" t="n">
        <v>6</v>
      </c>
      <c r="G197" s="26" t="n">
        <v>95984</v>
      </c>
      <c r="H197" t="inlineStr">
        <is>
          <t>Septiembre 2026</t>
        </is>
      </c>
      <c r="I197" t="inlineStr">
        <is>
          <t>2026-09</t>
        </is>
      </c>
      <c r="J197" t="inlineStr">
        <is>
          <t>PENDIENTE</t>
        </is>
      </c>
      <c r="K197" t="inlineStr">
        <is>
          <t>C.06/06 · cashflow BBVA · gasto personal Sol</t>
        </is>
      </c>
    </row>
    <row r="198">
      <c r="A198" s="54" t="n">
        <v>46176</v>
      </c>
      <c r="B198" t="inlineStr">
        <is>
          <t>PANDORA</t>
        </is>
      </c>
      <c r="C198" t="inlineStr">
        <is>
          <t>ROPA</t>
        </is>
      </c>
      <c r="D198" t="inlineStr">
        <is>
          <t>VISA</t>
        </is>
      </c>
      <c r="E198" t="n">
        <v>3</v>
      </c>
      <c r="F198" t="n">
        <v>6</v>
      </c>
      <c r="G198" s="26" t="n">
        <v>284794</v>
      </c>
      <c r="H198" t="inlineStr">
        <is>
          <t>Septiembre 2026</t>
        </is>
      </c>
      <c r="I198" t="inlineStr">
        <is>
          <t>2026-09</t>
        </is>
      </c>
      <c r="J198" t="inlineStr">
        <is>
          <t>PENDIENTE</t>
        </is>
      </c>
      <c r="K198" t="inlineStr">
        <is>
          <t>C.03/06 · cashflow BBVA · gasto personal Sol</t>
        </is>
      </c>
    </row>
    <row r="199">
      <c r="A199" s="54" t="n">
        <v>46174</v>
      </c>
      <c r="B199" t="inlineStr">
        <is>
          <t>PANDORA</t>
        </is>
      </c>
      <c r="C199" t="inlineStr">
        <is>
          <t>ROPA</t>
        </is>
      </c>
      <c r="D199" t="inlineStr">
        <is>
          <t>MASTERCARD</t>
        </is>
      </c>
      <c r="E199" t="n">
        <v>3</v>
      </c>
      <c r="F199" t="n">
        <v>6</v>
      </c>
      <c r="G199" s="26" t="n">
        <v>73600</v>
      </c>
      <c r="H199" t="inlineStr">
        <is>
          <t>Septiembre 2026</t>
        </is>
      </c>
      <c r="I199" t="inlineStr">
        <is>
          <t>2026-09</t>
        </is>
      </c>
      <c r="J199" t="inlineStr">
        <is>
          <t>PENDIENTE</t>
        </is>
      </c>
      <c r="K199" t="inlineStr">
        <is>
          <t>C.03/06 · cashflow BBVA · gasto personal Sol</t>
        </is>
      </c>
    </row>
    <row r="200">
      <c r="A200" s="54" t="n">
        <v>46138</v>
      </c>
      <c r="B200" t="inlineStr">
        <is>
          <t>PROMARINEANTIOXID</t>
        </is>
      </c>
      <c r="C200" t="inlineStr">
        <is>
          <t>SALUD</t>
        </is>
      </c>
      <c r="D200" t="inlineStr">
        <is>
          <t>VISA</t>
        </is>
      </c>
      <c r="E200" t="n">
        <v>6</v>
      </c>
      <c r="F200" t="n">
        <v>6</v>
      </c>
      <c r="G200" s="26" t="n">
        <v>87900</v>
      </c>
      <c r="H200" t="inlineStr">
        <is>
          <t>Septiembre 2026</t>
        </is>
      </c>
      <c r="I200" t="inlineStr">
        <is>
          <t>2026-09</t>
        </is>
      </c>
      <c r="J200" t="inlineStr">
        <is>
          <t>PENDIENTE</t>
        </is>
      </c>
      <c r="K200" t="inlineStr">
        <is>
          <t>C.06/06 · cashflow BBVA · gasto personal Sol</t>
        </is>
      </c>
    </row>
    <row r="201">
      <c r="A201" s="54" t="n">
        <v>46144</v>
      </c>
      <c r="B201" t="inlineStr">
        <is>
          <t>SPORTING</t>
        </is>
      </c>
      <c r="C201" t="inlineStr">
        <is>
          <t>ROPA</t>
        </is>
      </c>
      <c r="D201" t="inlineStr">
        <is>
          <t>MASTERCARD</t>
        </is>
      </c>
      <c r="E201" t="n">
        <v>5</v>
      </c>
      <c r="F201" t="n">
        <v>6</v>
      </c>
      <c r="G201" s="26" t="n">
        <v>36667</v>
      </c>
      <c r="H201" t="inlineStr">
        <is>
          <t>Septiembre 2026</t>
        </is>
      </c>
      <c r="I201" t="inlineStr">
        <is>
          <t>2026-09</t>
        </is>
      </c>
      <c r="J201" t="inlineStr">
        <is>
          <t>PENDIENTE</t>
        </is>
      </c>
      <c r="K201" t="inlineStr">
        <is>
          <t>C.05/06 · cashflow BBVA · gasto personal Sol</t>
        </is>
      </c>
    </row>
    <row r="202">
      <c r="A202" s="54" t="n">
        <v>46134</v>
      </c>
      <c r="B202" t="inlineStr">
        <is>
          <t>STANLEYARGENT</t>
        </is>
      </c>
      <c r="C202" t="inlineStr">
        <is>
          <t>Personal</t>
        </is>
      </c>
      <c r="D202" t="inlineStr">
        <is>
          <t>MASTERCARD</t>
        </is>
      </c>
      <c r="E202" t="n">
        <v>6</v>
      </c>
      <c r="F202" t="n">
        <v>6</v>
      </c>
      <c r="G202" s="26" t="n">
        <v>18334</v>
      </c>
      <c r="H202" t="inlineStr">
        <is>
          <t>Septiembre 2026</t>
        </is>
      </c>
      <c r="I202" t="inlineStr">
        <is>
          <t>2026-09</t>
        </is>
      </c>
      <c r="J202" t="inlineStr">
        <is>
          <t>PENDIENTE</t>
        </is>
      </c>
      <c r="K202" t="inlineStr">
        <is>
          <t>C.06/06 · cashflow BBVA · gasto personal Sol</t>
        </is>
      </c>
    </row>
    <row r="203">
      <c r="A203" s="54" t="n">
        <v>46198</v>
      </c>
      <c r="B203" t="inlineStr">
        <is>
          <t>TLM CARP</t>
        </is>
      </c>
      <c r="C203" t="inlineStr">
        <is>
          <t>Eventos deportivos - River</t>
        </is>
      </c>
      <c r="D203" t="inlineStr">
        <is>
          <t>VISA</t>
        </is>
      </c>
      <c r="E203" t="n">
        <v>3</v>
      </c>
      <c r="F203" t="n">
        <v>6</v>
      </c>
      <c r="G203" s="26" t="n">
        <v>169667</v>
      </c>
      <c r="H203" t="inlineStr">
        <is>
          <t>Septiembre 2026</t>
        </is>
      </c>
      <c r="I203" t="inlineStr">
        <is>
          <t>2026-09</t>
        </is>
      </c>
      <c r="J203" t="inlineStr">
        <is>
          <t>PENDIENTE</t>
        </is>
      </c>
      <c r="K203" t="inlineStr">
        <is>
          <t>C.03/06 · cashflow BBVA · gasto personal Sol</t>
        </is>
      </c>
    </row>
    <row r="204">
      <c r="A204" s="54" t="n">
        <v>46148</v>
      </c>
      <c r="B204" t="inlineStr">
        <is>
          <t>ZADIG</t>
        </is>
      </c>
      <c r="C204" t="inlineStr">
        <is>
          <t>ROPA</t>
        </is>
      </c>
      <c r="D204" t="inlineStr">
        <is>
          <t>VISA</t>
        </is>
      </c>
      <c r="E204" t="n">
        <v>5</v>
      </c>
      <c r="F204" t="n">
        <v>12</v>
      </c>
      <c r="G204" s="26" t="n">
        <v>60917</v>
      </c>
      <c r="H204" t="inlineStr">
        <is>
          <t>Septiembre 2026</t>
        </is>
      </c>
      <c r="I204" t="inlineStr">
        <is>
          <t>2026-09</t>
        </is>
      </c>
      <c r="J204" t="inlineStr">
        <is>
          <t>PENDIENTE</t>
        </is>
      </c>
      <c r="K204" t="inlineStr">
        <is>
          <t>C.05/12 · cashflow BBVA · gasto personal Sol</t>
        </is>
      </c>
    </row>
    <row r="205">
      <c r="A205" s="54" t="n">
        <v>46151</v>
      </c>
      <c r="B205" t="inlineStr">
        <is>
          <t>ZADIG</t>
        </is>
      </c>
      <c r="C205" t="inlineStr">
        <is>
          <t>ROPA</t>
        </is>
      </c>
      <c r="D205" t="inlineStr">
        <is>
          <t>VISA</t>
        </is>
      </c>
      <c r="E205" t="n">
        <v>5</v>
      </c>
      <c r="F205" t="n">
        <v>12</v>
      </c>
      <c r="G205" s="26" t="n">
        <v>69750</v>
      </c>
      <c r="H205" t="inlineStr">
        <is>
          <t>Septiembre 2026</t>
        </is>
      </c>
      <c r="I205" t="inlineStr">
        <is>
          <t>2026-09</t>
        </is>
      </c>
      <c r="J205" t="inlineStr">
        <is>
          <t>PENDIENTE</t>
        </is>
      </c>
      <c r="K205" t="inlineStr">
        <is>
          <t>C.05/12 · cashflow BBVA · gasto personal Sol</t>
        </is>
      </c>
    </row>
    <row r="206">
      <c r="A206" s="54" t="n">
        <v>46166</v>
      </c>
      <c r="B206" t="inlineStr">
        <is>
          <t>BIMBAYLOLA</t>
        </is>
      </c>
      <c r="C206" t="inlineStr">
        <is>
          <t>ROPA</t>
        </is>
      </c>
      <c r="D206" t="inlineStr">
        <is>
          <t>VISA</t>
        </is>
      </c>
      <c r="E206" t="n">
        <v>6</v>
      </c>
      <c r="F206" t="n">
        <v>6</v>
      </c>
      <c r="G206" s="26" t="n">
        <v>124667</v>
      </c>
      <c r="H206" t="inlineStr">
        <is>
          <t>Octubre 2026</t>
        </is>
      </c>
      <c r="I206" t="inlineStr">
        <is>
          <t>2026-10</t>
        </is>
      </c>
      <c r="J206" t="inlineStr">
        <is>
          <t>PENDIENTE</t>
        </is>
      </c>
      <c r="K206" t="inlineStr">
        <is>
          <t>C.06/06 · cashflow BBVA · gasto personal Sol</t>
        </is>
      </c>
    </row>
    <row r="207">
      <c r="A207" s="54" t="n">
        <v>46158</v>
      </c>
      <c r="B207" t="inlineStr">
        <is>
          <t>BOKENVORENO</t>
        </is>
      </c>
      <c r="C207" t="inlineStr">
        <is>
          <t>Personal</t>
        </is>
      </c>
      <c r="D207" t="inlineStr">
        <is>
          <t>VISA</t>
        </is>
      </c>
      <c r="E207" t="n">
        <v>6</v>
      </c>
      <c r="F207" t="n">
        <v>6</v>
      </c>
      <c r="G207" s="26" t="n">
        <v>98334</v>
      </c>
      <c r="H207" t="inlineStr">
        <is>
          <t>Octubre 2026</t>
        </is>
      </c>
      <c r="I207" t="inlineStr">
        <is>
          <t>2026-10</t>
        </is>
      </c>
      <c r="J207" t="inlineStr">
        <is>
          <t>PENDIENTE</t>
        </is>
      </c>
      <c r="K207" t="inlineStr">
        <is>
          <t>C.06/06 · cashflow BBVA · gasto personal Sol</t>
        </is>
      </c>
    </row>
    <row r="208">
      <c r="A208" s="54" t="n">
        <v>46151</v>
      </c>
      <c r="B208" t="inlineStr">
        <is>
          <t>JUSTA OSADIA</t>
        </is>
      </c>
      <c r="C208" t="inlineStr">
        <is>
          <t>ROPA</t>
        </is>
      </c>
      <c r="D208" t="inlineStr">
        <is>
          <t>MASTERCARD</t>
        </is>
      </c>
      <c r="E208" t="n">
        <v>6</v>
      </c>
      <c r="F208" t="n">
        <v>6</v>
      </c>
      <c r="G208" s="26" t="n">
        <v>80834</v>
      </c>
      <c r="H208" t="inlineStr">
        <is>
          <t>Octubre 2026</t>
        </is>
      </c>
      <c r="I208" t="inlineStr">
        <is>
          <t>2026-10</t>
        </is>
      </c>
      <c r="J208" t="inlineStr">
        <is>
          <t>PENDIENTE</t>
        </is>
      </c>
      <c r="K208" t="inlineStr">
        <is>
          <t>C.06/06 · cashflow BBVA · gasto personal Sol</t>
        </is>
      </c>
    </row>
    <row r="209">
      <c r="A209" s="54" t="n">
        <v>46198</v>
      </c>
      <c r="B209" t="inlineStr">
        <is>
          <t>MERCADOLIBRE</t>
        </is>
      </c>
      <c r="C209" t="inlineStr">
        <is>
          <t>Mercado Libre</t>
        </is>
      </c>
      <c r="D209" t="inlineStr">
        <is>
          <t>VISA</t>
        </is>
      </c>
      <c r="E209" t="n">
        <v>4</v>
      </c>
      <c r="F209" t="n">
        <v>6</v>
      </c>
      <c r="G209" s="26" t="n">
        <v>12084</v>
      </c>
      <c r="H209" t="inlineStr">
        <is>
          <t>Octubre 2026</t>
        </is>
      </c>
      <c r="I209" t="inlineStr">
        <is>
          <t>2026-10</t>
        </is>
      </c>
      <c r="J209" t="inlineStr">
        <is>
          <t>PENDIENTE</t>
        </is>
      </c>
      <c r="K209" t="inlineStr">
        <is>
          <t>C.04/06 · cashflow BBVA · gasto personal Sol</t>
        </is>
      </c>
    </row>
    <row r="210">
      <c r="A210" s="54" t="n">
        <v>46094</v>
      </c>
      <c r="B210" t="inlineStr">
        <is>
          <t>MERCADOLIBRE</t>
        </is>
      </c>
      <c r="C210" t="inlineStr">
        <is>
          <t>Mercado Libre</t>
        </is>
      </c>
      <c r="D210" t="inlineStr">
        <is>
          <t>MASTERCARD</t>
        </is>
      </c>
      <c r="E210" t="n">
        <v>8</v>
      </c>
      <c r="F210" t="n">
        <v>12</v>
      </c>
      <c r="G210" s="26" t="n">
        <v>275000</v>
      </c>
      <c r="H210" t="inlineStr">
        <is>
          <t>Octubre 2026</t>
        </is>
      </c>
      <c r="I210" t="inlineStr">
        <is>
          <t>2026-10</t>
        </is>
      </c>
      <c r="J210" t="inlineStr">
        <is>
          <t>PENDIENTE</t>
        </is>
      </c>
      <c r="K210" t="inlineStr">
        <is>
          <t>C.08/12 · cashflow BBVA · gasto personal Sol</t>
        </is>
      </c>
    </row>
    <row r="211">
      <c r="A211" s="54" t="n">
        <v>46069</v>
      </c>
      <c r="B211" t="inlineStr">
        <is>
          <t>MERCADOLIBRE</t>
        </is>
      </c>
      <c r="C211" t="inlineStr">
        <is>
          <t>Mercado Libre</t>
        </is>
      </c>
      <c r="D211" t="inlineStr">
        <is>
          <t>MASTERCARD</t>
        </is>
      </c>
      <c r="E211" t="n">
        <v>9</v>
      </c>
      <c r="F211" t="n">
        <v>9</v>
      </c>
      <c r="G211" s="26" t="n">
        <v>17360</v>
      </c>
      <c r="H211" t="inlineStr">
        <is>
          <t>Octubre 2026</t>
        </is>
      </c>
      <c r="I211" t="inlineStr">
        <is>
          <t>2026-10</t>
        </is>
      </c>
      <c r="J211" t="inlineStr">
        <is>
          <t>PENDIENTE</t>
        </is>
      </c>
      <c r="K211" t="inlineStr">
        <is>
          <t>C.09/09 · cashflow BBVA · gasto personal Sol</t>
        </is>
      </c>
    </row>
    <row r="212">
      <c r="A212" s="54" t="n">
        <v>46077</v>
      </c>
      <c r="B212" t="inlineStr">
        <is>
          <t>MERCADOLIBRE</t>
        </is>
      </c>
      <c r="C212" t="inlineStr">
        <is>
          <t>Mercado Libre</t>
        </is>
      </c>
      <c r="D212" t="inlineStr">
        <is>
          <t>MASTERCARD</t>
        </is>
      </c>
      <c r="E212" t="n">
        <v>9</v>
      </c>
      <c r="F212" t="n">
        <v>9</v>
      </c>
      <c r="G212" s="26" t="n">
        <v>16950</v>
      </c>
      <c r="H212" t="inlineStr">
        <is>
          <t>Octubre 2026</t>
        </is>
      </c>
      <c r="I212" t="inlineStr">
        <is>
          <t>2026-10</t>
        </is>
      </c>
      <c r="J212" t="inlineStr">
        <is>
          <t>PENDIENTE</t>
        </is>
      </c>
      <c r="K212" t="inlineStr">
        <is>
          <t>C.09/09 · cashflow BBVA · gasto personal Sol</t>
        </is>
      </c>
    </row>
    <row r="213">
      <c r="A213" s="54" t="n">
        <v>46176</v>
      </c>
      <c r="B213" t="inlineStr">
        <is>
          <t>PANDORA</t>
        </is>
      </c>
      <c r="C213" t="inlineStr">
        <is>
          <t>ROPA</t>
        </is>
      </c>
      <c r="D213" t="inlineStr">
        <is>
          <t>VISA</t>
        </is>
      </c>
      <c r="E213" t="n">
        <v>4</v>
      </c>
      <c r="F213" t="n">
        <v>6</v>
      </c>
      <c r="G213" s="26" t="n">
        <v>284794</v>
      </c>
      <c r="H213" t="inlineStr">
        <is>
          <t>Octubre 2026</t>
        </is>
      </c>
      <c r="I213" t="inlineStr">
        <is>
          <t>2026-10</t>
        </is>
      </c>
      <c r="J213" t="inlineStr">
        <is>
          <t>PENDIENTE</t>
        </is>
      </c>
      <c r="K213" t="inlineStr">
        <is>
          <t>C.04/06 · cashflow BBVA · gasto personal Sol</t>
        </is>
      </c>
    </row>
    <row r="214">
      <c r="A214" s="54" t="n">
        <v>46174</v>
      </c>
      <c r="B214" t="inlineStr">
        <is>
          <t>PANDORA</t>
        </is>
      </c>
      <c r="C214" t="inlineStr">
        <is>
          <t>ROPA</t>
        </is>
      </c>
      <c r="D214" t="inlineStr">
        <is>
          <t>MASTERCARD</t>
        </is>
      </c>
      <c r="E214" t="n">
        <v>4</v>
      </c>
      <c r="F214" t="n">
        <v>6</v>
      </c>
      <c r="G214" s="26" t="n">
        <v>73600</v>
      </c>
      <c r="H214" t="inlineStr">
        <is>
          <t>Octubre 2026</t>
        </is>
      </c>
      <c r="I214" t="inlineStr">
        <is>
          <t>2026-10</t>
        </is>
      </c>
      <c r="J214" t="inlineStr">
        <is>
          <t>PENDIENTE</t>
        </is>
      </c>
      <c r="K214" t="inlineStr">
        <is>
          <t>C.04/06 · cashflow BBVA · gasto personal Sol</t>
        </is>
      </c>
    </row>
    <row r="215">
      <c r="A215" s="54" t="n">
        <v>46144</v>
      </c>
      <c r="B215" t="inlineStr">
        <is>
          <t>SPORTING</t>
        </is>
      </c>
      <c r="C215" t="inlineStr">
        <is>
          <t>ROPA</t>
        </is>
      </c>
      <c r="D215" t="inlineStr">
        <is>
          <t>MASTERCARD</t>
        </is>
      </c>
      <c r="E215" t="n">
        <v>6</v>
      </c>
      <c r="F215" t="n">
        <v>6</v>
      </c>
      <c r="G215" s="26" t="n">
        <v>36667</v>
      </c>
      <c r="H215" t="inlineStr">
        <is>
          <t>Octubre 2026</t>
        </is>
      </c>
      <c r="I215" t="inlineStr">
        <is>
          <t>2026-10</t>
        </is>
      </c>
      <c r="J215" t="inlineStr">
        <is>
          <t>PENDIENTE</t>
        </is>
      </c>
      <c r="K215" t="inlineStr">
        <is>
          <t>C.06/06 · cashflow BBVA · gasto personal Sol</t>
        </is>
      </c>
    </row>
    <row r="216">
      <c r="A216" s="54" t="n">
        <v>46198</v>
      </c>
      <c r="B216" t="inlineStr">
        <is>
          <t>TLM CARP</t>
        </is>
      </c>
      <c r="C216" t="inlineStr">
        <is>
          <t>Eventos deportivos - River</t>
        </is>
      </c>
      <c r="D216" t="inlineStr">
        <is>
          <t>VISA</t>
        </is>
      </c>
      <c r="E216" t="n">
        <v>4</v>
      </c>
      <c r="F216" t="n">
        <v>6</v>
      </c>
      <c r="G216" s="26" t="n">
        <v>169667</v>
      </c>
      <c r="H216" t="inlineStr">
        <is>
          <t>Octubre 2026</t>
        </is>
      </c>
      <c r="I216" t="inlineStr">
        <is>
          <t>2026-10</t>
        </is>
      </c>
      <c r="J216" t="inlineStr">
        <is>
          <t>PENDIENTE</t>
        </is>
      </c>
      <c r="K216" t="inlineStr">
        <is>
          <t>C.04/06 · cashflow BBVA · gasto personal Sol</t>
        </is>
      </c>
    </row>
    <row r="217">
      <c r="A217" s="54" t="n">
        <v>46148</v>
      </c>
      <c r="B217" t="inlineStr">
        <is>
          <t>ZADIG</t>
        </is>
      </c>
      <c r="C217" t="inlineStr">
        <is>
          <t>ROPA</t>
        </is>
      </c>
      <c r="D217" t="inlineStr">
        <is>
          <t>VISA</t>
        </is>
      </c>
      <c r="E217" t="n">
        <v>6</v>
      </c>
      <c r="F217" t="n">
        <v>12</v>
      </c>
      <c r="G217" s="26" t="n">
        <v>60917</v>
      </c>
      <c r="H217" t="inlineStr">
        <is>
          <t>Octubre 2026</t>
        </is>
      </c>
      <c r="I217" t="inlineStr">
        <is>
          <t>2026-10</t>
        </is>
      </c>
      <c r="J217" t="inlineStr">
        <is>
          <t>PENDIENTE</t>
        </is>
      </c>
      <c r="K217" t="inlineStr">
        <is>
          <t>C.06/12 · cashflow BBVA · gasto personal Sol</t>
        </is>
      </c>
    </row>
    <row r="218">
      <c r="A218" s="54" t="n">
        <v>46151</v>
      </c>
      <c r="B218" t="inlineStr">
        <is>
          <t>ZADIG</t>
        </is>
      </c>
      <c r="C218" t="inlineStr">
        <is>
          <t>ROPA</t>
        </is>
      </c>
      <c r="D218" t="inlineStr">
        <is>
          <t>VISA</t>
        </is>
      </c>
      <c r="E218" t="n">
        <v>6</v>
      </c>
      <c r="F218" t="n">
        <v>12</v>
      </c>
      <c r="G218" s="26" t="n">
        <v>69750</v>
      </c>
      <c r="H218" t="inlineStr">
        <is>
          <t>Octubre 2026</t>
        </is>
      </c>
      <c r="I218" t="inlineStr">
        <is>
          <t>2026-10</t>
        </is>
      </c>
      <c r="J218" t="inlineStr">
        <is>
          <t>PENDIENTE</t>
        </is>
      </c>
      <c r="K218" t="inlineStr">
        <is>
          <t>C.06/12 · cashflow BBVA · gasto personal Sol</t>
        </is>
      </c>
    </row>
    <row r="219">
      <c r="A219" s="54" t="n">
        <v>46198</v>
      </c>
      <c r="B219" t="inlineStr">
        <is>
          <t>MERCADOLIBRE</t>
        </is>
      </c>
      <c r="C219" t="inlineStr">
        <is>
          <t>Mercado Libre</t>
        </is>
      </c>
      <c r="D219" t="inlineStr">
        <is>
          <t>VISA</t>
        </is>
      </c>
      <c r="E219" t="n">
        <v>5</v>
      </c>
      <c r="F219" t="n">
        <v>6</v>
      </c>
      <c r="G219" s="26" t="n">
        <v>12084</v>
      </c>
      <c r="H219" t="inlineStr">
        <is>
          <t>Noviembre 2026</t>
        </is>
      </c>
      <c r="I219" t="inlineStr">
        <is>
          <t>2026-11</t>
        </is>
      </c>
      <c r="J219" t="inlineStr">
        <is>
          <t>PENDIENTE</t>
        </is>
      </c>
      <c r="K219" t="inlineStr">
        <is>
          <t>C.05/06 · cashflow BBVA · gasto personal Sol</t>
        </is>
      </c>
    </row>
    <row r="220">
      <c r="A220" s="54" t="n">
        <v>46094</v>
      </c>
      <c r="B220" t="inlineStr">
        <is>
          <t>MERCADOLIBRE</t>
        </is>
      </c>
      <c r="C220" t="inlineStr">
        <is>
          <t>Mercado Libre</t>
        </is>
      </c>
      <c r="D220" t="inlineStr">
        <is>
          <t>MASTERCARD</t>
        </is>
      </c>
      <c r="E220" t="n">
        <v>9</v>
      </c>
      <c r="F220" t="n">
        <v>12</v>
      </c>
      <c r="G220" s="26" t="n">
        <v>275000</v>
      </c>
      <c r="H220" t="inlineStr">
        <is>
          <t>Noviembre 2026</t>
        </is>
      </c>
      <c r="I220" t="inlineStr">
        <is>
          <t>2026-11</t>
        </is>
      </c>
      <c r="J220" t="inlineStr">
        <is>
          <t>PENDIENTE</t>
        </is>
      </c>
      <c r="K220" t="inlineStr">
        <is>
          <t>C.09/12 · cashflow BBVA · gasto personal Sol</t>
        </is>
      </c>
    </row>
    <row r="221">
      <c r="A221" s="54" t="n">
        <v>46176</v>
      </c>
      <c r="B221" t="inlineStr">
        <is>
          <t>PANDORA</t>
        </is>
      </c>
      <c r="C221" t="inlineStr">
        <is>
          <t>ROPA</t>
        </is>
      </c>
      <c r="D221" t="inlineStr">
        <is>
          <t>VISA</t>
        </is>
      </c>
      <c r="E221" t="n">
        <v>5</v>
      </c>
      <c r="F221" t="n">
        <v>6</v>
      </c>
      <c r="G221" s="26" t="n">
        <v>284794</v>
      </c>
      <c r="H221" t="inlineStr">
        <is>
          <t>Noviembre 2026</t>
        </is>
      </c>
      <c r="I221" t="inlineStr">
        <is>
          <t>2026-11</t>
        </is>
      </c>
      <c r="J221" t="inlineStr">
        <is>
          <t>PENDIENTE</t>
        </is>
      </c>
      <c r="K221" t="inlineStr">
        <is>
          <t>C.05/06 · cashflow BBVA · gasto personal Sol</t>
        </is>
      </c>
    </row>
    <row r="222">
      <c r="A222" s="54" t="n">
        <v>46174</v>
      </c>
      <c r="B222" t="inlineStr">
        <is>
          <t>PANDORA</t>
        </is>
      </c>
      <c r="C222" t="inlineStr">
        <is>
          <t>ROPA</t>
        </is>
      </c>
      <c r="D222" t="inlineStr">
        <is>
          <t>MASTERCARD</t>
        </is>
      </c>
      <c r="E222" t="n">
        <v>5</v>
      </c>
      <c r="F222" t="n">
        <v>6</v>
      </c>
      <c r="G222" s="26" t="n">
        <v>73600</v>
      </c>
      <c r="H222" t="inlineStr">
        <is>
          <t>Noviembre 2026</t>
        </is>
      </c>
      <c r="I222" t="inlineStr">
        <is>
          <t>2026-11</t>
        </is>
      </c>
      <c r="J222" t="inlineStr">
        <is>
          <t>PENDIENTE</t>
        </is>
      </c>
      <c r="K222" t="inlineStr">
        <is>
          <t>C.05/06 · cashflow BBVA · gasto personal Sol</t>
        </is>
      </c>
    </row>
    <row r="223">
      <c r="A223" s="54" t="n">
        <v>46198</v>
      </c>
      <c r="B223" t="inlineStr">
        <is>
          <t>TLM CARP</t>
        </is>
      </c>
      <c r="C223" t="inlineStr">
        <is>
          <t>Eventos deportivos - River</t>
        </is>
      </c>
      <c r="D223" t="inlineStr">
        <is>
          <t>VISA</t>
        </is>
      </c>
      <c r="E223" t="n">
        <v>5</v>
      </c>
      <c r="F223" t="n">
        <v>6</v>
      </c>
      <c r="G223" s="26" t="n">
        <v>169667</v>
      </c>
      <c r="H223" t="inlineStr">
        <is>
          <t>Noviembre 2026</t>
        </is>
      </c>
      <c r="I223" t="inlineStr">
        <is>
          <t>2026-11</t>
        </is>
      </c>
      <c r="J223" t="inlineStr">
        <is>
          <t>PENDIENTE</t>
        </is>
      </c>
      <c r="K223" t="inlineStr">
        <is>
          <t>C.05/06 · cashflow BBVA · gasto personal Sol</t>
        </is>
      </c>
    </row>
    <row r="224">
      <c r="A224" s="54" t="n">
        <v>46148</v>
      </c>
      <c r="B224" t="inlineStr">
        <is>
          <t>ZADIG</t>
        </is>
      </c>
      <c r="C224" t="inlineStr">
        <is>
          <t>ROPA</t>
        </is>
      </c>
      <c r="D224" t="inlineStr">
        <is>
          <t>VISA</t>
        </is>
      </c>
      <c r="E224" t="n">
        <v>7</v>
      </c>
      <c r="F224" t="n">
        <v>12</v>
      </c>
      <c r="G224" s="26" t="n">
        <v>60917</v>
      </c>
      <c r="H224" t="inlineStr">
        <is>
          <t>Noviembre 2026</t>
        </is>
      </c>
      <c r="I224" t="inlineStr">
        <is>
          <t>2026-11</t>
        </is>
      </c>
      <c r="J224" t="inlineStr">
        <is>
          <t>PENDIENTE</t>
        </is>
      </c>
      <c r="K224" t="inlineStr">
        <is>
          <t>C.07/12 · cashflow BBVA · gasto personal Sol</t>
        </is>
      </c>
    </row>
    <row r="225">
      <c r="A225" s="54" t="n">
        <v>46151</v>
      </c>
      <c r="B225" t="inlineStr">
        <is>
          <t>ZADIG</t>
        </is>
      </c>
      <c r="C225" t="inlineStr">
        <is>
          <t>ROPA</t>
        </is>
      </c>
      <c r="D225" t="inlineStr">
        <is>
          <t>VISA</t>
        </is>
      </c>
      <c r="E225" t="n">
        <v>7</v>
      </c>
      <c r="F225" t="n">
        <v>12</v>
      </c>
      <c r="G225" s="26" t="n">
        <v>69750</v>
      </c>
      <c r="H225" t="inlineStr">
        <is>
          <t>Noviembre 2026</t>
        </is>
      </c>
      <c r="I225" t="inlineStr">
        <is>
          <t>2026-11</t>
        </is>
      </c>
      <c r="J225" t="inlineStr">
        <is>
          <t>PENDIENTE</t>
        </is>
      </c>
      <c r="K225" t="inlineStr">
        <is>
          <t>C.07/12 · cashflow BBVA · gasto personal Sol</t>
        </is>
      </c>
    </row>
    <row r="226">
      <c r="A226" s="54" t="n">
        <v>46198</v>
      </c>
      <c r="B226" t="inlineStr">
        <is>
          <t>MERCADOLIBRE</t>
        </is>
      </c>
      <c r="C226" t="inlineStr">
        <is>
          <t>Mercado Libre</t>
        </is>
      </c>
      <c r="D226" t="inlineStr">
        <is>
          <t>VISA</t>
        </is>
      </c>
      <c r="E226" t="n">
        <v>6</v>
      </c>
      <c r="F226" t="n">
        <v>6</v>
      </c>
      <c r="G226" s="26" t="n">
        <v>12084</v>
      </c>
      <c r="H226" t="inlineStr">
        <is>
          <t>Diciembre 2026</t>
        </is>
      </c>
      <c r="I226" t="inlineStr">
        <is>
          <t>2026-12</t>
        </is>
      </c>
      <c r="J226" t="inlineStr">
        <is>
          <t>PENDIENTE</t>
        </is>
      </c>
      <c r="K226" t="inlineStr">
        <is>
          <t>C.06/06 · cashflow BBVA · gasto personal Sol</t>
        </is>
      </c>
    </row>
    <row r="227">
      <c r="A227" s="54" t="n">
        <v>46094</v>
      </c>
      <c r="B227" t="inlineStr">
        <is>
          <t>MERCADOLIBRE</t>
        </is>
      </c>
      <c r="C227" t="inlineStr">
        <is>
          <t>Mercado Libre</t>
        </is>
      </c>
      <c r="D227" t="inlineStr">
        <is>
          <t>MASTERCARD</t>
        </is>
      </c>
      <c r="E227" t="n">
        <v>10</v>
      </c>
      <c r="F227" t="n">
        <v>12</v>
      </c>
      <c r="G227" s="26" t="n">
        <v>275000</v>
      </c>
      <c r="H227" t="inlineStr">
        <is>
          <t>Diciembre 2026</t>
        </is>
      </c>
      <c r="I227" t="inlineStr">
        <is>
          <t>2026-12</t>
        </is>
      </c>
      <c r="J227" t="inlineStr">
        <is>
          <t>PENDIENTE</t>
        </is>
      </c>
      <c r="K227" t="inlineStr">
        <is>
          <t>C.10/12 · cashflow BBVA · gasto personal Sol</t>
        </is>
      </c>
    </row>
    <row r="228">
      <c r="A228" s="54" t="n">
        <v>46176</v>
      </c>
      <c r="B228" t="inlineStr">
        <is>
          <t>PANDORA</t>
        </is>
      </c>
      <c r="C228" t="inlineStr">
        <is>
          <t>ROPA</t>
        </is>
      </c>
      <c r="D228" t="inlineStr">
        <is>
          <t>VISA</t>
        </is>
      </c>
      <c r="E228" t="n">
        <v>6</v>
      </c>
      <c r="F228" t="n">
        <v>6</v>
      </c>
      <c r="G228" s="26" t="n">
        <v>284794</v>
      </c>
      <c r="H228" t="inlineStr">
        <is>
          <t>Diciembre 2026</t>
        </is>
      </c>
      <c r="I228" t="inlineStr">
        <is>
          <t>2026-12</t>
        </is>
      </c>
      <c r="J228" t="inlineStr">
        <is>
          <t>PENDIENTE</t>
        </is>
      </c>
      <c r="K228" t="inlineStr">
        <is>
          <t>C.06/06 · cashflow BBVA · gasto personal Sol</t>
        </is>
      </c>
    </row>
    <row r="229">
      <c r="A229" s="54" t="n">
        <v>46174</v>
      </c>
      <c r="B229" t="inlineStr">
        <is>
          <t>PANDORA</t>
        </is>
      </c>
      <c r="C229" t="inlineStr">
        <is>
          <t>ROPA</t>
        </is>
      </c>
      <c r="D229" t="inlineStr">
        <is>
          <t>MASTERCARD</t>
        </is>
      </c>
      <c r="E229" t="n">
        <v>6</v>
      </c>
      <c r="F229" t="n">
        <v>6</v>
      </c>
      <c r="G229" s="26" t="n">
        <v>73600</v>
      </c>
      <c r="H229" t="inlineStr">
        <is>
          <t>Diciembre 2026</t>
        </is>
      </c>
      <c r="I229" t="inlineStr">
        <is>
          <t>2026-12</t>
        </is>
      </c>
      <c r="J229" t="inlineStr">
        <is>
          <t>PENDIENTE</t>
        </is>
      </c>
      <c r="K229" t="inlineStr">
        <is>
          <t>C.06/06 · cashflow BBVA · gasto personal Sol</t>
        </is>
      </c>
    </row>
    <row r="230">
      <c r="A230" s="54" t="n">
        <v>46198</v>
      </c>
      <c r="B230" t="inlineStr">
        <is>
          <t>TLM CARP</t>
        </is>
      </c>
      <c r="C230" t="inlineStr">
        <is>
          <t>Eventos deportivos - River</t>
        </is>
      </c>
      <c r="D230" t="inlineStr">
        <is>
          <t>VISA</t>
        </is>
      </c>
      <c r="E230" t="n">
        <v>6</v>
      </c>
      <c r="F230" t="n">
        <v>6</v>
      </c>
      <c r="G230" s="26" t="n">
        <v>169667</v>
      </c>
      <c r="H230" t="inlineStr">
        <is>
          <t>Diciembre 2026</t>
        </is>
      </c>
      <c r="I230" t="inlineStr">
        <is>
          <t>2026-12</t>
        </is>
      </c>
      <c r="J230" t="inlineStr">
        <is>
          <t>PENDIENTE</t>
        </is>
      </c>
      <c r="K230" t="inlineStr">
        <is>
          <t>C.06/06 · cashflow BBVA · gasto personal Sol</t>
        </is>
      </c>
    </row>
    <row r="231">
      <c r="A231" s="54" t="n">
        <v>46148</v>
      </c>
      <c r="B231" t="inlineStr">
        <is>
          <t>ZADIG</t>
        </is>
      </c>
      <c r="C231" t="inlineStr">
        <is>
          <t>ROPA</t>
        </is>
      </c>
      <c r="D231" t="inlineStr">
        <is>
          <t>VISA</t>
        </is>
      </c>
      <c r="E231" t="n">
        <v>8</v>
      </c>
      <c r="F231" t="n">
        <v>12</v>
      </c>
      <c r="G231" s="26" t="n">
        <v>60917</v>
      </c>
      <c r="H231" t="inlineStr">
        <is>
          <t>Diciembre 2026</t>
        </is>
      </c>
      <c r="I231" t="inlineStr">
        <is>
          <t>2026-12</t>
        </is>
      </c>
      <c r="J231" t="inlineStr">
        <is>
          <t>PENDIENTE</t>
        </is>
      </c>
      <c r="K231" t="inlineStr">
        <is>
          <t>C.08/12 · cashflow BBVA · gasto personal Sol</t>
        </is>
      </c>
    </row>
    <row r="232">
      <c r="A232" s="54" t="n">
        <v>46151</v>
      </c>
      <c r="B232" t="inlineStr">
        <is>
          <t>ZADIG</t>
        </is>
      </c>
      <c r="C232" t="inlineStr">
        <is>
          <t>ROPA</t>
        </is>
      </c>
      <c r="D232" t="inlineStr">
        <is>
          <t>VISA</t>
        </is>
      </c>
      <c r="E232" t="n">
        <v>8</v>
      </c>
      <c r="F232" t="n">
        <v>12</v>
      </c>
      <c r="G232" s="26" t="n">
        <v>69750</v>
      </c>
      <c r="H232" t="inlineStr">
        <is>
          <t>Diciembre 2026</t>
        </is>
      </c>
      <c r="I232" t="inlineStr">
        <is>
          <t>2026-12</t>
        </is>
      </c>
      <c r="J232" t="inlineStr">
        <is>
          <t>PENDIENTE</t>
        </is>
      </c>
      <c r="K232" t="inlineStr">
        <is>
          <t>C.08/12 · cashflow BBVA · gasto personal Sol</t>
        </is>
      </c>
    </row>
    <row r="233">
      <c r="A233" s="54" t="n">
        <v>46094</v>
      </c>
      <c r="B233" t="inlineStr">
        <is>
          <t>MERCADOLIBRE</t>
        </is>
      </c>
      <c r="C233" t="inlineStr">
        <is>
          <t>Mercado Libre</t>
        </is>
      </c>
      <c r="D233" t="inlineStr">
        <is>
          <t>MASTERCARD</t>
        </is>
      </c>
      <c r="E233" t="n">
        <v>11</v>
      </c>
      <c r="F233" t="n">
        <v>12</v>
      </c>
      <c r="G233" s="26" t="n">
        <v>275000</v>
      </c>
      <c r="H233" t="inlineStr">
        <is>
          <t>Enero 2027</t>
        </is>
      </c>
      <c r="I233" t="inlineStr">
        <is>
          <t>2027-01</t>
        </is>
      </c>
      <c r="J233" t="inlineStr">
        <is>
          <t>PENDIENTE</t>
        </is>
      </c>
      <c r="K233" t="inlineStr">
        <is>
          <t>C.11/12 · cashflow BBVA · gasto personal Sol</t>
        </is>
      </c>
    </row>
    <row r="234">
      <c r="A234" s="54" t="n">
        <v>46148</v>
      </c>
      <c r="B234" t="inlineStr">
        <is>
          <t>ZADIG</t>
        </is>
      </c>
      <c r="C234" t="inlineStr">
        <is>
          <t>ROPA</t>
        </is>
      </c>
      <c r="D234" t="inlineStr">
        <is>
          <t>VISA</t>
        </is>
      </c>
      <c r="E234" t="n">
        <v>9</v>
      </c>
      <c r="F234" t="n">
        <v>12</v>
      </c>
      <c r="G234" s="26" t="n">
        <v>60917</v>
      </c>
      <c r="H234" t="inlineStr">
        <is>
          <t>Enero 2027</t>
        </is>
      </c>
      <c r="I234" t="inlineStr">
        <is>
          <t>2027-01</t>
        </is>
      </c>
      <c r="J234" t="inlineStr">
        <is>
          <t>PENDIENTE</t>
        </is>
      </c>
      <c r="K234" t="inlineStr">
        <is>
          <t>C.09/12 · cashflow BBVA · gasto personal Sol</t>
        </is>
      </c>
    </row>
    <row r="235">
      <c r="A235" s="54" t="n">
        <v>46151</v>
      </c>
      <c r="B235" t="inlineStr">
        <is>
          <t>ZADIG</t>
        </is>
      </c>
      <c r="C235" t="inlineStr">
        <is>
          <t>ROPA</t>
        </is>
      </c>
      <c r="D235" t="inlineStr">
        <is>
          <t>VISA</t>
        </is>
      </c>
      <c r="E235" t="n">
        <v>9</v>
      </c>
      <c r="F235" t="n">
        <v>12</v>
      </c>
      <c r="G235" s="26" t="n">
        <v>69750</v>
      </c>
      <c r="H235" t="inlineStr">
        <is>
          <t>Enero 2027</t>
        </is>
      </c>
      <c r="I235" t="inlineStr">
        <is>
          <t>2027-01</t>
        </is>
      </c>
      <c r="J235" t="inlineStr">
        <is>
          <t>PENDIENTE</t>
        </is>
      </c>
      <c r="K235" t="inlineStr">
        <is>
          <t>C.09/12 · cashflow BBVA · gasto personal Sol</t>
        </is>
      </c>
    </row>
    <row r="236">
      <c r="A236" s="54" t="n">
        <v>46094</v>
      </c>
      <c r="B236" t="inlineStr">
        <is>
          <t>MERCADOLIBRE</t>
        </is>
      </c>
      <c r="C236" t="inlineStr">
        <is>
          <t>Mercado Libre</t>
        </is>
      </c>
      <c r="D236" t="inlineStr">
        <is>
          <t>MASTERCARD</t>
        </is>
      </c>
      <c r="E236" t="n">
        <v>12</v>
      </c>
      <c r="F236" t="n">
        <v>12</v>
      </c>
      <c r="G236" s="26" t="n">
        <v>275000</v>
      </c>
      <c r="H236" t="inlineStr">
        <is>
          <t>Febrero 2027</t>
        </is>
      </c>
      <c r="I236" t="inlineStr">
        <is>
          <t>2027-02</t>
        </is>
      </c>
      <c r="J236" t="inlineStr">
        <is>
          <t>PENDIENTE</t>
        </is>
      </c>
      <c r="K236" t="inlineStr">
        <is>
          <t>C.12/12 · cashflow BBVA · gasto personal Sol</t>
        </is>
      </c>
    </row>
    <row r="237">
      <c r="A237" s="54" t="n">
        <v>46148</v>
      </c>
      <c r="B237" t="inlineStr">
        <is>
          <t>ZADIG</t>
        </is>
      </c>
      <c r="C237" t="inlineStr">
        <is>
          <t>ROPA</t>
        </is>
      </c>
      <c r="D237" t="inlineStr">
        <is>
          <t>VISA</t>
        </is>
      </c>
      <c r="E237" t="n">
        <v>10</v>
      </c>
      <c r="F237" t="n">
        <v>12</v>
      </c>
      <c r="G237" s="26" t="n">
        <v>60917</v>
      </c>
      <c r="H237" t="inlineStr">
        <is>
          <t>Febrero 2027</t>
        </is>
      </c>
      <c r="I237" t="inlineStr">
        <is>
          <t>2027-02</t>
        </is>
      </c>
      <c r="J237" t="inlineStr">
        <is>
          <t>PENDIENTE</t>
        </is>
      </c>
      <c r="K237" t="inlineStr">
        <is>
          <t>C.10/12 · cashflow BBVA · gasto personal Sol</t>
        </is>
      </c>
    </row>
    <row r="238">
      <c r="A238" s="54" t="n">
        <v>46151</v>
      </c>
      <c r="B238" t="inlineStr">
        <is>
          <t>ZADIG</t>
        </is>
      </c>
      <c r="C238" t="inlineStr">
        <is>
          <t>ROPA</t>
        </is>
      </c>
      <c r="D238" t="inlineStr">
        <is>
          <t>VISA</t>
        </is>
      </c>
      <c r="E238" t="n">
        <v>10</v>
      </c>
      <c r="F238" t="n">
        <v>12</v>
      </c>
      <c r="G238" s="26" t="n">
        <v>69750</v>
      </c>
      <c r="H238" t="inlineStr">
        <is>
          <t>Febrero 2027</t>
        </is>
      </c>
      <c r="I238" t="inlineStr">
        <is>
          <t>2027-02</t>
        </is>
      </c>
      <c r="J238" t="inlineStr">
        <is>
          <t>PENDIENTE</t>
        </is>
      </c>
      <c r="K238" t="inlineStr">
        <is>
          <t>C.10/12 · cashflow BBVA · gasto personal Sol</t>
        </is>
      </c>
    </row>
    <row r="239">
      <c r="A239" s="54" t="n">
        <v>46148</v>
      </c>
      <c r="B239" t="inlineStr">
        <is>
          <t>ZADIG</t>
        </is>
      </c>
      <c r="C239" t="inlineStr">
        <is>
          <t>ROPA</t>
        </is>
      </c>
      <c r="D239" t="inlineStr">
        <is>
          <t>VISA</t>
        </is>
      </c>
      <c r="E239" t="n">
        <v>11</v>
      </c>
      <c r="F239" t="n">
        <v>12</v>
      </c>
      <c r="G239" s="26" t="n">
        <v>60917</v>
      </c>
      <c r="H239" t="inlineStr">
        <is>
          <t>Marzo 2027</t>
        </is>
      </c>
      <c r="I239" t="inlineStr">
        <is>
          <t>2027-03</t>
        </is>
      </c>
      <c r="J239" t="inlineStr">
        <is>
          <t>PENDIENTE</t>
        </is>
      </c>
      <c r="K239" t="inlineStr">
        <is>
          <t>C.11/12 · cashflow BBVA · gasto personal Sol</t>
        </is>
      </c>
    </row>
    <row r="240">
      <c r="A240" s="54" t="n">
        <v>46151</v>
      </c>
      <c r="B240" t="inlineStr">
        <is>
          <t>ZADIG</t>
        </is>
      </c>
      <c r="C240" t="inlineStr">
        <is>
          <t>ROPA</t>
        </is>
      </c>
      <c r="D240" t="inlineStr">
        <is>
          <t>VISA</t>
        </is>
      </c>
      <c r="E240" t="n">
        <v>11</v>
      </c>
      <c r="F240" t="n">
        <v>12</v>
      </c>
      <c r="G240" s="26" t="n">
        <v>69750</v>
      </c>
      <c r="H240" t="inlineStr">
        <is>
          <t>Marzo 2027</t>
        </is>
      </c>
      <c r="I240" t="inlineStr">
        <is>
          <t>2027-03</t>
        </is>
      </c>
      <c r="J240" t="inlineStr">
        <is>
          <t>PENDIENTE</t>
        </is>
      </c>
      <c r="K240" t="inlineStr">
        <is>
          <t>C.11/12 · cashflow BBVA · gasto personal Sol</t>
        </is>
      </c>
    </row>
    <row r="241">
      <c r="A241" s="54" t="n">
        <v>46148</v>
      </c>
      <c r="B241" t="inlineStr">
        <is>
          <t>ZADIG</t>
        </is>
      </c>
      <c r="C241" t="inlineStr">
        <is>
          <t>ROPA</t>
        </is>
      </c>
      <c r="D241" t="inlineStr">
        <is>
          <t>VISA</t>
        </is>
      </c>
      <c r="E241" t="n">
        <v>12</v>
      </c>
      <c r="F241" t="n">
        <v>12</v>
      </c>
      <c r="G241" s="26" t="n">
        <v>60917</v>
      </c>
      <c r="H241" t="inlineStr">
        <is>
          <t>Abril 2027</t>
        </is>
      </c>
      <c r="I241" t="inlineStr">
        <is>
          <t>2027-04</t>
        </is>
      </c>
      <c r="J241" t="inlineStr">
        <is>
          <t>PENDIENTE</t>
        </is>
      </c>
      <c r="K241" t="inlineStr">
        <is>
          <t>C.12/12 · cashflow BBVA · gasto personal Sol</t>
        </is>
      </c>
    </row>
    <row r="242">
      <c r="A242" s="54" t="n">
        <v>46151</v>
      </c>
      <c r="B242" t="inlineStr">
        <is>
          <t>ZADIG</t>
        </is>
      </c>
      <c r="C242" t="inlineStr">
        <is>
          <t>ROPA</t>
        </is>
      </c>
      <c r="D242" t="inlineStr">
        <is>
          <t>VISA</t>
        </is>
      </c>
      <c r="E242" t="n">
        <v>12</v>
      </c>
      <c r="F242" t="n">
        <v>12</v>
      </c>
      <c r="G242" s="26" t="n">
        <v>69750</v>
      </c>
      <c r="H242" t="inlineStr">
        <is>
          <t>Abril 2027</t>
        </is>
      </c>
      <c r="I242" t="inlineStr">
        <is>
          <t>2027-04</t>
        </is>
      </c>
      <c r="J242" t="inlineStr">
        <is>
          <t>PENDIENTE</t>
        </is>
      </c>
      <c r="K242" t="inlineStr">
        <is>
          <t>C.12/12 · cashflow BBVA · gasto personal Sol</t>
        </is>
      </c>
    </row>
    <row r="245">
      <c r="A245" s="11" t="inlineStr">
        <is>
          <t>RESUMEN MENSUAL</t>
        </is>
      </c>
    </row>
    <row r="246">
      <c r="A246" s="11" t="inlineStr">
        <is>
          <t>Año-Mes</t>
        </is>
      </c>
      <c r="B246" s="11" t="inlineStr">
        <is>
          <t>PAGADO</t>
        </is>
      </c>
      <c r="C246" s="11" t="inlineStr">
        <is>
          <t>PENDIENTE</t>
        </is>
      </c>
      <c r="D246" s="11" t="inlineStr">
        <is>
          <t>TOTAL</t>
        </is>
      </c>
    </row>
    <row r="247">
      <c r="A247" t="inlineStr">
        <is>
          <t>2025-05</t>
        </is>
      </c>
      <c r="B247" s="26" t="n">
        <v>84906</v>
      </c>
      <c r="C247" s="26" t="n">
        <v>0</v>
      </c>
      <c r="D247" s="26" t="n">
        <v>84906</v>
      </c>
    </row>
    <row r="248">
      <c r="A248" t="inlineStr">
        <is>
          <t>2025-06</t>
        </is>
      </c>
      <c r="B248" s="26" t="n">
        <v>106625</v>
      </c>
      <c r="C248" s="26" t="n">
        <v>0</v>
      </c>
      <c r="D248" s="26" t="n">
        <v>106625</v>
      </c>
    </row>
    <row r="249">
      <c r="A249" t="inlineStr">
        <is>
          <t>2025-07</t>
        </is>
      </c>
      <c r="B249" s="26" t="n">
        <v>112070</v>
      </c>
      <c r="C249" s="26" t="n">
        <v>0</v>
      </c>
      <c r="D249" s="26" t="n">
        <v>112070</v>
      </c>
    </row>
    <row r="250">
      <c r="A250" t="inlineStr">
        <is>
          <t>2025-08</t>
        </is>
      </c>
      <c r="B250" s="26" t="n">
        <v>145500</v>
      </c>
      <c r="C250" s="26" t="n">
        <v>0</v>
      </c>
      <c r="D250" s="26" t="n">
        <v>145500</v>
      </c>
    </row>
    <row r="251">
      <c r="A251" t="inlineStr">
        <is>
          <t>2025-09</t>
        </is>
      </c>
      <c r="B251" s="26" t="n">
        <v>459069</v>
      </c>
      <c r="C251" s="26" t="n">
        <v>0</v>
      </c>
      <c r="D251" s="26" t="n">
        <v>459069</v>
      </c>
    </row>
    <row r="252">
      <c r="A252" t="inlineStr">
        <is>
          <t>2025-10</t>
        </is>
      </c>
      <c r="B252" s="26" t="n">
        <v>491695</v>
      </c>
      <c r="C252" s="26" t="n">
        <v>0</v>
      </c>
      <c r="D252" s="26" t="n">
        <v>491695</v>
      </c>
    </row>
    <row r="253">
      <c r="A253" t="inlineStr">
        <is>
          <t>2025-11</t>
        </is>
      </c>
      <c r="B253" s="26" t="n">
        <v>562925</v>
      </c>
      <c r="C253" s="26" t="n">
        <v>0</v>
      </c>
      <c r="D253" s="26" t="n">
        <v>562925</v>
      </c>
    </row>
    <row r="254">
      <c r="A254" t="inlineStr">
        <is>
          <t>2025-12</t>
        </is>
      </c>
      <c r="B254" s="26" t="n">
        <v>579260</v>
      </c>
      <c r="C254" s="26" t="n">
        <v>0</v>
      </c>
      <c r="D254" s="26" t="n">
        <v>579260</v>
      </c>
    </row>
    <row r="255">
      <c r="A255" t="inlineStr">
        <is>
          <t>2026-01</t>
        </is>
      </c>
      <c r="B255" s="26" t="n">
        <v>737143</v>
      </c>
      <c r="C255" s="26" t="n">
        <v>0</v>
      </c>
      <c r="D255" s="26" t="n">
        <v>737143</v>
      </c>
    </row>
    <row r="256">
      <c r="A256" t="inlineStr">
        <is>
          <t>2026-02</t>
        </is>
      </c>
      <c r="B256" s="26" t="n">
        <v>744479</v>
      </c>
      <c r="C256" s="26" t="n">
        <v>0</v>
      </c>
      <c r="D256" s="26" t="n">
        <v>744479</v>
      </c>
    </row>
    <row r="257">
      <c r="A257" t="inlineStr">
        <is>
          <t>2026-03</t>
        </is>
      </c>
      <c r="B257" s="26" t="n">
        <v>649747</v>
      </c>
      <c r="C257" s="26" t="n">
        <v>0</v>
      </c>
      <c r="D257" s="26" t="n">
        <v>649747</v>
      </c>
    </row>
    <row r="258">
      <c r="A258" t="inlineStr">
        <is>
          <t>2026-04</t>
        </is>
      </c>
      <c r="B258" s="26" t="n">
        <v>804100</v>
      </c>
      <c r="C258" s="26" t="n">
        <v>0</v>
      </c>
      <c r="D258" s="26" t="n">
        <v>804100</v>
      </c>
    </row>
    <row r="259">
      <c r="A259" t="inlineStr">
        <is>
          <t>2026-05</t>
        </is>
      </c>
      <c r="B259" s="26" t="n">
        <v>1635386</v>
      </c>
      <c r="C259" s="26" t="n">
        <v>0</v>
      </c>
      <c r="D259" s="26" t="n">
        <v>1635386</v>
      </c>
    </row>
    <row r="260">
      <c r="A260" t="inlineStr">
        <is>
          <t>2026-06</t>
        </is>
      </c>
      <c r="B260" s="26" t="n">
        <v>0</v>
      </c>
      <c r="C260" s="26" t="n">
        <v>90283</v>
      </c>
      <c r="D260" s="26" t="n">
        <v>90283</v>
      </c>
    </row>
    <row r="261">
      <c r="A261" t="inlineStr">
        <is>
          <t>2026-07</t>
        </is>
      </c>
      <c r="B261" s="26" t="n">
        <v>2133898</v>
      </c>
      <c r="C261" s="26" t="n">
        <v>1564269</v>
      </c>
      <c r="D261" s="26" t="n">
        <v>3698167</v>
      </c>
    </row>
    <row r="262">
      <c r="A262" t="inlineStr">
        <is>
          <t>2026-08</t>
        </is>
      </c>
      <c r="B262" s="26" t="n">
        <v>0</v>
      </c>
      <c r="C262" s="26" t="n">
        <v>1608575</v>
      </c>
      <c r="D262" s="26" t="n">
        <v>1608575</v>
      </c>
    </row>
    <row r="263">
      <c r="A263" t="inlineStr">
        <is>
          <t>2026-09</t>
        </is>
      </c>
      <c r="B263" s="26" t="n">
        <v>0</v>
      </c>
      <c r="C263" s="26" t="n">
        <v>1608575</v>
      </c>
      <c r="D263" s="26" t="n">
        <v>1608575</v>
      </c>
    </row>
    <row r="264">
      <c r="A264" t="inlineStr">
        <is>
          <t>2026-10</t>
        </is>
      </c>
      <c r="B264" s="26" t="n">
        <v>0</v>
      </c>
      <c r="C264" s="26" t="n">
        <v>1320624</v>
      </c>
      <c r="D264" s="26" t="n">
        <v>1320624</v>
      </c>
    </row>
    <row r="265">
      <c r="A265" t="inlineStr">
        <is>
          <t>2026-11</t>
        </is>
      </c>
      <c r="B265" s="26" t="n">
        <v>0</v>
      </c>
      <c r="C265" s="26" t="n">
        <v>945812</v>
      </c>
      <c r="D265" s="26" t="n">
        <v>945812</v>
      </c>
    </row>
    <row r="266">
      <c r="A266" t="inlineStr">
        <is>
          <t>2026-12</t>
        </is>
      </c>
      <c r="B266" s="26" t="n">
        <v>0</v>
      </c>
      <c r="C266" s="26" t="n">
        <v>945812</v>
      </c>
      <c r="D266" s="26" t="n">
        <v>945812</v>
      </c>
    </row>
    <row r="267">
      <c r="A267" t="inlineStr">
        <is>
          <t>2027-01</t>
        </is>
      </c>
      <c r="B267" s="26" t="n">
        <v>0</v>
      </c>
      <c r="C267" s="26" t="n">
        <v>405667</v>
      </c>
      <c r="D267" s="26" t="n">
        <v>405667</v>
      </c>
    </row>
    <row r="268">
      <c r="A268" t="inlineStr">
        <is>
          <t>2027-02</t>
        </is>
      </c>
      <c r="B268" s="26" t="n">
        <v>0</v>
      </c>
      <c r="C268" s="26" t="n">
        <v>405667</v>
      </c>
      <c r="D268" s="26" t="n">
        <v>405667</v>
      </c>
    </row>
    <row r="269">
      <c r="A269" t="inlineStr">
        <is>
          <t>2027-03</t>
        </is>
      </c>
      <c r="B269" s="26" t="n">
        <v>0</v>
      </c>
      <c r="C269" s="26" t="n">
        <v>130667</v>
      </c>
      <c r="D269" s="26" t="n">
        <v>130667</v>
      </c>
    </row>
    <row r="270">
      <c r="A270" t="inlineStr">
        <is>
          <t>2027-04</t>
        </is>
      </c>
      <c r="B270" s="26" t="n">
        <v>0</v>
      </c>
      <c r="C270" s="26" t="n">
        <v>130667</v>
      </c>
      <c r="D270" s="26" t="n">
        <v>130667</v>
      </c>
    </row>
    <row r="271">
      <c r="A271" s="11" t="inlineStr">
        <is>
          <t>TOTAL</t>
        </is>
      </c>
      <c r="B271" s="55">
        <f>SUM(B247:B270)</f>
        <v/>
      </c>
      <c r="C271" s="55">
        <f>SUM(C247:C270)</f>
        <v/>
      </c>
      <c r="D271" s="55">
        <f>SUM(D247:D270)</f>
        <v/>
      </c>
    </row>
    <row r="274">
      <c r="A274" s="11" t="inlineStr">
        <is>
          <t>CASHFLOW PENDIENTE (solo futuro)</t>
        </is>
      </c>
    </row>
    <row r="275">
      <c r="A275" s="11" t="inlineStr">
        <is>
          <t>Año-Mes</t>
        </is>
      </c>
      <c r="B275" s="11" t="inlineStr">
        <is>
          <t>Monto pendiente</t>
        </is>
      </c>
    </row>
    <row r="276">
      <c r="A276" t="inlineStr">
        <is>
          <t>2026-06</t>
        </is>
      </c>
      <c r="B276" s="26" t="n">
        <v>90283</v>
      </c>
    </row>
    <row r="277">
      <c r="A277" t="inlineStr">
        <is>
          <t>2026-07</t>
        </is>
      </c>
      <c r="B277" s="26" t="n">
        <v>1564269</v>
      </c>
    </row>
    <row r="278">
      <c r="A278" t="inlineStr">
        <is>
          <t>2026-08</t>
        </is>
      </c>
      <c r="B278" s="26" t="n">
        <v>1608575</v>
      </c>
    </row>
    <row r="279">
      <c r="A279" t="inlineStr">
        <is>
          <t>2026-09</t>
        </is>
      </c>
      <c r="B279" s="26" t="n">
        <v>1608575</v>
      </c>
    </row>
    <row r="280">
      <c r="A280" t="inlineStr">
        <is>
          <t>2026-10</t>
        </is>
      </c>
      <c r="B280" s="26" t="n">
        <v>1320624</v>
      </c>
    </row>
    <row r="281">
      <c r="A281" t="inlineStr">
        <is>
          <t>2026-11</t>
        </is>
      </c>
      <c r="B281" s="26" t="n">
        <v>945812</v>
      </c>
    </row>
    <row r="282">
      <c r="A282" t="inlineStr">
        <is>
          <t>2026-12</t>
        </is>
      </c>
      <c r="B282" s="26" t="n">
        <v>945812</v>
      </c>
    </row>
    <row r="283">
      <c r="A283" t="inlineStr">
        <is>
          <t>2027-01</t>
        </is>
      </c>
      <c r="B283" s="26" t="n">
        <v>405667</v>
      </c>
    </row>
    <row r="284">
      <c r="A284" t="inlineStr">
        <is>
          <t>2027-02</t>
        </is>
      </c>
      <c r="B284" s="26" t="n">
        <v>405667</v>
      </c>
    </row>
    <row r="285">
      <c r="A285" t="inlineStr">
        <is>
          <t>2027-03</t>
        </is>
      </c>
      <c r="B285" s="26" t="n">
        <v>130667</v>
      </c>
    </row>
    <row r="286">
      <c r="A286" t="inlineStr">
        <is>
          <t>2027-04</t>
        </is>
      </c>
      <c r="B286" s="26" t="n">
        <v>130667</v>
      </c>
    </row>
    <row r="287">
      <c r="A287" s="11" t="inlineStr">
        <is>
          <t>TOTAL PENDIENTE</t>
        </is>
      </c>
      <c r="B287" s="55" t="n">
        <v>9156618</v>
      </c>
    </row>
    <row r="289">
      <c r="A289" t="inlineStr">
        <is>
          <t>Criterio: PAGADO = cuota ya vista en resúmenes BBVA o anterior a la primera vista. PENDIENTE = cuotas posteriores a la última vista. Destino: Gasto Personal Sol.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54"/>
  <sheetViews>
    <sheetView workbookViewId="0">
      <pane ySplit="3" topLeftCell="A4" activePane="bottomLeft" state="frozen"/>
      <selection pane="bottomLeft" activeCell="A1" sqref="A1"/>
    </sheetView>
  </sheetViews>
  <sheetFormatPr baseColWidth="8" defaultRowHeight="15"/>
  <cols>
    <col width="14" customWidth="1" min="1" max="1"/>
    <col width="12" customWidth="1" min="2" max="2"/>
    <col width="28" customWidth="1" min="3" max="3"/>
    <col width="14" customWidth="1" min="4" max="4"/>
    <col width="14" customWidth="1" min="5" max="5"/>
    <col width="12" customWidth="1" min="6" max="6"/>
    <col width="40" customWidth="1" min="7" max="7"/>
  </cols>
  <sheetData>
    <row r="1">
      <c r="A1" s="1" t="inlineStr">
        <is>
          <t>CIUDAD 1132 — Almacén (detalle día a día)</t>
        </is>
      </c>
    </row>
    <row r="2">
      <c r="A2" s="2" t="inlineStr">
        <is>
          <t>Totales Sol/Chris alimentan ALMACEN SOL / ALMACEN CHRIS en hoja 2026. Comentario opcional.</t>
        </is>
      </c>
    </row>
    <row r="3">
      <c r="A3" s="3" t="inlineStr">
        <is>
          <t>Mes</t>
        </is>
      </c>
      <c r="B3" s="3" t="inlineStr">
        <is>
          <t>Fecha</t>
        </is>
      </c>
      <c r="C3" s="3" t="inlineStr">
        <is>
          <t>Detalle</t>
        </is>
      </c>
      <c r="D3" s="3" t="inlineStr">
        <is>
          <t>Importe Sol</t>
        </is>
      </c>
      <c r="E3" s="3" t="inlineStr">
        <is>
          <t>Importe Chris</t>
        </is>
      </c>
      <c r="F3" s="3" t="inlineStr">
        <is>
          <t>Total</t>
        </is>
      </c>
      <c r="G3" s="3" t="inlineStr">
        <is>
          <t>Comentario</t>
        </is>
      </c>
    </row>
    <row r="4">
      <c r="A4" s="14" t="inlineStr">
        <is>
          <t>Enero</t>
        </is>
      </c>
      <c r="B4" s="17" t="n">
        <v>46053</v>
      </c>
      <c r="C4" s="14" t="inlineStr">
        <is>
          <t>Combustible — Shell</t>
        </is>
      </c>
      <c r="D4" s="27" t="n">
        <v>985</v>
      </c>
      <c r="E4" s="28" t="n"/>
      <c r="F4" s="15">
        <f>IF(OR(D4&lt;&gt;"",E4&lt;&gt;""),IF(D4="",0,D4)+IF(E4="",0,E4),"")</f>
        <v/>
      </c>
      <c r="G4" s="14" t="inlineStr">
        <is>
          <t>MP · Shell</t>
        </is>
      </c>
    </row>
    <row r="5">
      <c r="A5" s="14" t="inlineStr">
        <is>
          <t>Enero</t>
        </is>
      </c>
      <c r="B5" s="17" t="n">
        <v>46053</v>
      </c>
      <c r="C5" s="14" t="inlineStr">
        <is>
          <t>Combustible — Shell</t>
        </is>
      </c>
      <c r="D5" s="27" t="n">
        <v>831</v>
      </c>
      <c r="E5" s="28" t="n"/>
      <c r="F5" s="15">
        <f>IF(OR(D5&lt;&gt;"",E5&lt;&gt;""),IF(D5="",0,D5)+IF(E5="",0,E5),"")</f>
        <v/>
      </c>
      <c r="G5" s="14" t="inlineStr">
        <is>
          <t>MP · Shell · ex `Combustible — Shell (2)`</t>
        </is>
      </c>
    </row>
    <row r="6">
      <c r="A6" s="14" t="inlineStr">
        <is>
          <t>Enero</t>
        </is>
      </c>
      <c r="B6" s="53" t="n">
        <v>46035</v>
      </c>
      <c r="C6" s="14" t="inlineStr">
        <is>
          <t>COMIDA · pollo</t>
        </is>
      </c>
      <c r="D6" s="27" t="n">
        <v>44846</v>
      </c>
      <c r="E6" s="28" t="n"/>
      <c r="F6" s="15">
        <f>IF(OR(D6&lt;&gt;"",E6&lt;&gt;""),IF(D6="",0,D6)+IF(E6="",0,E6),"")</f>
        <v/>
      </c>
      <c r="G6" s="14" t="inlineStr">
        <is>
          <t>COMIDA · pollo · BBVA MASTERCARD · neto (bonif 11003)</t>
        </is>
      </c>
    </row>
    <row r="7">
      <c r="A7" s="14" t="inlineStr">
        <is>
          <t>Enero</t>
        </is>
      </c>
      <c r="B7" s="17" t="n">
        <v>46049</v>
      </c>
      <c r="C7" s="14" t="inlineStr">
        <is>
          <t>PEDIDOS YA · SUPERMERCADO · propina</t>
        </is>
      </c>
      <c r="D7" s="27" t="n">
        <v>750</v>
      </c>
      <c r="E7" s="28" t="n"/>
      <c r="F7" s="15">
        <f>IF(OR(D7&lt;&gt;"",E7&lt;&gt;""),IF(D7="",0,D7)+IF(E7="",0,E7),"")</f>
        <v/>
      </c>
      <c r="G7" s="14" t="inlineStr">
        <is>
          <t>PEDIDOS YA · SUPERMERCADO · propina</t>
        </is>
      </c>
    </row>
    <row r="8">
      <c r="A8" s="14" t="inlineStr">
        <is>
          <t>Enero</t>
        </is>
      </c>
      <c r="B8" s="17" t="n">
        <v>46049</v>
      </c>
      <c r="C8" s="14" t="inlineStr">
        <is>
          <t>PEDIDOS YA · SUPERMERCADO</t>
        </is>
      </c>
      <c r="D8" s="27" t="n">
        <v>35404</v>
      </c>
      <c r="E8" s="28" t="n"/>
      <c r="F8" s="15">
        <f>IF(OR(D8&lt;&gt;"",E8&lt;&gt;""),IF(D8="",0,D8)+IF(E8="",0,E8),"")</f>
        <v/>
      </c>
      <c r="G8" s="14" t="inlineStr">
        <is>
          <t>PEDIDOS YA · SUPERMERCADO</t>
        </is>
      </c>
    </row>
    <row r="9">
      <c r="A9" s="14" t="inlineStr">
        <is>
          <t>Marzo</t>
        </is>
      </c>
      <c r="B9" s="17" t="n">
        <v>46090</v>
      </c>
      <c r="C9" s="14" t="inlineStr">
        <is>
          <t>ENTRETENIMIENTO · Recitales</t>
        </is>
      </c>
      <c r="D9" s="27" t="n">
        <v>33000</v>
      </c>
      <c r="E9" s="28" t="n"/>
      <c r="F9" s="15">
        <f>IF(OR(D9&lt;&gt;"",E9&lt;&gt;""),IF(D9="",0,D9)+IF(E9="",0,E9),"")</f>
        <v/>
      </c>
      <c r="G9" s="14" t="inlineStr">
        <is>
          <t>ENTRETENIMIENTO · Recitales · Movistar Arena · Mercado Pago</t>
        </is>
      </c>
    </row>
    <row r="10">
      <c r="A10" s="14" t="inlineStr">
        <is>
          <t>Marzo</t>
        </is>
      </c>
      <c r="B10" s="17" t="n">
        <v>46090</v>
      </c>
      <c r="C10" s="14" t="inlineStr">
        <is>
          <t>ENTRETENIMIENTO · Recitales</t>
        </is>
      </c>
      <c r="D10" s="27" t="n">
        <v>220000</v>
      </c>
      <c r="E10" s="28" t="n"/>
      <c r="F10" s="15">
        <f>IF(OR(D10&lt;&gt;"",E10&lt;&gt;""),IF(D10="",0,D10)+IF(E10="",0,E10),"")</f>
        <v/>
      </c>
      <c r="G10" s="14" t="inlineStr">
        <is>
          <t>ENTRETENIMIENTO · Recitales · Movistar Arena · Mercado Pago</t>
        </is>
      </c>
    </row>
    <row r="11">
      <c r="A11" s="14" t="inlineStr">
        <is>
          <t>Mayo</t>
        </is>
      </c>
      <c r="B11" s="17" t="n">
        <v>46168</v>
      </c>
      <c r="C11" s="14" t="inlineStr">
        <is>
          <t>ENTRETENIMIENTO · Recitales</t>
        </is>
      </c>
      <c r="D11" s="27" t="n">
        <v>19000</v>
      </c>
      <c r="E11" s="28" t="n"/>
      <c r="F11" s="15">
        <f>IF(OR(D11&lt;&gt;"",E11&lt;&gt;""),IF(D11="",0,D11)+IF(E11="",0,E11),"")</f>
        <v/>
      </c>
      <c r="G11" s="14" t="inlineStr">
        <is>
          <t>ENTRETENIMIENTO · Recitales · Movistar Arena · Mercado Pago</t>
        </is>
      </c>
    </row>
    <row r="12">
      <c r="A12" s="14" t="inlineStr">
        <is>
          <t>Febrero</t>
        </is>
      </c>
      <c r="B12" s="17" t="n">
        <v>46078</v>
      </c>
      <c r="C12" s="14" t="inlineStr">
        <is>
          <t>ENTRETENIMIENTO · Recitales</t>
        </is>
      </c>
      <c r="D12" s="27" t="n">
        <v>150000</v>
      </c>
      <c r="E12" s="28" t="n"/>
      <c r="F12" s="15">
        <f>IF(OR(D12&lt;&gt;"",E12&lt;&gt;""),IF(D12="",0,D12)+IF(E12="",0,E12),"")</f>
        <v/>
      </c>
      <c r="G12" s="14" t="inlineStr">
        <is>
          <t>ENTRETENIMIENTO · Recitales · Movistar Arena · BBVA MASTERCARD</t>
        </is>
      </c>
    </row>
    <row r="13">
      <c r="A13" s="14" t="inlineStr">
        <is>
          <t>Febrero</t>
        </is>
      </c>
      <c r="B13" s="17" t="n">
        <v>46078</v>
      </c>
      <c r="C13" s="14" t="inlineStr">
        <is>
          <t>ENTRETENIMIENTO · Recitales</t>
        </is>
      </c>
      <c r="D13" s="27" t="n">
        <v>22500</v>
      </c>
      <c r="E13" s="28" t="n"/>
      <c r="F13" s="15">
        <f>IF(OR(D13&lt;&gt;"",E13&lt;&gt;""),IF(D13="",0,D13)+IF(E13="",0,E13),"")</f>
        <v/>
      </c>
      <c r="G13" s="14" t="inlineStr">
        <is>
          <t>ENTRETENIMIENTO · Recitales · Movistar Arena · BBVA MASTERCARD</t>
        </is>
      </c>
    </row>
    <row r="14">
      <c r="A14" s="14" t="inlineStr">
        <is>
          <t>Marzo</t>
        </is>
      </c>
      <c r="B14" s="17" t="n">
        <v>46090</v>
      </c>
      <c r="C14" s="14" t="inlineStr">
        <is>
          <t>ENTRETENIMIENTO · Recitales</t>
        </is>
      </c>
      <c r="D14" s="27" t="n">
        <v>22500</v>
      </c>
      <c r="E14" s="28" t="n"/>
      <c r="F14" s="15">
        <f>IF(OR(D14&lt;&gt;"",E14&lt;&gt;""),IF(D14="",0,D14)+IF(E14="",0,E14),"")</f>
        <v/>
      </c>
      <c r="G14" s="14" t="inlineStr">
        <is>
          <t>ENTRETENIMIENTO · Recitales · Movistar Arena · BBVA MASTERCARD</t>
        </is>
      </c>
    </row>
    <row r="15">
      <c r="A15" s="14" t="inlineStr">
        <is>
          <t>Enero</t>
        </is>
      </c>
      <c r="B15" s="17" t="n">
        <v>46040</v>
      </c>
      <c r="C15" s="14" t="inlineStr">
        <is>
          <t>SUPERMERCADO · Carrefour</t>
        </is>
      </c>
      <c r="D15" s="27" t="n">
        <v>4089</v>
      </c>
      <c r="E15" s="28" t="n"/>
      <c r="F15" s="15">
        <f>IF(OR(D15&lt;&gt;"",E15&lt;&gt;""),IF(D15="",0,D15)+IF(E15="",0,E15),"")</f>
        <v/>
      </c>
      <c r="G15" s="14" t="inlineStr">
        <is>
          <t>SUPERMERCADO · Carrefour</t>
        </is>
      </c>
    </row>
    <row r="16">
      <c r="A16" s="14" t="inlineStr">
        <is>
          <t>Mayo</t>
        </is>
      </c>
      <c r="B16" s="17" t="n">
        <v>46162</v>
      </c>
      <c r="C16" s="14" t="inlineStr">
        <is>
          <t>ENTRETENIMIENTO · Cine</t>
        </is>
      </c>
      <c r="D16" s="27" t="n">
        <v>62200</v>
      </c>
      <c r="E16" s="28" t="n"/>
      <c r="F16" s="15">
        <f>IF(OR(D16&lt;&gt;"",E16&lt;&gt;""),IF(D16="",0,D16)+IF(E16="",0,E16),"")</f>
        <v/>
      </c>
      <c r="G16" s="14" t="inlineStr">
        <is>
          <t>ENTRETENIMIENTO · Cine · Hoyts · BBVA MASTERCARD</t>
        </is>
      </c>
    </row>
    <row r="17">
      <c r="A17" s="14" t="inlineStr">
        <is>
          <t>Enero</t>
        </is>
      </c>
      <c r="B17" s="17" t="n">
        <v>46033</v>
      </c>
      <c r="C17" s="14" t="inlineStr">
        <is>
          <t>COMIDA · HAVANNA</t>
        </is>
      </c>
      <c r="D17" s="27" t="n">
        <v>22100</v>
      </c>
      <c r="E17" s="28" t="n"/>
      <c r="F17" s="15">
        <f>IF(OR(D17&lt;&gt;"",E17&lt;&gt;""),IF(D17="",0,D17)+IF(E17="",0,E17),"")</f>
        <v/>
      </c>
      <c r="G17" s="14" t="inlineStr">
        <is>
          <t>COMIDA · HAVANNA</t>
        </is>
      </c>
    </row>
    <row r="18">
      <c r="A18" s="14" t="inlineStr">
        <is>
          <t>Enero</t>
        </is>
      </c>
      <c r="B18" s="17" t="n">
        <v>46032</v>
      </c>
      <c r="C18" s="14" t="inlineStr">
        <is>
          <t>PEDIDOS YA · COMIDA · propina</t>
        </is>
      </c>
      <c r="D18" s="27" t="n">
        <v>1000</v>
      </c>
      <c r="E18" s="28" t="n"/>
      <c r="F18" s="15">
        <f>IF(OR(D18&lt;&gt;"",E18&lt;&gt;""),IF(D18="",0,D18)+IF(E18="",0,E18),"")</f>
        <v/>
      </c>
      <c r="G18" s="14" t="inlineStr">
        <is>
          <t>PEDIDOS YA · COMIDA · propina</t>
        </is>
      </c>
    </row>
    <row r="19">
      <c r="A19" s="14" t="inlineStr">
        <is>
          <t>Enero</t>
        </is>
      </c>
      <c r="B19" s="17" t="n">
        <v>46032</v>
      </c>
      <c r="C19" s="14" t="inlineStr">
        <is>
          <t>PEDIDOS YA · COMIDA</t>
        </is>
      </c>
      <c r="D19" s="27" t="n">
        <v>51455</v>
      </c>
      <c r="E19" s="28" t="n"/>
      <c r="F19" s="15">
        <f>IF(OR(D19&lt;&gt;"",E19&lt;&gt;""),IF(D19="",0,D19)+IF(E19="",0,E19),"")</f>
        <v/>
      </c>
      <c r="G19" s="14" t="inlineStr">
        <is>
          <t>PEDIDOS YA · COMIDA · neto</t>
        </is>
      </c>
    </row>
    <row r="20">
      <c r="A20" s="14" t="inlineStr">
        <is>
          <t>Enero</t>
        </is>
      </c>
      <c r="B20" s="17" t="n">
        <v>46030</v>
      </c>
      <c r="C20" s="14" t="inlineStr">
        <is>
          <t>PEDIDOS YA · COMIDA · propina</t>
        </is>
      </c>
      <c r="D20" s="27" t="n">
        <v>750</v>
      </c>
      <c r="E20" s="28" t="n"/>
      <c r="F20" s="15">
        <f>IF(OR(D20&lt;&gt;"",E20&lt;&gt;""),IF(D20="",0,D20)+IF(E20="",0,E20),"")</f>
        <v/>
      </c>
      <c r="G20" s="14" t="inlineStr">
        <is>
          <t>PEDIDOS YA · COMIDA · propina</t>
        </is>
      </c>
    </row>
    <row r="21">
      <c r="A21" s="14" t="inlineStr">
        <is>
          <t>Enero</t>
        </is>
      </c>
      <c r="B21" s="53" t="n">
        <v>46030</v>
      </c>
      <c r="C21" s="14" t="inlineStr">
        <is>
          <t>PEDIDOS YA · COMIDA</t>
        </is>
      </c>
      <c r="D21" s="27" t="n">
        <v>55011</v>
      </c>
      <c r="E21" s="28" t="n"/>
      <c r="F21" s="15">
        <f>IF(OR(D21&lt;&gt;"",E21&lt;&gt;""),IF(D21="",0,D21)+IF(E21="",0,E21),"")</f>
        <v/>
      </c>
      <c r="G21" s="14" t="inlineStr">
        <is>
          <t>PEDIDOS YA · COMIDA · Mercado Pago</t>
        </is>
      </c>
    </row>
    <row r="22">
      <c r="A22" s="14" t="inlineStr">
        <is>
          <t>Enero</t>
        </is>
      </c>
      <c r="B22" s="17" t="n">
        <v>46034</v>
      </c>
      <c r="C22" s="14" t="inlineStr">
        <is>
          <t>COMIDA · Barritas proteicas</t>
        </is>
      </c>
      <c r="D22" s="27" t="n">
        <v>66527</v>
      </c>
      <c r="E22" s="28" t="n"/>
      <c r="F22" s="15">
        <f>IF(OR(D22&lt;&gt;"",E22&lt;&gt;""),IF(D22="",0,D22)+IF(E22="",0,E22),"")</f>
        <v/>
      </c>
      <c r="G22" s="14" t="inlineStr">
        <is>
          <t>COMIDA · Barritas proteicas · Enerfit · TC Mercado Pago · SALUD · MERPAGO*ENERFIT · TC Mercado Pago · cuota 2 de 12 · compra 2025-11-26 · ex `SALUD · Enerfit · C.02/12`</t>
        </is>
      </c>
    </row>
    <row r="23">
      <c r="A23" s="14" t="inlineStr">
        <is>
          <t>Enero</t>
        </is>
      </c>
      <c r="B23" s="17" t="n">
        <v>46027</v>
      </c>
      <c r="C23" s="14" t="inlineStr">
        <is>
          <t>Combustible — Shell</t>
        </is>
      </c>
      <c r="D23" s="27" t="n">
        <v>197</v>
      </c>
      <c r="E23" s="28" t="n"/>
      <c r="F23" s="15">
        <f>IF(OR(D23&lt;&gt;"",E23&lt;&gt;""),IF(D23="",0,D23)+IF(E23="",0,E23),"")</f>
        <v/>
      </c>
      <c r="G23" s="14" t="inlineStr">
        <is>
          <t>MP · Shell · ex `Combustible — Shell (5/1)`</t>
        </is>
      </c>
    </row>
    <row r="24">
      <c r="A24" s="14" t="inlineStr">
        <is>
          <t>Enero</t>
        </is>
      </c>
      <c r="B24" s="17" t="n">
        <v>46027</v>
      </c>
      <c r="C24" s="14" t="inlineStr">
        <is>
          <t>Combustible — Shell</t>
        </is>
      </c>
      <c r="D24" s="27" t="n">
        <v>46</v>
      </c>
      <c r="E24" s="28" t="n"/>
      <c r="F24" s="15">
        <f>IF(OR(D24&lt;&gt;"",E24&lt;&gt;""),IF(D24="",0,D24)+IF(E24="",0,E24),"")</f>
        <v/>
      </c>
      <c r="G24" s="14" t="inlineStr">
        <is>
          <t>MP · Shell · ex `Combustible — Shell (5/1b)`</t>
        </is>
      </c>
    </row>
    <row r="25">
      <c r="A25" s="14" t="inlineStr">
        <is>
          <t>Enero</t>
        </is>
      </c>
      <c r="B25" s="17" t="n">
        <v>46027</v>
      </c>
      <c r="C25" s="14" t="inlineStr">
        <is>
          <t>SUPERMERCADO · Día</t>
        </is>
      </c>
      <c r="D25" s="27" t="n">
        <v>15092</v>
      </c>
      <c r="E25" s="28" t="n"/>
      <c r="F25" s="15">
        <f>IF(OR(D25&lt;&gt;"",E25&lt;&gt;""),IF(D25="",0,D25)+IF(E25="",0,E25),"")</f>
        <v/>
      </c>
      <c r="G25" s="14" t="inlineStr">
        <is>
          <t>SUPERMERCADO · Día</t>
        </is>
      </c>
    </row>
    <row r="26">
      <c r="A26" s="14" t="inlineStr">
        <is>
          <t>Enero</t>
        </is>
      </c>
      <c r="B26" s="17" t="n">
        <v>46025</v>
      </c>
      <c r="C26" s="14" t="inlineStr">
        <is>
          <t>SUPERMERCADO · Día</t>
        </is>
      </c>
      <c r="D26" s="27" t="n">
        <v>3624</v>
      </c>
      <c r="E26" s="28" t="n"/>
      <c r="F26" s="15">
        <f>IF(OR(D26&lt;&gt;"",E26&lt;&gt;""),IF(D26="",0,D26)+IF(E26="",0,E26),"")</f>
        <v/>
      </c>
      <c r="G26" s="14" t="inlineStr">
        <is>
          <t>SUPERMERCADO · Día</t>
        </is>
      </c>
    </row>
    <row r="27">
      <c r="A27" s="14" t="inlineStr">
        <is>
          <t>Enero</t>
        </is>
      </c>
      <c r="B27" s="17" t="n">
        <v>46024</v>
      </c>
      <c r="C27" s="14" t="inlineStr">
        <is>
          <t>SUPERMERCADO · Día</t>
        </is>
      </c>
      <c r="D27" s="27" t="n">
        <v>17603</v>
      </c>
      <c r="E27" s="28" t="n"/>
      <c r="F27" s="15">
        <f>IF(OR(D27&lt;&gt;"",E27&lt;&gt;""),IF(D27="",0,D27)+IF(E27="",0,E27),"")</f>
        <v/>
      </c>
      <c r="G27" s="14" t="inlineStr">
        <is>
          <t>SUPERMERCADO · Día</t>
        </is>
      </c>
    </row>
    <row r="28">
      <c r="A28" s="14" t="inlineStr">
        <is>
          <t>Enero</t>
        </is>
      </c>
      <c r="B28" s="17" t="n">
        <v>46024</v>
      </c>
      <c r="C28" s="14" t="inlineStr">
        <is>
          <t>SUPERMERCADO · Carrefour</t>
        </is>
      </c>
      <c r="D28" s="27" t="n">
        <v>8037</v>
      </c>
      <c r="E28" s="28" t="n"/>
      <c r="F28" s="15">
        <f>IF(OR(D28&lt;&gt;"",E28&lt;&gt;""),IF(D28="",0,D28)+IF(E28="",0,E28),"")</f>
        <v/>
      </c>
      <c r="G28" s="14" t="inlineStr">
        <is>
          <t>SUPERMERCADO · Carrefour</t>
        </is>
      </c>
    </row>
    <row r="29">
      <c r="A29" s="14" t="inlineStr">
        <is>
          <t>Enero</t>
        </is>
      </c>
      <c r="B29" s="17" t="n">
        <v>46024</v>
      </c>
      <c r="C29" s="14" t="inlineStr">
        <is>
          <t>SUPERMERCADO · Día</t>
        </is>
      </c>
      <c r="D29" s="27" t="n">
        <v>4005</v>
      </c>
      <c r="E29" s="28" t="n"/>
      <c r="F29" s="15">
        <f>IF(OR(D29&lt;&gt;"",E29&lt;&gt;""),IF(D29="",0,D29)+IF(E29="",0,E29),"")</f>
        <v/>
      </c>
      <c r="G29" s="14" t="inlineStr">
        <is>
          <t>SUPERMERCADO · Día</t>
        </is>
      </c>
    </row>
    <row r="30">
      <c r="A30" s="14" t="inlineStr">
        <is>
          <t>Enero</t>
        </is>
      </c>
      <c r="B30" s="17" t="n">
        <v>46026</v>
      </c>
      <c r="C30" s="14" t="inlineStr">
        <is>
          <t>COMIDA · VERDULERÍA</t>
        </is>
      </c>
      <c r="D30" s="27" t="n">
        <v>8180</v>
      </c>
      <c r="E30" s="28" t="n"/>
      <c r="F30" s="15">
        <f>IF(OR(D30&lt;&gt;"",E30&lt;&gt;""),IF(D30="",0,D30)+IF(E30="",0,E30),"")</f>
        <v/>
      </c>
      <c r="G30" s="14" t="inlineStr">
        <is>
          <t>COMIDA · VERDULERÍA</t>
        </is>
      </c>
    </row>
    <row r="31">
      <c r="A31" s="14" t="inlineStr">
        <is>
          <t>Enero</t>
        </is>
      </c>
      <c r="B31" s="17" t="n">
        <v>46032</v>
      </c>
      <c r="C31" s="14" t="inlineStr">
        <is>
          <t>RAMON · Comida</t>
        </is>
      </c>
      <c r="D31" s="27" t="n">
        <v>77748</v>
      </c>
      <c r="E31" s="28" t="n"/>
      <c r="F31" s="15">
        <f>IF(OR(D31&lt;&gt;"",E31&lt;&gt;""),IF(D31="",0,D31)+IF(E31="",0,E31),"")</f>
        <v/>
      </c>
      <c r="G31" s="14" t="inlineStr">
        <is>
          <t>RAMON · Comida · Kalbby · ALMACEN SOL</t>
        </is>
      </c>
    </row>
    <row r="32">
      <c r="A32" s="14" t="inlineStr">
        <is>
          <t>Febrero</t>
        </is>
      </c>
      <c r="B32" s="17" t="n">
        <v>46065</v>
      </c>
      <c r="C32" s="14" t="inlineStr">
        <is>
          <t>COMIDA · Barritas proteicas</t>
        </is>
      </c>
      <c r="D32" s="27" t="n">
        <v>66527</v>
      </c>
      <c r="E32" s="28" t="n"/>
      <c r="F32" s="15">
        <f>IF(OR(D32&lt;&gt;"",E32&lt;&gt;""),IF(D32="",0,D32)+IF(E32="",0,E32),"")</f>
        <v/>
      </c>
      <c r="G32" s="14" t="inlineStr">
        <is>
          <t>COMIDA · Barritas proteicas · Enerfit · TC Mercado Pago · SALUD · MERPAGO*ENERFIT · TC Mercado Pago · cuota 3 de 12 · compra 2025-11-26 · ex `SALUD · Enerfit · C.03/12`</t>
        </is>
      </c>
    </row>
    <row r="33">
      <c r="A33" s="14" t="inlineStr">
        <is>
          <t>Enero</t>
        </is>
      </c>
      <c r="B33" s="53" t="n">
        <v>46034</v>
      </c>
      <c r="C33" s="14" t="inlineStr">
        <is>
          <t>PEDIDOS YA · SUPERMERCADO · propina</t>
        </is>
      </c>
      <c r="D33" s="27" t="n">
        <v>750</v>
      </c>
      <c r="E33" s="28" t="n"/>
      <c r="F33" s="15">
        <f>IF(OR(D33&lt;&gt;"",E33&lt;&gt;""),IF(D33="",0,D33)+IF(E33="",0,E33),"")</f>
        <v/>
      </c>
      <c r="G33" s="14" t="inlineStr">
        <is>
          <t>PEDIDOS YA · SUPERMERCADO · propina · BBVA TC Visa</t>
        </is>
      </c>
    </row>
    <row r="34">
      <c r="A34" s="14" t="inlineStr">
        <is>
          <t>Enero</t>
        </is>
      </c>
      <c r="B34" s="53" t="n">
        <v>46034</v>
      </c>
      <c r="C34" s="14" t="inlineStr">
        <is>
          <t>PEDIDOS YA · SUPERMERCADO</t>
        </is>
      </c>
      <c r="D34" s="27" t="n">
        <v>54750</v>
      </c>
      <c r="E34" s="28" t="n"/>
      <c r="F34" s="15">
        <f>IF(OR(D34&lt;&gt;"",E34&lt;&gt;""),IF(D34="",0,D34)+IF(E34="",0,E34),"")</f>
        <v/>
      </c>
      <c r="G34" s="14" t="inlineStr">
        <is>
          <t>PEDIDOS YA · SUPERMERCADO · BBVA TC Visa</t>
        </is>
      </c>
    </row>
    <row r="35">
      <c r="A35" s="14" t="inlineStr">
        <is>
          <t>Enero</t>
        </is>
      </c>
      <c r="B35" s="53" t="n">
        <v>46038</v>
      </c>
      <c r="C35" s="14" t="inlineStr">
        <is>
          <t>PEDIDOS YA · SUPERMERCADO · propina</t>
        </is>
      </c>
      <c r="D35" s="27" t="n">
        <v>700</v>
      </c>
      <c r="E35" s="28" t="n"/>
      <c r="F35" s="15">
        <f>IF(OR(D35&lt;&gt;"",E35&lt;&gt;""),IF(D35="",0,D35)+IF(E35="",0,E35),"")</f>
        <v/>
      </c>
      <c r="G35" s="14" t="inlineStr">
        <is>
          <t>PEDIDOS YA · SUPERMERCADO · propina · BBVA TC Visa</t>
        </is>
      </c>
    </row>
    <row r="36">
      <c r="A36" s="14" t="inlineStr">
        <is>
          <t>Enero</t>
        </is>
      </c>
      <c r="B36" s="53" t="n">
        <v>46038</v>
      </c>
      <c r="C36" s="14" t="inlineStr">
        <is>
          <t>PEDIDOS YA · SUPERMERCADO</t>
        </is>
      </c>
      <c r="D36" s="27" t="n">
        <v>78882</v>
      </c>
      <c r="E36" s="28" t="n"/>
      <c r="F36" s="15">
        <f>IF(OR(D36&lt;&gt;"",E36&lt;&gt;""),IF(D36="",0,D36)+IF(E36="",0,E36),"")</f>
        <v/>
      </c>
      <c r="G36" s="14" t="inlineStr">
        <is>
          <t>PEDIDOS YA · SUPERMERCADO · BBVA TC Visa</t>
        </is>
      </c>
    </row>
    <row r="37">
      <c r="A37" s="14" t="inlineStr">
        <is>
          <t>Enero</t>
        </is>
      </c>
      <c r="B37" s="53" t="n">
        <v>46038</v>
      </c>
      <c r="C37" s="14" t="inlineStr">
        <is>
          <t>PEDIDOS YA · SUPERMERCADO</t>
        </is>
      </c>
      <c r="D37" s="27" t="n">
        <v>4425</v>
      </c>
      <c r="E37" s="28" t="n"/>
      <c r="F37" s="15">
        <f>IF(OR(D37&lt;&gt;"",E37&lt;&gt;""),IF(D37="",0,D37)+IF(E37="",0,E37),"")</f>
        <v/>
      </c>
      <c r="G37" s="14" t="inlineStr">
        <is>
          <t>PEDIDOS YA · SUPERMERCADO · BBVA TC Visa</t>
        </is>
      </c>
    </row>
    <row r="38">
      <c r="A38" s="14" t="inlineStr">
        <is>
          <t>Enero</t>
        </is>
      </c>
      <c r="B38" s="53" t="n">
        <v>46043</v>
      </c>
      <c r="C38" s="14" t="inlineStr">
        <is>
          <t>PEDIDOS YA · SUPERMERCADO · propina</t>
        </is>
      </c>
      <c r="D38" s="27" t="n">
        <v>400</v>
      </c>
      <c r="E38" s="28" t="n"/>
      <c r="F38" s="15">
        <f>IF(OR(D38&lt;&gt;"",E38&lt;&gt;""),IF(D38="",0,D38)+IF(E38="",0,E38),"")</f>
        <v/>
      </c>
      <c r="G38" s="14" t="inlineStr">
        <is>
          <t>PEDIDOS YA · SUPERMERCADO · propina · BBVA TC Visa</t>
        </is>
      </c>
    </row>
    <row r="39">
      <c r="A39" s="14" t="inlineStr">
        <is>
          <t>Enero</t>
        </is>
      </c>
      <c r="B39" s="53" t="n">
        <v>46043</v>
      </c>
      <c r="C39" s="14" t="inlineStr">
        <is>
          <t>PEDIDOS YA · SUPERMERCADO</t>
        </is>
      </c>
      <c r="D39" s="27" t="n">
        <v>2599</v>
      </c>
      <c r="E39" s="28" t="n"/>
      <c r="F39" s="15">
        <f>IF(OR(D39&lt;&gt;"",E39&lt;&gt;""),IF(D39="",0,D39)+IF(E39="",0,E39),"")</f>
        <v/>
      </c>
      <c r="G39" s="14" t="inlineStr">
        <is>
          <t>PEDIDOS YA · SUPERMERCADO · BBVA TC Visa</t>
        </is>
      </c>
    </row>
    <row r="40">
      <c r="A40" s="14" t="inlineStr">
        <is>
          <t>Enero</t>
        </is>
      </c>
      <c r="B40" s="53" t="n">
        <v>46045</v>
      </c>
      <c r="C40" s="14" t="inlineStr">
        <is>
          <t>COMIDA · HAVANNA</t>
        </is>
      </c>
      <c r="D40" s="27" t="n">
        <v>23700</v>
      </c>
      <c r="E40" s="28" t="n"/>
      <c r="F40" s="15">
        <f>IF(OR(D40&lt;&gt;"",E40&lt;&gt;""),IF(D40="",0,D40)+IF(E40="",0,E40),"")</f>
        <v/>
      </c>
      <c r="G40" s="14" t="inlineStr">
        <is>
          <t>COMIDA · HAVANNA · BBVA MASTERCARD</t>
        </is>
      </c>
    </row>
    <row r="41">
      <c r="A41" s="14" t="inlineStr">
        <is>
          <t>Enero</t>
        </is>
      </c>
      <c r="B41" s="53" t="n">
        <v>46042</v>
      </c>
      <c r="C41" s="14" t="inlineStr">
        <is>
          <t>COMIDA · pollo</t>
        </is>
      </c>
      <c r="D41" s="27" t="n">
        <v>26202</v>
      </c>
      <c r="E41" s="28" t="n"/>
      <c r="F41" s="15">
        <f>IF(OR(D41&lt;&gt;"",E41&lt;&gt;""),IF(D41="",0,D41)+IF(E41="",0,E41),"")</f>
        <v/>
      </c>
      <c r="G41" s="14" t="inlineStr">
        <is>
          <t>COMIDA · pollo · BBVA MASTERCARD · neto (bonif 11018)</t>
        </is>
      </c>
    </row>
    <row r="42">
      <c r="A42" s="14" t="inlineStr">
        <is>
          <t>Enero</t>
        </is>
      </c>
      <c r="B42" s="17" t="n">
        <v>46043</v>
      </c>
      <c r="C42" s="14" t="inlineStr">
        <is>
          <t>SUPERMERCADO · Día</t>
        </is>
      </c>
      <c r="D42" s="27" t="n">
        <v>24834</v>
      </c>
      <c r="E42" s="28" t="n"/>
      <c r="F42" s="15">
        <f>IF(OR(D42&lt;&gt;"",E42&lt;&gt;""),IF(D42="",0,D42)+IF(E42="",0,E42),"")</f>
        <v/>
      </c>
      <c r="G42" s="14" t="inlineStr">
        <is>
          <t>SUPERMERCADO · Día · SUPERDIA · BBVA MASTERCARD · ALMACEN SOL</t>
        </is>
      </c>
    </row>
    <row r="43">
      <c r="A43" s="14" t="inlineStr">
        <is>
          <t>Enero</t>
        </is>
      </c>
      <c r="B43" s="17" t="n">
        <v>46045</v>
      </c>
      <c r="C43" s="14" t="inlineStr">
        <is>
          <t>SUPERMERCADO · Día</t>
        </is>
      </c>
      <c r="D43" s="27" t="n">
        <v>137929</v>
      </c>
      <c r="E43" s="28" t="n"/>
      <c r="F43" s="15">
        <f>IF(OR(D43&lt;&gt;"",E43&lt;&gt;""),IF(D43="",0,D43)+IF(E43="",0,E43),"")</f>
        <v/>
      </c>
      <c r="G43" s="14" t="inlineStr">
        <is>
          <t>SUPERMERCADO · Día · SUPERDIA · BBVA MASTERCARD · ALMACEN SOL</t>
        </is>
      </c>
    </row>
    <row r="44">
      <c r="A44" s="14" t="inlineStr">
        <is>
          <t>Enero</t>
        </is>
      </c>
      <c r="B44" s="17" t="n">
        <v>46035</v>
      </c>
      <c r="C44" s="14" t="inlineStr">
        <is>
          <t>RAMON · Veterinario</t>
        </is>
      </c>
      <c r="D44" s="27" t="n">
        <v>44100</v>
      </c>
      <c r="E44" s="28" t="n"/>
      <c r="F44" s="15">
        <f>IF(OR(D44&lt;&gt;"",E44&lt;&gt;""),IF(D44="",0,D44)+IF(E44="",0,E44),"")</f>
        <v/>
      </c>
      <c r="G44" s="14" t="inlineStr">
        <is>
          <t>RAMON · Veterinario · Valeria Mele / El Perro Verde · ALMACEN SOL</t>
        </is>
      </c>
    </row>
    <row r="45">
      <c r="A45" s="14" t="inlineStr">
        <is>
          <t>Enero</t>
        </is>
      </c>
      <c r="B45" s="17" t="n">
        <v>46046</v>
      </c>
      <c r="C45" s="14" t="inlineStr">
        <is>
          <t>RAMON · Veterinario</t>
        </is>
      </c>
      <c r="D45" s="27" t="n">
        <v>16200</v>
      </c>
      <c r="E45" s="28" t="n"/>
      <c r="F45" s="15">
        <f>IF(OR(D45&lt;&gt;"",E45&lt;&gt;""),IF(D45="",0,D45)+IF(E45="",0,E45),"")</f>
        <v/>
      </c>
      <c r="G45" s="14" t="inlineStr">
        <is>
          <t>RAMON · Veterinario · Valeria Mele / El Perro Verde · ALMACEN SOL</t>
        </is>
      </c>
    </row>
    <row r="46">
      <c r="A46" s="14" t="inlineStr">
        <is>
          <t>Enero</t>
        </is>
      </c>
      <c r="B46" s="17" t="n">
        <v>46050</v>
      </c>
      <c r="C46" s="14" t="inlineStr">
        <is>
          <t>RAMON · Veterinario</t>
        </is>
      </c>
      <c r="D46" s="27" t="n">
        <v>145400</v>
      </c>
      <c r="E46" s="28" t="n"/>
      <c r="F46" s="15">
        <f>IF(OR(D46&lt;&gt;"",E46&lt;&gt;""),IF(D46="",0,D46)+IF(E46="",0,E46),"")</f>
        <v/>
      </c>
      <c r="G46" s="14" t="inlineStr">
        <is>
          <t>RAMON · Veterinario · Valeria Mele / El Perro Verde · ALMACEN SOL</t>
        </is>
      </c>
    </row>
    <row r="47">
      <c r="A47" s="10" t="inlineStr">
        <is>
          <t>TOTAL ENERO</t>
        </is>
      </c>
      <c r="B47" s="22" t="n"/>
      <c r="C47" s="29" t="inlineStr">
        <is>
          <t>Totales mes →</t>
        </is>
      </c>
      <c r="D47" s="7">
        <f>SUMIFS($D$4:$D$800,$A$4:$A$800,"Enero")</f>
        <v/>
      </c>
      <c r="E47" s="7">
        <f>SUMIFS($E$4:$E$800,$A$4:$A$800,"Enero")</f>
        <v/>
      </c>
      <c r="F47" s="7">
        <f>D47+E47</f>
        <v/>
      </c>
      <c r="G47" s="22" t="n"/>
    </row>
    <row r="48">
      <c r="A48" t="inlineStr">
        <is>
          <t>Marzo</t>
        </is>
      </c>
      <c r="B48" s="52" t="n">
        <v>46093</v>
      </c>
      <c r="C48" t="inlineStr">
        <is>
          <t>COMIDA · Barritas proteicas</t>
        </is>
      </c>
      <c r="D48" t="n">
        <v>66527</v>
      </c>
      <c r="F48">
        <f>IF(OR(D48&lt;&gt;"",E48&lt;&gt;""),IF(D48="",0,D48)+IF(E48="",0,E48),"")</f>
        <v/>
      </c>
      <c r="G48" t="inlineStr">
        <is>
          <t>COMIDA · Barritas proteicas · Enerfit · TC Mercado Pago · SALUD · MERPAGO*ENERFIT · TC Mercado Pago · cuota 4 de 12 · compra 2025-11-26 · ex `SALUD · Enerfit · C.04/12`</t>
        </is>
      </c>
    </row>
    <row r="49">
      <c r="A49" s="14" t="inlineStr">
        <is>
          <t>Febrero</t>
        </is>
      </c>
      <c r="B49" s="17" t="n">
        <v>46081</v>
      </c>
      <c r="C49" s="14" t="inlineStr">
        <is>
          <t>Combustible — Shell</t>
        </is>
      </c>
      <c r="D49" s="27" t="n">
        <v>61</v>
      </c>
      <c r="E49" s="28" t="n"/>
      <c r="F49" s="15">
        <f>IF(OR(D49&lt;&gt;"",E49&lt;&gt;""),IF(D49="",0,D49)+IF(E49="",0,E49),"")</f>
        <v/>
      </c>
      <c r="G49" s="14" t="inlineStr">
        <is>
          <t>MP · Shell</t>
        </is>
      </c>
    </row>
    <row r="50">
      <c r="A50" s="14" t="inlineStr">
        <is>
          <t>Febrero</t>
        </is>
      </c>
      <c r="B50" s="17" t="n">
        <v>46081</v>
      </c>
      <c r="C50" s="14" t="inlineStr">
        <is>
          <t>Combustible — Shell</t>
        </is>
      </c>
      <c r="D50" s="27" t="n">
        <v>418</v>
      </c>
      <c r="E50" s="28" t="n"/>
      <c r="F50" s="15">
        <f>IF(OR(D50&lt;&gt;"",E50&lt;&gt;""),IF(D50="",0,D50)+IF(E50="",0,E50),"")</f>
        <v/>
      </c>
      <c r="G50" s="14" t="inlineStr">
        <is>
          <t>MP · Shell</t>
        </is>
      </c>
    </row>
    <row r="51">
      <c r="A51" s="14" t="inlineStr">
        <is>
          <t>Febrero</t>
        </is>
      </c>
      <c r="B51" s="17" t="n">
        <v>46081</v>
      </c>
      <c r="C51" s="14" t="inlineStr">
        <is>
          <t>Combustible — Shell</t>
        </is>
      </c>
      <c r="D51" s="27" t="n">
        <v>788</v>
      </c>
      <c r="E51" s="28" t="n"/>
      <c r="F51" s="15">
        <f>IF(OR(D51&lt;&gt;"",E51&lt;&gt;""),IF(D51="",0,D51)+IF(E51="",0,E51),"")</f>
        <v/>
      </c>
      <c r="G51" s="14" t="inlineStr">
        <is>
          <t>MP · Shell</t>
        </is>
      </c>
    </row>
    <row r="52">
      <c r="A52" s="14" t="inlineStr">
        <is>
          <t>Febrero</t>
        </is>
      </c>
      <c r="B52" s="17" t="n">
        <v>46081</v>
      </c>
      <c r="C52" s="14" t="inlineStr">
        <is>
          <t>Combustible — Shell</t>
        </is>
      </c>
      <c r="D52" s="27" t="n">
        <v>605</v>
      </c>
      <c r="E52" s="28" t="n"/>
      <c r="F52" s="15">
        <f>IF(OR(D52&lt;&gt;"",E52&lt;&gt;""),IF(D52="",0,D52)+IF(E52="",0,E52),"")</f>
        <v/>
      </c>
      <c r="G52" s="14" t="inlineStr">
        <is>
          <t>MP · Shell</t>
        </is>
      </c>
    </row>
    <row r="53">
      <c r="A53" s="14" t="inlineStr">
        <is>
          <t>Febrero</t>
        </is>
      </c>
      <c r="B53" s="17" t="n">
        <v>46075</v>
      </c>
      <c r="C53" s="14" t="inlineStr">
        <is>
          <t>COMIDA · HAVANNA</t>
        </is>
      </c>
      <c r="D53" s="27" t="n">
        <v>9600</v>
      </c>
      <c r="E53" s="28" t="n"/>
      <c r="F53" s="15">
        <f>IF(OR(D53&lt;&gt;"",E53&lt;&gt;""),IF(D53="",0,D53)+IF(E53="",0,E53),"")</f>
        <v/>
      </c>
      <c r="G53" s="14" t="inlineStr">
        <is>
          <t>COMIDA · HAVANNA</t>
        </is>
      </c>
    </row>
    <row r="54">
      <c r="A54" s="14" t="inlineStr">
        <is>
          <t>Febrero</t>
        </is>
      </c>
      <c r="B54" s="17" t="n">
        <v>46073</v>
      </c>
      <c r="C54" s="14" t="inlineStr">
        <is>
          <t>COMIDA · HAVANNA</t>
        </is>
      </c>
      <c r="D54" s="27" t="n">
        <v>9600</v>
      </c>
      <c r="E54" s="28" t="n"/>
      <c r="F54" s="15">
        <f>IF(OR(D54&lt;&gt;"",E54&lt;&gt;""),IF(D54="",0,D54)+IF(E54="",0,E54),"")</f>
        <v/>
      </c>
      <c r="G54" s="14" t="inlineStr">
        <is>
          <t>COMIDA · HAVANNA</t>
        </is>
      </c>
    </row>
    <row r="55">
      <c r="A55" s="14" t="inlineStr">
        <is>
          <t>Febrero</t>
        </is>
      </c>
      <c r="B55" s="17" t="n">
        <v>46071</v>
      </c>
      <c r="C55" s="14" t="inlineStr">
        <is>
          <t>SUPERMERCADO · Día</t>
        </is>
      </c>
      <c r="D55" s="27" t="n">
        <v>37335</v>
      </c>
      <c r="E55" s="28" t="n"/>
      <c r="F55" s="15">
        <f>IF(OR(D55&lt;&gt;"",E55&lt;&gt;""),IF(D55="",0,D55)+IF(E55="",0,E55),"")</f>
        <v/>
      </c>
      <c r="G55" s="14" t="inlineStr">
        <is>
          <t>SUPERMERCADO · Día</t>
        </is>
      </c>
    </row>
    <row r="56">
      <c r="A56" s="14" t="inlineStr">
        <is>
          <t>Febrero</t>
        </is>
      </c>
      <c r="B56" s="17" t="n">
        <v>46067</v>
      </c>
      <c r="C56" s="14" t="inlineStr">
        <is>
          <t>SUPERMERCADO · Día</t>
        </is>
      </c>
      <c r="D56" s="27" t="n">
        <v>5622</v>
      </c>
      <c r="E56" s="28" t="n"/>
      <c r="F56" s="15">
        <f>IF(OR(D56&lt;&gt;"",E56&lt;&gt;""),IF(D56="",0,D56)+IF(E56="",0,E56),"")</f>
        <v/>
      </c>
      <c r="G56" s="14" t="inlineStr">
        <is>
          <t>SUPERMERCADO · Día</t>
        </is>
      </c>
    </row>
    <row r="57">
      <c r="A57" s="14" t="inlineStr">
        <is>
          <t>Febrero</t>
        </is>
      </c>
      <c r="B57" s="53" t="n">
        <v>46077</v>
      </c>
      <c r="C57" s="14" t="inlineStr">
        <is>
          <t>PEDIDOS YA · SUPERMERCADO · propina</t>
        </is>
      </c>
      <c r="D57" s="27" t="n">
        <v>1000</v>
      </c>
      <c r="E57" s="28" t="n"/>
      <c r="F57" s="15">
        <f>IF(OR(D57&lt;&gt;"",E57&lt;&gt;""),IF(D57="",0,D57)+IF(E57="",0,E57),"")</f>
        <v/>
      </c>
      <c r="G57" s="14" t="inlineStr">
        <is>
          <t>PEDIDOS YA · SUPERMERCADO · propina · BBVA TC Visa</t>
        </is>
      </c>
    </row>
    <row r="58">
      <c r="A58" s="14" t="inlineStr">
        <is>
          <t>Febrero</t>
        </is>
      </c>
      <c r="B58" s="53" t="n">
        <v>46065</v>
      </c>
      <c r="C58" s="14" t="inlineStr">
        <is>
          <t>REPUESTOS · Sodastream</t>
        </is>
      </c>
      <c r="D58" s="27" t="n">
        <v>53037</v>
      </c>
      <c r="E58" s="28" t="n"/>
      <c r="F58" s="15">
        <f>IF(OR(D58&lt;&gt;"",E58&lt;&gt;""),IF(D58="",0,D58)+IF(E58="",0,E58),"")</f>
        <v/>
      </c>
      <c r="G58" s="14" t="inlineStr">
        <is>
          <t>REPUESTOS · Sodastream · Mercado Pago · ex CASA/REPUESTOS matriz</t>
        </is>
      </c>
    </row>
    <row r="59">
      <c r="A59" s="14" t="inlineStr">
        <is>
          <t>Febrero</t>
        </is>
      </c>
      <c r="B59" s="17" t="n">
        <v>46061</v>
      </c>
      <c r="C59" s="14" t="inlineStr">
        <is>
          <t>SUPERMERCADO · Carrefour</t>
        </is>
      </c>
      <c r="D59" s="27" t="n">
        <v>21990</v>
      </c>
      <c r="E59" s="28" t="n"/>
      <c r="F59" s="15">
        <f>IF(OR(D59&lt;&gt;"",E59&lt;&gt;""),IF(D59="",0,D59)+IF(E59="",0,E59),"")</f>
        <v/>
      </c>
      <c r="G59" s="14" t="inlineStr">
        <is>
          <t>SUPERMERCADO · Carrefour</t>
        </is>
      </c>
    </row>
    <row r="60">
      <c r="A60" s="14" t="inlineStr">
        <is>
          <t>Febrero</t>
        </is>
      </c>
      <c r="B60" s="17" t="n">
        <v>46060</v>
      </c>
      <c r="C60" s="14" t="inlineStr">
        <is>
          <t>COMIDA · Open 25</t>
        </is>
      </c>
      <c r="D60" s="27" t="n">
        <v>1170</v>
      </c>
      <c r="E60" s="28" t="n"/>
      <c r="F60" s="15">
        <f>IF(OR(D60&lt;&gt;"",E60&lt;&gt;""),IF(D60="",0,D60)+IF(E60="",0,E60),"")</f>
        <v/>
      </c>
      <c r="G60" s="14" t="inlineStr">
        <is>
          <t>MP · Open 25</t>
        </is>
      </c>
    </row>
    <row r="61">
      <c r="A61" s="14" t="inlineStr">
        <is>
          <t>Febrero</t>
        </is>
      </c>
      <c r="B61" s="17" t="n">
        <v>46059</v>
      </c>
      <c r="C61" s="14" t="inlineStr">
        <is>
          <t>SUPERMERCADO · Carrefour</t>
        </is>
      </c>
      <c r="D61" s="27" t="n">
        <v>22768</v>
      </c>
      <c r="E61" s="28" t="n"/>
      <c r="F61" s="15">
        <f>IF(OR(D61&lt;&gt;"",E61&lt;&gt;""),IF(D61="",0,D61)+IF(E61="",0,E61),"")</f>
        <v/>
      </c>
      <c r="G61" s="14" t="inlineStr">
        <is>
          <t>SUPERMERCADO · Carrefour</t>
        </is>
      </c>
    </row>
    <row r="62">
      <c r="A62" s="14" t="inlineStr">
        <is>
          <t>Abril</t>
        </is>
      </c>
      <c r="B62" s="17" t="n">
        <v>46124</v>
      </c>
      <c r="C62" s="14" t="inlineStr">
        <is>
          <t>COMIDA · Barritas proteicas</t>
        </is>
      </c>
      <c r="D62" s="27" t="n">
        <v>66527</v>
      </c>
      <c r="E62" s="28" t="n"/>
      <c r="F62" s="15">
        <f>IF(OR(D62&lt;&gt;"",E62&lt;&gt;""),IF(D62="",0,D62)+IF(E62="",0,E62),"")</f>
        <v/>
      </c>
      <c r="G62" s="14" t="inlineStr">
        <is>
          <t>COMIDA · Barritas proteicas · Enerfit · TC Mercado Pago · SALUD · MERPAGO*ENERFIT · TC Mercado Pago · cuota 5 de 12 · compra 2025-11-26 · ex `SALUD · Enerfit · C.05/12`</t>
        </is>
      </c>
    </row>
    <row r="63">
      <c r="A63" s="14" t="inlineStr">
        <is>
          <t>Mayo</t>
        </is>
      </c>
      <c r="B63" s="17" t="n">
        <v>46154</v>
      </c>
      <c r="C63" s="14" t="inlineStr">
        <is>
          <t>COMIDA · Barritas proteicas</t>
        </is>
      </c>
      <c r="D63" s="27" t="n">
        <v>66527</v>
      </c>
      <c r="E63" s="28" t="n"/>
      <c r="F63" s="15">
        <f>IF(OR(D63&lt;&gt;"",E63&lt;&gt;""),IF(D63="",0,D63)+IF(E63="",0,E63),"")</f>
        <v/>
      </c>
      <c r="G63" s="14" t="inlineStr">
        <is>
          <t>COMIDA · Barritas proteicas · Enerfit · TC Mercado Pago · SALUD · MERPAGO*ENERFIT · TC Mercado Pago · cuota 6 de 12 · compra 2025-11-26 · ex `SALUD · Enerfit · C.06/12`</t>
        </is>
      </c>
    </row>
    <row r="64">
      <c r="A64" s="14" t="inlineStr">
        <is>
          <t>Febrero</t>
        </is>
      </c>
      <c r="B64" s="17" t="n">
        <v>46054</v>
      </c>
      <c r="C64" s="14" t="inlineStr">
        <is>
          <t>PEDIDOS YA · COMIDA · propina</t>
        </is>
      </c>
      <c r="D64" s="27" t="n">
        <v>750</v>
      </c>
      <c r="E64" s="28" t="n"/>
      <c r="F64" s="15">
        <f>IF(OR(D64&lt;&gt;"",E64&lt;&gt;""),IF(D64="",0,D64)+IF(E64="",0,E64),"")</f>
        <v/>
      </c>
      <c r="G64" s="14" t="inlineStr">
        <is>
          <t>PEDIDOS YA · COMIDA · propina</t>
        </is>
      </c>
    </row>
    <row r="65">
      <c r="A65" s="14" t="inlineStr">
        <is>
          <t>Febrero</t>
        </is>
      </c>
      <c r="B65" s="17" t="n">
        <v>46054</v>
      </c>
      <c r="C65" s="14" t="inlineStr">
        <is>
          <t>PEDIDOS YA · COMIDA</t>
        </is>
      </c>
      <c r="D65" s="27" t="n">
        <v>1499</v>
      </c>
      <c r="E65" s="28" t="n"/>
      <c r="F65" s="15">
        <f>IF(OR(D65&lt;&gt;"",E65&lt;&gt;""),IF(D65="",0,D65)+IF(E65="",0,E65),"")</f>
        <v/>
      </c>
      <c r="G65" s="14" t="inlineStr">
        <is>
          <t>PEDIDOS YA · COMIDA</t>
        </is>
      </c>
    </row>
    <row r="66">
      <c r="A66" s="14" t="inlineStr">
        <is>
          <t>Febrero</t>
        </is>
      </c>
      <c r="B66" s="17" t="n">
        <v>46054</v>
      </c>
      <c r="C66" s="14" t="inlineStr">
        <is>
          <t>PEDIDOS YA · SUPERMERCADO</t>
        </is>
      </c>
      <c r="D66" s="27" t="n">
        <v>118132</v>
      </c>
      <c r="E66" s="28" t="n"/>
      <c r="F66" s="15">
        <f>IF(OR(D66&lt;&gt;"",E66&lt;&gt;""),IF(D66="",0,D66)+IF(E66="",0,E66),"")</f>
        <v/>
      </c>
      <c r="G66" s="14" t="inlineStr">
        <is>
          <t>PEDIDOS YA · SUPERMERCADO</t>
        </is>
      </c>
    </row>
    <row r="67">
      <c r="A67" s="14" t="inlineStr">
        <is>
          <t>Febrero</t>
        </is>
      </c>
      <c r="B67" s="17" t="n">
        <v>46065</v>
      </c>
      <c r="C67" s="14" t="inlineStr">
        <is>
          <t>RAMON · Comida</t>
        </is>
      </c>
      <c r="D67" s="27" t="n">
        <v>30336</v>
      </c>
      <c r="E67" s="28" t="n"/>
      <c r="F67" s="15">
        <f>IF(OR(D67&lt;&gt;"",E67&lt;&gt;""),IF(D67="",0,D67)+IF(E67="",0,E67),"")</f>
        <v/>
      </c>
      <c r="G67" s="14" t="inlineStr">
        <is>
          <t>RAMON · Comida · Kalbby · ALMACEN SOL</t>
        </is>
      </c>
    </row>
    <row r="68">
      <c r="A68" s="14" t="inlineStr">
        <is>
          <t>Febrero</t>
        </is>
      </c>
      <c r="B68" s="53" t="n">
        <v>46058</v>
      </c>
      <c r="C68" s="14" t="inlineStr">
        <is>
          <t>PEDIDOS YA · SUPERMERCADO · propina</t>
        </is>
      </c>
      <c r="D68" s="27" t="n">
        <v>750</v>
      </c>
      <c r="E68" s="28" t="n"/>
      <c r="F68" s="15">
        <f>IF(OR(D68&lt;&gt;"",E68&lt;&gt;""),IF(D68="",0,D68)+IF(E68="",0,E68),"")</f>
        <v/>
      </c>
      <c r="G68" s="14" t="inlineStr">
        <is>
          <t>PEDIDOS YA · SUPERMERCADO · propina · BBVA TC Visa</t>
        </is>
      </c>
    </row>
    <row r="69">
      <c r="A69" s="14" t="inlineStr">
        <is>
          <t>Febrero</t>
        </is>
      </c>
      <c r="B69" s="53" t="n">
        <v>46058</v>
      </c>
      <c r="C69" s="14" t="inlineStr">
        <is>
          <t>PEDIDOS YA · SUPERMERCADO</t>
        </is>
      </c>
      <c r="D69" s="27" t="n">
        <v>61740</v>
      </c>
      <c r="E69" s="28" t="n"/>
      <c r="F69" s="15">
        <f>IF(OR(D69&lt;&gt;"",E69&lt;&gt;""),IF(D69="",0,D69)+IF(E69="",0,E69),"")</f>
        <v/>
      </c>
      <c r="G69" s="14" t="inlineStr">
        <is>
          <t>PEDIDOS YA · SUPERMERCADO · BBVA TC Visa</t>
        </is>
      </c>
    </row>
    <row r="70">
      <c r="A70" s="14" t="inlineStr">
        <is>
          <t>Febrero</t>
        </is>
      </c>
      <c r="B70" s="53" t="n">
        <v>46058</v>
      </c>
      <c r="C70" s="14" t="inlineStr">
        <is>
          <t>PEDIDOS YA · SUPERMERCADO</t>
        </is>
      </c>
      <c r="D70" s="27" t="n">
        <v>2495</v>
      </c>
      <c r="E70" s="28" t="n"/>
      <c r="F70" s="15">
        <f>IF(OR(D70&lt;&gt;"",E70&lt;&gt;""),IF(D70="",0,D70)+IF(E70="",0,E70),"")</f>
        <v/>
      </c>
      <c r="G70" s="14" t="inlineStr">
        <is>
          <t>PEDIDOS YA · SUPERMERCADO · BBVA TC Visa</t>
        </is>
      </c>
    </row>
    <row r="71">
      <c r="A71" s="14" t="inlineStr">
        <is>
          <t>Febrero</t>
        </is>
      </c>
      <c r="B71" s="53" t="n">
        <v>46062</v>
      </c>
      <c r="C71" s="14" t="inlineStr">
        <is>
          <t>PEDIDOS YA · SUPERMERCADO · propina</t>
        </is>
      </c>
      <c r="D71" s="27" t="n">
        <v>850</v>
      </c>
      <c r="E71" s="28" t="n"/>
      <c r="F71" s="15">
        <f>IF(OR(D71&lt;&gt;"",E71&lt;&gt;""),IF(D71="",0,D71)+IF(E71="",0,E71),"")</f>
        <v/>
      </c>
      <c r="G71" s="14" t="inlineStr">
        <is>
          <t>PEDIDOS YA · SUPERMERCADO · propina · BBVA TC Visa</t>
        </is>
      </c>
    </row>
    <row r="72">
      <c r="A72" s="14" t="inlineStr">
        <is>
          <t>Febrero</t>
        </is>
      </c>
      <c r="B72" s="53" t="n">
        <v>46062</v>
      </c>
      <c r="C72" s="14" t="inlineStr">
        <is>
          <t>PEDIDOS YA · SUPERMERCADO</t>
        </is>
      </c>
      <c r="D72" s="27" t="n">
        <v>61650</v>
      </c>
      <c r="E72" s="28" t="n"/>
      <c r="F72" s="15">
        <f>IF(OR(D72&lt;&gt;"",E72&lt;&gt;""),IF(D72="",0,D72)+IF(E72="",0,E72),"")</f>
        <v/>
      </c>
      <c r="G72" s="14" t="inlineStr">
        <is>
          <t>PEDIDOS YA · SUPERMERCADO · BBVA TC Visa</t>
        </is>
      </c>
    </row>
    <row r="73">
      <c r="A73" s="14" t="inlineStr">
        <is>
          <t>Febrero</t>
        </is>
      </c>
      <c r="B73" s="53" t="n">
        <v>46069</v>
      </c>
      <c r="C73" s="14" t="inlineStr">
        <is>
          <t>PEDIDOS YA · SUPERMERCADO · propina</t>
        </is>
      </c>
      <c r="D73" s="27" t="n">
        <v>750</v>
      </c>
      <c r="E73" s="28" t="n"/>
      <c r="F73" s="15">
        <f>IF(OR(D73&lt;&gt;"",E73&lt;&gt;""),IF(D73="",0,D73)+IF(E73="",0,E73),"")</f>
        <v/>
      </c>
      <c r="G73" s="14" t="inlineStr">
        <is>
          <t>PEDIDOS YA · SUPERMERCADO · propina · BBVA TC Visa</t>
        </is>
      </c>
    </row>
    <row r="74">
      <c r="A74" s="14" t="inlineStr">
        <is>
          <t>Febrero</t>
        </is>
      </c>
      <c r="B74" s="53" t="n">
        <v>46069</v>
      </c>
      <c r="C74" s="14" t="inlineStr">
        <is>
          <t>PEDIDOS YA · SUPERMERCADO</t>
        </is>
      </c>
      <c r="D74" s="27" t="n">
        <v>62660</v>
      </c>
      <c r="E74" s="28" t="n"/>
      <c r="F74" s="15">
        <f>IF(OR(D74&lt;&gt;"",E74&lt;&gt;""),IF(D74="",0,D74)+IF(E74="",0,E74),"")</f>
        <v/>
      </c>
      <c r="G74" s="14" t="inlineStr">
        <is>
          <t>PEDIDOS YA · SUPERMERCADO · BBVA TC Visa</t>
        </is>
      </c>
    </row>
    <row r="75">
      <c r="A75" s="14" t="inlineStr">
        <is>
          <t>Febrero</t>
        </is>
      </c>
      <c r="B75" s="53" t="n">
        <v>46074</v>
      </c>
      <c r="C75" s="14" t="inlineStr">
        <is>
          <t>PEDIDOS YA · SUPERMERCADO</t>
        </is>
      </c>
      <c r="D75" s="27" t="n">
        <v>14404</v>
      </c>
      <c r="E75" s="28" t="n"/>
      <c r="F75" s="15">
        <f>IF(OR(D75&lt;&gt;"",E75&lt;&gt;""),IF(D75="",0,D75)+IF(E75="",0,E75),"")</f>
        <v/>
      </c>
      <c r="G75" s="14" t="inlineStr">
        <is>
          <t>PEDIDOS YA · SUPERMERCADO · BBVA TC Visa</t>
        </is>
      </c>
    </row>
    <row r="76">
      <c r="A76" s="14" t="inlineStr">
        <is>
          <t>Febrero</t>
        </is>
      </c>
      <c r="B76" s="53" t="n">
        <v>46074</v>
      </c>
      <c r="C76" s="14" t="inlineStr">
        <is>
          <t>PEDIDOS YA · SUPERMERCADO</t>
        </is>
      </c>
      <c r="D76" s="27" t="n">
        <v>19780</v>
      </c>
      <c r="E76" s="28" t="n"/>
      <c r="F76" s="15">
        <f>IF(OR(D76&lt;&gt;"",E76&lt;&gt;""),IF(D76="",0,D76)+IF(E76="",0,E76),"")</f>
        <v/>
      </c>
      <c r="G76" s="14" t="inlineStr">
        <is>
          <t>PEDIDOS YA · SUPERMERCADO · BBVA TC Visa</t>
        </is>
      </c>
    </row>
    <row r="77">
      <c r="A77" s="14" t="inlineStr">
        <is>
          <t>Febrero</t>
        </is>
      </c>
      <c r="B77" s="53" t="n">
        <v>46074</v>
      </c>
      <c r="C77" s="14" t="inlineStr">
        <is>
          <t>PEDIDOS YA · SUPERMERCADO</t>
        </is>
      </c>
      <c r="D77" s="27" t="n">
        <v>34460</v>
      </c>
      <c r="E77" s="28" t="n"/>
      <c r="F77" s="15">
        <f>IF(OR(D77&lt;&gt;"",E77&lt;&gt;""),IF(D77="",0,D77)+IF(E77="",0,E77),"")</f>
        <v/>
      </c>
      <c r="G77" s="14" t="inlineStr">
        <is>
          <t>PEDIDOS YA · SUPERMERCADO · BBVA TC Visa</t>
        </is>
      </c>
    </row>
    <row r="78">
      <c r="A78" s="14" t="inlineStr">
        <is>
          <t>Febrero</t>
        </is>
      </c>
      <c r="B78" s="53" t="n">
        <v>46075</v>
      </c>
      <c r="C78" s="14" t="inlineStr">
        <is>
          <t>PEDIDOS YA · SUPERMERCADO · propina</t>
        </is>
      </c>
      <c r="D78" s="27" t="n">
        <v>1000</v>
      </c>
      <c r="E78" s="28" t="n"/>
      <c r="F78" s="15">
        <f>IF(OR(D78&lt;&gt;"",E78&lt;&gt;""),IF(D78="",0,D78)+IF(E78="",0,E78),"")</f>
        <v/>
      </c>
      <c r="G78" s="14" t="inlineStr">
        <is>
          <t>PEDIDOS YA · SUPERMERCADO · propina · BBVA TC Visa</t>
        </is>
      </c>
    </row>
    <row r="79">
      <c r="A79" s="14" t="inlineStr">
        <is>
          <t>Febrero</t>
        </is>
      </c>
      <c r="B79" s="53" t="n">
        <v>46077</v>
      </c>
      <c r="C79" s="14" t="inlineStr">
        <is>
          <t>PEDIDOS YA · SUPERMERCADO</t>
        </is>
      </c>
      <c r="D79" s="27" t="n">
        <v>42375</v>
      </c>
      <c r="E79" s="28" t="n"/>
      <c r="F79" s="15">
        <f>IF(OR(D79&lt;&gt;"",E79&lt;&gt;""),IF(D79="",0,D79)+IF(E79="",0,E79),"")</f>
        <v/>
      </c>
      <c r="G79" s="14" t="inlineStr">
        <is>
          <t>PEDIDOS YA · SUPERMERCADO · BBVA TC Visa</t>
        </is>
      </c>
    </row>
    <row r="80">
      <c r="A80" s="14" t="inlineStr">
        <is>
          <t>Febrero</t>
        </is>
      </c>
      <c r="B80" s="53" t="n">
        <v>46077</v>
      </c>
      <c r="C80" s="14" t="inlineStr">
        <is>
          <t>PEDIDOS YA · SUPERMERCADO</t>
        </is>
      </c>
      <c r="D80" s="27" t="n">
        <v>192</v>
      </c>
      <c r="E80" s="28" t="n"/>
      <c r="F80" s="15">
        <f>IF(OR(D80&lt;&gt;"",E80&lt;&gt;""),IF(D80="",0,D80)+IF(E80="",0,E80),"")</f>
        <v/>
      </c>
      <c r="G80" s="14" t="inlineStr">
        <is>
          <t>PEDIDOS YA · SUPERMERCADO · BBVA TC Visa</t>
        </is>
      </c>
    </row>
    <row r="81">
      <c r="A81" s="14" t="inlineStr">
        <is>
          <t>Febrero</t>
        </is>
      </c>
      <c r="B81" s="53" t="n">
        <v>46078</v>
      </c>
      <c r="C81" s="14" t="inlineStr">
        <is>
          <t>PEDIDOS YA · SUPERMERCADO · propina</t>
        </is>
      </c>
      <c r="D81" s="27" t="n">
        <v>600</v>
      </c>
      <c r="E81" s="28" t="n"/>
      <c r="F81" s="15">
        <f>IF(OR(D81&lt;&gt;"",E81&lt;&gt;""),IF(D81="",0,D81)+IF(E81="",0,E81),"")</f>
        <v/>
      </c>
      <c r="G81" s="14" t="inlineStr">
        <is>
          <t>PEDIDOS YA · SUPERMERCADO · propina · BBVA TC Visa</t>
        </is>
      </c>
    </row>
    <row r="82">
      <c r="A82" s="14" t="inlineStr">
        <is>
          <t>Febrero</t>
        </is>
      </c>
      <c r="B82" s="53" t="n">
        <v>46078</v>
      </c>
      <c r="C82" s="14" t="inlineStr">
        <is>
          <t>PEDIDOS YA · SUPERMERCADO</t>
        </is>
      </c>
      <c r="D82" s="27" t="n">
        <v>2599</v>
      </c>
      <c r="E82" s="28" t="n"/>
      <c r="F82" s="15">
        <f>IF(OR(D82&lt;&gt;"",E82&lt;&gt;""),IF(D82="",0,D82)+IF(E82="",0,E82),"")</f>
        <v/>
      </c>
      <c r="G82" s="14" t="inlineStr">
        <is>
          <t>PEDIDOS YA · SUPERMERCADO · BBVA TC Visa</t>
        </is>
      </c>
    </row>
    <row r="83">
      <c r="A83" s="14" t="inlineStr">
        <is>
          <t>Febrero</t>
        </is>
      </c>
      <c r="B83" s="17" t="n"/>
      <c r="C83" s="14" t="n"/>
      <c r="D83" s="27" t="n"/>
      <c r="E83" s="28" t="n"/>
      <c r="F83" s="15">
        <f>IF(OR(D85&lt;&gt;"",E85&lt;&gt;""),IF(D85="",0,D85)+IF(E85="",0,E85),"")</f>
        <v/>
      </c>
      <c r="G83" s="14" t="n"/>
    </row>
    <row r="84">
      <c r="A84" s="14" t="inlineStr">
        <is>
          <t>Febrero</t>
        </is>
      </c>
      <c r="B84" s="17" t="n">
        <v>46069</v>
      </c>
      <c r="C84" s="14" t="inlineStr">
        <is>
          <t>COMIDA · Soraya</t>
        </is>
      </c>
      <c r="D84" s="27" t="n">
        <v>33100</v>
      </c>
      <c r="E84" s="28" t="n"/>
      <c r="F84" s="15">
        <f>IF(OR(D84&lt;&gt;"",E84&lt;&gt;""),IF(D84="",0,D84)+IF(E84="",0,E84),"")</f>
        <v/>
      </c>
      <c r="G84" s="14" t="inlineStr">
        <is>
          <t>COMIDA · RESTAURANTSORAYASA · MP cuenta</t>
        </is>
      </c>
    </row>
    <row r="85">
      <c r="A85" s="14" t="inlineStr">
        <is>
          <t>Febrero</t>
        </is>
      </c>
      <c r="B85" s="17" t="n">
        <v>46076</v>
      </c>
      <c r="C85" s="14" t="inlineStr">
        <is>
          <t>RAMON · Veterinario</t>
        </is>
      </c>
      <c r="D85" s="27" t="n">
        <v>72000</v>
      </c>
      <c r="E85" s="28" t="n"/>
      <c r="F85" s="15">
        <f>IF(OR(D85&lt;&gt;"",E85&lt;&gt;""),IF(D85="",0,D85)+IF(E85="",0,E85),"")</f>
        <v/>
      </c>
      <c r="G85" s="14" t="inlineStr">
        <is>
          <t>RAMON · Veterinario · Valeria Mele / El Perro Verde · ALMACEN SOL</t>
        </is>
      </c>
    </row>
    <row r="86">
      <c r="A86" s="14" t="inlineStr">
        <is>
          <t>Febrero</t>
        </is>
      </c>
      <c r="B86" s="17" t="n">
        <v>46065</v>
      </c>
      <c r="C86" s="14" t="inlineStr">
        <is>
          <t>RAMON · Otros</t>
        </is>
      </c>
      <c r="D86" s="27" t="n">
        <v>27200</v>
      </c>
      <c r="E86" s="28" t="n"/>
      <c r="F86" s="15">
        <f>IF(OR(D86&lt;&gt;"",E86&lt;&gt;""),IF(D86="",0,D86)+IF(E86="",0,E86),"")</f>
        <v/>
      </c>
      <c r="G86" s="14" t="inlineStr">
        <is>
          <t>RAMON · Otros · Paws Pet Market · Mercado Pago · ALMACEN SOL</t>
        </is>
      </c>
    </row>
    <row r="87">
      <c r="A87" s="10" t="inlineStr">
        <is>
          <t>TOTAL FEBRERO</t>
        </is>
      </c>
      <c r="B87" s="22" t="n"/>
      <c r="C87" s="29" t="inlineStr">
        <is>
          <t>Totales mes →</t>
        </is>
      </c>
      <c r="D87" s="7">
        <f>SUMIFS($D$4:$D$800,$A$4:$A$800,"Febrero")</f>
        <v/>
      </c>
      <c r="E87" s="7">
        <f>SUMIFS($E$4:$E$800,$A$4:$A$800,"Febrero")</f>
        <v/>
      </c>
      <c r="F87" s="7">
        <f>D87+E87</f>
        <v/>
      </c>
      <c r="G87" s="22" t="n"/>
    </row>
    <row r="88">
      <c r="A88" t="inlineStr">
        <is>
          <t>Junio</t>
        </is>
      </c>
      <c r="B88" s="52" t="n">
        <v>46185</v>
      </c>
      <c r="C88" t="inlineStr">
        <is>
          <t>COMIDA · Barritas proteicas</t>
        </is>
      </c>
      <c r="D88" t="n">
        <v>66527</v>
      </c>
      <c r="F88">
        <f>IF(OR(D88&lt;&gt;"",E88&lt;&gt;""),IF(D88="",0,D88)+IF(E88="",0,E88),"")</f>
        <v/>
      </c>
      <c r="G88" t="inlineStr">
        <is>
          <t>COMIDA · Barritas proteicas · Enerfit · TC Mercado Pago · SALUD · MERPAGO*ENERFIT · TC Mercado Pago · cuota 7 de 12 · compra 2025-11-26 · ex `SALUD · Enerfit · C.07/12`</t>
        </is>
      </c>
    </row>
    <row r="89">
      <c r="A89" s="14" t="inlineStr">
        <is>
          <t>Marzo</t>
        </is>
      </c>
      <c r="B89" s="17" t="n">
        <v>46112</v>
      </c>
      <c r="C89" s="14" t="inlineStr">
        <is>
          <t>Combustible — Shell</t>
        </is>
      </c>
      <c r="D89" s="27" t="n">
        <v>264</v>
      </c>
      <c r="E89" s="28" t="n"/>
      <c r="F89" s="15">
        <f>IF(OR(D89&lt;&gt;"",E89&lt;&gt;""),IF(D89="",0,D89)+IF(E89="",0,E89),"")</f>
        <v/>
      </c>
      <c r="G89" s="14" t="inlineStr">
        <is>
          <t>MP · combustible</t>
        </is>
      </c>
    </row>
    <row r="90">
      <c r="A90" s="14" t="inlineStr">
        <is>
          <t>Marzo</t>
        </is>
      </c>
      <c r="B90" s="17" t="n">
        <v>46112</v>
      </c>
      <c r="C90" s="14" t="inlineStr">
        <is>
          <t>Combustible — Shell</t>
        </is>
      </c>
      <c r="D90" s="27" t="n">
        <v>1118</v>
      </c>
      <c r="E90" s="28" t="n"/>
      <c r="F90" s="15">
        <f>IF(OR(D90&lt;&gt;"",E90&lt;&gt;""),IF(D90="",0,D90)+IF(E90="",0,E90),"")</f>
        <v/>
      </c>
      <c r="G90" s="14" t="inlineStr">
        <is>
          <t>MP · combustible</t>
        </is>
      </c>
    </row>
    <row r="91">
      <c r="A91" s="14" t="inlineStr">
        <is>
          <t>Marzo</t>
        </is>
      </c>
      <c r="B91" s="17" t="n">
        <v>46112</v>
      </c>
      <c r="C91" s="14" t="inlineStr">
        <is>
          <t>Combustible — Shell</t>
        </is>
      </c>
      <c r="D91" s="27" t="n">
        <v>653</v>
      </c>
      <c r="E91" s="28" t="n"/>
      <c r="F91" s="15">
        <f>IF(OR(D91&lt;&gt;"",E91&lt;&gt;""),IF(D91="",0,D91)+IF(E91="",0,E91),"")</f>
        <v/>
      </c>
      <c r="G91" s="14" t="inlineStr">
        <is>
          <t>MP · combustible</t>
        </is>
      </c>
    </row>
    <row r="92">
      <c r="A92" s="14" t="inlineStr">
        <is>
          <t>Julio</t>
        </is>
      </c>
      <c r="B92" s="17" t="n">
        <v>46215</v>
      </c>
      <c r="C92" s="14" t="inlineStr">
        <is>
          <t>COMIDA · Barritas proteicas</t>
        </is>
      </c>
      <c r="D92" s="27" t="n">
        <v>66527</v>
      </c>
      <c r="E92" s="28" t="n"/>
      <c r="F92" s="15">
        <f>IF(OR(D92&lt;&gt;"",E92&lt;&gt;""),IF(D92="",0,D92)+IF(E92="",0,E92),"")</f>
        <v/>
      </c>
      <c r="G92" s="14" t="inlineStr">
        <is>
          <t>COMIDA · Barritas proteicas · Enerfit · TC Mercado Pago · SALUD · MERPAGO*ENERFIT · TC Mercado Pago · cuota 8 de 12 · compra 2025-11-26 · ex `SALUD · Enerfit · C.08/12`</t>
        </is>
      </c>
    </row>
    <row r="93">
      <c r="A93" s="14" t="inlineStr">
        <is>
          <t>Marzo</t>
        </is>
      </c>
      <c r="B93" s="17" t="n">
        <v>46111</v>
      </c>
      <c r="C93" s="14" t="inlineStr">
        <is>
          <t>Combustible — Generacion 20</t>
        </is>
      </c>
      <c r="D93" s="27" t="n">
        <v>88999</v>
      </c>
      <c r="E93" s="28" t="n"/>
      <c r="F93" s="15">
        <f>IF(OR(D93&lt;&gt;"",E93&lt;&gt;""),IF(D93="",0,D93)+IF(E93="",0,E93),"")</f>
        <v/>
      </c>
      <c r="G93" s="14" t="inlineStr">
        <is>
          <t>MP · combustible</t>
        </is>
      </c>
    </row>
    <row r="94">
      <c r="A94" s="14" t="inlineStr">
        <is>
          <t>Marzo</t>
        </is>
      </c>
      <c r="B94" s="17" t="n">
        <v>46104</v>
      </c>
      <c r="C94" s="14" t="inlineStr">
        <is>
          <t>SUPERMERCADO · Día</t>
        </is>
      </c>
      <c r="D94" s="27" t="n">
        <v>47664</v>
      </c>
      <c r="E94" s="28" t="n"/>
      <c r="F94" s="15">
        <f>IF(OR(D94&lt;&gt;"",E94&lt;&gt;""),IF(D94="",0,D94)+IF(E94="",0,E94),"")</f>
        <v/>
      </c>
      <c r="G94" s="14" t="inlineStr">
        <is>
          <t>SUPERMERCADO · Día</t>
        </is>
      </c>
    </row>
    <row r="95">
      <c r="A95" s="14" t="inlineStr">
        <is>
          <t>Marzo</t>
        </is>
      </c>
      <c r="B95" s="17" t="n">
        <v>46103</v>
      </c>
      <c r="C95" s="14" t="inlineStr">
        <is>
          <t>COMIDA · Open 25</t>
        </is>
      </c>
      <c r="D95" s="27" t="n">
        <v>50000</v>
      </c>
      <c r="E95" s="28" t="n"/>
      <c r="F95" s="15">
        <f>IF(OR(D95&lt;&gt;"",E95&lt;&gt;""),IF(D95="",0,D95)+IF(E95="",0,E95),"")</f>
        <v/>
      </c>
      <c r="G95" s="14" t="inlineStr">
        <is>
          <t>MP · Open 25 · QR (SALE_DETAIL vacío en settlement — verificar comercio)</t>
        </is>
      </c>
    </row>
    <row r="96">
      <c r="A96" s="14" t="inlineStr">
        <is>
          <t>Marzo</t>
        </is>
      </c>
      <c r="B96" s="17" t="n">
        <v>46101</v>
      </c>
      <c r="C96" s="14" t="inlineStr">
        <is>
          <t>COMIDA · Burger King</t>
        </is>
      </c>
      <c r="D96" s="27" t="n">
        <v>22100</v>
      </c>
      <c r="E96" s="28" t="n"/>
      <c r="F96" s="15">
        <f>IF(OR(D96&lt;&gt;"",E96&lt;&gt;""),IF(D96="",0,D96)+IF(E96="",0,E96),"")</f>
        <v/>
      </c>
      <c r="G96" s="14" t="inlineStr">
        <is>
          <t>MP · comida · ex `Burger King`</t>
        </is>
      </c>
    </row>
    <row r="97">
      <c r="A97" s="14" t="inlineStr">
        <is>
          <t>Marzo</t>
        </is>
      </c>
      <c r="B97" s="17" t="n">
        <v>46095</v>
      </c>
      <c r="C97" s="14" t="inlineStr">
        <is>
          <t>COMIDA · Galletotas</t>
        </is>
      </c>
      <c r="D97" s="27" t="n">
        <v>19500</v>
      </c>
      <c r="E97" s="28" t="n"/>
      <c r="F97" s="15">
        <f>IF(OR(D97&lt;&gt;"",E97&lt;&gt;""),IF(D97="",0,D97)+IF(E97="",0,E97),"")</f>
        <v/>
      </c>
      <c r="G97" s="14" t="inlineStr">
        <is>
          <t>MP · galletitas · ex `Galletotas`</t>
        </is>
      </c>
    </row>
    <row r="98">
      <c r="A98" s="14" t="inlineStr">
        <is>
          <t>Marzo</t>
        </is>
      </c>
      <c r="B98" s="17" t="n">
        <v>46093</v>
      </c>
      <c r="C98" s="14" t="inlineStr">
        <is>
          <t>COMIDA · pollo</t>
        </is>
      </c>
      <c r="D98" s="27" t="n">
        <v>33619</v>
      </c>
      <c r="E98" s="28" t="n"/>
      <c r="F98" s="15">
        <f>IF(OR(D98&lt;&gt;"",E98&lt;&gt;""),IF(D98="",0,D98)+IF(E98="",0,E98),"")</f>
        <v/>
      </c>
      <c r="G98" s="14" t="inlineStr">
        <is>
          <t>COMIDA · pollo · MP · pollo</t>
        </is>
      </c>
    </row>
    <row r="99">
      <c r="A99" s="14" t="inlineStr">
        <is>
          <t>Marzo</t>
        </is>
      </c>
      <c r="B99" s="17" t="n">
        <v>46092</v>
      </c>
      <c r="C99" s="14" t="inlineStr">
        <is>
          <t>COMIDA · Bee Coffee</t>
        </is>
      </c>
      <c r="D99" s="27" t="n">
        <v>6100</v>
      </c>
      <c r="E99" s="28" t="n"/>
      <c r="F99" s="15">
        <f>IF(OR(D99&lt;&gt;"",E99&lt;&gt;""),IF(D99="",0,D99)+IF(E99="",0,E99),"")</f>
        <v/>
      </c>
      <c r="G99" s="14" t="inlineStr">
        <is>
          <t>MP · café · ex `Bee Coffee`</t>
        </is>
      </c>
    </row>
    <row r="100">
      <c r="A100" s="14" t="inlineStr">
        <is>
          <t>Marzo</t>
        </is>
      </c>
      <c r="B100" s="17" t="n">
        <v>46090</v>
      </c>
      <c r="C100" s="14" t="inlineStr">
        <is>
          <t>COMIDA · Todo Tartas</t>
        </is>
      </c>
      <c r="D100" s="27" t="n">
        <v>11000</v>
      </c>
      <c r="E100" s="28" t="n"/>
      <c r="F100" s="15">
        <f>IF(OR(D100&lt;&gt;"",E100&lt;&gt;""),IF(D100="",0,D100)+IF(E100="",0,E100),"")</f>
        <v/>
      </c>
      <c r="G100" s="14" t="inlineStr">
        <is>
          <t>MP · tartas · ex `Todo Tartas`</t>
        </is>
      </c>
    </row>
    <row r="101">
      <c r="A101" s="14" t="inlineStr">
        <is>
          <t>Marzo</t>
        </is>
      </c>
      <c r="B101" s="17" t="n">
        <v>46090</v>
      </c>
      <c r="C101" s="14" t="inlineStr">
        <is>
          <t>COMIDA · El Patio De Los Duendes</t>
        </is>
      </c>
      <c r="D101" s="27" t="n">
        <v>1930</v>
      </c>
      <c r="E101" s="28" t="n"/>
      <c r="F101" s="15">
        <f>IF(OR(D101&lt;&gt;"",E101&lt;&gt;""),IF(D101="",0,D101)+IF(E101="",0,E101),"")</f>
        <v/>
      </c>
      <c r="G101" s="14" t="inlineStr">
        <is>
          <t>MP · propina · ex `Kiosko Duendes (propina)`</t>
        </is>
      </c>
    </row>
    <row r="102">
      <c r="A102" s="14" t="inlineStr">
        <is>
          <t>Marzo</t>
        </is>
      </c>
      <c r="B102" s="17" t="n">
        <v>46090</v>
      </c>
      <c r="C102" s="14" t="inlineStr">
        <is>
          <t>COMIDA · El Patio De Los Duendes</t>
        </is>
      </c>
      <c r="D102" s="27" t="n">
        <v>17049</v>
      </c>
      <c r="E102" s="28" t="n"/>
      <c r="F102" s="15">
        <f>IF(OR(D102&lt;&gt;"",E102&lt;&gt;""),IF(D102="",0,D102)+IF(E102="",0,E102),"")</f>
        <v/>
      </c>
      <c r="G102" s="14" t="inlineStr">
        <is>
          <t>MP · comida · ex `El Patio De Los Duendes`</t>
        </is>
      </c>
    </row>
    <row r="103">
      <c r="A103" s="14" t="inlineStr">
        <is>
          <t>Marzo</t>
        </is>
      </c>
      <c r="B103" s="17" t="n">
        <v>46087</v>
      </c>
      <c r="C103" s="14" t="inlineStr">
        <is>
          <t>SUPERMERCADO · Coto</t>
        </is>
      </c>
      <c r="D103" s="27" t="n">
        <v>114263</v>
      </c>
      <c r="E103" s="28" t="n"/>
      <c r="F103" s="15">
        <f>IF(OR(D103&lt;&gt;"",E103&lt;&gt;""),IF(D103="",0,D103)+IF(E103="",0,E103),"")</f>
        <v/>
      </c>
      <c r="G103" s="14" t="inlineStr">
        <is>
          <t>SUPERMERCADO · Coto</t>
        </is>
      </c>
    </row>
    <row r="104">
      <c r="A104" s="14" t="inlineStr">
        <is>
          <t>Marzo</t>
        </is>
      </c>
      <c r="B104" s="17" t="n">
        <v>46086</v>
      </c>
      <c r="C104" s="14" t="inlineStr">
        <is>
          <t>COMIDA · Huevos Point</t>
        </is>
      </c>
      <c r="D104" s="27" t="n">
        <v>14500</v>
      </c>
      <c r="E104" s="28" t="n"/>
      <c r="F104" s="15">
        <f>IF(OR(D104&lt;&gt;"",E104&lt;&gt;""),IF(D104="",0,D104)+IF(E104="",0,E104),"")</f>
        <v/>
      </c>
      <c r="G104" s="14" t="inlineStr">
        <is>
          <t>MP · huevos · ex `Huevos Point`</t>
        </is>
      </c>
    </row>
    <row r="105">
      <c r="A105" s="14" t="inlineStr">
        <is>
          <t>Marzo</t>
        </is>
      </c>
      <c r="B105" s="17" t="n">
        <v>46084</v>
      </c>
      <c r="C105" s="14" t="inlineStr">
        <is>
          <t>COMIDA · Le Pain Quotidien</t>
        </is>
      </c>
      <c r="D105" s="27" t="n">
        <v>1344</v>
      </c>
      <c r="E105" s="28" t="n"/>
      <c r="F105" s="15">
        <f>IF(OR(D105&lt;&gt;"",E105&lt;&gt;""),IF(D105="",0,D105)+IF(E105="",0,E105),"")</f>
        <v/>
      </c>
      <c r="G105" s="14" t="inlineStr">
        <is>
          <t>MP · panadería · ex `Le Pain Quotidien`</t>
        </is>
      </c>
    </row>
    <row r="106">
      <c r="A106" s="14" t="inlineStr">
        <is>
          <t>Marzo</t>
        </is>
      </c>
      <c r="B106" s="17" t="n">
        <v>46090</v>
      </c>
      <c r="C106" s="14" t="inlineStr">
        <is>
          <t>RAMON · Comida</t>
        </is>
      </c>
      <c r="D106" s="27" t="n">
        <v>56250</v>
      </c>
      <c r="E106" s="28" t="n"/>
      <c r="F106" s="15">
        <f>IF(OR(D106&lt;&gt;"",E106&lt;&gt;""),IF(D106="",0,D106)+IF(E106="",0,E106),"")</f>
        <v/>
      </c>
      <c r="G106" s="14" t="inlineStr">
        <is>
          <t>RAMON · Comida · Kalbby · ALMACEN SOL</t>
        </is>
      </c>
    </row>
    <row r="107">
      <c r="A107" s="14" t="inlineStr">
        <is>
          <t>Marzo</t>
        </is>
      </c>
      <c r="B107" s="53" t="n">
        <v>46082</v>
      </c>
      <c r="C107" s="14" t="inlineStr">
        <is>
          <t>PEDIDOS YA · SUPERMERCADO · propina</t>
        </is>
      </c>
      <c r="D107" s="27" t="n">
        <v>1000</v>
      </c>
      <c r="E107" s="28" t="n"/>
      <c r="F107" s="15">
        <f>IF(OR(D107&lt;&gt;"",E107&lt;&gt;""),IF(D107="",0,D107)+IF(E107="",0,E107),"")</f>
        <v/>
      </c>
      <c r="G107" s="14" t="inlineStr">
        <is>
          <t>PEDIDOS YA · SUPERMERCADO · propina · BBVA TC Visa</t>
        </is>
      </c>
    </row>
    <row r="108">
      <c r="A108" s="14" t="inlineStr">
        <is>
          <t>Marzo</t>
        </is>
      </c>
      <c r="B108" s="53" t="n">
        <v>46082</v>
      </c>
      <c r="C108" s="14" t="inlineStr">
        <is>
          <t>PEDIDOS YA · SUPERMERCADO</t>
        </is>
      </c>
      <c r="D108" s="27" t="n">
        <v>39660</v>
      </c>
      <c r="E108" s="28" t="n"/>
      <c r="F108" s="15">
        <f>IF(OR(D108&lt;&gt;"",E108&lt;&gt;""),IF(D108="",0,D108)+IF(E108="",0,E108),"")</f>
        <v/>
      </c>
      <c r="G108" s="14" t="inlineStr">
        <is>
          <t>PEDIDOS YA · SUPERMERCADO · BBVA TC Visa</t>
        </is>
      </c>
    </row>
    <row r="109">
      <c r="A109" s="14" t="inlineStr">
        <is>
          <t>Marzo</t>
        </is>
      </c>
      <c r="B109" s="53" t="n">
        <v>46089</v>
      </c>
      <c r="C109" s="14" t="inlineStr">
        <is>
          <t>PEDIDOS YA · SUPERMERCADO · propina</t>
        </is>
      </c>
      <c r="D109" s="27" t="n">
        <v>1000</v>
      </c>
      <c r="E109" s="28" t="n"/>
      <c r="F109" s="15">
        <f>IF(OR(D109&lt;&gt;"",E109&lt;&gt;""),IF(D109="",0,D109)+IF(E109="",0,E109),"")</f>
        <v/>
      </c>
      <c r="G109" s="14" t="inlineStr">
        <is>
          <t>PEDIDOS YA · SUPERMERCADO · propina · BBVA TC Visa</t>
        </is>
      </c>
    </row>
    <row r="110">
      <c r="A110" s="14" t="inlineStr">
        <is>
          <t>Marzo</t>
        </is>
      </c>
      <c r="B110" s="53" t="n">
        <v>46089</v>
      </c>
      <c r="C110" s="14" t="inlineStr">
        <is>
          <t>PEDIDOS YA · SUPERMERCADO</t>
        </is>
      </c>
      <c r="D110" s="27" t="n">
        <v>31610</v>
      </c>
      <c r="E110" s="28" t="n"/>
      <c r="F110" s="15">
        <f>IF(OR(D110&lt;&gt;"",E110&lt;&gt;""),IF(D110="",0,D110)+IF(E110="",0,E110),"")</f>
        <v/>
      </c>
      <c r="G110" s="14" t="inlineStr">
        <is>
          <t>PEDIDOS YA · SUPERMERCADO · BBVA TC Visa</t>
        </is>
      </c>
    </row>
    <row r="111">
      <c r="A111" s="14" t="inlineStr">
        <is>
          <t>Marzo</t>
        </is>
      </c>
      <c r="B111" s="53" t="n">
        <v>46095</v>
      </c>
      <c r="C111" s="14" t="inlineStr">
        <is>
          <t>PEDIDOS YA · SUPERMERCADO</t>
        </is>
      </c>
      <c r="D111" s="27" t="n">
        <v>81845</v>
      </c>
      <c r="E111" s="28" t="n"/>
      <c r="F111" s="15">
        <f>IF(OR(D111&lt;&gt;"",E111&lt;&gt;""),IF(D111="",0,D111)+IF(E111="",0,E111),"")</f>
        <v/>
      </c>
      <c r="G111" s="14" t="inlineStr">
        <is>
          <t>PEDIDOS YA · SUPERMERCADO · BBVA TC Visa</t>
        </is>
      </c>
    </row>
    <row r="112">
      <c r="A112" s="14" t="inlineStr">
        <is>
          <t>Marzo</t>
        </is>
      </c>
      <c r="B112" s="53" t="n">
        <v>46095</v>
      </c>
      <c r="C112" s="14" t="inlineStr">
        <is>
          <t>PEDIDOS YA · SUPERMERCADO · propina</t>
        </is>
      </c>
      <c r="D112" s="27" t="n">
        <v>1000</v>
      </c>
      <c r="E112" s="28" t="n"/>
      <c r="F112" s="15">
        <f>IF(OR(D112&lt;&gt;"",E112&lt;&gt;""),IF(D112="",0,D112)+IF(E112="",0,E112),"")</f>
        <v/>
      </c>
      <c r="G112" s="14" t="inlineStr">
        <is>
          <t>PEDIDOS YA · SUPERMERCADO · propina · BBVA TC Visa</t>
        </is>
      </c>
    </row>
    <row r="113">
      <c r="A113" s="14" t="inlineStr">
        <is>
          <t>Marzo</t>
        </is>
      </c>
      <c r="B113" s="53" t="n">
        <v>46099</v>
      </c>
      <c r="C113" s="14" t="inlineStr">
        <is>
          <t>PEDIDOS YA · SUPERMERCADO</t>
        </is>
      </c>
      <c r="D113" s="27" t="n">
        <v>11209</v>
      </c>
      <c r="E113" s="28" t="n"/>
      <c r="F113" s="15">
        <f>IF(OR(D113&lt;&gt;"",E113&lt;&gt;""),IF(D113="",0,D113)+IF(E113="",0,E113),"")</f>
        <v/>
      </c>
      <c r="G113" s="14" t="inlineStr">
        <is>
          <t>PEDIDOS YA · SUPERMERCADO · BBVA TC Visa</t>
        </is>
      </c>
    </row>
    <row r="114">
      <c r="A114" s="14" t="inlineStr">
        <is>
          <t>Marzo</t>
        </is>
      </c>
      <c r="B114" s="53" t="n">
        <v>46099</v>
      </c>
      <c r="C114" s="14" t="inlineStr">
        <is>
          <t>PEDIDOS YA · SUPERMERCADO · propina</t>
        </is>
      </c>
      <c r="D114" s="27" t="n">
        <v>900</v>
      </c>
      <c r="E114" s="28" t="n"/>
      <c r="F114" s="15">
        <f>IF(OR(D114&lt;&gt;"",E114&lt;&gt;""),IF(D114="",0,D114)+IF(E114="",0,E114),"")</f>
        <v/>
      </c>
      <c r="G114" s="14" t="inlineStr">
        <is>
          <t>PEDIDOS YA · SUPERMERCADO · propina · BBVA TC Visa</t>
        </is>
      </c>
    </row>
    <row r="115">
      <c r="A115" s="14" t="inlineStr">
        <is>
          <t>Marzo</t>
        </is>
      </c>
      <c r="B115" s="53" t="n">
        <v>46082</v>
      </c>
      <c r="C115" s="14" t="inlineStr">
        <is>
          <t>FARMACIA · Farmacity</t>
        </is>
      </c>
      <c r="D115" s="27" t="n">
        <v>154013</v>
      </c>
      <c r="E115" s="28" t="n"/>
      <c r="F115" s="15">
        <f>IF(OR(D115&lt;&gt;"",E115&lt;&gt;""),IF(D115="",0,D115)+IF(E115="",0,E115),"")</f>
        <v/>
      </c>
      <c r="G115" s="14" t="inlineStr">
        <is>
          <t>FARMACIA · Farmacity · BBVA Mastercard · ex CASA/FARMACIA matriz</t>
        </is>
      </c>
    </row>
    <row r="116">
      <c r="A116" s="14" t="inlineStr">
        <is>
          <t>Marzo</t>
        </is>
      </c>
      <c r="B116" s="17" t="n"/>
      <c r="C116" s="14" t="n"/>
      <c r="D116" s="27" t="n"/>
      <c r="E116" s="28" t="n"/>
      <c r="F116" s="15">
        <f>IF(OR(D116&lt;&gt;"",E116&lt;&gt;""),IF(D116="",0,D116)+IF(E116="",0,E116),"")</f>
        <v/>
      </c>
      <c r="G116" s="14" t="n"/>
    </row>
    <row r="117">
      <c r="A117" s="14" t="inlineStr">
        <is>
          <t>Marzo</t>
        </is>
      </c>
      <c r="B117" s="17" t="n"/>
      <c r="C117" s="14" t="n"/>
      <c r="D117" s="27" t="n"/>
      <c r="E117" s="28" t="n"/>
      <c r="F117" s="15">
        <f>IF(OR(D117&lt;&gt;"",E117&lt;&gt;""),IF(D117="",0,D117)+IF(E117="",0,E117),"")</f>
        <v/>
      </c>
      <c r="G117" s="14" t="n"/>
    </row>
    <row r="118">
      <c r="A118" s="14" t="inlineStr">
        <is>
          <t>Marzo</t>
        </is>
      </c>
      <c r="B118" s="17" t="n"/>
      <c r="C118" s="14" t="n"/>
      <c r="D118" s="27" t="n"/>
      <c r="E118" s="28" t="n"/>
      <c r="F118" s="15">
        <f>IF(OR(D118&lt;&gt;"",E118&lt;&gt;""),IF(D118="",0,D118)+IF(E118="",0,E118),"")</f>
        <v/>
      </c>
      <c r="G118" s="14" t="n"/>
    </row>
    <row r="119">
      <c r="A119" s="14" t="inlineStr">
        <is>
          <t>Marzo</t>
        </is>
      </c>
      <c r="B119" s="17" t="n"/>
      <c r="C119" s="14" t="n"/>
      <c r="D119" s="27" t="n"/>
      <c r="E119" s="28" t="n"/>
      <c r="F119" s="15">
        <f>IF(OR(D119&lt;&gt;"",E119&lt;&gt;""),IF(D119="",0,D119)+IF(E119="",0,E119),"")</f>
        <v/>
      </c>
      <c r="G119" s="14" t="n"/>
    </row>
    <row r="120">
      <c r="A120" s="14" t="inlineStr">
        <is>
          <t>Marzo</t>
        </is>
      </c>
      <c r="B120" s="17" t="n"/>
      <c r="C120" s="14" t="n"/>
      <c r="D120" s="27" t="n"/>
      <c r="E120" s="28" t="n"/>
      <c r="F120" s="15">
        <f>IF(OR(D120&lt;&gt;"",E120&lt;&gt;""),IF(D120="",0,D120)+IF(E120="",0,E120),"")</f>
        <v/>
      </c>
      <c r="G120" s="14" t="n"/>
    </row>
    <row r="121">
      <c r="A121" s="14" t="inlineStr">
        <is>
          <t>Marzo</t>
        </is>
      </c>
      <c r="B121" s="17" t="n"/>
      <c r="C121" s="14" t="n"/>
      <c r="D121" s="27" t="n"/>
      <c r="E121" s="28" t="n"/>
      <c r="F121" s="15">
        <f>IF(OR(D121&lt;&gt;"",E121&lt;&gt;""),IF(D121="",0,D121)+IF(E121="",0,E121),"")</f>
        <v/>
      </c>
      <c r="G121" s="14" t="n"/>
    </row>
    <row r="122">
      <c r="A122" s="14" t="inlineStr">
        <is>
          <t>Marzo</t>
        </is>
      </c>
      <c r="B122" s="17" t="n"/>
      <c r="C122" s="14" t="n"/>
      <c r="D122" s="27" t="n"/>
      <c r="E122" s="28" t="n"/>
      <c r="F122" s="15">
        <f>IF(OR(D122&lt;&gt;"",E122&lt;&gt;""),IF(D122="",0,D122)+IF(E122="",0,E122),"")</f>
        <v/>
      </c>
      <c r="G122" s="14" t="n"/>
    </row>
    <row r="123">
      <c r="A123" s="14" t="inlineStr">
        <is>
          <t>Marzo</t>
        </is>
      </c>
      <c r="B123" s="17" t="n"/>
      <c r="C123" s="14" t="n"/>
      <c r="D123" s="27" t="n"/>
      <c r="E123" s="28" t="n"/>
      <c r="F123" s="15">
        <f>IF(OR(D123&lt;&gt;"",E123&lt;&gt;""),IF(D123="",0,D123)+IF(E123="",0,E123),"")</f>
        <v/>
      </c>
      <c r="G123" s="14" t="n"/>
    </row>
    <row r="124">
      <c r="A124" s="14" t="inlineStr">
        <is>
          <t>Marzo</t>
        </is>
      </c>
      <c r="B124" s="17" t="n"/>
      <c r="C124" s="14" t="n"/>
      <c r="D124" s="27" t="n"/>
      <c r="E124" s="28" t="n"/>
      <c r="F124" s="15">
        <f>IF(OR(D124&lt;&gt;"",E124&lt;&gt;""),IF(D124="",0,D124)+IF(E124="",0,E124),"")</f>
        <v/>
      </c>
      <c r="G124" s="14" t="n"/>
    </row>
    <row r="125">
      <c r="A125" s="14" t="inlineStr">
        <is>
          <t>Marzo</t>
        </is>
      </c>
      <c r="B125" s="17" t="n"/>
      <c r="C125" s="14" t="n"/>
      <c r="D125" s="27" t="n"/>
      <c r="E125" s="28" t="n"/>
      <c r="F125" s="15">
        <f>IF(OR(D125&lt;&gt;"",E125&lt;&gt;""),IF(D125="",0,D125)+IF(E125="",0,E125),"")</f>
        <v/>
      </c>
      <c r="G125" s="14" t="n"/>
    </row>
    <row r="126">
      <c r="A126" s="14" t="inlineStr">
        <is>
          <t>Marzo</t>
        </is>
      </c>
      <c r="B126" s="17" t="n"/>
      <c r="C126" s="14" t="n"/>
      <c r="D126" s="27" t="n"/>
      <c r="E126" s="28" t="n"/>
      <c r="F126" s="15">
        <f>IF(OR(D126&lt;&gt;"",E126&lt;&gt;""),IF(D126="",0,D126)+IF(E126="",0,E126),"")</f>
        <v/>
      </c>
      <c r="G126" s="14" t="n"/>
    </row>
    <row r="127">
      <c r="A127" s="14" t="inlineStr">
        <is>
          <t>Marzo</t>
        </is>
      </c>
      <c r="B127" s="17" t="n"/>
      <c r="C127" s="14" t="n"/>
      <c r="D127" s="27" t="n"/>
      <c r="E127" s="28" t="n"/>
      <c r="F127" s="15">
        <f>IF(OR(D127&lt;&gt;"",E127&lt;&gt;""),IF(D127="",0,D127)+IF(E127="",0,E127),"")</f>
        <v/>
      </c>
      <c r="G127" s="14" t="n"/>
    </row>
    <row r="128">
      <c r="A128" s="14" t="inlineStr">
        <is>
          <t>Marzo</t>
        </is>
      </c>
      <c r="B128" s="17" t="n">
        <v>46112</v>
      </c>
      <c r="C128" s="14" t="inlineStr">
        <is>
          <t>Combustible — Shell</t>
        </is>
      </c>
      <c r="D128" s="27" t="n">
        <v>4789</v>
      </c>
      <c r="E128" s="28" t="n"/>
      <c r="F128" s="15">
        <f>IF(OR(D128&lt;&gt;"",E128&lt;&gt;""),IF(D128="",0,D128)+IF(E128="",0,E128),"")</f>
        <v/>
      </c>
      <c r="G128" s="14" t="inlineStr">
        <is>
          <t>Combustible — Shell · MP cuenta</t>
        </is>
      </c>
    </row>
    <row r="129">
      <c r="A129" s="14" t="inlineStr">
        <is>
          <t>Marzo</t>
        </is>
      </c>
      <c r="B129" s="17" t="n">
        <v>46086</v>
      </c>
      <c r="C129" s="14" t="inlineStr">
        <is>
          <t>RAMON · Otros</t>
        </is>
      </c>
      <c r="D129" s="27" t="n">
        <v>9000</v>
      </c>
      <c r="E129" s="28" t="n"/>
      <c r="F129" s="15">
        <f>IF(OR(D129&lt;&gt;"",E129&lt;&gt;""),IF(D129="",0,D129)+IF(E129="",0,E129),"")</f>
        <v/>
      </c>
      <c r="G129" s="14" t="inlineStr">
        <is>
          <t>RAMON · Otros · Paws Pet Market · Mercado Pago · ALMACEN SOL</t>
        </is>
      </c>
    </row>
    <row r="130">
      <c r="A130" s="14" t="inlineStr">
        <is>
          <t>Marzo</t>
        </is>
      </c>
      <c r="B130" s="17" t="n">
        <v>46106</v>
      </c>
      <c r="C130" s="14" t="inlineStr">
        <is>
          <t>RAMON · Otros</t>
        </is>
      </c>
      <c r="D130" s="27" t="n">
        <v>35700</v>
      </c>
      <c r="E130" s="28" t="n"/>
      <c r="F130" s="15">
        <f>IF(OR(D130&lt;&gt;"",E130&lt;&gt;""),IF(D130="",0,D130)+IF(E130="",0,E130),"")</f>
        <v/>
      </c>
      <c r="G130" s="14" t="inlineStr">
        <is>
          <t>RAMON · Otros · Paws Pet Market · Mercado Pago · ALMACEN SOL</t>
        </is>
      </c>
    </row>
    <row r="131">
      <c r="A131" s="10" t="inlineStr">
        <is>
          <t>TOTAL MARZO</t>
        </is>
      </c>
      <c r="B131" s="22" t="n"/>
      <c r="C131" s="29" t="inlineStr">
        <is>
          <t>Totales mes →</t>
        </is>
      </c>
      <c r="D131" s="7">
        <f>SUMIFS($D$4:$D$800,$A$4:$A$800,"Marzo")</f>
        <v/>
      </c>
      <c r="E131" s="7">
        <f>SUMIFS($E$4:$E$800,$A$4:$A$800,"Marzo")</f>
        <v/>
      </c>
      <c r="F131" s="7">
        <f>D131+E131</f>
        <v/>
      </c>
      <c r="G131" s="22" t="n"/>
    </row>
    <row r="132">
      <c r="A132" t="inlineStr">
        <is>
          <t>Junio</t>
        </is>
      </c>
      <c r="B132" s="52" t="n">
        <v>46200</v>
      </c>
      <c r="C132" t="inlineStr">
        <is>
          <t>ENTRETENIMIENTO · Social</t>
        </is>
      </c>
      <c r="D132" t="n">
        <v>206700</v>
      </c>
      <c r="F132">
        <f>IF(OR(D132&lt;&gt;"",E132&lt;&gt;""),IF(D132="",0,D132)+IF(E132="",0,E132),"")</f>
        <v/>
      </c>
      <c r="G132" t="inlineStr">
        <is>
          <t>ENTRETENIMIENTO · Social · Belisario Roldán · Mercado Pago</t>
        </is>
      </c>
    </row>
    <row r="133">
      <c r="A133" s="14" t="inlineStr">
        <is>
          <t>Abril</t>
        </is>
      </c>
      <c r="B133" s="17" t="n">
        <v>46142</v>
      </c>
      <c r="C133" s="14" t="inlineStr">
        <is>
          <t>COMIDA · Todo Tartas</t>
        </is>
      </c>
      <c r="D133" s="27" t="n">
        <v>30500</v>
      </c>
      <c r="E133" s="28" t="n"/>
      <c r="F133" s="15">
        <f>IF(OR(D133&lt;&gt;"",E133&lt;&gt;""),IF(D133="",0,D133)+IF(E133="",0,E133),"")</f>
        <v/>
      </c>
      <c r="G133" s="14" t="inlineStr">
        <is>
          <t>MP · panadería · ex `Todo Tartas`</t>
        </is>
      </c>
    </row>
    <row r="134">
      <c r="A134" s="14" t="inlineStr">
        <is>
          <t>Abril</t>
        </is>
      </c>
      <c r="B134" s="17" t="n">
        <v>46137</v>
      </c>
      <c r="C134" s="14" t="inlineStr">
        <is>
          <t>COMIDA · Todo Tartas</t>
        </is>
      </c>
      <c r="D134" s="27" t="n">
        <v>11400</v>
      </c>
      <c r="E134" s="28" t="n"/>
      <c r="F134" s="15">
        <f>IF(OR(D134&lt;&gt;"",E134&lt;&gt;""),IF(D134="",0,D134)+IF(E134="",0,E134),"")</f>
        <v/>
      </c>
      <c r="G134" s="14" t="inlineStr">
        <is>
          <t>MP · panadería · ex `Todo Tartas`</t>
        </is>
      </c>
    </row>
    <row r="135">
      <c r="A135" s="14" t="inlineStr">
        <is>
          <t>Abril</t>
        </is>
      </c>
      <c r="B135" s="17" t="n">
        <v>46136</v>
      </c>
      <c r="C135" s="14" t="inlineStr">
        <is>
          <t>COMIDA · pollo</t>
        </is>
      </c>
      <c r="D135" s="27" t="n">
        <v>16140</v>
      </c>
      <c r="E135" s="28" t="n"/>
      <c r="F135" s="15">
        <f>IF(OR(D135&lt;&gt;"",E135&lt;&gt;""),IF(D135="",0,D135)+IF(E135="",0,E135),"")</f>
        <v/>
      </c>
      <c r="G135" s="14" t="inlineStr">
        <is>
          <t>COMIDA · pollo · MP · pollo</t>
        </is>
      </c>
    </row>
    <row r="136">
      <c r="A136" s="14" t="inlineStr">
        <is>
          <t>Abril</t>
        </is>
      </c>
      <c r="B136" s="17" t="n">
        <v>46134</v>
      </c>
      <c r="C136" s="14" t="inlineStr">
        <is>
          <t>COMIDA · Green Eat</t>
        </is>
      </c>
      <c r="D136" s="27" t="n">
        <v>25000</v>
      </c>
      <c r="E136" s="28" t="n"/>
      <c r="F136" s="15">
        <f>IF(OR(D136&lt;&gt;"",E136&lt;&gt;""),IF(D136="",0,D136)+IF(E136="",0,E136),"")</f>
        <v/>
      </c>
      <c r="G136" s="14" t="inlineStr">
        <is>
          <t>MP · comida · ex `Green Eat`</t>
        </is>
      </c>
    </row>
    <row r="137">
      <c r="A137" s="14" t="inlineStr">
        <is>
          <t>Abril</t>
        </is>
      </c>
      <c r="B137" s="17" t="n">
        <v>46133</v>
      </c>
      <c r="C137" s="14" t="inlineStr">
        <is>
          <t>COMIDA · Huevos Point</t>
        </is>
      </c>
      <c r="D137" s="27" t="n">
        <v>14500</v>
      </c>
      <c r="E137" s="28" t="n"/>
      <c r="F137" s="15">
        <f>IF(OR(D137&lt;&gt;"",E137&lt;&gt;""),IF(D137="",0,D137)+IF(E137="",0,E137),"")</f>
        <v/>
      </c>
      <c r="G137" s="14" t="inlineStr">
        <is>
          <t>MP · huevos · ex `Huevos Point`</t>
        </is>
      </c>
    </row>
    <row r="138">
      <c r="A138" s="14" t="inlineStr">
        <is>
          <t>Abril</t>
        </is>
      </c>
      <c r="B138" s="17" t="n">
        <v>46124</v>
      </c>
      <c r="C138" s="14" t="inlineStr">
        <is>
          <t>COMIDA · Nicky Cheese</t>
        </is>
      </c>
      <c r="D138" s="27" t="n">
        <v>1920</v>
      </c>
      <c r="E138" s="28" t="n"/>
      <c r="F138" s="15">
        <f>IF(OR(D138&lt;&gt;"",E138&lt;&gt;""),IF(D138="",0,D138)+IF(E138="",0,E138),"")</f>
        <v/>
      </c>
      <c r="G138" s="14" t="inlineStr">
        <is>
          <t>MP · quesos propina · ex `Nicky Cheese propina`</t>
        </is>
      </c>
    </row>
    <row r="139">
      <c r="A139" s="14" t="inlineStr">
        <is>
          <t>Abril</t>
        </is>
      </c>
      <c r="B139" s="17" t="n">
        <v>46124</v>
      </c>
      <c r="C139" s="14" t="inlineStr">
        <is>
          <t>COMIDA · Nicky Cheese</t>
        </is>
      </c>
      <c r="D139" s="27" t="n">
        <v>19200</v>
      </c>
      <c r="E139" s="28" t="n"/>
      <c r="F139" s="15">
        <f>IF(OR(D139&lt;&gt;"",E139&lt;&gt;""),IF(D139="",0,D139)+IF(E139="",0,E139),"")</f>
        <v/>
      </c>
      <c r="G139" s="14" t="inlineStr">
        <is>
          <t>MP · quesos · ex `Nicky Cheese`</t>
        </is>
      </c>
    </row>
    <row r="140">
      <c r="A140" s="14" t="inlineStr">
        <is>
          <t>Abril</t>
        </is>
      </c>
      <c r="B140" s="17" t="n">
        <v>46123</v>
      </c>
      <c r="C140" s="14" t="inlineStr">
        <is>
          <t>COMIDA · Vitalcer</t>
        </is>
      </c>
      <c r="D140" s="27" t="n">
        <v>34830</v>
      </c>
      <c r="E140" s="28" t="n"/>
      <c r="F140" s="15">
        <f>IF(OR(D140&lt;&gt;"",E140&lt;&gt;""),IF(D140="",0,D140)+IF(E140="",0,E140),"")</f>
        <v/>
      </c>
      <c r="G140" s="14" t="inlineStr">
        <is>
          <t>MP · dietética · ex `Vitalcer`</t>
        </is>
      </c>
    </row>
    <row r="141">
      <c r="A141" s="14" t="inlineStr">
        <is>
          <t>Abril</t>
        </is>
      </c>
      <c r="B141" s="17" t="n">
        <v>46122</v>
      </c>
      <c r="C141" s="14" t="inlineStr">
        <is>
          <t>PEDIDOS YA · COMIDA · propina</t>
        </is>
      </c>
      <c r="D141" s="27" t="n">
        <v>800</v>
      </c>
      <c r="E141" s="28" t="n"/>
      <c r="F141" s="15">
        <f>IF(OR(D141&lt;&gt;"",E141&lt;&gt;""),IF(D141="",0,D141)+IF(E141="",0,E141),"")</f>
        <v/>
      </c>
      <c r="G141" s="14" t="inlineStr">
        <is>
          <t>PEDIDOS YA · COMIDA · propina</t>
        </is>
      </c>
    </row>
    <row r="142">
      <c r="A142" s="14" t="inlineStr">
        <is>
          <t>Abril</t>
        </is>
      </c>
      <c r="B142" s="17" t="n">
        <v>46122</v>
      </c>
      <c r="C142" s="14" t="inlineStr">
        <is>
          <t>PEDIDOS YA · COMIDA</t>
        </is>
      </c>
      <c r="D142" s="27" t="n">
        <v>2599</v>
      </c>
      <c r="E142" s="28" t="n"/>
      <c r="F142" s="15">
        <f>IF(OR(D142&lt;&gt;"",E142&lt;&gt;""),IF(D142="",0,D142)+IF(E142="",0,E142),"")</f>
        <v/>
      </c>
      <c r="G142" s="14" t="inlineStr">
        <is>
          <t>PEDIDOS YA · COMIDA</t>
        </is>
      </c>
    </row>
    <row r="143">
      <c r="A143" s="14" t="inlineStr">
        <is>
          <t>Abril</t>
        </is>
      </c>
      <c r="B143" s="17" t="n">
        <v>46118</v>
      </c>
      <c r="C143" s="14" t="inlineStr">
        <is>
          <t>SUPERMERCADO · Día</t>
        </is>
      </c>
      <c r="D143" s="27" t="n">
        <v>71961</v>
      </c>
      <c r="E143" s="28" t="n"/>
      <c r="F143" s="15">
        <f>IF(OR(D143&lt;&gt;"",E143&lt;&gt;""),IF(D143="",0,D143)+IF(E143="",0,E143),"")</f>
        <v/>
      </c>
      <c r="G143" s="14" t="inlineStr">
        <is>
          <t>SUPERMERCADO · Día</t>
        </is>
      </c>
    </row>
    <row r="144">
      <c r="A144" s="14" t="inlineStr">
        <is>
          <t>Abril</t>
        </is>
      </c>
      <c r="B144" s="17" t="n">
        <v>46115</v>
      </c>
      <c r="C144" s="14" t="inlineStr">
        <is>
          <t>SUPERMERCADO · Día</t>
        </is>
      </c>
      <c r="D144" s="27" t="n">
        <v>27350</v>
      </c>
      <c r="E144" s="28" t="n"/>
      <c r="F144" s="15">
        <f>IF(OR(D144&lt;&gt;"",E144&lt;&gt;""),IF(D144="",0,D144)+IF(E144="",0,E144),"")</f>
        <v/>
      </c>
      <c r="G144" s="14" t="inlineStr">
        <is>
          <t>SUPERMERCADO · Día</t>
        </is>
      </c>
    </row>
    <row r="145">
      <c r="A145" s="14" t="inlineStr">
        <is>
          <t>Abril</t>
        </is>
      </c>
      <c r="B145" s="17" t="n">
        <v>46115</v>
      </c>
      <c r="C145" s="14" t="inlineStr">
        <is>
          <t>SUPERMERCADO · Coto</t>
        </is>
      </c>
      <c r="D145" s="27" t="n">
        <v>149320</v>
      </c>
      <c r="E145" s="28" t="n"/>
      <c r="F145" s="15">
        <f>IF(OR(D145&lt;&gt;"",E145&lt;&gt;""),IF(D145="",0,D145)+IF(E145="",0,E145),"")</f>
        <v/>
      </c>
      <c r="G145" s="14" t="inlineStr">
        <is>
          <t>SUPERMERCADO · Coto</t>
        </is>
      </c>
    </row>
    <row r="146">
      <c r="A146" s="14" t="inlineStr">
        <is>
          <t>Abril</t>
        </is>
      </c>
      <c r="B146" s="17" t="n">
        <v>46114</v>
      </c>
      <c r="C146" s="14" t="inlineStr">
        <is>
          <t>PEDIDOS YA · COMIDA · propina</t>
        </is>
      </c>
      <c r="D146" s="27" t="n">
        <v>2000</v>
      </c>
      <c r="E146" s="28" t="n"/>
      <c r="F146" s="15">
        <f>IF(OR(D146&lt;&gt;"",E146&lt;&gt;""),IF(D146="",0,D146)+IF(E146="",0,E146),"")</f>
        <v/>
      </c>
      <c r="G146" s="14" t="inlineStr">
        <is>
          <t>PEDIDOS YA · COMIDA · propina</t>
        </is>
      </c>
    </row>
    <row r="147">
      <c r="A147" s="14" t="inlineStr">
        <is>
          <t>Abril</t>
        </is>
      </c>
      <c r="B147" s="17" t="n">
        <v>46114</v>
      </c>
      <c r="C147" s="14" t="inlineStr">
        <is>
          <t>PEDIDOS YA · COMIDA</t>
        </is>
      </c>
      <c r="D147" s="27" t="n">
        <v>36519</v>
      </c>
      <c r="E147" s="28" t="n"/>
      <c r="F147" s="15">
        <f>IF(OR(D147&lt;&gt;"",E147&lt;&gt;""),IF(D147="",0,D147)+IF(E147="",0,E147),"")</f>
        <v/>
      </c>
      <c r="G147" s="14" t="inlineStr">
        <is>
          <t>PEDIDOS YA · COMIDA</t>
        </is>
      </c>
    </row>
    <row r="148">
      <c r="A148" s="14" t="inlineStr">
        <is>
          <t>Abril</t>
        </is>
      </c>
      <c r="B148" s="17" t="n">
        <v>46142</v>
      </c>
      <c r="C148" s="14" t="inlineStr">
        <is>
          <t>Combustible — Shell</t>
        </is>
      </c>
      <c r="D148" s="27" t="n">
        <v>27579</v>
      </c>
      <c r="E148" s="28" t="n"/>
      <c r="F148" s="15">
        <f>IF(OR(D148&lt;&gt;"",E148&lt;&gt;""),IF(D148="",0,D148)+IF(E148="",0,E148),"")</f>
        <v/>
      </c>
      <c r="G148" s="14" t="inlineStr">
        <is>
          <t>MP · combustible · nafta · combustible</t>
        </is>
      </c>
    </row>
    <row r="149">
      <c r="A149" s="14" t="inlineStr">
        <is>
          <t>Abril</t>
        </is>
      </c>
      <c r="B149" s="17" t="n">
        <v>46142</v>
      </c>
      <c r="C149" s="14" t="inlineStr">
        <is>
          <t>Combustible — Shell</t>
        </is>
      </c>
      <c r="D149" s="27" t="n">
        <v>1307</v>
      </c>
      <c r="E149" s="28" t="n"/>
      <c r="F149" s="15">
        <f>IF(OR(D149&lt;&gt;"",E149&lt;&gt;""),IF(D149="",0,D149)+IF(E149="",0,E149),"")</f>
        <v/>
      </c>
      <c r="G149" s="14" t="inlineStr">
        <is>
          <t>MP · combustible · nafta · combustible</t>
        </is>
      </c>
    </row>
    <row r="150">
      <c r="A150" s="14" t="inlineStr">
        <is>
          <t>Abril</t>
        </is>
      </c>
      <c r="B150" s="17" t="n">
        <v>46114</v>
      </c>
      <c r="C150" s="14" t="inlineStr">
        <is>
          <t>RAMON · Comida</t>
        </is>
      </c>
      <c r="D150" s="27" t="n">
        <v>82746</v>
      </c>
      <c r="E150" s="28" t="n"/>
      <c r="F150" s="15">
        <f>IF(OR(D150&lt;&gt;"",E150&lt;&gt;""),IF(D150="",0,D150)+IF(E150="",0,E150),"")</f>
        <v/>
      </c>
      <c r="G150" s="14" t="inlineStr">
        <is>
          <t>RAMON · Comida · Kalbby · ALMACEN SOL</t>
        </is>
      </c>
    </row>
    <row r="151">
      <c r="A151" s="14" t="inlineStr">
        <is>
          <t>Abril</t>
        </is>
      </c>
      <c r="B151" s="17" t="n">
        <v>46141</v>
      </c>
      <c r="C151" s="14" t="inlineStr">
        <is>
          <t>RAMON · Comida</t>
        </is>
      </c>
      <c r="D151" s="27" t="n">
        <v>86747</v>
      </c>
      <c r="E151" s="28" t="n"/>
      <c r="F151" s="15">
        <f>IF(OR(D151&lt;&gt;"",E151&lt;&gt;""),IF(D151="",0,D151)+IF(E151="",0,E151),"")</f>
        <v/>
      </c>
      <c r="G151" s="14" t="inlineStr">
        <is>
          <t>RAMON · Comida · Kalbby · ALMACEN SOL</t>
        </is>
      </c>
    </row>
    <row r="152">
      <c r="A152" s="14" t="inlineStr">
        <is>
          <t>Abril</t>
        </is>
      </c>
      <c r="B152" s="53" t="n">
        <v>46142</v>
      </c>
      <c r="C152" s="14" t="inlineStr">
        <is>
          <t>PEDIDOS YA · SUPERMERCADO</t>
        </is>
      </c>
      <c r="D152" s="27" t="n">
        <v>57454</v>
      </c>
      <c r="E152" s="28" t="n"/>
      <c r="F152" s="15">
        <f>IF(OR(D152&lt;&gt;"",E152&lt;&gt;""),IF(D152="",0,D152)+IF(E152="",0,E152),"")</f>
        <v/>
      </c>
      <c r="G152" s="14" t="inlineStr">
        <is>
          <t>PEDIDOS YA · SUPERMERCADO · BBVA TC Visa</t>
        </is>
      </c>
    </row>
    <row r="153">
      <c r="A153" s="14" t="inlineStr">
        <is>
          <t>Abril</t>
        </is>
      </c>
      <c r="B153" s="53" t="n">
        <v>46142</v>
      </c>
      <c r="C153" s="14" t="inlineStr">
        <is>
          <t>PEDIDOS YA · SUPERMERCADO · propina</t>
        </is>
      </c>
      <c r="D153" s="27" t="n">
        <v>2000</v>
      </c>
      <c r="E153" s="28" t="n"/>
      <c r="F153" s="15">
        <f>IF(OR(D153&lt;&gt;"",E153&lt;&gt;""),IF(D153="",0,D153)+IF(E153="",0,E153),"")</f>
        <v/>
      </c>
      <c r="G153" s="14" t="inlineStr">
        <is>
          <t>PEDIDOS YA · SUPERMERCADO · propina · BBVA TC Visa</t>
        </is>
      </c>
    </row>
    <row r="154">
      <c r="A154" s="14" t="inlineStr">
        <is>
          <t>Abril</t>
        </is>
      </c>
      <c r="B154" s="53" t="n">
        <v>46126</v>
      </c>
      <c r="C154" s="14" t="inlineStr">
        <is>
          <t>COMIDA · pollo</t>
        </is>
      </c>
      <c r="D154" s="27" t="n">
        <v>25186</v>
      </c>
      <c r="E154" s="28" t="n"/>
      <c r="F154" s="15">
        <f>IF(OR(D154&lt;&gt;"",E154&lt;&gt;""),IF(D154="",0,D154)+IF(E154="",0,E154),"")</f>
        <v/>
      </c>
      <c r="G154" s="14" t="inlineStr">
        <is>
          <t>COMIDA · pollo · BBVA MASTERCARD · neto (bonif 10794)</t>
        </is>
      </c>
    </row>
    <row r="155">
      <c r="A155" s="14" t="inlineStr">
        <is>
          <t>Abril</t>
        </is>
      </c>
      <c r="B155" s="53" t="n">
        <v>46114</v>
      </c>
      <c r="C155" s="14" t="inlineStr">
        <is>
          <t>PEDIDOS YA · COMIDA</t>
        </is>
      </c>
      <c r="D155" s="27" t="n">
        <v>500</v>
      </c>
      <c r="E155" s="28" t="n"/>
      <c r="F155" s="15">
        <f>IF(OR(D155&lt;&gt;"",E155&lt;&gt;""),IF(D155="",0,D155)+IF(E155="",0,E155),"")</f>
        <v/>
      </c>
      <c r="G155" s="14" t="inlineStr">
        <is>
          <t>PEDIDOS YA · COMIDA · Dlo*pedidosya · Mercado Pago</t>
        </is>
      </c>
    </row>
    <row r="156">
      <c r="A156" s="14" t="inlineStr">
        <is>
          <t>Abril</t>
        </is>
      </c>
      <c r="B156" s="17" t="n"/>
      <c r="C156" s="14" t="n"/>
      <c r="D156" s="27" t="n"/>
      <c r="E156" s="28" t="n"/>
      <c r="F156" s="15">
        <f>IF(OR(D155&lt;&gt;"",E155&lt;&gt;""),IF(D155="",0,D155)+IF(E155="",0,E155),"")</f>
        <v/>
      </c>
      <c r="G156" s="14" t="n"/>
    </row>
    <row r="157">
      <c r="A157" s="14" t="inlineStr">
        <is>
          <t>Abril</t>
        </is>
      </c>
      <c r="B157" s="17" t="n"/>
      <c r="C157" s="14" t="n"/>
      <c r="D157" s="27" t="n"/>
      <c r="E157" s="28" t="n"/>
      <c r="F157" s="15">
        <f>IF(OR(D156&lt;&gt;"",E156&lt;&gt;""),IF(D156="",0,D156)+IF(E156="",0,E156),"")</f>
        <v/>
      </c>
      <c r="G157" s="14" t="n"/>
    </row>
    <row r="158">
      <c r="A158" s="14" t="inlineStr">
        <is>
          <t>Abril</t>
        </is>
      </c>
      <c r="B158" s="17" t="n"/>
      <c r="C158" s="14" t="n"/>
      <c r="D158" s="27" t="n"/>
      <c r="E158" s="28" t="n"/>
      <c r="F158" s="15">
        <f>IF(OR(D157&lt;&gt;"",E157&lt;&gt;""),IF(D157="",0,D157)+IF(E157="",0,E157),"")</f>
        <v/>
      </c>
      <c r="G158" s="14" t="n"/>
    </row>
    <row r="159">
      <c r="A159" s="14" t="inlineStr">
        <is>
          <t>Abril</t>
        </is>
      </c>
      <c r="B159" s="17" t="n"/>
      <c r="C159" s="14" t="n"/>
      <c r="D159" s="27" t="n"/>
      <c r="E159" s="28" t="n"/>
      <c r="F159" s="15">
        <f>IF(OR(D158&lt;&gt;"",E158&lt;&gt;""),IF(D158="",0,D158)+IF(E158="",0,E158),"")</f>
        <v/>
      </c>
      <c r="G159" s="14" t="n"/>
    </row>
    <row r="160">
      <c r="A160" s="14" t="inlineStr">
        <is>
          <t>Abril</t>
        </is>
      </c>
      <c r="B160" s="17" t="n"/>
      <c r="C160" s="14" t="n"/>
      <c r="D160" s="27" t="n"/>
      <c r="E160" s="28" t="n"/>
      <c r="F160" s="15">
        <f>IF(OR(D159&lt;&gt;"",E159&lt;&gt;""),IF(D159="",0,D159)+IF(E159="",0,E159),"")</f>
        <v/>
      </c>
      <c r="G160" s="14" t="n"/>
    </row>
    <row r="161">
      <c r="A161" s="14" t="inlineStr">
        <is>
          <t>Abril</t>
        </is>
      </c>
      <c r="B161" s="17" t="n"/>
      <c r="C161" s="14" t="n"/>
      <c r="D161" s="27" t="n"/>
      <c r="E161" s="28" t="n"/>
      <c r="F161" s="15">
        <f>IF(OR(D160&lt;&gt;"",E160&lt;&gt;""),IF(D160="",0,D160)+IF(E160="",0,E160),"")</f>
        <v/>
      </c>
      <c r="G161" s="14" t="n"/>
    </row>
    <row r="162">
      <c r="A162" s="14" t="inlineStr">
        <is>
          <t>Abril</t>
        </is>
      </c>
      <c r="B162" s="17" t="n"/>
      <c r="C162" s="14" t="n"/>
      <c r="D162" s="27" t="n"/>
      <c r="E162" s="28" t="n"/>
      <c r="F162" s="15">
        <f>IF(OR(D161&lt;&gt;"",E161&lt;&gt;""),IF(D161="",0,D161)+IF(E161="",0,E161),"")</f>
        <v/>
      </c>
      <c r="G162" s="14" t="n"/>
    </row>
    <row r="163">
      <c r="A163" s="14" t="inlineStr">
        <is>
          <t>Abril</t>
        </is>
      </c>
      <c r="B163" s="17" t="n"/>
      <c r="C163" s="14" t="n"/>
      <c r="D163" s="27" t="n"/>
      <c r="E163" s="28" t="n"/>
      <c r="F163" s="15">
        <f>IF(OR(D162&lt;&gt;"",E162&lt;&gt;""),IF(D162="",0,D162)+IF(E162="",0,E162),"")</f>
        <v/>
      </c>
      <c r="G163" s="14" t="n"/>
    </row>
    <row r="164">
      <c r="A164" s="14" t="inlineStr">
        <is>
          <t>Abril</t>
        </is>
      </c>
      <c r="B164" s="17" t="n"/>
      <c r="C164" s="14" t="n"/>
      <c r="D164" s="27" t="n"/>
      <c r="E164" s="28" t="n"/>
      <c r="F164" s="15">
        <f>IF(OR(D163&lt;&gt;"",E163&lt;&gt;""),IF(D163="",0,D163)+IF(E163="",0,E163),"")</f>
        <v/>
      </c>
      <c r="G164" s="14" t="n"/>
    </row>
    <row r="165">
      <c r="A165" s="14" t="inlineStr">
        <is>
          <t>Abril</t>
        </is>
      </c>
      <c r="B165" s="17" t="n"/>
      <c r="C165" s="14" t="n"/>
      <c r="D165" s="27" t="n"/>
      <c r="E165" s="28" t="n"/>
      <c r="F165" s="15">
        <f>IF(OR(D164&lt;&gt;"",E164&lt;&gt;""),IF(D164="",0,D164)+IF(E164="",0,E164),"")</f>
        <v/>
      </c>
      <c r="G165" s="14" t="n"/>
    </row>
    <row r="166">
      <c r="A166" s="14" t="inlineStr">
        <is>
          <t>Abril</t>
        </is>
      </c>
      <c r="B166" s="17" t="n"/>
      <c r="C166" s="14" t="n"/>
      <c r="D166" s="27" t="n"/>
      <c r="E166" s="28" t="n"/>
      <c r="F166" s="15">
        <f>IF(OR(D165&lt;&gt;"",E165&lt;&gt;""),IF(D165="",0,D165)+IF(E165="",0,E165),"")</f>
        <v/>
      </c>
      <c r="G166" s="14" t="n"/>
    </row>
    <row r="167">
      <c r="A167" s="14" t="inlineStr">
        <is>
          <t>Abril</t>
        </is>
      </c>
      <c r="B167" s="17" t="n"/>
      <c r="C167" s="14" t="n"/>
      <c r="D167" s="27" t="n"/>
      <c r="E167" s="28" t="n"/>
      <c r="F167" s="15">
        <f>IF(OR(D166&lt;&gt;"",E166&lt;&gt;""),IF(D166="",0,D166)+IF(E166="",0,E166),"")</f>
        <v/>
      </c>
      <c r="G167" s="14" t="n"/>
    </row>
    <row r="168">
      <c r="A168" s="14" t="inlineStr">
        <is>
          <t>Abril</t>
        </is>
      </c>
      <c r="B168" s="17" t="n"/>
      <c r="C168" s="14" t="n"/>
      <c r="D168" s="27" t="n"/>
      <c r="E168" s="28" t="n"/>
      <c r="F168" s="15">
        <f>IF(OR(D167&lt;&gt;"",E167&lt;&gt;""),IF(D167="",0,D167)+IF(E167="",0,E167),"")</f>
        <v/>
      </c>
      <c r="G168" s="14" t="n"/>
    </row>
    <row r="169">
      <c r="A169" s="14" t="inlineStr">
        <is>
          <t>Abril</t>
        </is>
      </c>
      <c r="B169" s="17" t="n"/>
      <c r="C169" s="14" t="n"/>
      <c r="D169" s="27" t="n"/>
      <c r="E169" s="28" t="n"/>
      <c r="F169" s="15">
        <f>IF(OR(D168&lt;&gt;"",E168&lt;&gt;""),IF(D168="",0,D168)+IF(E168="",0,E168),"")</f>
        <v/>
      </c>
      <c r="G169" s="14" t="n"/>
    </row>
    <row r="170">
      <c r="A170" s="14" t="inlineStr">
        <is>
          <t>Abril</t>
        </is>
      </c>
      <c r="B170" s="17" t="n"/>
      <c r="C170" s="14" t="n"/>
      <c r="D170" s="27" t="n"/>
      <c r="E170" s="28" t="n"/>
      <c r="F170" s="15">
        <f>IF(OR(D169&lt;&gt;"",E169&lt;&gt;""),IF(D169="",0,D169)+IF(E169="",0,E169),"")</f>
        <v/>
      </c>
      <c r="G170" s="14" t="n"/>
    </row>
    <row r="171">
      <c r="A171" s="14" t="inlineStr">
        <is>
          <t>Abril</t>
        </is>
      </c>
      <c r="B171" s="17" t="n">
        <v>46130</v>
      </c>
      <c r="C171" s="14" t="inlineStr">
        <is>
          <t>ENTRETENIMIENTO · Cenas</t>
        </is>
      </c>
      <c r="D171" s="27" t="n">
        <v>177300</v>
      </c>
      <c r="E171" s="28" t="n"/>
      <c r="F171" s="15">
        <f>IF(OR(D171&lt;&gt;"",E171&lt;&gt;""),IF(D171="",0,D171)+IF(E171="",0,E171),"")</f>
        <v/>
      </c>
      <c r="G171" s="14" t="inlineStr">
        <is>
          <t>ENTRETENIMIENTO · Cenas · Cosi Mi Piace (cena) · Mercado Pago · ALMACEN SOL</t>
        </is>
      </c>
    </row>
    <row r="172">
      <c r="A172" s="14" t="inlineStr">
        <is>
          <t>Abril</t>
        </is>
      </c>
      <c r="B172" s="17" t="n">
        <v>46130</v>
      </c>
      <c r="C172" s="14" t="inlineStr">
        <is>
          <t>ENTRETENIMIENTO · Cenas</t>
        </is>
      </c>
      <c r="D172" s="27" t="n">
        <v>21276</v>
      </c>
      <c r="E172" s="28" t="n"/>
      <c r="F172" s="15">
        <f>IF(OR(D172&lt;&gt;"",E172&lt;&gt;""),IF(D172="",0,D172)+IF(E172="",0,E172),"")</f>
        <v/>
      </c>
      <c r="G172" s="14" t="inlineStr">
        <is>
          <t>ENTRETENIMIENTO · Cenas · Cosi Mi Piace (propina) · Mercado Pago · ALMACEN SOL</t>
        </is>
      </c>
    </row>
    <row r="173">
      <c r="A173" s="14" t="inlineStr">
        <is>
          <t>Abril</t>
        </is>
      </c>
      <c r="B173" s="17" t="n">
        <v>46140</v>
      </c>
      <c r="C173" s="14" t="inlineStr">
        <is>
          <t>ENTRETENIMIENTO · Cenas</t>
        </is>
      </c>
      <c r="D173" s="27" t="n">
        <v>277360</v>
      </c>
      <c r="E173" s="28" t="n"/>
      <c r="F173" s="15">
        <f>IF(OR(D173&lt;&gt;"",E173&lt;&gt;""),IF(D173="",0,D173)+IF(E173="",0,E173),"")</f>
        <v/>
      </c>
      <c r="G173" s="14" t="inlineStr">
        <is>
          <t>ENTRETENIMIENTO · Cenas · Cosi Mi Piace (cena) · Mercado Pago · ALMACEN SOL</t>
        </is>
      </c>
    </row>
    <row r="174">
      <c r="A174" s="14" t="inlineStr">
        <is>
          <t>Abril</t>
        </is>
      </c>
      <c r="B174" s="17" t="n">
        <v>46140</v>
      </c>
      <c r="C174" s="14" t="inlineStr">
        <is>
          <t>ENTRETENIMIENTO · Cenas</t>
        </is>
      </c>
      <c r="D174" s="27" t="n">
        <v>33283</v>
      </c>
      <c r="E174" s="28" t="n"/>
      <c r="F174" s="15">
        <f>IF(OR(D174&lt;&gt;"",E174&lt;&gt;""),IF(D174="",0,D174)+IF(E174="",0,E174),"")</f>
        <v/>
      </c>
      <c r="G174" s="14" t="inlineStr">
        <is>
          <t>ENTRETENIMIENTO · Cenas · Cosi Mi Piace (propina) · Mercado Pago · ALMACEN SOL</t>
        </is>
      </c>
    </row>
    <row r="175">
      <c r="A175" s="14" t="inlineStr">
        <is>
          <t>Abril</t>
        </is>
      </c>
      <c r="B175" s="17" t="n">
        <v>46122</v>
      </c>
      <c r="C175" s="14" t="inlineStr">
        <is>
          <t>RAMON · Otros</t>
        </is>
      </c>
      <c r="D175" s="27" t="n">
        <v>71400</v>
      </c>
      <c r="E175" s="28" t="n"/>
      <c r="F175" s="15">
        <f>IF(OR(D175&lt;&gt;"",E175&lt;&gt;""),IF(D175="",0,D175)+IF(E175="",0,E175),"")</f>
        <v/>
      </c>
      <c r="G175" s="14" t="inlineStr">
        <is>
          <t>RAMON · Otros · Paws Pet Market · Mercado Pago · ALMACEN SOL</t>
        </is>
      </c>
    </row>
    <row r="176">
      <c r="A176" s="10" t="inlineStr">
        <is>
          <t>TOTAL ABRIL</t>
        </is>
      </c>
      <c r="B176" s="22" t="n"/>
      <c r="C176" s="29" t="inlineStr">
        <is>
          <t>Totales mes →</t>
        </is>
      </c>
      <c r="D176" s="7">
        <f>SUMIFS($D$4:$D$800,$A$4:$A$800,"Abril")</f>
        <v/>
      </c>
      <c r="E176" s="7">
        <f>SUMIFS($E$4:$E$800,$A$4:$A$800,"Abril")</f>
        <v/>
      </c>
      <c r="F176" s="7">
        <f>D176+E176</f>
        <v/>
      </c>
      <c r="G176" s="22" t="n"/>
    </row>
    <row r="178">
      <c r="A178" s="14" t="inlineStr">
        <is>
          <t>Mayo</t>
        </is>
      </c>
      <c r="B178" s="17" t="n">
        <v>46172</v>
      </c>
      <c r="C178" s="14" t="inlineStr">
        <is>
          <t>SUPERMERCADO · Carrefour</t>
        </is>
      </c>
      <c r="D178" s="27" t="n">
        <v>24333</v>
      </c>
      <c r="E178" s="28" t="n"/>
      <c r="F178" s="15">
        <f>IF(OR(D178&lt;&gt;"",E178&lt;&gt;""),IF(D178="",0,D178)+IF(E178="",0,E178),"")</f>
        <v/>
      </c>
      <c r="G178" s="14" t="inlineStr">
        <is>
          <t>SUPERMERCADO · Carrefour</t>
        </is>
      </c>
    </row>
    <row r="179">
      <c r="A179" s="14" t="inlineStr">
        <is>
          <t>Mayo</t>
        </is>
      </c>
      <c r="B179" s="17" t="n">
        <v>46170</v>
      </c>
      <c r="C179" s="14" t="inlineStr">
        <is>
          <t>COMIDA · Tienda De Café</t>
        </is>
      </c>
      <c r="D179" s="27" t="n">
        <v>18900</v>
      </c>
      <c r="E179" s="28" t="n"/>
      <c r="F179" s="15">
        <f>IF(OR(D179&lt;&gt;"",E179&lt;&gt;""),IF(D179="",0,D179)+IF(E179="",0,E179),"")</f>
        <v/>
      </c>
      <c r="G179" s="14" t="inlineStr">
        <is>
          <t>MP · café · ex `Tienda De Café`</t>
        </is>
      </c>
    </row>
    <row r="180">
      <c r="A180" s="14" t="inlineStr">
        <is>
          <t>Mayo</t>
        </is>
      </c>
      <c r="B180" s="17" t="n">
        <v>46168</v>
      </c>
      <c r="C180" s="14" t="inlineStr">
        <is>
          <t>COMIDA · Todo Tartas</t>
        </is>
      </c>
      <c r="D180" s="27" t="n">
        <v>8730</v>
      </c>
      <c r="E180" s="28" t="n"/>
      <c r="F180" s="15">
        <f>IF(OR(D180&lt;&gt;"",E180&lt;&gt;""),IF(D180="",0,D180)+IF(E180="",0,E180),"")</f>
        <v/>
      </c>
      <c r="G180" s="14" t="inlineStr">
        <is>
          <t>MP · panadería · ex `Todo Tartas`</t>
        </is>
      </c>
    </row>
    <row r="181">
      <c r="A181" s="14" t="inlineStr">
        <is>
          <t>Mayo</t>
        </is>
      </c>
      <c r="B181" s="17" t="n">
        <v>46166</v>
      </c>
      <c r="C181" s="14" t="inlineStr">
        <is>
          <t>PEDIDOS YA · COMIDA · propina</t>
        </is>
      </c>
      <c r="D181" s="27" t="n">
        <v>1100</v>
      </c>
      <c r="E181" s="28" t="n"/>
      <c r="F181" s="15">
        <f>IF(OR(D181&lt;&gt;"",E181&lt;&gt;""),IF(D181="",0,D181)+IF(E181="",0,E181),"")</f>
        <v/>
      </c>
      <c r="G181" s="14" t="inlineStr">
        <is>
          <t>PEDIDOS YA · COMIDA · propina</t>
        </is>
      </c>
    </row>
    <row r="182">
      <c r="A182" s="14" t="inlineStr">
        <is>
          <t>Mayo</t>
        </is>
      </c>
      <c r="B182" s="17" t="n">
        <v>46166</v>
      </c>
      <c r="C182" s="14" t="inlineStr">
        <is>
          <t>PEDIDOS YA · COMIDA</t>
        </is>
      </c>
      <c r="D182" s="27" t="n">
        <v>21618</v>
      </c>
      <c r="E182" s="28" t="n"/>
      <c r="F182" s="15">
        <f>IF(OR(D182&lt;&gt;"",E182&lt;&gt;""),IF(D182="",0,D182)+IF(E182="",0,E182),"")</f>
        <v/>
      </c>
      <c r="G182" s="14" t="inlineStr">
        <is>
          <t>PEDIDOS YA · COMIDA</t>
        </is>
      </c>
    </row>
    <row r="183">
      <c r="A183" s="14" t="inlineStr">
        <is>
          <t>Mayo</t>
        </is>
      </c>
      <c r="B183" s="17" t="n">
        <v>46165</v>
      </c>
      <c r="C183" s="14" t="inlineStr">
        <is>
          <t>COMIDA · Arredondo</t>
        </is>
      </c>
      <c r="D183" s="27" t="n">
        <v>10290</v>
      </c>
      <c r="E183" s="28" t="n"/>
      <c r="F183" s="15">
        <f>IF(OR(D183&lt;&gt;"",E183&lt;&gt;""),IF(D183="",0,D183)+IF(E183="",0,E183),"")</f>
        <v/>
      </c>
      <c r="G183" s="14" t="inlineStr">
        <is>
          <t>MP · Arredondo · QR tienda (almacén OK)</t>
        </is>
      </c>
    </row>
    <row r="184">
      <c r="A184" s="14" t="inlineStr">
        <is>
          <t>Mayo</t>
        </is>
      </c>
      <c r="B184" s="17" t="n">
        <v>46162</v>
      </c>
      <c r="C184" s="14" t="inlineStr">
        <is>
          <t>COMIDA · Todo Tartas</t>
        </is>
      </c>
      <c r="D184" s="27" t="n">
        <v>3480</v>
      </c>
      <c r="E184" s="28" t="n"/>
      <c r="F184" s="15">
        <f>IF(OR(D184&lt;&gt;"",E184&lt;&gt;""),IF(D184="",0,D184)+IF(E184="",0,E184),"")</f>
        <v/>
      </c>
      <c r="G184" s="14" t="inlineStr">
        <is>
          <t>MP · panadería · ex `Todo Tartas`</t>
        </is>
      </c>
    </row>
    <row r="185">
      <c r="A185" s="14" t="inlineStr">
        <is>
          <t>Mayo</t>
        </is>
      </c>
      <c r="B185" s="17" t="n">
        <v>46158</v>
      </c>
      <c r="C185" s="14" t="inlineStr">
        <is>
          <t>PEDIDOS YA · COMIDA · propina</t>
        </is>
      </c>
      <c r="D185" s="27" t="n">
        <v>1000</v>
      </c>
      <c r="E185" s="28" t="n"/>
      <c r="F185" s="15">
        <f>IF(OR(D185&lt;&gt;"",E185&lt;&gt;""),IF(D185="",0,D185)+IF(E185="",0,E185),"")</f>
        <v/>
      </c>
      <c r="G185" s="14" t="inlineStr">
        <is>
          <t>PEDIDOS YA · COMIDA · propina</t>
        </is>
      </c>
    </row>
    <row r="186">
      <c r="A186" s="14" t="inlineStr">
        <is>
          <t>Mayo</t>
        </is>
      </c>
      <c r="B186" s="17" t="n">
        <v>46158</v>
      </c>
      <c r="C186" s="14" t="inlineStr">
        <is>
          <t>PEDIDOS YA · COMIDA</t>
        </is>
      </c>
      <c r="D186" s="27" t="n">
        <v>17519</v>
      </c>
      <c r="E186" s="28" t="n"/>
      <c r="F186" s="15">
        <f>IF(OR(D186&lt;&gt;"",E186&lt;&gt;""),IF(D186="",0,D186)+IF(E186="",0,E186),"")</f>
        <v/>
      </c>
      <c r="G186" s="14" t="inlineStr">
        <is>
          <t>PEDIDOS YA · COMIDA</t>
        </is>
      </c>
    </row>
    <row r="187">
      <c r="A187" s="14" t="inlineStr">
        <is>
          <t>Mayo</t>
        </is>
      </c>
      <c r="B187" s="17" t="n">
        <v>46151</v>
      </c>
      <c r="C187" s="14" t="inlineStr">
        <is>
          <t>SUPERMERCADO · Coto</t>
        </is>
      </c>
      <c r="D187" s="27" t="n">
        <v>47361</v>
      </c>
      <c r="E187" s="28" t="n"/>
      <c r="F187" s="15">
        <f>IF(OR(D187&lt;&gt;"",E187&lt;&gt;""),IF(D187="",0,D187)+IF(E187="",0,E187),"")</f>
        <v/>
      </c>
      <c r="G187" s="14" t="inlineStr">
        <is>
          <t>SUPERMERCADO · Coto</t>
        </is>
      </c>
    </row>
    <row r="188">
      <c r="A188" s="14" t="inlineStr">
        <is>
          <t>Mayo</t>
        </is>
      </c>
      <c r="B188" s="17" t="n">
        <v>46149</v>
      </c>
      <c r="C188" s="14" t="inlineStr">
        <is>
          <t>COMIDA · Dean &amp; Dennys</t>
        </is>
      </c>
      <c r="D188" s="27" t="n">
        <v>6870</v>
      </c>
      <c r="E188" s="28" t="n"/>
      <c r="F188" s="15">
        <f>IF(OR(D188&lt;&gt;"",E188&lt;&gt;""),IF(D188="",0,D188)+IF(E188="",0,E188),"")</f>
        <v/>
      </c>
      <c r="G188" s="14" t="inlineStr">
        <is>
          <t>MP · comida · ex `Dean &amp; Dennys`</t>
        </is>
      </c>
    </row>
    <row r="189">
      <c r="A189" s="14" t="inlineStr">
        <is>
          <t>Mayo</t>
        </is>
      </c>
      <c r="B189" s="17" t="n">
        <v>46172</v>
      </c>
      <c r="C189" s="14" t="inlineStr">
        <is>
          <t>Combustible — Shell</t>
        </is>
      </c>
      <c r="D189" s="27" t="n">
        <v>18314</v>
      </c>
      <c r="E189" s="28" t="n"/>
      <c r="F189" s="15">
        <f>IF(OR(D189&lt;&gt;"",E189&lt;&gt;""),IF(D189="",0,D189)+IF(E189="",0,E189),"")</f>
        <v/>
      </c>
      <c r="G189" s="14" t="inlineStr">
        <is>
          <t>MP · combustible · nafta · combustible</t>
        </is>
      </c>
    </row>
    <row r="190">
      <c r="A190" s="14" t="inlineStr">
        <is>
          <t>Mayo</t>
        </is>
      </c>
      <c r="B190" s="17" t="n">
        <v>46172</v>
      </c>
      <c r="C190" s="14" t="inlineStr">
        <is>
          <t>Combustible — Shell</t>
        </is>
      </c>
      <c r="D190" s="27" t="n">
        <v>1415</v>
      </c>
      <c r="E190" s="28" t="n"/>
      <c r="F190" s="15">
        <f>IF(OR(D190&lt;&gt;"",E190&lt;&gt;""),IF(D190="",0,D190)+IF(E190="",0,E190),"")</f>
        <v/>
      </c>
      <c r="G190" s="14" t="inlineStr">
        <is>
          <t>MP · combustible · nafta · combustible</t>
        </is>
      </c>
    </row>
    <row r="191">
      <c r="A191" s="14" t="inlineStr">
        <is>
          <t>Mayo</t>
        </is>
      </c>
      <c r="B191" s="53" t="n">
        <v>46147</v>
      </c>
      <c r="C191" s="14" t="inlineStr">
        <is>
          <t>PEDIDOS YA · SUPERMERCADO</t>
        </is>
      </c>
      <c r="D191" s="27" t="n">
        <v>62267</v>
      </c>
      <c r="E191" s="28" t="n"/>
      <c r="F191" s="15">
        <f>IF(OR(D191&lt;&gt;"",E191&lt;&gt;""),IF(D191="",0,D191)+IF(E191="",0,E191),"")</f>
        <v/>
      </c>
      <c r="G191" s="14" t="inlineStr">
        <is>
          <t>PEDIDOS YA · SUPERMERCADO · BBVA TC Visa</t>
        </is>
      </c>
    </row>
    <row r="192">
      <c r="A192" s="14" t="inlineStr">
        <is>
          <t>Mayo</t>
        </is>
      </c>
      <c r="B192" s="53" t="n">
        <v>46147</v>
      </c>
      <c r="C192" s="14" t="inlineStr">
        <is>
          <t>PEDIDOS YA · SUPERMERCADO · propina</t>
        </is>
      </c>
      <c r="D192" s="27" t="n">
        <v>1000</v>
      </c>
      <c r="E192" s="28" t="n"/>
      <c r="F192" s="15">
        <f>IF(OR(D192&lt;&gt;"",E192&lt;&gt;""),IF(D192="",0,D192)+IF(E192="",0,E192),"")</f>
        <v/>
      </c>
      <c r="G192" s="14" t="inlineStr">
        <is>
          <t>PEDIDOS YA · SUPERMERCADO · propina · BBVA TC Visa</t>
        </is>
      </c>
    </row>
    <row r="193">
      <c r="A193" s="14" t="inlineStr">
        <is>
          <t>Mayo</t>
        </is>
      </c>
      <c r="B193" s="53" t="n">
        <v>46156</v>
      </c>
      <c r="C193" s="14" t="inlineStr">
        <is>
          <t>PEDIDOS YA · SUPERMERCADO</t>
        </is>
      </c>
      <c r="D193" s="27" t="n">
        <v>43640</v>
      </c>
      <c r="E193" s="28" t="n"/>
      <c r="F193" s="15">
        <f>IF(OR(D193&lt;&gt;"",E193&lt;&gt;""),IF(D193="",0,D193)+IF(E193="",0,E193),"")</f>
        <v/>
      </c>
      <c r="G193" s="14" t="inlineStr">
        <is>
          <t>PEDIDOS YA · SUPERMERCADO · BBVA TC Visa</t>
        </is>
      </c>
    </row>
    <row r="194">
      <c r="A194" s="14" t="inlineStr">
        <is>
          <t>Mayo</t>
        </is>
      </c>
      <c r="B194" s="53" t="n">
        <v>46156</v>
      </c>
      <c r="C194" s="14" t="inlineStr">
        <is>
          <t>PEDIDOS YA · SUPERMERCADO</t>
        </is>
      </c>
      <c r="D194" s="27" t="n">
        <v>821</v>
      </c>
      <c r="E194" s="28" t="n"/>
      <c r="F194" s="15">
        <f>IF(OR(D194&lt;&gt;"",E194&lt;&gt;""),IF(D194="",0,D194)+IF(E194="",0,E194),"")</f>
        <v/>
      </c>
      <c r="G194" s="14" t="inlineStr">
        <is>
          <t>PEDIDOS YA · SUPERMERCADO · BBVA TC Visa</t>
        </is>
      </c>
    </row>
    <row r="195">
      <c r="A195" s="14" t="inlineStr">
        <is>
          <t>Mayo</t>
        </is>
      </c>
      <c r="B195" s="53" t="n">
        <v>46160</v>
      </c>
      <c r="C195" s="14" t="inlineStr">
        <is>
          <t>PEDIDOS YA · SUPERMERCADO</t>
        </is>
      </c>
      <c r="D195" s="27" t="n">
        <v>84857</v>
      </c>
      <c r="E195" s="28" t="n"/>
      <c r="F195" s="15">
        <f>IF(OR(D195&lt;&gt;"",E195&lt;&gt;""),IF(D195="",0,D195)+IF(E195="",0,E195),"")</f>
        <v/>
      </c>
      <c r="G195" s="14" t="inlineStr">
        <is>
          <t>PEDIDOS YA · SUPERMERCADO · BBVA TC Visa</t>
        </is>
      </c>
    </row>
    <row r="196">
      <c r="A196" s="14" t="inlineStr">
        <is>
          <t>Mayo</t>
        </is>
      </c>
      <c r="B196" s="53" t="n">
        <v>46160</v>
      </c>
      <c r="C196" s="14" t="inlineStr">
        <is>
          <t>PEDIDOS YA · SUPERMERCADO · propina</t>
        </is>
      </c>
      <c r="D196" s="27" t="n">
        <v>1200</v>
      </c>
      <c r="E196" s="28" t="n"/>
      <c r="F196" s="15">
        <f>IF(OR(D196&lt;&gt;"",E196&lt;&gt;""),IF(D196="",0,D196)+IF(E196="",0,E196),"")</f>
        <v/>
      </c>
      <c r="G196" s="14" t="inlineStr">
        <is>
          <t>PEDIDOS YA · SUPERMERCADO · propina · BBVA TC Visa</t>
        </is>
      </c>
    </row>
    <row r="197">
      <c r="A197" s="14" t="inlineStr">
        <is>
          <t>Mayo</t>
        </is>
      </c>
      <c r="B197" s="53" t="n">
        <v>46163</v>
      </c>
      <c r="C197" s="14" t="inlineStr">
        <is>
          <t>PEDIDOS YA · SUPERMERCADO</t>
        </is>
      </c>
      <c r="D197" s="27" t="n">
        <v>18339</v>
      </c>
      <c r="E197" s="28" t="n"/>
      <c r="F197" s="15">
        <f>IF(OR(D197&lt;&gt;"",E197&lt;&gt;""),IF(D197="",0,D197)+IF(E197="",0,E197),"")</f>
        <v/>
      </c>
      <c r="G197" s="14" t="inlineStr">
        <is>
          <t>PEDIDOS YA · SUPERMERCADO · BBVA TC Visa</t>
        </is>
      </c>
    </row>
    <row r="198">
      <c r="A198" s="14" t="inlineStr">
        <is>
          <t>Mayo</t>
        </is>
      </c>
      <c r="B198" s="53" t="n">
        <v>46163</v>
      </c>
      <c r="C198" s="14" t="inlineStr">
        <is>
          <t>PEDIDOS YA · SUPERMERCADO · propina</t>
        </is>
      </c>
      <c r="D198" s="27" t="n">
        <v>900</v>
      </c>
      <c r="E198" s="28" t="n"/>
      <c r="F198" s="15">
        <f>IF(OR(D198&lt;&gt;"",E198&lt;&gt;""),IF(D198="",0,D198)+IF(E198="",0,E198),"")</f>
        <v/>
      </c>
      <c r="G198" s="14" t="inlineStr">
        <is>
          <t>PEDIDOS YA · SUPERMERCADO · propina · BBVA TC Visa</t>
        </is>
      </c>
    </row>
    <row r="199">
      <c r="A199" s="14" t="inlineStr">
        <is>
          <t>Mayo</t>
        </is>
      </c>
      <c r="B199" s="53" t="n">
        <v>46172</v>
      </c>
      <c r="C199" s="14" t="inlineStr">
        <is>
          <t>SUPERMERCADO · Carrefour</t>
        </is>
      </c>
      <c r="D199" s="27" t="n">
        <v>175276</v>
      </c>
      <c r="E199" s="28" t="n"/>
      <c r="F199" s="15">
        <f>IF(OR(D199&lt;&gt;"",E199&lt;&gt;""),IF(D199="",0,D199)+IF(E199="",0,E199),"")</f>
        <v/>
      </c>
      <c r="G199" s="14" t="inlineStr">
        <is>
          <t>SUPERMERCADO · Carrefour · BBVA VISA · MERPAGO*CARREFOUR 122905</t>
        </is>
      </c>
    </row>
    <row r="200">
      <c r="A200" s="14" t="inlineStr">
        <is>
          <t>Mayo</t>
        </is>
      </c>
      <c r="B200" s="53" t="n">
        <v>46144</v>
      </c>
      <c r="C200" s="14" t="inlineStr">
        <is>
          <t>PEDIDOS YA · SUPERMERCADO</t>
        </is>
      </c>
      <c r="D200" s="27" t="n">
        <v>278</v>
      </c>
      <c r="E200" s="28" t="n"/>
      <c r="F200" s="15">
        <f>IF(OR(D200&lt;&gt;"",E200&lt;&gt;""),IF(D200="",0,D200)+IF(E200="",0,E200),"")</f>
        <v/>
      </c>
      <c r="G200" s="14" t="inlineStr">
        <is>
          <t>PEDIDOS YA · SUPERMERCADO · BBVA TC Visa</t>
        </is>
      </c>
    </row>
    <row r="201">
      <c r="A201" s="14" t="inlineStr">
        <is>
          <t>Mayo</t>
        </is>
      </c>
      <c r="B201" s="53" t="n">
        <v>46149</v>
      </c>
      <c r="C201" s="14" t="inlineStr">
        <is>
          <t>PEDIDOS YA · SUPERMERCADO</t>
        </is>
      </c>
      <c r="D201" s="27" t="n">
        <v>9594</v>
      </c>
      <c r="E201" s="28" t="n"/>
      <c r="F201" s="15">
        <f>IF(OR(D201&lt;&gt;"",E201&lt;&gt;""),IF(D201="",0,D201)+IF(E201="",0,E201),"")</f>
        <v/>
      </c>
      <c r="G201" s="14" t="inlineStr">
        <is>
          <t>PEDIDOS YA · SUPERMERCADO · BBVA TC Visa</t>
        </is>
      </c>
    </row>
    <row r="202">
      <c r="A202" s="14" t="inlineStr">
        <is>
          <t>Mayo</t>
        </is>
      </c>
      <c r="B202" s="53" t="n">
        <v>46156</v>
      </c>
      <c r="C202" s="14" t="inlineStr">
        <is>
          <t>PEDIDOS YA · SUPERMERCADO · propina</t>
        </is>
      </c>
      <c r="D202" s="27" t="n">
        <v>1000</v>
      </c>
      <c r="E202" s="28" t="n"/>
      <c r="F202" s="15">
        <f>IF(OR(D202&lt;&gt;"",E202&lt;&gt;""),IF(D202="",0,D202)+IF(E202="",0,E202),"")</f>
        <v/>
      </c>
      <c r="G202" s="14" t="inlineStr">
        <is>
          <t>PEDIDOS YA · SUPERMERCADO · propina · BBVA TC Visa</t>
        </is>
      </c>
    </row>
    <row r="203">
      <c r="A203" s="14" t="inlineStr">
        <is>
          <t>Mayo</t>
        </is>
      </c>
      <c r="B203" s="53" t="n">
        <v>46162</v>
      </c>
      <c r="C203" s="14" t="inlineStr">
        <is>
          <t>PEDIDOS YA · SUPERMERCADO</t>
        </is>
      </c>
      <c r="D203" s="27" t="n">
        <v>1936</v>
      </c>
      <c r="E203" s="28" t="n"/>
      <c r="F203" s="15">
        <f>IF(OR(D203&lt;&gt;"",E203&lt;&gt;""),IF(D203="",0,D203)+IF(E203="",0,E203),"")</f>
        <v/>
      </c>
      <c r="G203" s="14" t="inlineStr">
        <is>
          <t>PEDIDOS YA · SUPERMERCADO · BBVA TC Visa</t>
        </is>
      </c>
    </row>
    <row r="204">
      <c r="A204" s="14" t="inlineStr">
        <is>
          <t>Mayo</t>
        </is>
      </c>
      <c r="B204" s="53" t="n">
        <v>46172</v>
      </c>
      <c r="C204" s="14" t="inlineStr">
        <is>
          <t>Combustible — Shell</t>
        </is>
      </c>
      <c r="D204" s="27" t="n">
        <v>25</v>
      </c>
      <c r="E204" s="28" t="n"/>
      <c r="F204" s="15">
        <f>IF(OR(D204&lt;&gt;"",E204&lt;&gt;""),IF(D204="",0,D204)+IF(E204="",0,E204),"")</f>
        <v/>
      </c>
      <c r="G204" s="14" t="inlineStr">
        <is>
          <t>MP · Shell · pago QR</t>
        </is>
      </c>
    </row>
    <row r="205">
      <c r="A205" s="14" t="inlineStr">
        <is>
          <t>Mayo</t>
        </is>
      </c>
      <c r="B205" s="17" t="n"/>
      <c r="C205" s="14" t="n"/>
      <c r="D205" s="27" t="n"/>
      <c r="E205" s="28" t="n"/>
      <c r="F205" s="15">
        <f>IF(OR(D200&lt;&gt;"",E200&lt;&gt;""),IF(D200="",0,D200)+IF(E200="",0,E200),"")</f>
        <v/>
      </c>
      <c r="G205" s="14" t="n"/>
    </row>
    <row r="206">
      <c r="A206" s="14" t="inlineStr">
        <is>
          <t>Mayo</t>
        </is>
      </c>
      <c r="B206" s="17" t="n"/>
      <c r="C206" s="14" t="n"/>
      <c r="D206" s="27" t="n"/>
      <c r="E206" s="28" t="n"/>
      <c r="F206" s="15">
        <f>IF(OR(D201&lt;&gt;"",E201&lt;&gt;""),IF(D201="",0,D201)+IF(E201="",0,E201),"")</f>
        <v/>
      </c>
      <c r="G206" s="14" t="n"/>
    </row>
    <row r="207">
      <c r="A207" s="14" t="inlineStr">
        <is>
          <t>Mayo</t>
        </is>
      </c>
      <c r="B207" s="17" t="n"/>
      <c r="C207" s="14" t="n"/>
      <c r="D207" s="27" t="n"/>
      <c r="E207" s="28" t="n"/>
      <c r="F207" s="15">
        <f>IF(OR(D202&lt;&gt;"",E202&lt;&gt;""),IF(D202="",0,D202)+IF(E202="",0,E202),"")</f>
        <v/>
      </c>
      <c r="G207" s="14" t="n"/>
    </row>
    <row r="208">
      <c r="A208" s="14" t="inlineStr">
        <is>
          <t>Mayo</t>
        </is>
      </c>
      <c r="B208" s="17" t="n"/>
      <c r="C208" s="14" t="n"/>
      <c r="D208" s="27" t="n"/>
      <c r="E208" s="28" t="n"/>
      <c r="F208" s="15">
        <f>IF(OR(D203&lt;&gt;"",E203&lt;&gt;""),IF(D203="",0,D203)+IF(E203="",0,E203),"")</f>
        <v/>
      </c>
      <c r="G208" s="14" t="n"/>
    </row>
    <row r="209">
      <c r="A209" s="14" t="inlineStr">
        <is>
          <t>Mayo</t>
        </is>
      </c>
      <c r="B209" s="17" t="n"/>
      <c r="C209" s="14" t="n"/>
      <c r="D209" s="27" t="n"/>
      <c r="E209" s="28" t="n"/>
      <c r="F209" s="15">
        <f>IF(OR(D204&lt;&gt;"",E204&lt;&gt;""),IF(D204="",0,D204)+IF(E204="",0,E204),"")</f>
        <v/>
      </c>
      <c r="G209" s="14" t="n"/>
    </row>
    <row r="210">
      <c r="A210" s="14" t="inlineStr">
        <is>
          <t>Mayo</t>
        </is>
      </c>
      <c r="B210" s="17" t="n"/>
      <c r="C210" s="14" t="n"/>
      <c r="D210" s="27" t="n"/>
      <c r="E210" s="28" t="n"/>
      <c r="F210" s="15">
        <f>IF(OR(D205&lt;&gt;"",E205&lt;&gt;""),IF(D205="",0,D205)+IF(E205="",0,E205),"")</f>
        <v/>
      </c>
      <c r="G210" s="14" t="n"/>
    </row>
    <row r="211">
      <c r="A211" s="14" t="inlineStr">
        <is>
          <t>Mayo</t>
        </is>
      </c>
      <c r="B211" s="17" t="n"/>
      <c r="C211" s="14" t="n"/>
      <c r="D211" s="27" t="n"/>
      <c r="E211" s="28" t="n"/>
      <c r="F211" s="15">
        <f>IF(OR(D206&lt;&gt;"",E206&lt;&gt;""),IF(D206="",0,D206)+IF(E206="",0,E206),"")</f>
        <v/>
      </c>
      <c r="G211" s="14" t="n"/>
    </row>
    <row r="212">
      <c r="A212" s="14" t="inlineStr">
        <is>
          <t>Mayo</t>
        </is>
      </c>
      <c r="B212" s="17" t="n"/>
      <c r="C212" s="14" t="n"/>
      <c r="D212" s="27" t="n"/>
      <c r="E212" s="28" t="n"/>
      <c r="F212" s="15">
        <f>IF(OR(D207&lt;&gt;"",E207&lt;&gt;""),IF(D207="",0,D207)+IF(E207="",0,E207),"")</f>
        <v/>
      </c>
      <c r="G212" s="14" t="n"/>
    </row>
    <row r="213">
      <c r="A213" s="14" t="inlineStr">
        <is>
          <t>Mayo</t>
        </is>
      </c>
      <c r="B213" s="17" t="n"/>
      <c r="C213" s="14" t="n"/>
      <c r="D213" s="27" t="n"/>
      <c r="E213" s="28" t="n"/>
      <c r="F213" s="15">
        <f>IF(OR(D208&lt;&gt;"",E208&lt;&gt;""),IF(D208="",0,D208)+IF(E208="",0,E208),"")</f>
        <v/>
      </c>
      <c r="G213" s="14" t="n"/>
    </row>
    <row r="214">
      <c r="A214" s="14" t="inlineStr">
        <is>
          <t>Mayo</t>
        </is>
      </c>
      <c r="B214" s="17" t="n"/>
      <c r="C214" s="14" t="n"/>
      <c r="D214" s="27" t="n"/>
      <c r="E214" s="28" t="n"/>
      <c r="F214" s="15">
        <f>IF(OR(D209&lt;&gt;"",E209&lt;&gt;""),IF(D209="",0,D209)+IF(E209="",0,E209),"")</f>
        <v/>
      </c>
      <c r="G214" s="14" t="n"/>
    </row>
    <row r="215">
      <c r="A215" s="14" t="inlineStr">
        <is>
          <t>Mayo</t>
        </is>
      </c>
      <c r="B215" s="17" t="n"/>
      <c r="C215" s="14" t="n"/>
      <c r="D215" s="27" t="n"/>
      <c r="E215" s="28" t="n"/>
      <c r="F215" s="15">
        <f>IF(OR(D210&lt;&gt;"",E210&lt;&gt;""),IF(D210="",0,D210)+IF(E210="",0,E210),"")</f>
        <v/>
      </c>
      <c r="G215" s="14" t="n"/>
    </row>
    <row r="216">
      <c r="A216" s="14" t="inlineStr">
        <is>
          <t>Mayo</t>
        </is>
      </c>
      <c r="B216" s="17" t="n"/>
      <c r="C216" s="14" t="n"/>
      <c r="D216" s="27" t="n"/>
      <c r="E216" s="28" t="n"/>
      <c r="F216" s="15">
        <f>IF(OR(D211&lt;&gt;"",E211&lt;&gt;""),IF(D211="",0,D211)+IF(E211="",0,E211),"")</f>
        <v/>
      </c>
      <c r="G216" s="14" t="n"/>
    </row>
    <row r="217">
      <c r="A217" s="14" t="inlineStr">
        <is>
          <t>Mayo</t>
        </is>
      </c>
      <c r="B217" s="17" t="n">
        <v>46145</v>
      </c>
      <c r="C217" s="14" t="inlineStr">
        <is>
          <t>ENTRETENIMIENTO · Teatro</t>
        </is>
      </c>
      <c r="D217" s="27" t="n">
        <v>170000</v>
      </c>
      <c r="E217" s="28" t="n"/>
      <c r="F217" s="15">
        <f>IF(OR(D217&lt;&gt;"",E217&lt;&gt;""),IF(D217="",0,D217)+IF(E217="",0,E217),"")</f>
        <v/>
      </c>
      <c r="G217" s="14" t="inlineStr">
        <is>
          <t>ENTRETENIMIENTO · Teatro · Plateanet · BBVA VISA · ALMACEN SOL</t>
        </is>
      </c>
    </row>
    <row r="218">
      <c r="A218" s="14" t="inlineStr">
        <is>
          <t>Mayo</t>
        </is>
      </c>
      <c r="B218" s="17" t="n">
        <v>46145</v>
      </c>
      <c r="C218" s="14" t="inlineStr">
        <is>
          <t>ENTRETENIMIENTO · Teatro</t>
        </is>
      </c>
      <c r="D218" s="27" t="n">
        <v>20400</v>
      </c>
      <c r="E218" s="28" t="n"/>
      <c r="F218" s="15">
        <f>IF(OR(D218&lt;&gt;"",E218&lt;&gt;""),IF(D218="",0,D218)+IF(E218="",0,E218),"")</f>
        <v/>
      </c>
      <c r="G218" s="14" t="inlineStr">
        <is>
          <t>ENTRETENIMIENTO · Teatro · Plateanet · BBVA VISA · ALMACEN SOL</t>
        </is>
      </c>
    </row>
    <row r="219">
      <c r="A219" s="14" t="inlineStr">
        <is>
          <t>Mayo</t>
        </is>
      </c>
      <c r="B219" s="17" t="n">
        <v>46153</v>
      </c>
      <c r="C219" s="14" t="inlineStr">
        <is>
          <t>RAMON · Veterinario</t>
        </is>
      </c>
      <c r="D219" s="27" t="n">
        <v>65700</v>
      </c>
      <c r="E219" s="28" t="n"/>
      <c r="F219" s="15">
        <f>IF(OR(D219&lt;&gt;"",E219&lt;&gt;""),IF(D219="",0,D219)+IF(E219="",0,E219),"")</f>
        <v/>
      </c>
      <c r="G219" s="14" t="inlineStr">
        <is>
          <t>RAMON · Veterinario · Valeria Mele / El Perro Verde · ALMACEN SOL</t>
        </is>
      </c>
    </row>
    <row r="220">
      <c r="A220" s="14" t="inlineStr">
        <is>
          <t>Mayo</t>
        </is>
      </c>
      <c r="B220" s="17" t="n">
        <v>46155</v>
      </c>
      <c r="C220" s="14" t="inlineStr">
        <is>
          <t>RAMON · Veterinario</t>
        </is>
      </c>
      <c r="D220" s="27" t="n">
        <v>21600</v>
      </c>
      <c r="E220" s="28" t="n"/>
      <c r="F220" s="15">
        <f>IF(OR(D220&lt;&gt;"",E220&lt;&gt;""),IF(D220="",0,D220)+IF(E220="",0,E220),"")</f>
        <v/>
      </c>
      <c r="G220" s="14" t="inlineStr">
        <is>
          <t>RAMON · Veterinario · Valeria Mele / El Perro Verde · ALMACEN SOL</t>
        </is>
      </c>
    </row>
    <row r="221">
      <c r="A221" s="14" t="inlineStr">
        <is>
          <t>Mayo</t>
        </is>
      </c>
      <c r="B221" s="17" t="n">
        <v>46158</v>
      </c>
      <c r="C221" s="14" t="inlineStr">
        <is>
          <t>RAMON · Veterinario</t>
        </is>
      </c>
      <c r="D221" s="27" t="n">
        <v>90000</v>
      </c>
      <c r="E221" s="28" t="n"/>
      <c r="F221" s="15">
        <f>IF(OR(D221&lt;&gt;"",E221&lt;&gt;""),IF(D221="",0,D221)+IF(E221="",0,E221),"")</f>
        <v/>
      </c>
      <c r="G221" s="14" t="inlineStr">
        <is>
          <t>RAMON · Veterinario · Valeria Mele / El Perro Verde · ALMACEN SOL</t>
        </is>
      </c>
    </row>
    <row r="222">
      <c r="A222" s="14" t="inlineStr">
        <is>
          <t>Mayo</t>
        </is>
      </c>
      <c r="B222" s="17" t="n">
        <v>46165</v>
      </c>
      <c r="C222" s="14" t="inlineStr">
        <is>
          <t>RAMON · Veterinario</t>
        </is>
      </c>
      <c r="D222" s="27" t="n">
        <v>112500</v>
      </c>
      <c r="E222" s="28" t="n"/>
      <c r="F222" s="15">
        <f>IF(OR(D222&lt;&gt;"",E222&lt;&gt;""),IF(D222="",0,D222)+IF(E222="",0,E222),"")</f>
        <v/>
      </c>
      <c r="G222" s="14" t="inlineStr">
        <is>
          <t>RAMON · Veterinario · Valeria Mele / El Perro Verde · ALMACEN SOL</t>
        </is>
      </c>
    </row>
    <row r="223">
      <c r="A223" s="14" t="inlineStr">
        <is>
          <t>Mayo</t>
        </is>
      </c>
      <c r="B223" s="17" t="n">
        <v>46164</v>
      </c>
      <c r="C223" s="14" t="inlineStr">
        <is>
          <t>ENTRETENIMIENTO · Salidas comida</t>
        </is>
      </c>
      <c r="D223" s="27" t="n">
        <v>154100</v>
      </c>
      <c r="E223" s="28" t="n"/>
      <c r="F223" s="15">
        <f>IF(OR(D223&lt;&gt;"",E223&lt;&gt;""),IF(D223="",0,D223)+IF(E223="",0,E223),"")</f>
        <v/>
      </c>
      <c r="G223" s="14" t="inlineStr">
        <is>
          <t>ENTRETENIMIENTO · Salidas comida · Hotel Madero (cena) · BBVA · ALMACEN SOL</t>
        </is>
      </c>
    </row>
    <row r="224">
      <c r="A224" s="14" t="inlineStr">
        <is>
          <t>Mayo</t>
        </is>
      </c>
      <c r="B224" s="17" t="n">
        <v>46164</v>
      </c>
      <c r="C224" s="14" t="inlineStr">
        <is>
          <t>ENTRETENIMIENTO · Salidas comida</t>
        </is>
      </c>
      <c r="D224" s="27" t="n">
        <v>15410</v>
      </c>
      <c r="E224" s="28" t="n"/>
      <c r="F224" s="15">
        <f>IF(OR(D224&lt;&gt;"",E224&lt;&gt;""),IF(D224="",0,D224)+IF(E224="",0,E224),"")</f>
        <v/>
      </c>
      <c r="G224" s="14" t="inlineStr">
        <is>
          <t>ENTRETENIMIENTO · Salidas comida · Hotel Madero (propina) · BBVA · ALMACEN SOL</t>
        </is>
      </c>
    </row>
    <row r="225">
      <c r="A225" s="14" t="inlineStr">
        <is>
          <t>Mayo</t>
        </is>
      </c>
      <c r="B225" s="17" t="n">
        <v>46144</v>
      </c>
      <c r="C225" s="14" t="inlineStr">
        <is>
          <t>ENTRETENIMIENTO · Cenas</t>
        </is>
      </c>
      <c r="D225" s="27" t="n">
        <v>30133</v>
      </c>
      <c r="E225" s="28" t="n"/>
      <c r="F225" s="15">
        <f>IF(OR(D225&lt;&gt;"",E225&lt;&gt;""),IF(D225="",0,D225)+IF(E225="",0,E225),"")</f>
        <v/>
      </c>
      <c r="G225" s="14" t="inlineStr">
        <is>
          <t>ENTRETENIMIENTO · Cenas · Cosi Mi Piace (cena) · Mercado Pago · ALMACEN SOL</t>
        </is>
      </c>
    </row>
    <row r="226">
      <c r="A226" s="14" t="inlineStr">
        <is>
          <t>Mayo</t>
        </is>
      </c>
      <c r="B226" s="17" t="n">
        <v>46160</v>
      </c>
      <c r="C226" s="14" t="inlineStr">
        <is>
          <t>RAMON · Veterinario</t>
        </is>
      </c>
      <c r="D226" s="27" t="n">
        <v>79924</v>
      </c>
      <c r="E226" s="28" t="n"/>
      <c r="F226" s="15">
        <f>IF(OR(D226&lt;&gt;"",E226&lt;&gt;""),IF(D226="",0,D226)+IF(E226="",0,E226),"")</f>
        <v/>
      </c>
      <c r="G226" s="14" t="inlineStr">
        <is>
          <t>RAMON · Veterinario · Leocan · Mercado Pago · ALMACEN SOL</t>
        </is>
      </c>
    </row>
    <row r="227">
      <c r="A227" s="14" t="inlineStr">
        <is>
          <t>Mayo</t>
        </is>
      </c>
      <c r="B227" s="17" t="n">
        <v>46169</v>
      </c>
      <c r="C227" s="14" t="inlineStr">
        <is>
          <t>RAMON · Otros</t>
        </is>
      </c>
      <c r="D227" s="27" t="n">
        <v>11100</v>
      </c>
      <c r="E227" s="28" t="n"/>
      <c r="F227" s="15">
        <f>IF(OR(D227&lt;&gt;"",E227&lt;&gt;""),IF(D227="",0,D227)+IF(E227="",0,E227),"")</f>
        <v/>
      </c>
      <c r="G227" s="14" t="inlineStr">
        <is>
          <t>RAMON · Otros · Paws Pet Market · Mercado Pago · ALMACEN SOL</t>
        </is>
      </c>
    </row>
    <row r="228">
      <c r="A228" s="10" t="inlineStr">
        <is>
          <t>TOTAL MAYO</t>
        </is>
      </c>
      <c r="B228" s="22" t="n"/>
      <c r="C228" s="29" t="inlineStr">
        <is>
          <t>Totales mes →</t>
        </is>
      </c>
      <c r="D228" s="7">
        <f>SUMIFS($D$4:$D$800,$A$4:$A$800,"Mayo")</f>
        <v/>
      </c>
      <c r="E228" s="7">
        <f>SUMIFS($E$4:$E$800,$A$4:$A$800,"Mayo")</f>
        <v/>
      </c>
      <c r="F228" s="7">
        <f>D228+E228</f>
        <v/>
      </c>
      <c r="G228" s="22" t="n"/>
    </row>
    <row r="230">
      <c r="A230" s="14" t="inlineStr">
        <is>
          <t>Junio</t>
        </is>
      </c>
      <c r="B230" s="17" t="n">
        <v>46200</v>
      </c>
      <c r="C230" s="14" t="inlineStr">
        <is>
          <t>COMIDA · Open 25</t>
        </is>
      </c>
      <c r="D230" s="27" t="n">
        <v>17000</v>
      </c>
      <c r="E230" s="28" t="n"/>
      <c r="F230" s="15">
        <f>IF(OR(D230&lt;&gt;"",E230&lt;&gt;""),IF(D230="",0,D230)+IF(E230="",0,E230),"")</f>
        <v/>
      </c>
      <c r="G230" s="14" t="inlineStr">
        <is>
          <t>MP · tienda · ex `Open 25`</t>
        </is>
      </c>
    </row>
    <row r="231">
      <c r="A231" s="14" t="inlineStr">
        <is>
          <t>Junio</t>
        </is>
      </c>
      <c r="B231" s="17" t="n">
        <v>46200</v>
      </c>
      <c r="C231" s="14" t="inlineStr">
        <is>
          <t>COMIDA · Confitería Dos Escudos</t>
        </is>
      </c>
      <c r="D231" s="27" t="n">
        <v>40600</v>
      </c>
      <c r="E231" s="28" t="n"/>
      <c r="F231" s="15">
        <f>IF(OR(D231&lt;&gt;"",E231&lt;&gt;""),IF(D231="",0,D231)+IF(E231="",0,E231),"")</f>
        <v/>
      </c>
      <c r="G231" s="14" t="inlineStr">
        <is>
          <t>MP · confitería · ex `Confitería Dos Escudos`</t>
        </is>
      </c>
    </row>
    <row r="232">
      <c r="A232" s="14" t="inlineStr">
        <is>
          <t>Junio</t>
        </is>
      </c>
      <c r="B232" s="17" t="n">
        <v>46199</v>
      </c>
      <c r="C232" s="14" t="inlineStr">
        <is>
          <t>COMIDA · Todo Tartas</t>
        </is>
      </c>
      <c r="D232" s="27" t="n">
        <v>23700</v>
      </c>
      <c r="E232" s="28" t="n"/>
      <c r="F232" s="15">
        <f>IF(OR(D232&lt;&gt;"",E232&lt;&gt;""),IF(D232="",0,D232)+IF(E232="",0,E232),"")</f>
        <v/>
      </c>
      <c r="G232" s="14" t="inlineStr">
        <is>
          <t>MP · panadería · ex `Todo Tartas`</t>
        </is>
      </c>
    </row>
    <row r="233">
      <c r="A233" s="14" t="inlineStr">
        <is>
          <t>Junio</t>
        </is>
      </c>
      <c r="B233" s="17" t="n">
        <v>46197</v>
      </c>
      <c r="C233" s="14" t="inlineStr">
        <is>
          <t>COMIDA · pollo</t>
        </is>
      </c>
      <c r="D233" s="27" t="n">
        <v>17154</v>
      </c>
      <c r="E233" s="28" t="n"/>
      <c r="F233" s="15">
        <f>IF(OR(D233&lt;&gt;"",E233&lt;&gt;""),IF(D233="",0,D233)+IF(E233="",0,E233),"")</f>
        <v/>
      </c>
      <c r="G233" s="14" t="inlineStr">
        <is>
          <t>COMIDA · pollo · MP · pollo</t>
        </is>
      </c>
    </row>
    <row r="234">
      <c r="A234" s="14" t="inlineStr">
        <is>
          <t>Junio</t>
        </is>
      </c>
      <c r="B234" s="17" t="n">
        <v>46195</v>
      </c>
      <c r="C234" s="14" t="inlineStr">
        <is>
          <t>COMIDA · pollo</t>
        </is>
      </c>
      <c r="D234" s="27" t="n">
        <v>40939</v>
      </c>
      <c r="E234" s="28" t="n"/>
      <c r="F234" s="15">
        <f>IF(OR(D234&lt;&gt;"",E234&lt;&gt;""),IF(D234="",0,D234)+IF(E234="",0,E234),"")</f>
        <v/>
      </c>
      <c r="G234" s="14" t="inlineStr">
        <is>
          <t>COMIDA · pollo · MP · pollo</t>
        </is>
      </c>
    </row>
    <row r="235">
      <c r="A235" s="14" t="inlineStr">
        <is>
          <t>Junio</t>
        </is>
      </c>
      <c r="B235" s="17" t="n">
        <v>46193</v>
      </c>
      <c r="C235" s="14" t="inlineStr">
        <is>
          <t>PEDIDOS YA · COMIDA · propina</t>
        </is>
      </c>
      <c r="D235" s="27" t="n">
        <v>1500</v>
      </c>
      <c r="E235" s="28" t="n"/>
      <c r="F235" s="15">
        <f>IF(OR(D235&lt;&gt;"",E235&lt;&gt;""),IF(D235="",0,D235)+IF(E235="",0,E235),"")</f>
        <v/>
      </c>
      <c r="G235" s="14" t="inlineStr">
        <is>
          <t>PEDIDOS YA · COMIDA · propina</t>
        </is>
      </c>
    </row>
    <row r="236">
      <c r="A236" s="14" t="inlineStr">
        <is>
          <t>Junio</t>
        </is>
      </c>
      <c r="B236" s="17" t="n">
        <v>46193</v>
      </c>
      <c r="C236" s="14" t="inlineStr">
        <is>
          <t>PEDIDOS YA · COMIDA</t>
        </is>
      </c>
      <c r="D236" s="27" t="n">
        <v>52902</v>
      </c>
      <c r="E236" s="28" t="n"/>
      <c r="F236" s="15">
        <f>IF(OR(D236&lt;&gt;"",E236&lt;&gt;""),IF(D236="",0,D236)+IF(E236="",0,E236),"")</f>
        <v/>
      </c>
      <c r="G236" s="14" t="inlineStr">
        <is>
          <t>PEDIDOS YA · COMIDA · neto</t>
        </is>
      </c>
    </row>
    <row r="237">
      <c r="A237" s="14" t="inlineStr">
        <is>
          <t>Junio</t>
        </is>
      </c>
      <c r="B237" s="17" t="n">
        <v>46192</v>
      </c>
      <c r="C237" s="14" t="inlineStr">
        <is>
          <t>COMIDA · Todo Tartas</t>
        </is>
      </c>
      <c r="D237" s="27" t="n">
        <v>28000</v>
      </c>
      <c r="E237" s="28" t="n"/>
      <c r="F237" s="15">
        <f>IF(OR(D237&lt;&gt;"",E237&lt;&gt;""),IF(D237="",0,D237)+IF(E237="",0,E237),"")</f>
        <v/>
      </c>
      <c r="G237" s="14" t="inlineStr">
        <is>
          <t>MP · panadería · ex `Todo Tartas`</t>
        </is>
      </c>
    </row>
    <row r="238">
      <c r="A238" s="14" t="inlineStr">
        <is>
          <t>Junio</t>
        </is>
      </c>
      <c r="B238" s="17" t="n">
        <v>46191</v>
      </c>
      <c r="C238" s="14" t="inlineStr">
        <is>
          <t>COMIDA · Tienda De Café</t>
        </is>
      </c>
      <c r="D238" s="27" t="n">
        <v>18700</v>
      </c>
      <c r="E238" s="28" t="n"/>
      <c r="F238" s="15">
        <f>IF(OR(D238&lt;&gt;"",E238&lt;&gt;""),IF(D238="",0,D238)+IF(E238="",0,E238),"")</f>
        <v/>
      </c>
      <c r="G238" s="14" t="inlineStr">
        <is>
          <t>MP · café · ex `Tienda De Café`</t>
        </is>
      </c>
    </row>
    <row r="239">
      <c r="A239" s="14" t="inlineStr">
        <is>
          <t>Junio</t>
        </is>
      </c>
      <c r="B239" s="17" t="n">
        <v>46189</v>
      </c>
      <c r="C239" s="14" t="inlineStr">
        <is>
          <t>PEDIDOS YA · COMIDA</t>
        </is>
      </c>
      <c r="D239" s="27" t="n">
        <v>68899</v>
      </c>
      <c r="E239" s="28" t="n"/>
      <c r="F239" s="15">
        <f>IF(OR(D239&lt;&gt;"",E239&lt;&gt;""),IF(D239="",0,D239)+IF(E239="",0,E239),"")</f>
        <v/>
      </c>
      <c r="G239" s="14" t="inlineStr">
        <is>
          <t>PEDIDOS YA · COMIDA</t>
        </is>
      </c>
    </row>
    <row r="240">
      <c r="A240" s="14" t="inlineStr">
        <is>
          <t>Junio</t>
        </is>
      </c>
      <c r="B240" s="17" t="n">
        <v>46186</v>
      </c>
      <c r="C240" s="14" t="inlineStr">
        <is>
          <t>COMIDA · Todo Tartas</t>
        </is>
      </c>
      <c r="D240" s="27" t="n">
        <v>11700</v>
      </c>
      <c r="E240" s="28" t="n"/>
      <c r="F240" s="15">
        <f>IF(OR(D240&lt;&gt;"",E240&lt;&gt;""),IF(D240="",0,D240)+IF(E240="",0,E240),"")</f>
        <v/>
      </c>
      <c r="G240" s="14" t="inlineStr">
        <is>
          <t>MP · panadería · ex `Todo Tartas`</t>
        </is>
      </c>
    </row>
    <row r="241">
      <c r="A241" s="14" t="inlineStr">
        <is>
          <t>Junio</t>
        </is>
      </c>
      <c r="B241" s="17" t="n">
        <v>46185</v>
      </c>
      <c r="C241" s="14" t="inlineStr">
        <is>
          <t>PEDIDOS YA · COMIDA · propina</t>
        </is>
      </c>
      <c r="D241" s="27" t="n">
        <v>900</v>
      </c>
      <c r="E241" s="28" t="n"/>
      <c r="F241" s="15">
        <f>IF(OR(D241&lt;&gt;"",E241&lt;&gt;""),IF(D241="",0,D241)+IF(E241="",0,E241),"")</f>
        <v/>
      </c>
      <c r="G241" s="14" t="inlineStr">
        <is>
          <t>PEDIDOS YA · COMIDA · propina</t>
        </is>
      </c>
    </row>
    <row r="242">
      <c r="A242" s="14" t="inlineStr">
        <is>
          <t>Junio</t>
        </is>
      </c>
      <c r="B242" s="17" t="n">
        <v>46185</v>
      </c>
      <c r="C242" s="14" t="inlineStr">
        <is>
          <t>PEDIDOS YA · COMIDA</t>
        </is>
      </c>
      <c r="D242" s="27" t="n">
        <v>17189</v>
      </c>
      <c r="E242" s="28" t="n"/>
      <c r="F242" s="15">
        <f>IF(OR(D242&lt;&gt;"",E242&lt;&gt;""),IF(D242="",0,D242)+IF(E242="",0,E242),"")</f>
        <v/>
      </c>
      <c r="G242" s="14" t="inlineStr">
        <is>
          <t>PEDIDOS YA · COMIDA</t>
        </is>
      </c>
    </row>
    <row r="243">
      <c r="A243" s="14" t="inlineStr">
        <is>
          <t>Junio</t>
        </is>
      </c>
      <c r="B243" s="17" t="n">
        <v>46184</v>
      </c>
      <c r="C243" s="14" t="inlineStr">
        <is>
          <t>PEDIDOS YA · COMIDA · propina</t>
        </is>
      </c>
      <c r="D243" s="27" t="n">
        <v>1200</v>
      </c>
      <c r="E243" s="28" t="n"/>
      <c r="F243" s="15">
        <f>IF(OR(D243&lt;&gt;"",E243&lt;&gt;""),IF(D243="",0,D243)+IF(E243="",0,E243),"")</f>
        <v/>
      </c>
      <c r="G243" s="14" t="inlineStr">
        <is>
          <t>PEDIDOS YA · COMIDA · propina</t>
        </is>
      </c>
    </row>
    <row r="244">
      <c r="A244" s="14" t="inlineStr">
        <is>
          <t>Junio</t>
        </is>
      </c>
      <c r="B244" s="17" t="n">
        <v>46184</v>
      </c>
      <c r="C244" s="14" t="inlineStr">
        <is>
          <t>PEDIDOS YA · COMIDA</t>
        </is>
      </c>
      <c r="D244" s="27" t="n">
        <v>28384</v>
      </c>
      <c r="E244" s="28" t="n"/>
      <c r="F244" s="15">
        <f>IF(OR(D244&lt;&gt;"",E244&lt;&gt;""),IF(D244="",0,D244)+IF(E244="",0,E244),"")</f>
        <v/>
      </c>
      <c r="G244" s="14" t="inlineStr">
        <is>
          <t>PEDIDOS YA · COMIDA</t>
        </is>
      </c>
    </row>
    <row r="245">
      <c r="A245" s="14" t="inlineStr">
        <is>
          <t>Junio</t>
        </is>
      </c>
      <c r="B245" s="17" t="n">
        <v>46174</v>
      </c>
      <c r="C245" s="14" t="inlineStr">
        <is>
          <t>COMIDA · Huevos Point</t>
        </is>
      </c>
      <c r="D245" s="27" t="n">
        <v>7500</v>
      </c>
      <c r="E245" s="28" t="n"/>
      <c r="F245" s="15">
        <f>IF(OR(D245&lt;&gt;"",E245&lt;&gt;""),IF(D245="",0,D245)+IF(E245="",0,E245),"")</f>
        <v/>
      </c>
      <c r="G245" s="14" t="inlineStr">
        <is>
          <t>MP · huevos · ex `Huevos Point`</t>
        </is>
      </c>
    </row>
    <row r="246">
      <c r="A246" s="14" t="inlineStr">
        <is>
          <t>Junio</t>
        </is>
      </c>
      <c r="B246" s="17" t="n">
        <v>46176</v>
      </c>
      <c r="C246" s="14" t="inlineStr">
        <is>
          <t>SUPERMERCADO · Carrefour</t>
        </is>
      </c>
      <c r="D246" s="27" t="n">
        <v>23943</v>
      </c>
      <c r="E246" s="28" t="n"/>
      <c r="F246" s="15">
        <f>IF(OR(D246&lt;&gt;"",E246&lt;&gt;""),IF(D246="",0,D246)+IF(E246="",0,E246),"")</f>
        <v/>
      </c>
      <c r="G246" s="14" t="inlineStr">
        <is>
          <t>SUPERMERCADO · Carrefour</t>
        </is>
      </c>
    </row>
    <row r="247">
      <c r="A247" s="14" t="inlineStr">
        <is>
          <t>Junio</t>
        </is>
      </c>
      <c r="B247" s="17" t="n">
        <v>46180</v>
      </c>
      <c r="C247" s="14" t="inlineStr">
        <is>
          <t>SUPERMERCADO · Coto</t>
        </is>
      </c>
      <c r="D247" s="27" t="n">
        <v>348208</v>
      </c>
      <c r="E247" s="28" t="n"/>
      <c r="F247" s="15">
        <f>IF(OR(D247&lt;&gt;"",E247&lt;&gt;""),IF(D247="",0,D247)+IF(E247="",0,E247),"")</f>
        <v/>
      </c>
      <c r="G247" s="14" t="inlineStr">
        <is>
          <t>SUPERMERCADO · Coto · MP Orden de Venta (único pago 7-jun)</t>
        </is>
      </c>
    </row>
    <row r="248">
      <c r="A248" s="14" t="inlineStr">
        <is>
          <t>Junio</t>
        </is>
      </c>
      <c r="B248" s="17" t="n">
        <v>46184</v>
      </c>
      <c r="C248" s="14" t="inlineStr">
        <is>
          <t>COMIDA · Huevos Point</t>
        </is>
      </c>
      <c r="D248" s="27" t="n">
        <v>10500</v>
      </c>
      <c r="E248" s="28" t="n"/>
      <c r="F248" s="15">
        <f>IF(OR(D248&lt;&gt;"",E248&lt;&gt;""),IF(D248="",0,D248)+IF(E248="",0,E248),"")</f>
        <v/>
      </c>
      <c r="G248" s="14" t="inlineStr">
        <is>
          <t>MP · huevos · ex `Huevos Point`</t>
        </is>
      </c>
    </row>
    <row r="249">
      <c r="A249" s="14" t="inlineStr">
        <is>
          <t>Junio</t>
        </is>
      </c>
      <c r="B249" s="17" t="n">
        <v>46194</v>
      </c>
      <c r="C249" s="14" t="inlineStr">
        <is>
          <t>Combustible — Shell</t>
        </is>
      </c>
      <c r="D249" s="27" t="n">
        <v>1648</v>
      </c>
      <c r="E249" s="28" t="n"/>
      <c r="F249" s="15">
        <f>IF(OR(D249&lt;&gt;"",E249&lt;&gt;""),IF(D249="",0,D249)+IF(E249="",0,E249),"")</f>
        <v/>
      </c>
      <c r="G249" s="14" t="inlineStr">
        <is>
          <t>MP · combustible · nafta · combustible</t>
        </is>
      </c>
    </row>
    <row r="250">
      <c r="A250" s="14" t="inlineStr">
        <is>
          <t>Junio</t>
        </is>
      </c>
      <c r="B250" s="17" t="n">
        <v>46186</v>
      </c>
      <c r="C250" s="14" t="inlineStr">
        <is>
          <t>RAMON · Comida</t>
        </is>
      </c>
      <c r="D250" s="27" t="n">
        <v>65000</v>
      </c>
      <c r="E250" s="28" t="n"/>
      <c r="F250" s="15">
        <f>IF(OR(D250&lt;&gt;"",E250&lt;&gt;""),IF(D250="",0,D250)+IF(E250="",0,E250),"")</f>
        <v/>
      </c>
      <c r="G250" s="14" t="inlineStr">
        <is>
          <t>RAMON · Comida · DR BARF · ALMACEN SOL</t>
        </is>
      </c>
    </row>
    <row r="251">
      <c r="A251" s="14" t="inlineStr">
        <is>
          <t>Junio</t>
        </is>
      </c>
      <c r="B251" s="53" t="n">
        <v>46178</v>
      </c>
      <c r="C251" s="14" t="inlineStr">
        <is>
          <t>COMIDA · Le Pain Quotidien</t>
        </is>
      </c>
      <c r="D251" s="27" t="n">
        <v>3432</v>
      </c>
      <c r="E251" s="28" t="n"/>
      <c r="F251" s="15">
        <f>IF(OR(D251&lt;&gt;"",E251&lt;&gt;""),IF(D251="",0,D251)+IF(E251="",0,E251),"")</f>
        <v/>
      </c>
      <c r="G251" s="14" t="inlineStr">
        <is>
          <t>BBVA VISA · ex `COMIDA · MERPAGO*LPQ 757067`</t>
        </is>
      </c>
    </row>
    <row r="252">
      <c r="A252" s="14" t="inlineStr">
        <is>
          <t>Junio</t>
        </is>
      </c>
      <c r="B252" s="53" t="n">
        <v>46185</v>
      </c>
      <c r="C252" s="14" t="inlineStr">
        <is>
          <t>FARMACIA · Farmacity</t>
        </is>
      </c>
      <c r="D252" s="27" t="n">
        <v>85034</v>
      </c>
      <c r="E252" s="28" t="n"/>
      <c r="F252" s="15">
        <f>IF(OR(D252&lt;&gt;"",E252&lt;&gt;""),IF(D252="",0,D252)+IF(E252="",0,E252),"")</f>
        <v/>
      </c>
      <c r="G252" s="14" t="inlineStr">
        <is>
          <t>FARMACIA · Farmacity · TC Mercado Pago · compra 2026-05-29 · cobro resumen 2026-06-12 · ex CASA/FARMACIA matriz</t>
        </is>
      </c>
    </row>
    <row r="253">
      <c r="A253" s="14" t="inlineStr">
        <is>
          <t>Junio</t>
        </is>
      </c>
      <c r="B253" s="17" t="n"/>
      <c r="C253" s="14" t="n"/>
      <c r="D253" s="27" t="n"/>
      <c r="E253" s="28" t="n"/>
      <c r="F253" s="15">
        <f>IF(OR(D238&lt;&gt;"",E238&lt;&gt;""),IF(D238="",0,D238)+IF(E238="",0,E238),"")</f>
        <v/>
      </c>
      <c r="G253" s="14" t="n"/>
    </row>
    <row r="254">
      <c r="A254" s="14" t="inlineStr">
        <is>
          <t>Junio</t>
        </is>
      </c>
      <c r="B254" s="17" t="n"/>
      <c r="C254" s="14" t="n"/>
      <c r="D254" s="27" t="n"/>
      <c r="E254" s="28" t="n"/>
      <c r="F254" s="15">
        <f>IF(OR(D239&lt;&gt;"",E239&lt;&gt;""),IF(D239="",0,D239)+IF(E239="",0,E239),"")</f>
        <v/>
      </c>
      <c r="G254" s="14" t="n"/>
    </row>
    <row r="255">
      <c r="A255" s="14" t="inlineStr">
        <is>
          <t>Junio</t>
        </is>
      </c>
      <c r="B255" s="17" t="n"/>
      <c r="C255" s="14" t="n"/>
      <c r="D255" s="27" t="n"/>
      <c r="E255" s="28" t="n"/>
      <c r="F255" s="15">
        <f>IF(OR(D240&lt;&gt;"",E240&lt;&gt;""),IF(D240="",0,D240)+IF(E240="",0,E240),"")</f>
        <v/>
      </c>
      <c r="G255" s="14" t="n"/>
    </row>
    <row r="256">
      <c r="A256" s="14" t="inlineStr">
        <is>
          <t>Junio</t>
        </is>
      </c>
      <c r="B256" s="17" t="n"/>
      <c r="C256" s="14" t="n"/>
      <c r="D256" s="27" t="n"/>
      <c r="E256" s="28" t="n"/>
      <c r="F256" s="15">
        <f>IF(OR(D241&lt;&gt;"",E241&lt;&gt;""),IF(D241="",0,D241)+IF(E241="",0,E241),"")</f>
        <v/>
      </c>
      <c r="G256" s="14" t="n"/>
    </row>
    <row r="257">
      <c r="A257" s="14" t="inlineStr">
        <is>
          <t>Junio</t>
        </is>
      </c>
      <c r="B257" s="17" t="n"/>
      <c r="C257" s="14" t="n"/>
      <c r="D257" s="27" t="n"/>
      <c r="E257" s="28" t="n"/>
      <c r="F257" s="15">
        <f>IF(OR(D242&lt;&gt;"",E242&lt;&gt;""),IF(D242="",0,D242)+IF(E242="",0,E242),"")</f>
        <v/>
      </c>
      <c r="G257" s="14" t="n"/>
    </row>
    <row r="258">
      <c r="A258" s="14" t="inlineStr">
        <is>
          <t>Junio</t>
        </is>
      </c>
      <c r="B258" s="17" t="n"/>
      <c r="C258" s="14" t="n"/>
      <c r="D258" s="27" t="n"/>
      <c r="E258" s="28" t="n"/>
      <c r="F258" s="15">
        <f>IF(OR(D243&lt;&gt;"",E243&lt;&gt;""),IF(D243="",0,D243)+IF(E243="",0,E243),"")</f>
        <v/>
      </c>
      <c r="G258" s="14" t="n"/>
    </row>
    <row r="259">
      <c r="A259" s="14" t="inlineStr">
        <is>
          <t>Junio</t>
        </is>
      </c>
      <c r="B259" s="17" t="n"/>
      <c r="C259" s="14" t="n"/>
      <c r="D259" s="27" t="n"/>
      <c r="E259" s="28" t="n"/>
      <c r="F259" s="15">
        <f>IF(OR(D244&lt;&gt;"",E244&lt;&gt;""),IF(D244="",0,D244)+IF(E244="",0,E244),"")</f>
        <v/>
      </c>
      <c r="G259" s="14" t="n"/>
    </row>
    <row r="260">
      <c r="A260" s="14" t="inlineStr">
        <is>
          <t>Junio</t>
        </is>
      </c>
      <c r="B260" s="17" t="n"/>
      <c r="C260" s="14" t="n"/>
      <c r="D260" s="27" t="n"/>
      <c r="E260" s="28" t="n"/>
      <c r="F260" s="15">
        <f>IF(OR(D245&lt;&gt;"",E245&lt;&gt;""),IF(D245="",0,D245)+IF(E245="",0,E245),"")</f>
        <v/>
      </c>
      <c r="G260" s="14" t="n"/>
    </row>
    <row r="261">
      <c r="A261" s="14" t="inlineStr">
        <is>
          <t>Junio</t>
        </is>
      </c>
      <c r="B261" s="17" t="n"/>
      <c r="C261" s="14" t="n"/>
      <c r="D261" s="27" t="n"/>
      <c r="E261" s="28" t="n"/>
      <c r="F261" s="15">
        <f>IF(OR(D246&lt;&gt;"",E246&lt;&gt;""),IF(D246="",0,D246)+IF(E246="",0,E246),"")</f>
        <v/>
      </c>
      <c r="G261" s="14" t="n"/>
    </row>
    <row r="262">
      <c r="A262" s="14" t="inlineStr">
        <is>
          <t>Junio</t>
        </is>
      </c>
      <c r="B262" s="17" t="n"/>
      <c r="C262" s="14" t="n"/>
      <c r="D262" s="27" t="n"/>
      <c r="E262" s="28" t="n"/>
      <c r="F262" s="15">
        <f>IF(OR(D247&lt;&gt;"",E247&lt;&gt;""),IF(D247="",0,D247)+IF(E247="",0,E247),"")</f>
        <v/>
      </c>
      <c r="G262" s="14" t="n"/>
    </row>
    <row r="263">
      <c r="A263" s="14" t="inlineStr">
        <is>
          <t>Junio</t>
        </is>
      </c>
      <c r="B263" s="17" t="n"/>
      <c r="C263" s="14" t="n"/>
      <c r="D263" s="27" t="n"/>
      <c r="E263" s="28" t="n"/>
      <c r="F263" s="15">
        <f>IF(OR(D248&lt;&gt;"",E248&lt;&gt;""),IF(D248="",0,D248)+IF(E248="",0,E248),"")</f>
        <v/>
      </c>
      <c r="G263" s="14" t="n"/>
    </row>
    <row r="264">
      <c r="A264" s="14" t="inlineStr">
        <is>
          <t>Junio</t>
        </is>
      </c>
      <c r="B264" s="17" t="n"/>
      <c r="C264" s="14" t="n"/>
      <c r="D264" s="27" t="n"/>
      <c r="E264" s="28" t="n"/>
      <c r="F264" s="15">
        <f>IF(OR(D249&lt;&gt;"",E249&lt;&gt;""),IF(D249="",0,D249)+IF(E249="",0,E249),"")</f>
        <v/>
      </c>
      <c r="G264" s="14" t="n"/>
    </row>
    <row r="265">
      <c r="A265" s="14" t="inlineStr">
        <is>
          <t>Junio</t>
        </is>
      </c>
      <c r="B265" s="17" t="n"/>
      <c r="C265" s="14" t="n"/>
      <c r="D265" s="27" t="n"/>
      <c r="E265" s="28" t="n"/>
      <c r="F265" s="15">
        <f>IF(OR(D250&lt;&gt;"",E250&lt;&gt;""),IF(D250="",0,D250)+IF(E250="",0,E250),"")</f>
        <v/>
      </c>
      <c r="G265" s="14" t="n"/>
    </row>
    <row r="266">
      <c r="A266" s="14" t="inlineStr">
        <is>
          <t>Junio</t>
        </is>
      </c>
      <c r="B266" s="17" t="n"/>
      <c r="C266" s="14" t="n"/>
      <c r="D266" s="27" t="n"/>
      <c r="E266" s="28" t="n"/>
      <c r="F266" s="15">
        <f>IF(OR(D251&lt;&gt;"",E251&lt;&gt;""),IF(D251="",0,D251)+IF(E251="",0,E251),"")</f>
        <v/>
      </c>
      <c r="G266" s="14" t="n"/>
    </row>
    <row r="267">
      <c r="A267" s="14" t="inlineStr">
        <is>
          <t>Junio</t>
        </is>
      </c>
      <c r="B267" s="17" t="n"/>
      <c r="C267" s="14" t="n"/>
      <c r="D267" s="27" t="n"/>
      <c r="E267" s="28" t="n"/>
      <c r="F267" s="15">
        <f>IF(OR(D252&lt;&gt;"",E252&lt;&gt;""),IF(D252="",0,D252)+IF(E252="",0,E252),"")</f>
        <v/>
      </c>
      <c r="G267" s="14" t="n"/>
    </row>
    <row r="268">
      <c r="A268" s="14" t="inlineStr">
        <is>
          <t>Junio</t>
        </is>
      </c>
      <c r="B268" s="17" t="n"/>
      <c r="C268" s="14" t="n"/>
      <c r="D268" s="27" t="n"/>
      <c r="E268" s="28" t="n"/>
      <c r="F268" s="15">
        <f>IF(OR(D253&lt;&gt;"",E253&lt;&gt;""),IF(D253="",0,D253)+IF(E253="",0,E253),"")</f>
        <v/>
      </c>
      <c r="G268" s="14" t="n"/>
    </row>
    <row r="269">
      <c r="A269" s="14" t="inlineStr">
        <is>
          <t>Junio</t>
        </is>
      </c>
      <c r="B269" s="17" t="n">
        <v>46189</v>
      </c>
      <c r="C269" s="14" t="inlineStr">
        <is>
          <t>PEDIDOS YA · COMIDA · propina</t>
        </is>
      </c>
      <c r="D269" s="27" t="n">
        <v>1200</v>
      </c>
      <c r="E269" s="28" t="n"/>
      <c r="F269" s="15">
        <f>IF(OR(D269&lt;&gt;"",E269&lt;&gt;""),IF(D269="",0,D269)+IF(E269="",0,E269),"")</f>
        <v/>
      </c>
      <c r="G269" s="14" t="inlineStr">
        <is>
          <t>PEDIDOS YA · COMIDA · propina · MP cuenta</t>
        </is>
      </c>
    </row>
    <row r="270">
      <c r="A270" s="14" t="inlineStr">
        <is>
          <t>Junio</t>
        </is>
      </c>
      <c r="B270" s="17" t="n">
        <v>46196</v>
      </c>
      <c r="C270" s="14" t="inlineStr">
        <is>
          <t>COMIDA · Buenos Muchachos</t>
        </is>
      </c>
      <c r="D270" s="27" t="n">
        <v>64750</v>
      </c>
      <c r="E270" s="28" t="n"/>
      <c r="F270" s="15">
        <f>IF(OR(D270&lt;&gt;"",E270&lt;&gt;""),IF(D270="",0,D270)+IF(E270="",0,E270),"")</f>
        <v/>
      </c>
      <c r="G270" s="14" t="inlineStr">
        <is>
          <t>COMIDA · Buenos Muchachos Resto · MP cuenta</t>
        </is>
      </c>
    </row>
    <row r="271">
      <c r="A271" s="14" t="inlineStr">
        <is>
          <t>Junio</t>
        </is>
      </c>
      <c r="B271" s="17" t="n">
        <v>46202</v>
      </c>
      <c r="C271" s="14" t="inlineStr">
        <is>
          <t>STREAMING TV</t>
        </is>
      </c>
      <c r="D271" s="27" t="n">
        <v>12900</v>
      </c>
      <c r="E271" s="28" t="n"/>
      <c r="F271" s="15">
        <f>IF(OR(D271&lt;&gt;"",E271&lt;&gt;""),IF(D271="",0,D271)+IF(E271="",0,E271),"")</f>
        <v/>
      </c>
      <c r="G271" s="14" t="inlineStr">
        <is>
          <t>STREAMING TV · Directv streaming · ALMACEN SOL · resumen MP</t>
        </is>
      </c>
    </row>
    <row r="272">
      <c r="A272" s="14" t="inlineStr">
        <is>
          <t>Junio</t>
        </is>
      </c>
      <c r="B272" s="17" t="n">
        <v>46199</v>
      </c>
      <c r="C272" s="14" t="inlineStr">
        <is>
          <t>RAMON · Veterinario</t>
        </is>
      </c>
      <c r="D272" s="27" t="n">
        <v>48600</v>
      </c>
      <c r="E272" s="28" t="n"/>
      <c r="F272" s="15">
        <f>IF(OR(D272&lt;&gt;"",E272&lt;&gt;""),IF(D272="",0,D272)+IF(E272="",0,E272),"")</f>
        <v/>
      </c>
      <c r="G272" s="14" t="inlineStr">
        <is>
          <t>RAMON · Veterinario · Valeria Mele / El Perro Verde · ALMACEN SOL</t>
        </is>
      </c>
    </row>
    <row r="273">
      <c r="A273" s="10" t="inlineStr">
        <is>
          <t>TOTAL JUNIO</t>
        </is>
      </c>
      <c r="B273" s="22" t="n"/>
      <c r="C273" s="29" t="inlineStr">
        <is>
          <t>Totales mes →</t>
        </is>
      </c>
      <c r="D273" s="7">
        <f>SUMIFS($D$4:$D$800,$A$4:$A$800,"Junio")</f>
        <v/>
      </c>
      <c r="E273" s="7">
        <f>SUMIFS($E$4:$E$800,$A$4:$A$800,"Junio")</f>
        <v/>
      </c>
      <c r="F273" s="7">
        <f>D273+E273</f>
        <v/>
      </c>
      <c r="G273" s="22" t="n"/>
    </row>
    <row r="275">
      <c r="A275" s="14" t="inlineStr">
        <is>
          <t>Julio</t>
        </is>
      </c>
      <c r="B275" s="17" t="n">
        <v>46221</v>
      </c>
      <c r="C275" s="14" t="inlineStr">
        <is>
          <t>COMIDA · pollo</t>
        </is>
      </c>
      <c r="D275" s="27" t="n">
        <v>34293</v>
      </c>
      <c r="E275" s="28" t="n"/>
      <c r="F275" s="15">
        <f>IF(OR(D275&lt;&gt;"",E275&lt;&gt;""),IF(D275="",0,D275)+IF(E275="",0,E275),"")</f>
        <v/>
      </c>
      <c r="G275" s="14" t="inlineStr">
        <is>
          <t>COMIDA · pollo · MP · pollo · BBVA Visa crédito</t>
        </is>
      </c>
    </row>
    <row r="276">
      <c r="A276" s="14" t="inlineStr">
        <is>
          <t>Julio</t>
        </is>
      </c>
      <c r="B276" s="17" t="n">
        <v>46220</v>
      </c>
      <c r="C276" s="14" t="inlineStr">
        <is>
          <t>PEDIDOS YA · COMIDA</t>
        </is>
      </c>
      <c r="D276" s="27" t="n">
        <v>73345</v>
      </c>
      <c r="E276" s="28" t="n"/>
      <c r="F276" s="15">
        <f>IF(OR(D276&lt;&gt;"",E276&lt;&gt;""),IF(D276="",0,D276)+IF(E276="",0,E276),"")</f>
        <v/>
      </c>
      <c r="G276" s="14" t="inlineStr">
        <is>
          <t>PEDIDOS YA · COMIDA</t>
        </is>
      </c>
    </row>
    <row r="277">
      <c r="A277" s="14" t="inlineStr">
        <is>
          <t>Julio</t>
        </is>
      </c>
      <c r="B277" s="17" t="n">
        <v>46216</v>
      </c>
      <c r="C277" s="14" t="inlineStr">
        <is>
          <t>COMIDA · Carnes Tito</t>
        </is>
      </c>
      <c r="D277" s="27" t="n">
        <v>8160</v>
      </c>
      <c r="E277" s="28" t="n"/>
      <c r="F277" s="15">
        <f>IF(OR(D277&lt;&gt;"",E277&lt;&gt;""),IF(D277="",0,D277)+IF(E277="",0,E277),"")</f>
        <v/>
      </c>
      <c r="G277" s="14" t="inlineStr">
        <is>
          <t>MP · carnicería · ex `Carnes Tito`</t>
        </is>
      </c>
    </row>
    <row r="278">
      <c r="A278" s="14" t="inlineStr">
        <is>
          <t>Julio</t>
        </is>
      </c>
      <c r="B278" s="17" t="n">
        <v>46214</v>
      </c>
      <c r="C278" s="14" t="inlineStr">
        <is>
          <t>COMIDA · VALENTI SA</t>
        </is>
      </c>
      <c r="D278" s="27" t="n">
        <v>11375</v>
      </c>
      <c r="E278" s="28" t="n"/>
      <c r="F278" s="15">
        <f>IF(OR(D278&lt;&gt;"",E278&lt;&gt;""),IF(D278="",0,D278)+IF(E278="",0,E278),"")</f>
        <v/>
      </c>
      <c r="G278" s="14" t="inlineStr">
        <is>
          <t>COMIDA · VALENTI SA</t>
        </is>
      </c>
    </row>
    <row r="279">
      <c r="A279" s="14" t="inlineStr">
        <is>
          <t>Julio</t>
        </is>
      </c>
      <c r="B279" s="17" t="n">
        <v>46212</v>
      </c>
      <c r="C279" s="14" t="inlineStr">
        <is>
          <t>COMIDA · VALENTI SA</t>
        </is>
      </c>
      <c r="D279" s="27" t="n">
        <v>26400</v>
      </c>
      <c r="E279" s="28" t="n"/>
      <c r="F279" s="15">
        <f>IF(OR(D279&lt;&gt;"",E279&lt;&gt;""),IF(D279="",0,D279)+IF(E279="",0,E279),"")</f>
        <v/>
      </c>
      <c r="G279" s="14" t="inlineStr">
        <is>
          <t>COMIDA · VALENTI SA</t>
        </is>
      </c>
    </row>
    <row r="280">
      <c r="A280" s="14" t="n"/>
      <c r="B280" s="17" t="n"/>
      <c r="C280" s="14" t="n"/>
      <c r="D280" s="27" t="n"/>
      <c r="E280" s="28" t="n"/>
      <c r="F280" s="15" t="n"/>
      <c r="G280" s="14" t="n"/>
    </row>
    <row r="281">
      <c r="A281" s="14" t="inlineStr">
        <is>
          <t>Julio</t>
        </is>
      </c>
      <c r="B281" s="17" t="n">
        <v>46209</v>
      </c>
      <c r="C281" s="14" t="inlineStr">
        <is>
          <t>COMIDA · Le Pain Quotidien</t>
        </is>
      </c>
      <c r="D281" s="27" t="n">
        <v>3295</v>
      </c>
      <c r="E281" s="28" t="n"/>
      <c r="F281" s="15">
        <f>IF(OR(D281&lt;&gt;"",E281&lt;&gt;""),IF(D281="",0,D281)+IF(E281="",0,E281),"")</f>
        <v/>
      </c>
      <c r="G281" s="14" t="inlineStr">
        <is>
          <t>MP · panadería · ex `Le Pain Quotidien`</t>
        </is>
      </c>
    </row>
    <row r="282">
      <c r="A282" s="14" t="inlineStr">
        <is>
          <t>Julio</t>
        </is>
      </c>
      <c r="B282" s="17" t="n">
        <v>46207</v>
      </c>
      <c r="C282" s="14" t="inlineStr">
        <is>
          <t>PEDIDOS YA · COMIDA · propina</t>
        </is>
      </c>
      <c r="D282" s="27" t="n">
        <v>1200</v>
      </c>
      <c r="E282" s="28" t="n"/>
      <c r="F282" s="15">
        <f>IF(OR(D282&lt;&gt;"",E282&lt;&gt;""),IF(D282="",0,D282)+IF(E282="",0,E282),"")</f>
        <v/>
      </c>
      <c r="G282" s="14" t="inlineStr">
        <is>
          <t>PEDIDOS YA · COMIDA · propina</t>
        </is>
      </c>
    </row>
    <row r="283">
      <c r="A283" s="14" t="inlineStr">
        <is>
          <t>Julio</t>
        </is>
      </c>
      <c r="B283" s="17" t="n">
        <v>46207</v>
      </c>
      <c r="C283" s="14" t="inlineStr">
        <is>
          <t>PEDIDOS YA · COMIDA</t>
        </is>
      </c>
      <c r="D283" s="27" t="n">
        <v>31799</v>
      </c>
      <c r="E283" s="28" t="n"/>
      <c r="F283" s="15">
        <f>IF(OR(D283&lt;&gt;"",E283&lt;&gt;""),IF(D283="",0,D283)+IF(E283="",0,E283),"")</f>
        <v/>
      </c>
      <c r="G283" s="14" t="inlineStr">
        <is>
          <t>PEDIDOS YA · COMIDA</t>
        </is>
      </c>
    </row>
    <row r="284">
      <c r="A284" s="14" t="inlineStr">
        <is>
          <t>Julio</t>
        </is>
      </c>
      <c r="B284" s="17" t="n">
        <v>46206</v>
      </c>
      <c r="C284" s="14" t="inlineStr">
        <is>
          <t>COMIDA · Todo Tartas</t>
        </is>
      </c>
      <c r="D284" s="27" t="n">
        <v>9690</v>
      </c>
      <c r="E284" s="28" t="n"/>
      <c r="F284" s="15">
        <f>IF(OR(D284&lt;&gt;"",E284&lt;&gt;""),IF(D284="",0,D284)+IF(E284="",0,E284),"")</f>
        <v/>
      </c>
      <c r="G284" s="14" t="inlineStr">
        <is>
          <t>MP · panadería · ex `Todo Tartas`</t>
        </is>
      </c>
    </row>
    <row r="285">
      <c r="A285" s="14" t="inlineStr">
        <is>
          <t>Julio</t>
        </is>
      </c>
      <c r="B285" s="17" t="n">
        <v>46220</v>
      </c>
      <c r="C285" s="14" t="inlineStr">
        <is>
          <t>COMIDA · Chocolates CHIAZZA</t>
        </is>
      </c>
      <c r="D285" s="27" t="n">
        <v>8000</v>
      </c>
      <c r="E285" s="28" t="n"/>
      <c r="F285" s="15">
        <f>IF(OR(D285&lt;&gt;"",E285&lt;&gt;""),IF(D285="",0,D285)+IF(E285="",0,E285),"")</f>
        <v/>
      </c>
      <c r="G285" s="14" t="inlineStr">
        <is>
          <t>COMIDA · Chocolates CHIAZZA</t>
        </is>
      </c>
    </row>
    <row r="286">
      <c r="A286" s="14" t="inlineStr">
        <is>
          <t>Julio</t>
        </is>
      </c>
      <c r="B286" s="17" t="n">
        <v>46217</v>
      </c>
      <c r="C286" s="14" t="inlineStr">
        <is>
          <t>COMIDA · VERDULERÍA</t>
        </is>
      </c>
      <c r="D286" s="27" t="n">
        <v>8977</v>
      </c>
      <c r="E286" s="28" t="n"/>
      <c r="F286" s="15">
        <f>IF(OR(D286&lt;&gt;"",E286&lt;&gt;""),IF(D286="",0,D286)+IF(E286="",0,E286),"")</f>
        <v/>
      </c>
      <c r="G286" s="14" t="inlineStr">
        <is>
          <t>COMIDA · VERDULERÍA</t>
        </is>
      </c>
    </row>
    <row r="287">
      <c r="A287" s="14" t="inlineStr">
        <is>
          <t>Julio</t>
        </is>
      </c>
      <c r="B287" s="17" t="n">
        <v>46214</v>
      </c>
      <c r="C287" s="14" t="inlineStr">
        <is>
          <t>COMIDA · SUSHI</t>
        </is>
      </c>
      <c r="D287" s="27" t="n">
        <v>195360</v>
      </c>
      <c r="E287" s="28" t="n"/>
      <c r="F287" s="15">
        <f>IF(OR(D287&lt;&gt;"",E287&lt;&gt;""),IF(D287="",0,D287)+IF(E287="",0,E287),"")</f>
        <v/>
      </c>
      <c r="G287" s="14" t="inlineStr">
        <is>
          <t>COMIDA · SUSHI</t>
        </is>
      </c>
    </row>
    <row r="288">
      <c r="A288" s="14" t="inlineStr">
        <is>
          <t>Julio</t>
        </is>
      </c>
      <c r="B288" s="17" t="n"/>
      <c r="C288" s="14" t="n"/>
      <c r="D288" s="27" t="n"/>
      <c r="E288" s="28" t="n"/>
      <c r="F288" s="15">
        <f>IF(OR(D273&lt;&gt;"",E273&lt;&gt;""),IF(D273="",0,D273)+IF(E273="",0,E273),"")</f>
        <v/>
      </c>
      <c r="G288" s="14" t="n"/>
    </row>
    <row r="289">
      <c r="A289" s="14" t="inlineStr">
        <is>
          <t>Julio</t>
        </is>
      </c>
      <c r="B289" s="17" t="n"/>
      <c r="C289" s="14" t="n"/>
      <c r="D289" s="27" t="n"/>
      <c r="E289" s="28" t="n"/>
      <c r="F289" s="15">
        <f>IF(OR(D274&lt;&gt;"",E274&lt;&gt;""),IF(D274="",0,D274)+IF(E274="",0,E274),"")</f>
        <v/>
      </c>
      <c r="G289" s="14" t="n"/>
    </row>
    <row r="290">
      <c r="A290" s="14" t="inlineStr">
        <is>
          <t>Julio</t>
        </is>
      </c>
      <c r="B290" s="17" t="n"/>
      <c r="C290" s="14" t="n"/>
      <c r="D290" s="27" t="n"/>
      <c r="E290" s="28" t="n"/>
      <c r="F290" s="15">
        <f>IF(OR(D275&lt;&gt;"",E275&lt;&gt;""),IF(D275="",0,D275)+IF(E275="",0,E275),"")</f>
        <v/>
      </c>
      <c r="G290" s="14" t="n"/>
    </row>
    <row r="291">
      <c r="A291" s="14" t="inlineStr">
        <is>
          <t>Julio</t>
        </is>
      </c>
      <c r="B291" s="17" t="n"/>
      <c r="C291" s="14" t="n"/>
      <c r="D291" s="27" t="n"/>
      <c r="E291" s="28" t="n"/>
      <c r="F291" s="15">
        <f>IF(OR(D276&lt;&gt;"",E276&lt;&gt;""),IF(D276="",0,D276)+IF(E276="",0,E276),"")</f>
        <v/>
      </c>
      <c r="G291" s="14" t="n"/>
    </row>
    <row r="292">
      <c r="A292" s="14" t="inlineStr">
        <is>
          <t>Julio</t>
        </is>
      </c>
      <c r="B292" s="17" t="n"/>
      <c r="C292" s="14" t="n"/>
      <c r="D292" s="27" t="n"/>
      <c r="E292" s="28" t="n"/>
      <c r="F292" s="15">
        <f>IF(OR(D277&lt;&gt;"",E277&lt;&gt;""),IF(D277="",0,D277)+IF(E277="",0,E277),"")</f>
        <v/>
      </c>
      <c r="G292" s="14" t="n"/>
    </row>
    <row r="293">
      <c r="A293" s="14" t="inlineStr">
        <is>
          <t>Julio</t>
        </is>
      </c>
      <c r="B293" s="17" t="n"/>
      <c r="C293" s="14" t="n"/>
      <c r="D293" s="27" t="n"/>
      <c r="E293" s="28" t="n"/>
      <c r="F293" s="15">
        <f>IF(OR(D278&lt;&gt;"",E278&lt;&gt;""),IF(D278="",0,D278)+IF(E278="",0,E278),"")</f>
        <v/>
      </c>
      <c r="G293" s="14" t="n"/>
    </row>
    <row r="294">
      <c r="A294" s="14" t="inlineStr">
        <is>
          <t>Julio</t>
        </is>
      </c>
      <c r="B294" s="17" t="n"/>
      <c r="C294" s="14" t="n"/>
      <c r="D294" s="27" t="n"/>
      <c r="E294" s="28" t="n"/>
      <c r="F294" s="15">
        <f>IF(OR(D279&lt;&gt;"",E279&lt;&gt;""),IF(D279="",0,D279)+IF(E279="",0,E279),"")</f>
        <v/>
      </c>
      <c r="G294" s="14" t="n"/>
    </row>
    <row r="295">
      <c r="A295" s="14" t="inlineStr">
        <is>
          <t>Julio</t>
        </is>
      </c>
      <c r="B295" s="17" t="n"/>
      <c r="C295" s="14" t="n"/>
      <c r="D295" s="27" t="n"/>
      <c r="E295" s="28" t="n"/>
      <c r="F295" s="15">
        <f>IF(OR(D280&lt;&gt;"",E280&lt;&gt;""),IF(D280="",0,D280)+IF(E280="",0,E280),"")</f>
        <v/>
      </c>
      <c r="G295" s="14" t="n"/>
    </row>
    <row r="296">
      <c r="A296" s="14" t="inlineStr">
        <is>
          <t>Julio</t>
        </is>
      </c>
      <c r="B296" s="17" t="n"/>
      <c r="C296" s="14" t="n"/>
      <c r="D296" s="27" t="n"/>
      <c r="E296" s="28" t="n"/>
      <c r="F296" s="15">
        <f>IF(OR(D281&lt;&gt;"",E281&lt;&gt;""),IF(D281="",0,D281)+IF(E281="",0,E281),"")</f>
        <v/>
      </c>
      <c r="G296" s="14" t="n"/>
    </row>
    <row r="297">
      <c r="A297" s="14" t="inlineStr">
        <is>
          <t>Julio</t>
        </is>
      </c>
      <c r="B297" s="17" t="n"/>
      <c r="C297" s="14" t="n"/>
      <c r="D297" s="27" t="n"/>
      <c r="E297" s="28" t="n"/>
      <c r="F297" s="15">
        <f>IF(OR(D282&lt;&gt;"",E282&lt;&gt;""),IF(D282="",0,D282)+IF(E282="",0,E282),"")</f>
        <v/>
      </c>
      <c r="G297" s="14" t="n"/>
    </row>
    <row r="298">
      <c r="A298" s="14" t="inlineStr">
        <is>
          <t>Julio</t>
        </is>
      </c>
      <c r="B298" s="17" t="n"/>
      <c r="C298" s="14" t="n"/>
      <c r="D298" s="27" t="n"/>
      <c r="E298" s="28" t="n"/>
      <c r="F298" s="15">
        <f>IF(OR(D283&lt;&gt;"",E283&lt;&gt;""),IF(D283="",0,D283)+IF(E283="",0,E283),"")</f>
        <v/>
      </c>
      <c r="G298" s="14" t="n"/>
    </row>
    <row r="299">
      <c r="A299" s="14" t="inlineStr">
        <is>
          <t>Julio</t>
        </is>
      </c>
      <c r="B299" s="17" t="n"/>
      <c r="C299" s="14" t="n"/>
      <c r="D299" s="27" t="n"/>
      <c r="E299" s="28" t="n"/>
      <c r="F299" s="15">
        <f>IF(OR(D284&lt;&gt;"",E284&lt;&gt;""),IF(D284="",0,D284)+IF(E284="",0,E284),"")</f>
        <v/>
      </c>
      <c r="G299" s="14" t="n"/>
    </row>
    <row r="300">
      <c r="A300" s="14" t="inlineStr">
        <is>
          <t>Julio</t>
        </is>
      </c>
      <c r="B300" s="17" t="n"/>
      <c r="C300" s="14" t="n"/>
      <c r="D300" s="27" t="n"/>
      <c r="E300" s="28" t="n"/>
      <c r="F300" s="15">
        <f>IF(OR(D285&lt;&gt;"",E285&lt;&gt;""),IF(D285="",0,D285)+IF(E285="",0,E285),"")</f>
        <v/>
      </c>
      <c r="G300" s="14" t="n"/>
    </row>
    <row r="301">
      <c r="A301" s="14" t="inlineStr">
        <is>
          <t>Julio</t>
        </is>
      </c>
      <c r="B301" s="17" t="n"/>
      <c r="C301" s="14" t="n"/>
      <c r="D301" s="27" t="n"/>
      <c r="E301" s="28" t="n"/>
      <c r="F301" s="15">
        <f>IF(OR(D286&lt;&gt;"",E286&lt;&gt;""),IF(D286="",0,D286)+IF(E286="",0,E286),"")</f>
        <v/>
      </c>
      <c r="G301" s="14" t="n"/>
    </row>
    <row r="302">
      <c r="A302" s="14" t="inlineStr">
        <is>
          <t>Julio</t>
        </is>
      </c>
      <c r="B302" s="17" t="n"/>
      <c r="C302" s="14" t="n"/>
      <c r="D302" s="27" t="n"/>
      <c r="E302" s="28" t="n"/>
      <c r="F302" s="15">
        <f>IF(OR(D287&lt;&gt;"",E287&lt;&gt;""),IF(D287="",0,D287)+IF(E287="",0,E287),"")</f>
        <v/>
      </c>
      <c r="G302" s="14" t="n"/>
    </row>
    <row r="303">
      <c r="A303" s="14" t="inlineStr">
        <is>
          <t>Julio</t>
        </is>
      </c>
      <c r="B303" s="17" t="n"/>
      <c r="C303" s="14" t="n"/>
      <c r="D303" s="27" t="n"/>
      <c r="E303" s="28" t="n"/>
      <c r="F303" s="15">
        <f>IF(OR(D288&lt;&gt;"",E288&lt;&gt;""),IF(D288="",0,D288)+IF(E288="",0,E288),"")</f>
        <v/>
      </c>
      <c r="G303" s="14" t="n"/>
    </row>
    <row r="304">
      <c r="A304" s="14" t="inlineStr">
        <is>
          <t>Julio</t>
        </is>
      </c>
      <c r="B304" s="17" t="n"/>
      <c r="C304" s="14" t="n"/>
      <c r="D304" s="27" t="n"/>
      <c r="E304" s="28" t="n"/>
      <c r="F304" s="15">
        <f>IF(OR(D289&lt;&gt;"",E289&lt;&gt;""),IF(D289="",0,D289)+IF(E289="",0,E289),"")</f>
        <v/>
      </c>
      <c r="G304" s="14" t="n"/>
    </row>
    <row r="305">
      <c r="A305" s="14" t="inlineStr">
        <is>
          <t>Julio</t>
        </is>
      </c>
      <c r="B305" s="17" t="n"/>
      <c r="C305" s="14" t="n"/>
      <c r="D305" s="27" t="n"/>
      <c r="E305" s="28" t="n"/>
      <c r="F305" s="15">
        <f>IF(OR(D290&lt;&gt;"",E290&lt;&gt;""),IF(D290="",0,D290)+IF(E290="",0,E290),"")</f>
        <v/>
      </c>
      <c r="G305" s="14" t="n"/>
    </row>
    <row r="306">
      <c r="A306" s="14" t="inlineStr">
        <is>
          <t>Julio</t>
        </is>
      </c>
      <c r="B306" s="17" t="n"/>
      <c r="C306" s="14" t="n"/>
      <c r="D306" s="27" t="n"/>
      <c r="E306" s="28" t="n"/>
      <c r="F306" s="15">
        <f>IF(OR(D291&lt;&gt;"",E291&lt;&gt;""),IF(D291="",0,D291)+IF(E291="",0,E291),"")</f>
        <v/>
      </c>
      <c r="G306" s="14" t="n"/>
    </row>
    <row r="307">
      <c r="A307" s="14" t="inlineStr">
        <is>
          <t>Julio</t>
        </is>
      </c>
      <c r="B307" s="17" t="n"/>
      <c r="C307" s="14" t="n"/>
      <c r="D307" s="27" t="n"/>
      <c r="E307" s="28" t="n"/>
      <c r="F307" s="15">
        <f>IF(OR(D292&lt;&gt;"",E292&lt;&gt;""),IF(D292="",0,D292)+IF(E292="",0,E292),"")</f>
        <v/>
      </c>
      <c r="G307" s="14" t="n"/>
    </row>
    <row r="308">
      <c r="A308" s="14" t="inlineStr">
        <is>
          <t>Julio</t>
        </is>
      </c>
      <c r="B308" s="17" t="n"/>
      <c r="C308" s="14" t="n"/>
      <c r="D308" s="27" t="n"/>
      <c r="E308" s="28" t="n"/>
      <c r="F308" s="15">
        <f>IF(OR(D293&lt;&gt;"",E293&lt;&gt;""),IF(D293="",0,D293)+IF(E293="",0,E293),"")</f>
        <v/>
      </c>
      <c r="G308" s="14" t="n"/>
    </row>
    <row r="309">
      <c r="A309" s="14" t="inlineStr">
        <is>
          <t>Julio</t>
        </is>
      </c>
      <c r="B309" s="17" t="n"/>
      <c r="C309" s="14" t="n"/>
      <c r="D309" s="27" t="n"/>
      <c r="E309" s="28" t="n"/>
      <c r="F309" s="15">
        <f>IF(OR(D294&lt;&gt;"",E294&lt;&gt;""),IF(D294="",0,D294)+IF(E294="",0,E294),"")</f>
        <v/>
      </c>
      <c r="G309" s="14" t="n"/>
    </row>
    <row r="310">
      <c r="A310" s="14" t="inlineStr">
        <is>
          <t>Julio</t>
        </is>
      </c>
      <c r="B310" s="17" t="n"/>
      <c r="C310" s="14" t="n"/>
      <c r="D310" s="27" t="n"/>
      <c r="E310" s="28" t="n"/>
      <c r="F310" s="15">
        <f>IF(OR(D295&lt;&gt;"",E295&lt;&gt;""),IF(D295="",0,D295)+IF(E295="",0,E295),"")</f>
        <v/>
      </c>
      <c r="G310" s="14" t="n"/>
    </row>
    <row r="311">
      <c r="A311" s="14" t="inlineStr">
        <is>
          <t>Julio</t>
        </is>
      </c>
      <c r="B311" s="17" t="n">
        <v>46205</v>
      </c>
      <c r="C311" s="14" t="inlineStr">
        <is>
          <t>RAMON · Veterinario</t>
        </is>
      </c>
      <c r="D311" s="27" t="n">
        <v>106650</v>
      </c>
      <c r="E311" s="28" t="n"/>
      <c r="F311" s="15">
        <f>IF(OR(D311&lt;&gt;"",E311&lt;&gt;""),IF(D311="",0,D311)+IF(E311="",0,E311),"")</f>
        <v/>
      </c>
      <c r="G311" s="14" t="inlineStr">
        <is>
          <t>RAMON · Veterinario · Valeria Mele / El Perro Verde · ALMACEN SOL</t>
        </is>
      </c>
    </row>
    <row r="312">
      <c r="A312" s="10" t="inlineStr">
        <is>
          <t>TOTAL JULIO</t>
        </is>
      </c>
      <c r="B312" s="22" t="n"/>
      <c r="C312" s="29" t="inlineStr">
        <is>
          <t>Totales mes →</t>
        </is>
      </c>
      <c r="D312" s="7">
        <f>SUMIFS($D$4:$D$800,$A$4:$A$800,"Julio")</f>
        <v/>
      </c>
      <c r="E312" s="7">
        <f>SUMIFS($E$4:$E$800,$A$4:$A$800,"Julio")</f>
        <v/>
      </c>
      <c r="F312" s="7">
        <f>D312+E312</f>
        <v/>
      </c>
      <c r="G312" s="22" t="n"/>
    </row>
    <row r="314">
      <c r="A314" s="14" t="inlineStr">
        <is>
          <t>Agosto</t>
        </is>
      </c>
      <c r="B314" s="17" t="n"/>
      <c r="C314" s="14" t="n"/>
      <c r="D314" s="27" t="n"/>
      <c r="E314" s="28" t="n"/>
      <c r="F314" s="15">
        <f>IF(OR(D298&lt;&gt;"",E298&lt;&gt;""),IF(D298="",0,D298)+IF(E298="",0,E298),"")</f>
        <v/>
      </c>
      <c r="G314" s="14" t="n"/>
    </row>
    <row r="315">
      <c r="A315" s="14" t="inlineStr">
        <is>
          <t>Agosto</t>
        </is>
      </c>
      <c r="B315" s="17" t="n"/>
      <c r="C315" s="14" t="n"/>
      <c r="D315" s="27" t="n"/>
      <c r="E315" s="28" t="n"/>
      <c r="F315" s="15">
        <f>IF(OR(D299&lt;&gt;"",E299&lt;&gt;""),IF(D299="",0,D299)+IF(E299="",0,E299),"")</f>
        <v/>
      </c>
      <c r="G315" s="14" t="n"/>
    </row>
    <row r="316">
      <c r="A316" s="14" t="inlineStr">
        <is>
          <t>Agosto</t>
        </is>
      </c>
      <c r="B316" s="17" t="n"/>
      <c r="C316" s="14" t="n"/>
      <c r="D316" s="27" t="n"/>
      <c r="E316" s="28" t="n"/>
      <c r="F316" s="15">
        <f>IF(OR(D300&lt;&gt;"",E300&lt;&gt;""),IF(D300="",0,D300)+IF(E300="",0,E300),"")</f>
        <v/>
      </c>
      <c r="G316" s="14" t="n"/>
    </row>
    <row r="317">
      <c r="A317" s="14" t="inlineStr">
        <is>
          <t>Agosto</t>
        </is>
      </c>
      <c r="B317" s="17" t="n"/>
      <c r="C317" s="14" t="n"/>
      <c r="D317" s="27" t="n"/>
      <c r="E317" s="28" t="n"/>
      <c r="F317" s="15">
        <f>IF(OR(D301&lt;&gt;"",E301&lt;&gt;""),IF(D301="",0,D301)+IF(E301="",0,E301),"")</f>
        <v/>
      </c>
      <c r="G317" s="14" t="n"/>
    </row>
    <row r="318">
      <c r="A318" s="14" t="inlineStr">
        <is>
          <t>Agosto</t>
        </is>
      </c>
      <c r="B318" s="17" t="n"/>
      <c r="C318" s="14" t="n"/>
      <c r="D318" s="27" t="n"/>
      <c r="E318" s="28" t="n"/>
      <c r="F318" s="15">
        <f>IF(OR(D302&lt;&gt;"",E302&lt;&gt;""),IF(D302="",0,D302)+IF(E302="",0,E302),"")</f>
        <v/>
      </c>
      <c r="G318" s="14" t="n"/>
    </row>
    <row r="319">
      <c r="A319" s="14" t="inlineStr">
        <is>
          <t>Agosto</t>
        </is>
      </c>
      <c r="B319" s="17" t="n"/>
      <c r="C319" s="14" t="n"/>
      <c r="D319" s="27" t="n"/>
      <c r="E319" s="28" t="n"/>
      <c r="F319" s="15">
        <f>IF(OR(D303&lt;&gt;"",E303&lt;&gt;""),IF(D303="",0,D303)+IF(E303="",0,E303),"")</f>
        <v/>
      </c>
      <c r="G319" s="14" t="n"/>
    </row>
    <row r="320">
      <c r="A320" s="14" t="inlineStr">
        <is>
          <t>Agosto</t>
        </is>
      </c>
      <c r="B320" s="17" t="n"/>
      <c r="C320" s="14" t="n"/>
      <c r="D320" s="27" t="n"/>
      <c r="E320" s="28" t="n"/>
      <c r="F320" s="15">
        <f>IF(OR(D304&lt;&gt;"",E304&lt;&gt;""),IF(D304="",0,D304)+IF(E304="",0,E304),"")</f>
        <v/>
      </c>
      <c r="G320" s="14" t="n"/>
    </row>
    <row r="321">
      <c r="A321" s="14" t="inlineStr">
        <is>
          <t>Agosto</t>
        </is>
      </c>
      <c r="B321" s="17" t="n"/>
      <c r="C321" s="14" t="n"/>
      <c r="D321" s="27" t="n"/>
      <c r="E321" s="28" t="n"/>
      <c r="F321" s="15">
        <f>IF(OR(D305&lt;&gt;"",E305&lt;&gt;""),IF(D305="",0,D305)+IF(E305="",0,E305),"")</f>
        <v/>
      </c>
      <c r="G321" s="14" t="n"/>
    </row>
    <row r="322">
      <c r="A322" s="14" t="inlineStr">
        <is>
          <t>Agosto</t>
        </is>
      </c>
      <c r="B322" s="17" t="n"/>
      <c r="C322" s="14" t="n"/>
      <c r="D322" s="27" t="n"/>
      <c r="E322" s="28" t="n"/>
      <c r="F322" s="15">
        <f>IF(OR(D306&lt;&gt;"",E306&lt;&gt;""),IF(D306="",0,D306)+IF(E306="",0,E306),"")</f>
        <v/>
      </c>
      <c r="G322" s="14" t="n"/>
    </row>
    <row r="323">
      <c r="A323" s="14" t="inlineStr">
        <is>
          <t>Agosto</t>
        </is>
      </c>
      <c r="B323" s="17" t="n"/>
      <c r="C323" s="14" t="n"/>
      <c r="D323" s="27" t="n"/>
      <c r="E323" s="28" t="n"/>
      <c r="F323" s="15">
        <f>IF(OR(D307&lt;&gt;"",E307&lt;&gt;""),IF(D307="",0,D307)+IF(E307="",0,E307),"")</f>
        <v/>
      </c>
      <c r="G323" s="14" t="n"/>
    </row>
    <row r="324">
      <c r="A324" s="14" t="inlineStr">
        <is>
          <t>Agosto</t>
        </is>
      </c>
      <c r="B324" s="17" t="n"/>
      <c r="C324" s="14" t="n"/>
      <c r="D324" s="27" t="n"/>
      <c r="E324" s="28" t="n"/>
      <c r="F324" s="15">
        <f>IF(OR(D308&lt;&gt;"",E308&lt;&gt;""),IF(D308="",0,D308)+IF(E308="",0,E308),"")</f>
        <v/>
      </c>
      <c r="G324" s="14" t="n"/>
    </row>
    <row r="325">
      <c r="A325" s="14" t="inlineStr">
        <is>
          <t>Agosto</t>
        </is>
      </c>
      <c r="B325" s="17" t="n"/>
      <c r="C325" s="14" t="n"/>
      <c r="D325" s="27" t="n"/>
      <c r="E325" s="28" t="n"/>
      <c r="F325" s="15">
        <f>IF(OR(D309&lt;&gt;"",E309&lt;&gt;""),IF(D309="",0,D309)+IF(E309="",0,E309),"")</f>
        <v/>
      </c>
      <c r="G325" s="14" t="n"/>
    </row>
    <row r="326">
      <c r="A326" s="14" t="inlineStr">
        <is>
          <t>Agosto</t>
        </is>
      </c>
      <c r="B326" s="17" t="n"/>
      <c r="C326" s="14" t="n"/>
      <c r="D326" s="27" t="n"/>
      <c r="E326" s="28" t="n"/>
      <c r="F326" s="15">
        <f>IF(OR(D310&lt;&gt;"",E310&lt;&gt;""),IF(D310="",0,D310)+IF(E310="",0,E310),"")</f>
        <v/>
      </c>
      <c r="G326" s="14" t="n"/>
    </row>
    <row r="327">
      <c r="A327" s="14" t="inlineStr">
        <is>
          <t>Agosto</t>
        </is>
      </c>
      <c r="B327" s="17" t="n"/>
      <c r="C327" s="14" t="n"/>
      <c r="D327" s="27" t="n"/>
      <c r="E327" s="28" t="n"/>
      <c r="F327" s="15">
        <f>IF(OR(D311&lt;&gt;"",E311&lt;&gt;""),IF(D311="",0,D311)+IF(E311="",0,E311),"")</f>
        <v/>
      </c>
      <c r="G327" s="14" t="n"/>
    </row>
    <row r="328">
      <c r="A328" s="14" t="inlineStr">
        <is>
          <t>Agosto</t>
        </is>
      </c>
      <c r="B328" s="17" t="n"/>
      <c r="C328" s="14" t="n"/>
      <c r="D328" s="27" t="n"/>
      <c r="E328" s="28" t="n"/>
      <c r="F328" s="15">
        <f>IF(OR(D312&lt;&gt;"",E312&lt;&gt;""),IF(D312="",0,D312)+IF(E312="",0,E312),"")</f>
        <v/>
      </c>
      <c r="G328" s="14" t="n"/>
    </row>
    <row r="329">
      <c r="A329" s="14" t="inlineStr">
        <is>
          <t>Agosto</t>
        </is>
      </c>
      <c r="B329" s="17" t="n"/>
      <c r="C329" s="14" t="n"/>
      <c r="D329" s="27" t="n"/>
      <c r="E329" s="28" t="n"/>
      <c r="F329" s="15">
        <f>IF(OR(D313&lt;&gt;"",E313&lt;&gt;""),IF(D313="",0,D313)+IF(E313="",0,E313),"")</f>
        <v/>
      </c>
      <c r="G329" s="14" t="n"/>
    </row>
    <row r="330">
      <c r="A330" s="14" t="inlineStr">
        <is>
          <t>Agosto</t>
        </is>
      </c>
      <c r="B330" s="17" t="n"/>
      <c r="C330" s="14" t="n"/>
      <c r="D330" s="27" t="n"/>
      <c r="E330" s="28" t="n"/>
      <c r="F330" s="15">
        <f>IF(OR(D314&lt;&gt;"",E314&lt;&gt;""),IF(D314="",0,D314)+IF(E314="",0,E314),"")</f>
        <v/>
      </c>
      <c r="G330" s="14" t="n"/>
    </row>
    <row r="331">
      <c r="A331" s="14" t="inlineStr">
        <is>
          <t>Agosto</t>
        </is>
      </c>
      <c r="B331" s="17" t="n"/>
      <c r="C331" s="14" t="n"/>
      <c r="D331" s="27" t="n"/>
      <c r="E331" s="28" t="n"/>
      <c r="F331" s="15">
        <f>IF(OR(D315&lt;&gt;"",E315&lt;&gt;""),IF(D315="",0,D315)+IF(E315="",0,E315),"")</f>
        <v/>
      </c>
      <c r="G331" s="14" t="n"/>
    </row>
    <row r="332">
      <c r="A332" s="14" t="inlineStr">
        <is>
          <t>Agosto</t>
        </is>
      </c>
      <c r="B332" s="17" t="n"/>
      <c r="C332" s="14" t="n"/>
      <c r="D332" s="27" t="n"/>
      <c r="E332" s="28" t="n"/>
      <c r="F332" s="15">
        <f>IF(OR(D316&lt;&gt;"",E316&lt;&gt;""),IF(D316="",0,D316)+IF(E316="",0,E316),"")</f>
        <v/>
      </c>
      <c r="G332" s="14" t="n"/>
    </row>
    <row r="333">
      <c r="A333" s="14" t="inlineStr">
        <is>
          <t>Agosto</t>
        </is>
      </c>
      <c r="B333" s="17" t="n"/>
      <c r="C333" s="14" t="n"/>
      <c r="D333" s="27" t="n"/>
      <c r="E333" s="28" t="n"/>
      <c r="F333" s="15">
        <f>IF(OR(D317&lt;&gt;"",E317&lt;&gt;""),IF(D317="",0,D317)+IF(E317="",0,E317),"")</f>
        <v/>
      </c>
      <c r="G333" s="14" t="n"/>
    </row>
    <row r="334">
      <c r="A334" s="14" t="inlineStr">
        <is>
          <t>Agosto</t>
        </is>
      </c>
      <c r="B334" s="17" t="n"/>
      <c r="C334" s="14" t="n"/>
      <c r="D334" s="27" t="n"/>
      <c r="E334" s="28" t="n"/>
      <c r="F334" s="15">
        <f>IF(OR(D318&lt;&gt;"",E318&lt;&gt;""),IF(D318="",0,D318)+IF(E318="",0,E318),"")</f>
        <v/>
      </c>
      <c r="G334" s="14" t="n"/>
    </row>
    <row r="335">
      <c r="A335" s="14" t="inlineStr">
        <is>
          <t>Agosto</t>
        </is>
      </c>
      <c r="B335" s="17" t="n"/>
      <c r="C335" s="14" t="n"/>
      <c r="D335" s="27" t="n"/>
      <c r="E335" s="28" t="n"/>
      <c r="F335" s="15">
        <f>IF(OR(D319&lt;&gt;"",E319&lt;&gt;""),IF(D319="",0,D319)+IF(E319="",0,E319),"")</f>
        <v/>
      </c>
      <c r="G335" s="14" t="n"/>
    </row>
    <row r="336">
      <c r="A336" s="14" t="inlineStr">
        <is>
          <t>Agosto</t>
        </is>
      </c>
      <c r="B336" s="17" t="n"/>
      <c r="C336" s="14" t="n"/>
      <c r="D336" s="27" t="n"/>
      <c r="E336" s="28" t="n"/>
      <c r="F336" s="15">
        <f>IF(OR(D320&lt;&gt;"",E320&lt;&gt;""),IF(D320="",0,D320)+IF(E320="",0,E320),"")</f>
        <v/>
      </c>
      <c r="G336" s="14" t="n"/>
    </row>
    <row r="337">
      <c r="A337" s="14" t="inlineStr">
        <is>
          <t>Agosto</t>
        </is>
      </c>
      <c r="B337" s="17" t="n"/>
      <c r="C337" s="14" t="n"/>
      <c r="D337" s="27" t="n"/>
      <c r="E337" s="28" t="n"/>
      <c r="F337" s="15">
        <f>IF(OR(D321&lt;&gt;"",E321&lt;&gt;""),IF(D321="",0,D321)+IF(E321="",0,E321),"")</f>
        <v/>
      </c>
      <c r="G337" s="14" t="n"/>
    </row>
    <row r="338">
      <c r="A338" s="14" t="inlineStr">
        <is>
          <t>Agosto</t>
        </is>
      </c>
      <c r="B338" s="17" t="n"/>
      <c r="C338" s="14" t="n"/>
      <c r="D338" s="27" t="n"/>
      <c r="E338" s="28" t="n"/>
      <c r="F338" s="15">
        <f>IF(OR(D322&lt;&gt;"",E322&lt;&gt;""),IF(D322="",0,D322)+IF(E322="",0,E322),"")</f>
        <v/>
      </c>
      <c r="G338" s="14" t="n"/>
    </row>
    <row r="339">
      <c r="A339" s="14" t="inlineStr">
        <is>
          <t>Agosto</t>
        </is>
      </c>
      <c r="B339" s="17" t="n"/>
      <c r="C339" s="14" t="n"/>
      <c r="D339" s="27" t="n"/>
      <c r="E339" s="28" t="n"/>
      <c r="F339" s="15">
        <f>IF(OR(D323&lt;&gt;"",E323&lt;&gt;""),IF(D323="",0,D323)+IF(E323="",0,E323),"")</f>
        <v/>
      </c>
      <c r="G339" s="14" t="n"/>
    </row>
    <row r="340">
      <c r="A340" s="14" t="inlineStr">
        <is>
          <t>Agosto</t>
        </is>
      </c>
      <c r="B340" s="17" t="n"/>
      <c r="C340" s="14" t="n"/>
      <c r="D340" s="27" t="n"/>
      <c r="E340" s="28" t="n"/>
      <c r="F340" s="15">
        <f>IF(OR(D324&lt;&gt;"",E324&lt;&gt;""),IF(D324="",0,D324)+IF(E324="",0,E324),"")</f>
        <v/>
      </c>
      <c r="G340" s="14" t="n"/>
    </row>
    <row r="341">
      <c r="A341" s="14" t="inlineStr">
        <is>
          <t>Agosto</t>
        </is>
      </c>
      <c r="B341" s="17" t="n"/>
      <c r="C341" s="14" t="n"/>
      <c r="D341" s="27" t="n"/>
      <c r="E341" s="28" t="n"/>
      <c r="F341" s="15">
        <f>IF(OR(D325&lt;&gt;"",E325&lt;&gt;""),IF(D325="",0,D325)+IF(E325="",0,E325),"")</f>
        <v/>
      </c>
      <c r="G341" s="14" t="n"/>
    </row>
    <row r="342">
      <c r="A342" s="14" t="inlineStr">
        <is>
          <t>Agosto</t>
        </is>
      </c>
      <c r="B342" s="17" t="n"/>
      <c r="C342" s="14" t="n"/>
      <c r="D342" s="27" t="n"/>
      <c r="E342" s="28" t="n"/>
      <c r="F342" s="15">
        <f>IF(OR(D326&lt;&gt;"",E326&lt;&gt;""),IF(D326="",0,D326)+IF(E326="",0,E326),"")</f>
        <v/>
      </c>
      <c r="G342" s="14" t="n"/>
    </row>
    <row r="343">
      <c r="A343" s="14" t="inlineStr">
        <is>
          <t>Agosto</t>
        </is>
      </c>
      <c r="B343" s="17" t="n"/>
      <c r="C343" s="14" t="n"/>
      <c r="D343" s="27" t="n"/>
      <c r="E343" s="28" t="n"/>
      <c r="F343" s="15">
        <f>IF(OR(D327&lt;&gt;"",E327&lt;&gt;""),IF(D327="",0,D327)+IF(E327="",0,E327),"")</f>
        <v/>
      </c>
      <c r="G343" s="14" t="n"/>
    </row>
    <row r="344">
      <c r="A344" s="14" t="inlineStr">
        <is>
          <t>Agosto</t>
        </is>
      </c>
      <c r="B344" s="17" t="n"/>
      <c r="C344" s="14" t="n"/>
      <c r="D344" s="27" t="n"/>
      <c r="E344" s="28" t="n"/>
      <c r="F344" s="15">
        <f>IF(OR(D328&lt;&gt;"",E328&lt;&gt;""),IF(D328="",0,D328)+IF(E328="",0,E328),"")</f>
        <v/>
      </c>
      <c r="G344" s="14" t="n"/>
    </row>
    <row r="345">
      <c r="A345" s="14" t="inlineStr">
        <is>
          <t>Agosto</t>
        </is>
      </c>
      <c r="B345" s="17" t="n"/>
      <c r="C345" s="14" t="n"/>
      <c r="D345" s="27" t="n"/>
      <c r="E345" s="28" t="n"/>
      <c r="F345" s="15">
        <f>IF(OR(D329&lt;&gt;"",E329&lt;&gt;""),IF(D329="",0,D329)+IF(E329="",0,E329),"")</f>
        <v/>
      </c>
      <c r="G345" s="14" t="n"/>
    </row>
    <row r="346">
      <c r="A346" s="14" t="inlineStr">
        <is>
          <t>Agosto</t>
        </is>
      </c>
      <c r="B346" s="17" t="n"/>
      <c r="C346" s="14" t="n"/>
      <c r="D346" s="27" t="n"/>
      <c r="E346" s="28" t="n"/>
      <c r="F346" s="15">
        <f>IF(OR(D330&lt;&gt;"",E330&lt;&gt;""),IF(D330="",0,D330)+IF(E330="",0,E330),"")</f>
        <v/>
      </c>
      <c r="G346" s="14" t="n"/>
    </row>
    <row r="347">
      <c r="A347" s="14" t="inlineStr">
        <is>
          <t>Agosto</t>
        </is>
      </c>
      <c r="B347" s="17" t="n"/>
      <c r="C347" s="14" t="n"/>
      <c r="D347" s="27" t="n"/>
      <c r="E347" s="28" t="n"/>
      <c r="F347" s="15">
        <f>IF(OR(D331&lt;&gt;"",E331&lt;&gt;""),IF(D331="",0,D331)+IF(E331="",0,E331),"")</f>
        <v/>
      </c>
      <c r="G347" s="14" t="n"/>
    </row>
    <row r="348">
      <c r="A348" s="14" t="inlineStr">
        <is>
          <t>Agosto</t>
        </is>
      </c>
      <c r="B348" s="17" t="n"/>
      <c r="C348" s="14" t="n"/>
      <c r="D348" s="27" t="n"/>
      <c r="E348" s="28" t="n"/>
      <c r="F348" s="15">
        <f>IF(OR(D332&lt;&gt;"",E332&lt;&gt;""),IF(D332="",0,D332)+IF(E332="",0,E332),"")</f>
        <v/>
      </c>
      <c r="G348" s="14" t="n"/>
    </row>
    <row r="349">
      <c r="A349" s="14" t="inlineStr">
        <is>
          <t>Agosto</t>
        </is>
      </c>
      <c r="B349" s="17" t="n"/>
      <c r="C349" s="14" t="n"/>
      <c r="D349" s="27" t="n"/>
      <c r="E349" s="28" t="n"/>
      <c r="F349" s="15">
        <f>IF(OR(D333&lt;&gt;"",E333&lt;&gt;""),IF(D333="",0,D333)+IF(E333="",0,E333),"")</f>
        <v/>
      </c>
      <c r="G349" s="14" t="n"/>
    </row>
    <row r="350">
      <c r="A350" s="14" t="inlineStr">
        <is>
          <t>Agosto</t>
        </is>
      </c>
      <c r="B350" s="17" t="n"/>
      <c r="C350" s="14" t="n"/>
      <c r="D350" s="27" t="n"/>
      <c r="E350" s="28" t="n"/>
      <c r="F350" s="15">
        <f>IF(OR(D334&lt;&gt;"",E334&lt;&gt;""),IF(D334="",0,D334)+IF(E334="",0,E334),"")</f>
        <v/>
      </c>
      <c r="G350" s="14" t="n"/>
    </row>
    <row r="351">
      <c r="A351" s="14" t="inlineStr">
        <is>
          <t>Agosto</t>
        </is>
      </c>
      <c r="B351" s="17" t="n"/>
      <c r="C351" s="14" t="n"/>
      <c r="D351" s="27" t="n"/>
      <c r="E351" s="28" t="n"/>
      <c r="F351" s="15">
        <f>IF(OR(D335&lt;&gt;"",E335&lt;&gt;""),IF(D335="",0,D335)+IF(E335="",0,E335),"")</f>
        <v/>
      </c>
      <c r="G351" s="14" t="n"/>
    </row>
    <row r="352">
      <c r="A352" s="14" t="inlineStr">
        <is>
          <t>Agosto</t>
        </is>
      </c>
      <c r="B352" s="17" t="n"/>
      <c r="C352" s="14" t="n"/>
      <c r="D352" s="27" t="n"/>
      <c r="E352" s="28" t="n"/>
      <c r="F352" s="15">
        <f>IF(OR(D336&lt;&gt;"",E336&lt;&gt;""),IF(D336="",0,D336)+IF(E336="",0,E336),"")</f>
        <v/>
      </c>
      <c r="G352" s="14" t="n"/>
    </row>
    <row r="353">
      <c r="A353" s="14" t="inlineStr">
        <is>
          <t>Agosto</t>
        </is>
      </c>
      <c r="B353" s="17" t="n"/>
      <c r="C353" s="14" t="n"/>
      <c r="D353" s="27" t="n"/>
      <c r="E353" s="28" t="n"/>
      <c r="F353" s="15">
        <f>IF(OR(D337&lt;&gt;"",E337&lt;&gt;""),IF(D337="",0,D337)+IF(E337="",0,E337),"")</f>
        <v/>
      </c>
      <c r="G353" s="14" t="n"/>
    </row>
    <row r="354">
      <c r="A354" s="10" t="inlineStr">
        <is>
          <t>TOTAL AGOSTO</t>
        </is>
      </c>
      <c r="B354" s="22" t="n"/>
      <c r="C354" s="29" t="inlineStr">
        <is>
          <t>Totales mes →</t>
        </is>
      </c>
      <c r="D354" s="7">
        <f>SUMIFS($D$4:$D$800,$A$4:$A$800,"Agosto")</f>
        <v/>
      </c>
      <c r="E354" s="7">
        <f>SUMIFS($E$4:$E$800,$A$4:$A$800,"Agosto")</f>
        <v/>
      </c>
      <c r="F354" s="7">
        <f>D354+E354</f>
        <v/>
      </c>
      <c r="G354" s="22" t="n"/>
    </row>
    <row r="356">
      <c r="A356" s="14" t="inlineStr">
        <is>
          <t>Septiembre</t>
        </is>
      </c>
      <c r="B356" s="17" t="n">
        <v>46268</v>
      </c>
      <c r="C356" s="14" t="inlineStr">
        <is>
          <t>SUPERMERCADO · Día</t>
        </is>
      </c>
      <c r="D356" s="27" t="n">
        <v>41139</v>
      </c>
      <c r="E356" s="28" t="n"/>
      <c r="F356" s="15">
        <f>IF(OR(D356&lt;&gt;"",E356&lt;&gt;""),IF(D356="",0,D356)+IF(E356="",0,E356),"")</f>
        <v/>
      </c>
      <c r="G356" s="14" t="inlineStr">
        <is>
          <t>SUPERMERCADO · Día · BBVA VISA · MERPAGO*SUPERDIA · Gmail Compra aprobada · REVISAR vs settlement</t>
        </is>
      </c>
    </row>
    <row r="357">
      <c r="A357" s="14" t="inlineStr">
        <is>
          <t>Septiembre</t>
        </is>
      </c>
      <c r="B357" s="17" t="n">
        <v>46273</v>
      </c>
      <c r="C357" s="14" t="inlineStr">
        <is>
          <t>REPUESTOS · Sodastream</t>
        </is>
      </c>
      <c r="D357" s="27" t="n">
        <v>88659</v>
      </c>
      <c r="E357" s="28" t="n"/>
      <c r="F357" s="15">
        <f>IF(OR(D357&lt;&gt;"",E357&lt;&gt;""),IF(D357="",0,D357)+IF(E357="",0,E357),"")</f>
        <v/>
      </c>
      <c r="G357" s="14" t="inlineStr">
        <is>
          <t>REPUESTOS · Sodastream · Mercado Pago · Gmail Pago aprobado · REVISAR vs settlement</t>
        </is>
      </c>
    </row>
    <row r="358">
      <c r="A358" s="14" t="inlineStr">
        <is>
          <t>Septiembre</t>
        </is>
      </c>
      <c r="B358" s="17" t="n">
        <v>46269</v>
      </c>
      <c r="C358" s="14" t="inlineStr">
        <is>
          <t>COMIDA · Pescadería Belgrano</t>
        </is>
      </c>
      <c r="D358" s="27" t="n">
        <v>6213</v>
      </c>
      <c r="E358" s="28" t="n"/>
      <c r="F358" s="15">
        <f>IF(OR(D358&lt;&gt;"",E358&lt;&gt;""),IF(D358="",0,D358)+IF(E358="",0,E358),"")</f>
        <v/>
      </c>
      <c r="G358" s="14" t="inlineStr">
        <is>
          <t>COMIDA · Pescadería Belgrano · Mercado Pago · Gmail Pago aprobado · REVISAR vs settlement</t>
        </is>
      </c>
    </row>
    <row r="359">
      <c r="A359" s="14" t="inlineStr">
        <is>
          <t>Septiembre</t>
        </is>
      </c>
      <c r="B359" s="17" t="n">
        <v>46268</v>
      </c>
      <c r="C359" s="14" t="inlineStr">
        <is>
          <t>PEDIDOS YA · COMIDA</t>
        </is>
      </c>
      <c r="D359" s="27" t="n">
        <v>16149</v>
      </c>
      <c r="E359" s="28" t="n"/>
      <c r="F359" s="15">
        <f>IF(OR(D359&lt;&gt;"",E359&lt;&gt;""),IF(D359="",0,D359)+IF(E359="",0,E359),"")</f>
        <v/>
      </c>
      <c r="G359" s="14" t="inlineStr">
        <is>
          <t>PEDIDOS YA · COMIDA · screenshot · dinero en cuenta MP screenshot</t>
        </is>
      </c>
    </row>
    <row r="360">
      <c r="A360" s="14" t="inlineStr">
        <is>
          <t>Septiembre</t>
        </is>
      </c>
      <c r="B360" s="17" t="n">
        <v>46268</v>
      </c>
      <c r="C360" s="14" t="inlineStr">
        <is>
          <t>PEDIDOS YA · COMIDA · propina</t>
        </is>
      </c>
      <c r="D360" s="27" t="n">
        <v>800</v>
      </c>
      <c r="E360" s="28" t="n"/>
      <c r="F360" s="15">
        <f>IF(OR(D360&lt;&gt;"",E360&lt;&gt;""),IF(D360="",0,D360)+IF(E360="",0,E360),"")</f>
        <v/>
      </c>
      <c r="G360" s="14" t="inlineStr">
        <is>
          <t>PEDIDOS YA · COMIDA · propina · screenshot · dinero en cuenta MP screenshot</t>
        </is>
      </c>
    </row>
    <row r="361">
      <c r="A361" s="14" t="inlineStr">
        <is>
          <t>Septiembre</t>
        </is>
      </c>
      <c r="B361" s="17" t="n">
        <v>46271</v>
      </c>
      <c r="C361" s="14" t="inlineStr">
        <is>
          <t>COMIDA · AL PASO</t>
        </is>
      </c>
      <c r="D361" s="27" t="n">
        <v>8700</v>
      </c>
      <c r="E361" s="28" t="n"/>
      <c r="F361" s="15">
        <f>IF(OR(D361&lt;&gt;"",E361&lt;&gt;""),IF(D361="",0,D361)+IF(E361="",0,E361),"")</f>
        <v/>
      </c>
      <c r="G361" s="14" t="inlineStr">
        <is>
          <t>COMIDA · AL PASO · Mercado Pago · dinero en cuenta MP screenshot</t>
        </is>
      </c>
    </row>
    <row r="362">
      <c r="A362" s="14" t="inlineStr">
        <is>
          <t>Septiembre</t>
        </is>
      </c>
      <c r="B362" s="17" t="n">
        <v>46272</v>
      </c>
      <c r="C362" s="14" t="inlineStr">
        <is>
          <t>COMIDA · McDonald's</t>
        </is>
      </c>
      <c r="D362" s="27" t="n">
        <v>2040</v>
      </c>
      <c r="E362" s="28" t="n"/>
      <c r="F362" s="15">
        <f>IF(OR(D362&lt;&gt;"",E362&lt;&gt;""),IF(D362="",0,D362)+IF(E362="",0,E362),"")</f>
        <v/>
      </c>
      <c r="G362" s="14" t="inlineStr">
        <is>
          <t>COMIDA · McDonald's · Mercado Pago · dinero en cuenta MP screenshot</t>
        </is>
      </c>
    </row>
    <row r="363">
      <c r="A363" s="14" t="inlineStr">
        <is>
          <t>Septiembre</t>
        </is>
      </c>
      <c r="B363" s="17" t="n">
        <v>46273</v>
      </c>
      <c r="C363" s="14" t="inlineStr">
        <is>
          <t>ENTRETENIMIENTO · Social</t>
        </is>
      </c>
      <c r="D363" s="27" t="n">
        <v>8248</v>
      </c>
      <c r="E363" s="28" t="n"/>
      <c r="F363" s="15">
        <f>IF(OR(D363&lt;&gt;"",E363&lt;&gt;""),IF(D363="",0,D363)+IF(E363="",0,E363),"")</f>
        <v/>
      </c>
      <c r="G363" s="14" t="inlineStr">
        <is>
          <t>ENTRETENIMIENTO · Social · la monumental · Mercado Pago · dinero en cuenta MP screenshot</t>
        </is>
      </c>
    </row>
    <row r="364">
      <c r="A364" s="14" t="inlineStr">
        <is>
          <t>Septiembre</t>
        </is>
      </c>
      <c r="B364" s="17" t="n">
        <v>46274</v>
      </c>
      <c r="C364" s="14" t="inlineStr">
        <is>
          <t>PEDIDOS YA · COMIDA</t>
        </is>
      </c>
      <c r="D364" s="27" t="n">
        <v>39819</v>
      </c>
      <c r="E364" s="28" t="n"/>
      <c r="F364" s="15">
        <f>IF(OR(D364&lt;&gt;"",E364&lt;&gt;""),IF(D364="",0,D364)+IF(E364="",0,E364),"")</f>
        <v/>
      </c>
      <c r="G364" s="14" t="inlineStr">
        <is>
          <t>PEDIDOS YA · COMIDA · screenshot · dinero en cuenta MP screenshot</t>
        </is>
      </c>
    </row>
    <row r="365">
      <c r="A365" s="14" t="inlineStr">
        <is>
          <t>Septiembre</t>
        </is>
      </c>
      <c r="B365" s="17" t="n">
        <v>46274</v>
      </c>
      <c r="C365" s="14" t="inlineStr">
        <is>
          <t>PEDIDOS YA · COMIDA · propina</t>
        </is>
      </c>
      <c r="D365" s="27" t="n">
        <v>900</v>
      </c>
      <c r="E365" s="28" t="n"/>
      <c r="F365" s="15">
        <f>IF(OR(D365&lt;&gt;"",E365&lt;&gt;""),IF(D365="",0,D365)+IF(E365="",0,E365),"")</f>
        <v/>
      </c>
      <c r="G365" s="14" t="inlineStr">
        <is>
          <t>PEDIDOS YA · COMIDA · propina · screenshot · dinero en cuenta MP screenshot</t>
        </is>
      </c>
    </row>
    <row r="366">
      <c r="A366" s="14" t="n"/>
      <c r="B366" s="17" t="n"/>
      <c r="C366" s="14" t="n"/>
      <c r="D366" s="27" t="n"/>
      <c r="E366" s="28" t="n"/>
      <c r="F366" s="15" t="n"/>
      <c r="G366" s="14" t="n"/>
    </row>
    <row r="367">
      <c r="A367" s="14" t="inlineStr">
        <is>
          <t>Septiembre</t>
        </is>
      </c>
      <c r="B367" s="17" t="n">
        <v>46277</v>
      </c>
      <c r="C367" s="14" t="inlineStr">
        <is>
          <t>COMIDA · McDonald's</t>
        </is>
      </c>
      <c r="D367" s="27" t="n">
        <v>8010</v>
      </c>
      <c r="E367" s="28" t="n"/>
      <c r="F367" s="15">
        <f>IF(OR(D367&lt;&gt;"",E367&lt;&gt;""),IF(D367="",0,D367)+IF(E367="",0,E367),"")</f>
        <v/>
      </c>
      <c r="G367" s="14" t="inlineStr">
        <is>
          <t>COMIDA · McDonald's · Mercado Pago · dinero en cuenta MP screenshot</t>
        </is>
      </c>
    </row>
    <row r="368">
      <c r="A368" s="14" t="inlineStr">
        <is>
          <t>Septiembre</t>
        </is>
      </c>
      <c r="B368" s="17" t="n">
        <v>46278</v>
      </c>
      <c r="C368" s="14" t="inlineStr">
        <is>
          <t>COMIDA · VERDULERÍA</t>
        </is>
      </c>
      <c r="D368" s="27" t="n">
        <v>5900</v>
      </c>
      <c r="E368" s="28" t="n"/>
      <c r="F368" s="15">
        <f>IF(OR(D368&lt;&gt;"",E368&lt;&gt;""),IF(D368="",0,D368)+IF(E368="",0,E368),"")</f>
        <v/>
      </c>
      <c r="G368" s="14" t="inlineStr">
        <is>
          <t>COMIDA · VERDULERÍA · Noelia Caballero · Mercado Pago · dinero en cuenta MP screenshot</t>
        </is>
      </c>
    </row>
    <row r="369">
      <c r="A369" s="14" t="inlineStr">
        <is>
          <t>Septiembre</t>
        </is>
      </c>
      <c r="B369" s="17" t="n">
        <v>46280</v>
      </c>
      <c r="C369" s="14" t="inlineStr">
        <is>
          <t>PEDIDOS YA · COMIDA</t>
        </is>
      </c>
      <c r="D369" s="27" t="n">
        <v>26019</v>
      </c>
      <c r="E369" s="28" t="n"/>
      <c r="F369" s="15">
        <f>IF(OR(D369&lt;&gt;"",E369&lt;&gt;""),IF(D369="",0,D369)+IF(E369="",0,E369),"")</f>
        <v/>
      </c>
      <c r="G369" s="14" t="inlineStr">
        <is>
          <t>PEDIDOS YA · COMIDA · screenshot · dinero en cuenta MP screenshot</t>
        </is>
      </c>
    </row>
    <row r="370">
      <c r="A370" s="14" t="inlineStr">
        <is>
          <t>Septiembre</t>
        </is>
      </c>
      <c r="B370" s="17" t="n">
        <v>46280</v>
      </c>
      <c r="C370" s="14" t="inlineStr">
        <is>
          <t>PEDIDOS YA · COMIDA · propina</t>
        </is>
      </c>
      <c r="D370" s="27" t="n">
        <v>1050</v>
      </c>
      <c r="E370" s="28" t="n"/>
      <c r="F370" s="15">
        <f>IF(OR(D370&lt;&gt;"",E370&lt;&gt;""),IF(D370="",0,D370)+IF(E370="",0,E370),"")</f>
        <v/>
      </c>
      <c r="G370" s="14" t="inlineStr">
        <is>
          <t>PEDIDOS YA · COMIDA · propina · screenshot · dinero en cuenta MP screenshot</t>
        </is>
      </c>
    </row>
    <row r="371">
      <c r="A371" s="14" t="inlineStr">
        <is>
          <t>Septiembre</t>
        </is>
      </c>
      <c r="B371" s="17" t="n">
        <v>46280</v>
      </c>
      <c r="C371" s="14" t="inlineStr">
        <is>
          <t>COMIDA · CASAARISTOBULO017</t>
        </is>
      </c>
      <c r="D371" s="27" t="n">
        <v>43667</v>
      </c>
      <c r="E371" s="28" t="n"/>
      <c r="F371" s="15">
        <f>IF(OR(D371&lt;&gt;"",E371&lt;&gt;""),IF(D371="",0,D371)+IF(E371="",0,E371),"")</f>
        <v/>
      </c>
      <c r="G371" s="14" t="inlineStr">
        <is>
          <t>COMIDA · CASAARISTOBULO017 · QR · Mercado Pago · dinero en cuenta MP screenshot</t>
        </is>
      </c>
    </row>
    <row r="372">
      <c r="A372" s="14" t="inlineStr">
        <is>
          <t>Septiembre</t>
        </is>
      </c>
      <c r="B372" s="17" t="n">
        <v>46282</v>
      </c>
      <c r="C372" s="14" t="inlineStr">
        <is>
          <t>COMIDA · McDonald's</t>
        </is>
      </c>
      <c r="D372" s="27" t="n">
        <v>1900</v>
      </c>
      <c r="E372" s="28" t="n"/>
      <c r="F372" s="15">
        <f>IF(OR(D372&lt;&gt;"",E372&lt;&gt;""),IF(D372="",0,D372)+IF(E372="",0,E372),"")</f>
        <v/>
      </c>
      <c r="G372" s="14" t="inlineStr">
        <is>
          <t>COMIDA · McDonald's · Mercado Pago · dinero en cuenta MP screenshot</t>
        </is>
      </c>
    </row>
    <row r="373">
      <c r="A373" s="14" t="inlineStr">
        <is>
          <t>Septiembre</t>
        </is>
      </c>
      <c r="B373" s="17" t="n">
        <v>46284</v>
      </c>
      <c r="C373" s="14" t="inlineStr">
        <is>
          <t>ENTRETENIMIENTO · Social</t>
        </is>
      </c>
      <c r="D373" s="27" t="n">
        <v>33359</v>
      </c>
      <c r="E373" s="28" t="n"/>
      <c r="F373" s="15">
        <f>IF(OR(D373&lt;&gt;"",E373&lt;&gt;""),IF(D373="",0,D373)+IF(E373="",0,E373),"")</f>
        <v/>
      </c>
      <c r="G373" s="14" t="inlineStr">
        <is>
          <t>ENTRETENIMIENTO · Social · la monumental · Mercado Pago · dinero en cuenta MP screenshot</t>
        </is>
      </c>
    </row>
    <row r="374">
      <c r="A374" s="14" t="inlineStr">
        <is>
          <t>Septiembre</t>
        </is>
      </c>
      <c r="B374" s="17" t="n">
        <v>46288</v>
      </c>
      <c r="C374" s="14" t="inlineStr">
        <is>
          <t>PEDIDOS YA · COMIDA</t>
        </is>
      </c>
      <c r="D374" s="27" t="n">
        <v>23964</v>
      </c>
      <c r="E374" s="28" t="n"/>
      <c r="F374" s="15">
        <f>IF(OR(D374&lt;&gt;"",E374&lt;&gt;""),IF(D374="",0,D374)+IF(E374="",0,E374),"")</f>
        <v/>
      </c>
      <c r="G374" s="14" t="inlineStr">
        <is>
          <t>PEDIDOS YA · COMIDA · screenshot · dinero en cuenta MP screenshot</t>
        </is>
      </c>
    </row>
    <row r="375">
      <c r="A375" s="14" t="inlineStr">
        <is>
          <t>Septiembre</t>
        </is>
      </c>
      <c r="B375" s="17" t="n">
        <v>46288</v>
      </c>
      <c r="C375" s="14" t="inlineStr">
        <is>
          <t>PEDIDOS YA · COMIDA · propina</t>
        </is>
      </c>
      <c r="D375" s="27" t="n">
        <v>850</v>
      </c>
      <c r="E375" s="28" t="n"/>
      <c r="F375" s="15">
        <f>IF(OR(D375&lt;&gt;"",E375&lt;&gt;""),IF(D375="",0,D375)+IF(E375="",0,E375),"")</f>
        <v/>
      </c>
      <c r="G375" s="14" t="inlineStr">
        <is>
          <t>PEDIDOS YA · COMIDA · propina · screenshot · dinero en cuenta MP screenshot</t>
        </is>
      </c>
    </row>
    <row r="376">
      <c r="A376" s="14" t="inlineStr">
        <is>
          <t>Septiembre</t>
        </is>
      </c>
      <c r="B376" s="17" t="n">
        <v>46288</v>
      </c>
      <c r="C376" s="14" t="inlineStr">
        <is>
          <t>ENTRETENIMIENTO · Salidas comida</t>
        </is>
      </c>
      <c r="D376" s="27" t="n">
        <v>16598</v>
      </c>
      <c r="E376" s="28" t="n"/>
      <c r="F376" s="15">
        <f>IF(OR(D376&lt;&gt;"",E376&lt;&gt;""),IF(D376="",0,D376)+IF(E376="",0,E376),"")</f>
        <v/>
      </c>
      <c r="G376" s="14" t="inlineStr">
        <is>
          <t>ENTRETENIMIENTO · Salidas comida · Estancia San Francisco Devoto · Mercado Pago · dinero en cuenta MP screenshot</t>
        </is>
      </c>
    </row>
    <row r="377">
      <c r="A377" s="14" t="inlineStr">
        <is>
          <t>Septiembre</t>
        </is>
      </c>
      <c r="B377" s="17" t="n">
        <v>46290</v>
      </c>
      <c r="C377" s="14" t="inlineStr">
        <is>
          <t>RAMON · Otros</t>
        </is>
      </c>
      <c r="D377" s="27" t="n">
        <v>47900</v>
      </c>
      <c r="E377" s="28" t="n"/>
      <c r="F377" s="15">
        <f>IF(OR(D377&lt;&gt;"",E377&lt;&gt;""),IF(D377="",0,D377)+IF(E377="",0,E377),"")</f>
        <v/>
      </c>
      <c r="G377" s="14" t="inlineStr">
        <is>
          <t>RAMON · Otros · Paws Pet Market · Mercado Pago · dinero en cuenta MP screenshot</t>
        </is>
      </c>
    </row>
    <row r="378">
      <c r="A378" s="14" t="inlineStr">
        <is>
          <t>Septiembre</t>
        </is>
      </c>
      <c r="B378" s="17" t="n">
        <v>46292</v>
      </c>
      <c r="C378" s="14" t="inlineStr">
        <is>
          <t>COMIDA · Open 25</t>
        </is>
      </c>
      <c r="D378" s="27" t="n">
        <v>6700</v>
      </c>
      <c r="E378" s="28" t="n"/>
      <c r="F378" s="15">
        <f>IF(OR(D378&lt;&gt;"",E378&lt;&gt;""),IF(D378="",0,D378)+IF(E378="",0,E378),"")</f>
        <v/>
      </c>
      <c r="G378" s="14" t="inlineStr">
        <is>
          <t>COMIDA · Open 25 · Mercado Pago · dinero en cuenta MP screenshot</t>
        </is>
      </c>
    </row>
    <row r="379">
      <c r="A379" s="14" t="inlineStr">
        <is>
          <t>Septiembre</t>
        </is>
      </c>
      <c r="B379" s="17" t="n">
        <v>46277</v>
      </c>
      <c r="C379" s="14" t="inlineStr">
        <is>
          <t>COMIDA · Barritas proteicas</t>
        </is>
      </c>
      <c r="D379" s="27" t="n">
        <v>66527</v>
      </c>
      <c r="E379" s="28" t="n"/>
      <c r="F379" s="15">
        <f>IF(OR(D379&lt;&gt;"",E379&lt;&gt;""),IF(D379="",0,D379)+IF(E379="",0,E379),"")</f>
        <v/>
      </c>
      <c r="G379" s="14" t="inlineStr">
        <is>
          <t>COMIDA · Barritas proteicas · Enerfit · TC Mercado Pago · C.10/12 · compra 2025-11-26 · cierre 2026-09-12</t>
        </is>
      </c>
    </row>
    <row r="380">
      <c r="A380" s="14" t="inlineStr">
        <is>
          <t>Septiembre</t>
        </is>
      </c>
      <c r="B380" s="17" t="n">
        <v>46277</v>
      </c>
      <c r="C380" s="14" t="inlineStr">
        <is>
          <t>STREAMING TV</t>
        </is>
      </c>
      <c r="D380" s="27" t="n">
        <v>97393</v>
      </c>
      <c r="E380" s="28" t="n"/>
      <c r="F380" s="15">
        <f>IF(OR(D380&lt;&gt;"",E380&lt;&gt;""),IF(D380="",0,D380)+IF(E380="",0,E380),"")</f>
        <v/>
      </c>
      <c r="G380" s="14" t="inlineStr">
        <is>
          <t>STREAMING TV · HBO Max · TC Mercado Pago · compra 2026-09-05 · cierre 2026-09-12</t>
        </is>
      </c>
    </row>
    <row r="381">
      <c r="A381" s="14" t="inlineStr">
        <is>
          <t>Septiembre</t>
        </is>
      </c>
      <c r="B381" s="17" t="n">
        <v>46293</v>
      </c>
      <c r="C381" s="14" t="inlineStr">
        <is>
          <t>COMIDA · pollo</t>
        </is>
      </c>
      <c r="D381" s="27" t="n">
        <v>10900</v>
      </c>
      <c r="E381" s="28" t="n"/>
      <c r="F381" s="15">
        <f>IF(OR(D381&lt;&gt;"",E381&lt;&gt;""),IF(D381="",0,D381)+IF(E381="",0,E381),"")</f>
        <v/>
      </c>
      <c r="G381" s="14" t="inlineStr">
        <is>
          <t>COMIDA · pollo · Súper Pollo · QR · resumen oficial cuenta MP 1–30 sep 2026</t>
        </is>
      </c>
    </row>
    <row r="382">
      <c r="A382" s="14" t="inlineStr">
        <is>
          <t>Septiembre</t>
        </is>
      </c>
      <c r="B382" s="17" t="n">
        <v>46295</v>
      </c>
      <c r="C382" s="14" t="inlineStr">
        <is>
          <t>Combustible — Shell</t>
        </is>
      </c>
      <c r="D382" s="27" t="n">
        <v>1039</v>
      </c>
      <c r="E382" s="28" t="n"/>
      <c r="F382" s="15">
        <f>IF(OR(D382&lt;&gt;"",E382&lt;&gt;""),IF(D382="",0,D382)+IF(E382="",0,E382),"")</f>
        <v/>
      </c>
      <c r="G382" s="14" t="inlineStr">
        <is>
          <t>Combustible — Shell · QR · resumen oficial cuenta MP 1–30 sep 2026</t>
        </is>
      </c>
    </row>
    <row r="383">
      <c r="A383" s="14" t="inlineStr">
        <is>
          <t>Septiembre</t>
        </is>
      </c>
      <c r="B383" s="17" t="n">
        <v>46295</v>
      </c>
      <c r="C383" s="14" t="inlineStr">
        <is>
          <t>Combustible — Shell</t>
        </is>
      </c>
      <c r="D383" s="27" t="n">
        <v>288</v>
      </c>
      <c r="E383" s="28" t="n"/>
      <c r="F383" s="15">
        <f>IF(OR(D383&lt;&gt;"",E383&lt;&gt;""),IF(D383="",0,D383)+IF(E383="",0,E383),"")</f>
        <v/>
      </c>
      <c r="G383" s="14" t="inlineStr">
        <is>
          <t>Combustible — Shell · QR · ceil 287.50 · resumen oficial cuenta MP 1–30 sep 2026</t>
        </is>
      </c>
    </row>
    <row r="384">
      <c r="A384" s="14" t="inlineStr">
        <is>
          <t>Septiembre</t>
        </is>
      </c>
      <c r="B384" s="17" t="n">
        <v>46295</v>
      </c>
      <c r="C384" s="14" t="inlineStr">
        <is>
          <t>Combustible — Shell</t>
        </is>
      </c>
      <c r="D384" s="27" t="n">
        <v>1126</v>
      </c>
      <c r="E384" s="28" t="n"/>
      <c r="F384" s="15">
        <f>IF(OR(D384&lt;&gt;"",E384&lt;&gt;""),IF(D384="",0,D384)+IF(E384="",0,E384),"")</f>
        <v/>
      </c>
      <c r="G384" s="14" t="inlineStr">
        <is>
          <t>Combustible — Shell · QR · resumen oficial cuenta MP 1–30 sep 2026</t>
        </is>
      </c>
    </row>
    <row r="385">
      <c r="A385" s="14" t="inlineStr">
        <is>
          <t>Septiembre</t>
        </is>
      </c>
      <c r="B385" s="17" t="n">
        <v>46295</v>
      </c>
      <c r="C385" s="14" t="inlineStr">
        <is>
          <t>Combustible — Shell</t>
        </is>
      </c>
      <c r="D385" s="27" t="n">
        <v>62548</v>
      </c>
      <c r="E385" s="28" t="n"/>
      <c r="F385" s="15">
        <f>IF(OR(D385&lt;&gt;"",E385&lt;&gt;""),IF(D385="",0,D385)+IF(E385="",0,E385),"")</f>
        <v/>
      </c>
      <c r="G385" s="14" t="inlineStr">
        <is>
          <t>Combustible — Shell · QR · ceil 62547.50 · resumen oficial cuenta MP 1–30 sep 2026</t>
        </is>
      </c>
    </row>
    <row r="386">
      <c r="A386" s="14" t="inlineStr">
        <is>
          <t>Septiembre</t>
        </is>
      </c>
      <c r="B386" s="17" t="n">
        <v>46295</v>
      </c>
      <c r="C386" s="14" t="inlineStr">
        <is>
          <t>SUPERMERCADO · Coto</t>
        </is>
      </c>
      <c r="D386" s="27" t="n"/>
      <c r="E386" s="28" t="n">
        <v>11436</v>
      </c>
      <c r="F386" s="15">
        <f>IF(OR(D386&lt;&gt;"",E386&lt;&gt;""),IF(D386="",0,D386)+IF(E386="",0,E386),"")</f>
        <v/>
      </c>
      <c r="G386" s="14" t="inlineStr">
        <is>
          <t>Chris · SUPERMERCADO · Coto · sin fecha día · REVISAR</t>
        </is>
      </c>
    </row>
    <row r="387">
      <c r="A387" s="14" t="inlineStr">
        <is>
          <t>Septiembre</t>
        </is>
      </c>
      <c r="B387" s="17" t="n">
        <v>46295</v>
      </c>
      <c r="C387" s="14" t="inlineStr">
        <is>
          <t>SUPERMERCADO · Día</t>
        </is>
      </c>
      <c r="D387" s="27" t="n"/>
      <c r="E387" s="28" t="n">
        <v>7264</v>
      </c>
      <c r="F387" s="15">
        <f>IF(OR(D387&lt;&gt;"",E387&lt;&gt;""),IF(D387="",0,D387)+IF(E387="",0,E387),"")</f>
        <v/>
      </c>
      <c r="G387" s="14" t="inlineStr">
        <is>
          <t>Chris · SUPERMERCADO · Día · SUPERDIA · sin fecha día · REVISAR</t>
        </is>
      </c>
    </row>
    <row r="388">
      <c r="A388" s="14" t="inlineStr">
        <is>
          <t>Septiembre</t>
        </is>
      </c>
      <c r="B388" s="17" t="n">
        <v>46295</v>
      </c>
      <c r="C388" s="14" t="inlineStr">
        <is>
          <t>SUPERMERCADO · Coto</t>
        </is>
      </c>
      <c r="D388" s="27" t="n"/>
      <c r="E388" s="28" t="n">
        <v>10000</v>
      </c>
      <c r="F388" s="15">
        <f>IF(OR(D388&lt;&gt;"",E388&lt;&gt;""),IF(D388="",0,D388)+IF(E388="",0,E388),"")</f>
        <v/>
      </c>
      <c r="G388" s="14" t="inlineStr">
        <is>
          <t>Chris · SUPERMERCADO · Coto · sin fecha día · REVISAR</t>
        </is>
      </c>
    </row>
    <row r="389">
      <c r="A389" s="14" t="inlineStr">
        <is>
          <t>Septiembre</t>
        </is>
      </c>
      <c r="B389" s="17" t="n">
        <v>46295</v>
      </c>
      <c r="C389" s="14" t="inlineStr">
        <is>
          <t>SUPERMERCADO · Coto</t>
        </is>
      </c>
      <c r="D389" s="27" t="n"/>
      <c r="E389" s="28" t="n">
        <v>11993</v>
      </c>
      <c r="F389" s="15">
        <f>IF(OR(D389&lt;&gt;"",E389&lt;&gt;""),IF(D389="",0,D389)+IF(E389="",0,E389),"")</f>
        <v/>
      </c>
      <c r="G389" s="14" t="inlineStr">
        <is>
          <t>Chris · SUPERMERCADO · Coto · sin fecha día · REVISAR</t>
        </is>
      </c>
    </row>
    <row r="390">
      <c r="A390" s="14" t="inlineStr">
        <is>
          <t>Septiembre</t>
        </is>
      </c>
      <c r="B390" s="17" t="n">
        <v>46295</v>
      </c>
      <c r="C390" s="14" t="inlineStr">
        <is>
          <t>SUPERMERCADO · Día</t>
        </is>
      </c>
      <c r="D390" s="27" t="n"/>
      <c r="E390" s="28" t="n">
        <v>9980</v>
      </c>
      <c r="F390" s="15">
        <f>IF(OR(D390&lt;&gt;"",E390&lt;&gt;""),IF(D390="",0,D390)+IF(E390="",0,E390),"")</f>
        <v/>
      </c>
      <c r="G390" s="14" t="inlineStr">
        <is>
          <t>Chris · SUPERMERCADO · Día · SUPERDIA · sin fecha día · REVISAR</t>
        </is>
      </c>
    </row>
    <row r="391">
      <c r="A391" s="14" t="inlineStr">
        <is>
          <t>Septiembre</t>
        </is>
      </c>
      <c r="B391" s="17" t="n">
        <v>46295</v>
      </c>
      <c r="C391" s="14" t="inlineStr">
        <is>
          <t>SUPERMERCADO · Día</t>
        </is>
      </c>
      <c r="D391" s="27" t="n"/>
      <c r="E391" s="28" t="n">
        <v>4152</v>
      </c>
      <c r="F391" s="15">
        <f>IF(OR(D391&lt;&gt;"",E391&lt;&gt;""),IF(D391="",0,D391)+IF(E391="",0,E391),"")</f>
        <v/>
      </c>
      <c r="G391" s="14" t="inlineStr">
        <is>
          <t>Chris · SUPERMERCADO · Día · SUPERDIA · sin fecha día · REVISAR</t>
        </is>
      </c>
    </row>
    <row r="392">
      <c r="A392" s="14" t="inlineStr">
        <is>
          <t>Septiembre</t>
        </is>
      </c>
      <c r="B392" s="17" t="n">
        <v>46295</v>
      </c>
      <c r="C392" s="14" t="inlineStr">
        <is>
          <t>SUPERMERCADO · Día</t>
        </is>
      </c>
      <c r="D392" s="27" t="n"/>
      <c r="E392" s="28" t="n">
        <v>7488</v>
      </c>
      <c r="F392" s="15">
        <f>IF(OR(D392&lt;&gt;"",E392&lt;&gt;""),IF(D392="",0,D392)+IF(E392="",0,E392),"")</f>
        <v/>
      </c>
      <c r="G392" s="14" t="inlineStr">
        <is>
          <t>Chris · SUPERMERCADO · Día · sin fecha día · REVISAR</t>
        </is>
      </c>
    </row>
    <row r="393">
      <c r="A393" s="14" t="inlineStr">
        <is>
          <t>Septiembre</t>
        </is>
      </c>
      <c r="B393" s="17" t="n">
        <v>46295</v>
      </c>
      <c r="C393" s="14" t="inlineStr">
        <is>
          <t>SUPERMERCADO · Coto</t>
        </is>
      </c>
      <c r="D393" s="27" t="n"/>
      <c r="E393" s="28" t="n">
        <v>1999</v>
      </c>
      <c r="F393" s="15">
        <f>IF(OR(D393&lt;&gt;"",E393&lt;&gt;""),IF(D393="",0,D393)+IF(E393="",0,E393),"")</f>
        <v/>
      </c>
      <c r="G393" s="14" t="inlineStr">
        <is>
          <t>Chris · SUPERMERCADO · Coto · sin fecha día · REVISAR</t>
        </is>
      </c>
    </row>
    <row r="394">
      <c r="A394" s="14" t="inlineStr">
        <is>
          <t>Septiembre</t>
        </is>
      </c>
      <c r="B394" s="17" t="n">
        <v>46295</v>
      </c>
      <c r="C394" s="14" t="inlineStr">
        <is>
          <t>SUPERMERCADO · Día</t>
        </is>
      </c>
      <c r="D394" s="27" t="n"/>
      <c r="E394" s="28" t="n">
        <v>5680</v>
      </c>
      <c r="F394" s="15">
        <f>IF(OR(D394&lt;&gt;"",E394&lt;&gt;""),IF(D394="",0,D394)+IF(E394="",0,E394),"")</f>
        <v/>
      </c>
      <c r="G394" s="14" t="inlineStr">
        <is>
          <t>Chris · SUPERMERCADO · Día · sin fecha día · REVISAR</t>
        </is>
      </c>
    </row>
    <row r="395">
      <c r="A395" s="14" t="inlineStr">
        <is>
          <t>Septiembre</t>
        </is>
      </c>
      <c r="B395" s="17" t="n">
        <v>46295</v>
      </c>
      <c r="C395" s="14" t="inlineStr">
        <is>
          <t>COMIDA · VERDULERÍA</t>
        </is>
      </c>
      <c r="D395" s="27" t="n"/>
      <c r="E395" s="28" t="n">
        <v>4101</v>
      </c>
      <c r="F395" s="15">
        <f>IF(OR(D395&lt;&gt;"",E395&lt;&gt;""),IF(D395="",0,D395)+IF(E395="",0,E395),"")</f>
        <v/>
      </c>
      <c r="G395" s="14" t="inlineStr">
        <is>
          <t>Chris · COMIDA · VERDULERÍA · sin fecha día · REVISAR</t>
        </is>
      </c>
    </row>
    <row r="396">
      <c r="A396" t="inlineStr">
        <is>
          <t>Septiembre</t>
        </is>
      </c>
      <c r="B396" s="52" t="n">
        <v>46295</v>
      </c>
      <c r="C396" t="inlineStr">
        <is>
          <t>SUPERMERCADO · Coto</t>
        </is>
      </c>
      <c r="E396" t="n">
        <v>7610</v>
      </c>
      <c r="F396">
        <f>IF(OR(D396&lt;&gt;"",E396&lt;&gt;""),IF(D396="",0,D396)+IF(E396="",0,E396),"")</f>
        <v/>
      </c>
      <c r="G396" t="inlineStr">
        <is>
          <t>Chris · SUPERMERCADO · Coto · sin fecha día · REVISAR</t>
        </is>
      </c>
    </row>
    <row r="397">
      <c r="A397" t="inlineStr">
        <is>
          <t>Septiembre</t>
        </is>
      </c>
      <c r="B397" s="52" t="n">
        <v>46295</v>
      </c>
      <c r="C397" t="inlineStr">
        <is>
          <t>SUPERMERCADO · Día</t>
        </is>
      </c>
      <c r="E397" t="n">
        <v>4796</v>
      </c>
      <c r="F397">
        <f>IF(OR(D397&lt;&gt;"",E397&lt;&gt;""),IF(D397="",0,D397)+IF(E397="",0,E397),"")</f>
        <v/>
      </c>
      <c r="G397" t="inlineStr">
        <is>
          <t>Chris · SUPERMERCADO · Día · sin fecha día · REVISAR</t>
        </is>
      </c>
    </row>
    <row r="398">
      <c r="A398" t="inlineStr">
        <is>
          <t>Septiembre</t>
        </is>
      </c>
      <c r="B398" s="52" t="n">
        <v>46295</v>
      </c>
      <c r="C398" t="inlineStr">
        <is>
          <t>SUPERMERCADO · Día</t>
        </is>
      </c>
      <c r="E398" t="n">
        <v>3952</v>
      </c>
      <c r="F398">
        <f>IF(OR(D398&lt;&gt;"",E398&lt;&gt;""),IF(D398="",0,D398)+IF(E398="",0,E398),"")</f>
        <v/>
      </c>
      <c r="G398" t="inlineStr">
        <is>
          <t>Chris · SUPERMERCADO · Día · sin fecha día · REVISAR</t>
        </is>
      </c>
    </row>
    <row r="399">
      <c r="A399" t="inlineStr">
        <is>
          <t>Septiembre</t>
        </is>
      </c>
      <c r="B399" s="52" t="n">
        <v>46295</v>
      </c>
      <c r="C399" t="inlineStr">
        <is>
          <t>COMIDA · pollo</t>
        </is>
      </c>
      <c r="E399" t="n">
        <v>10295</v>
      </c>
      <c r="F399">
        <f>IF(OR(D399&lt;&gt;"",E399&lt;&gt;""),IF(D399="",0,D399)+IF(E399="",0,E399),"")</f>
        <v/>
      </c>
      <c r="G399" t="inlineStr">
        <is>
          <t>Chris · COMIDA · pollo · sin fecha día · REVISAR</t>
        </is>
      </c>
    </row>
    <row r="400">
      <c r="A400" t="inlineStr">
        <is>
          <t>Septiembre</t>
        </is>
      </c>
      <c r="B400" s="52" t="n">
        <v>46295</v>
      </c>
      <c r="C400" t="inlineStr">
        <is>
          <t>SUPERMERCADO · Día</t>
        </is>
      </c>
      <c r="E400" t="n">
        <v>6480</v>
      </c>
      <c r="F400">
        <f>IF(OR(D400&lt;&gt;"",E400&lt;&gt;""),IF(D400="",0,D400)+IF(E400="",0,E400),"")</f>
        <v/>
      </c>
      <c r="G400" t="inlineStr">
        <is>
          <t>Chris · SUPERMERCADO · Día · sin fecha día · REVISAR</t>
        </is>
      </c>
    </row>
    <row r="401">
      <c r="A401" t="inlineStr">
        <is>
          <t>Septiembre</t>
        </is>
      </c>
      <c r="B401" s="52" t="n">
        <v>46295</v>
      </c>
      <c r="C401" t="inlineStr">
        <is>
          <t>SUPERMERCADO · Día</t>
        </is>
      </c>
      <c r="E401" t="n">
        <v>4739</v>
      </c>
      <c r="F401">
        <f>IF(OR(D401&lt;&gt;"",E401&lt;&gt;""),IF(D401="",0,D401)+IF(E401="",0,E401),"")</f>
        <v/>
      </c>
      <c r="G401" t="inlineStr">
        <is>
          <t>Chris · SUPERMERCADO · Día · sin fecha día · REVISAR</t>
        </is>
      </c>
    </row>
    <row r="402">
      <c r="A402" t="inlineStr">
        <is>
          <t>Septiembre</t>
        </is>
      </c>
      <c r="B402" s="52" t="n">
        <v>46295</v>
      </c>
      <c r="C402" t="inlineStr">
        <is>
          <t>PEDIDOS YA · COMIDA</t>
        </is>
      </c>
      <c r="E402" t="n">
        <v>23424</v>
      </c>
      <c r="F402">
        <f>IF(OR(D402&lt;&gt;"",E402&lt;&gt;""),IF(D402="",0,D402)+IF(E402="",0,E402),"")</f>
        <v/>
      </c>
      <c r="G402" t="inlineStr">
        <is>
          <t>Chris · PEDIDOS YA · COMIDA · sin fecha día · REVISAR · confirmar si Market</t>
        </is>
      </c>
    </row>
    <row r="403">
      <c r="A403" t="inlineStr">
        <is>
          <t>Septiembre</t>
        </is>
      </c>
      <c r="B403" s="52" t="n">
        <v>46295</v>
      </c>
      <c r="C403" t="inlineStr">
        <is>
          <t>SUPERMERCADO · Día</t>
        </is>
      </c>
      <c r="E403" t="n">
        <v>7439</v>
      </c>
      <c r="F403">
        <f>IF(OR(D403&lt;&gt;"",E403&lt;&gt;""),IF(D403="",0,D403)+IF(E403="",0,E403),"")</f>
        <v/>
      </c>
      <c r="G403" t="inlineStr">
        <is>
          <t>Chris · SUPERMERCADO · Día · sin fecha día · REVISAR</t>
        </is>
      </c>
    </row>
    <row r="404">
      <c r="A404" t="inlineStr">
        <is>
          <t>Septiembre</t>
        </is>
      </c>
      <c r="B404" s="52" t="n">
        <v>46295</v>
      </c>
      <c r="C404" t="inlineStr">
        <is>
          <t>SUPERMERCADO · Día</t>
        </is>
      </c>
      <c r="E404" t="n">
        <v>5716</v>
      </c>
      <c r="F404">
        <f>IF(OR(D404&lt;&gt;"",E404&lt;&gt;""),IF(D404="",0,D404)+IF(E404="",0,E404),"")</f>
        <v/>
      </c>
      <c r="G404" t="inlineStr">
        <is>
          <t>Chris · SUPERMERCADO · Día · sin fecha día · REVISAR</t>
        </is>
      </c>
    </row>
    <row r="405">
      <c r="A405" t="inlineStr">
        <is>
          <t>Septiembre</t>
        </is>
      </c>
      <c r="B405" s="52" t="n">
        <v>46295</v>
      </c>
      <c r="C405" t="inlineStr">
        <is>
          <t>SUPERMERCADO · Día</t>
        </is>
      </c>
      <c r="E405" t="n">
        <v>3768</v>
      </c>
      <c r="F405">
        <f>IF(OR(D405&lt;&gt;"",E405&lt;&gt;""),IF(D405="",0,D405)+IF(E405="",0,E405),"")</f>
        <v/>
      </c>
      <c r="G405" t="inlineStr">
        <is>
          <t>Chris · SUPERMERCADO · Día · sin fecha día · REVISAR</t>
        </is>
      </c>
    </row>
    <row r="406">
      <c r="A406" t="inlineStr">
        <is>
          <t>Septiembre</t>
        </is>
      </c>
      <c r="B406" s="52" t="n">
        <v>46295</v>
      </c>
      <c r="C406" t="inlineStr">
        <is>
          <t>COMIDA · Vinos</t>
        </is>
      </c>
      <c r="E406" t="n">
        <v>17780</v>
      </c>
      <c r="F406">
        <f>IF(OR(D406&lt;&gt;"",E406&lt;&gt;""),IF(D406="",0,D406)+IF(E406="",0,E406),"")</f>
        <v/>
      </c>
      <c r="G406" t="inlineStr">
        <is>
          <t>Chris · COMIDA · Vinos · sin fecha día · REVISAR</t>
        </is>
      </c>
    </row>
    <row r="407">
      <c r="A407" t="inlineStr">
        <is>
          <t>Septiembre</t>
        </is>
      </c>
      <c r="B407" s="52" t="n">
        <v>46295</v>
      </c>
      <c r="C407" t="inlineStr">
        <is>
          <t>REVISAR · sin comercio</t>
        </is>
      </c>
      <c r="E407" t="n">
        <v>48960</v>
      </c>
      <c r="F407">
        <f>IF(OR(D407&lt;&gt;"",E407&lt;&gt;""),IF(D407="",0,D407)+IF(E407="",0,E407),"")</f>
        <v/>
      </c>
      <c r="G407" t="inlineStr">
        <is>
          <t>Chris · REVISAR · monto sin comercio en listado · sin fecha día</t>
        </is>
      </c>
    </row>
    <row r="408">
      <c r="A408" t="inlineStr">
        <is>
          <t>Septiembre</t>
        </is>
      </c>
      <c r="B408" s="52" t="n">
        <v>46295</v>
      </c>
      <c r="C408" t="inlineStr">
        <is>
          <t>COMIDA · VERDULERÍA</t>
        </is>
      </c>
      <c r="E408" t="n">
        <v>7912</v>
      </c>
      <c r="F408">
        <f>IF(OR(D408&lt;&gt;"",E408&lt;&gt;""),IF(D408="",0,D408)+IF(E408="",0,E408),"")</f>
        <v/>
      </c>
      <c r="G408" t="inlineStr">
        <is>
          <t>Chris · COMIDA · VERDULERÍA · sin fecha día · REVISAR</t>
        </is>
      </c>
    </row>
    <row r="409">
      <c r="A409" t="inlineStr">
        <is>
          <t>Septiembre</t>
        </is>
      </c>
      <c r="B409" s="52" t="n">
        <v>46295</v>
      </c>
      <c r="C409" t="inlineStr">
        <is>
          <t>COMIDA · pollo</t>
        </is>
      </c>
      <c r="E409" t="n">
        <v>10140</v>
      </c>
      <c r="F409">
        <f>IF(OR(D409&lt;&gt;"",E409&lt;&gt;""),IF(D409="",0,D409)+IF(E409="",0,E409),"")</f>
        <v/>
      </c>
      <c r="G409" t="inlineStr">
        <is>
          <t>Chris · COMIDA · pollo · sin fecha día · REVISAR</t>
        </is>
      </c>
    </row>
    <row r="410">
      <c r="A410" t="inlineStr">
        <is>
          <t>Septiembre</t>
        </is>
      </c>
      <c r="F410">
        <f>IF(OR(D410&lt;&gt;"",E410&lt;&gt;""),IF(D410="",0,D410)+IF(E410="",0,E410),"")</f>
        <v/>
      </c>
    </row>
    <row r="411">
      <c r="A411" t="inlineStr">
        <is>
          <t>Septiembre</t>
        </is>
      </c>
      <c r="F411">
        <f>IF(OR(D411&lt;&gt;"",E411&lt;&gt;""),IF(D411="",0,D411)+IF(E411="",0,E411),"")</f>
        <v/>
      </c>
    </row>
    <row r="412">
      <c r="A412" t="inlineStr">
        <is>
          <t>Septiembre</t>
        </is>
      </c>
      <c r="F412">
        <f>IF(OR(D412&lt;&gt;"",E412&lt;&gt;""),IF(D412="",0,D412)+IF(E412="",0,E412),"")</f>
        <v/>
      </c>
    </row>
    <row r="413">
      <c r="A413" t="inlineStr">
        <is>
          <t>Septiembre</t>
        </is>
      </c>
      <c r="F413">
        <f>IF(OR(D413&lt;&gt;"",E413&lt;&gt;""),IF(D413="",0,D413)+IF(E413="",0,E413),"")</f>
        <v/>
      </c>
    </row>
    <row r="414">
      <c r="A414" t="inlineStr">
        <is>
          <t>Septiembre</t>
        </is>
      </c>
      <c r="F414">
        <f>IF(OR(D414&lt;&gt;"",E414&lt;&gt;""),IF(D414="",0,D414)+IF(E414="",0,E414),"")</f>
        <v/>
      </c>
    </row>
    <row r="415">
      <c r="A415" t="inlineStr">
        <is>
          <t>Septiembre</t>
        </is>
      </c>
      <c r="F415">
        <f>IF(OR(D415&lt;&gt;"",E415&lt;&gt;""),IF(D415="",0,D415)+IF(E415="",0,E415),"")</f>
        <v/>
      </c>
    </row>
    <row r="416">
      <c r="A416" t="inlineStr">
        <is>
          <t>Septiembre</t>
        </is>
      </c>
      <c r="F416">
        <f>IF(OR(D416&lt;&gt;"",E416&lt;&gt;""),IF(D416="",0,D416)+IF(E416="",0,E416),"")</f>
        <v/>
      </c>
    </row>
    <row r="417">
      <c r="A417" t="inlineStr">
        <is>
          <t>Septiembre</t>
        </is>
      </c>
      <c r="F417">
        <f>IF(OR(D417&lt;&gt;"",E417&lt;&gt;""),IF(D417="",0,D417)+IF(E417="",0,E417),"")</f>
        <v/>
      </c>
    </row>
    <row r="418">
      <c r="A418" t="inlineStr">
        <is>
          <t>Septiembre</t>
        </is>
      </c>
      <c r="F418">
        <f>IF(OR(D418&lt;&gt;"",E418&lt;&gt;""),IF(D418="",0,D418)+IF(E418="",0,E418),"")</f>
        <v/>
      </c>
    </row>
    <row r="419">
      <c r="A419" t="inlineStr">
        <is>
          <t>Septiembre</t>
        </is>
      </c>
      <c r="F419">
        <f>IF(OR(D419&lt;&gt;"",E419&lt;&gt;""),IF(D419="",0,D419)+IF(E419="",0,E419),"")</f>
        <v/>
      </c>
    </row>
    <row r="420">
      <c r="A420" t="inlineStr">
        <is>
          <t>Septiembre</t>
        </is>
      </c>
      <c r="F420">
        <f>IF(OR(D420&lt;&gt;"",E420&lt;&gt;""),IF(D420="",0,D420)+IF(E420="",0,E420),"")</f>
        <v/>
      </c>
    </row>
    <row r="421">
      <c r="A421" t="inlineStr">
        <is>
          <t>Septiembre</t>
        </is>
      </c>
      <c r="F421">
        <f>IF(OR(D421&lt;&gt;"",E421&lt;&gt;""),IF(D421="",0,D421)+IF(E421="",0,E421),"")</f>
        <v/>
      </c>
    </row>
    <row r="422">
      <c r="A422" t="inlineStr">
        <is>
          <t>Septiembre</t>
        </is>
      </c>
      <c r="F422">
        <f>IF(OR(D422&lt;&gt;"",E422&lt;&gt;""),IF(D422="",0,D422)+IF(E422="",0,E422),"")</f>
        <v/>
      </c>
    </row>
    <row r="423">
      <c r="A423" t="inlineStr">
        <is>
          <t>Septiembre</t>
        </is>
      </c>
      <c r="F423">
        <f>IF(OR(D423&lt;&gt;"",E423&lt;&gt;""),IF(D423="",0,D423)+IF(E423="",0,E423),"")</f>
        <v/>
      </c>
    </row>
    <row r="424">
      <c r="A424" t="inlineStr">
        <is>
          <t>Septiembre</t>
        </is>
      </c>
      <c r="F424">
        <f>IF(OR(D424&lt;&gt;"",E424&lt;&gt;""),IF(D424="",0,D424)+IF(E424="",0,E424),"")</f>
        <v/>
      </c>
    </row>
    <row r="425">
      <c r="A425" t="inlineStr">
        <is>
          <t>Septiembre</t>
        </is>
      </c>
      <c r="F425">
        <f>IF(OR(D425&lt;&gt;"",E425&lt;&gt;""),IF(D425="",0,D425)+IF(E425="",0,E425),"")</f>
        <v/>
      </c>
    </row>
    <row r="426">
      <c r="A426" s="10" t="inlineStr">
        <is>
          <t>TOTAL SEPTIEMBRE</t>
        </is>
      </c>
      <c r="B426" s="22" t="n"/>
      <c r="C426" s="29" t="inlineStr">
        <is>
          <t>Totales mes →</t>
        </is>
      </c>
      <c r="D426" s="7">
        <f>SUMIFS($D$4:$D$800,$A$4:$A$800,"Septiembre")</f>
        <v/>
      </c>
      <c r="E426" s="7">
        <f>SUMIFS($E$4:$E$800,$A$4:$A$800,"Septiembre")</f>
        <v/>
      </c>
      <c r="F426" s="7">
        <f>D426+E426</f>
        <v/>
      </c>
      <c r="G426" s="22" t="n"/>
    </row>
    <row r="428">
      <c r="A428" s="14" t="inlineStr">
        <is>
          <t>Octubre</t>
        </is>
      </c>
      <c r="B428" s="17" t="n"/>
      <c r="C428" s="14" t="n"/>
      <c r="D428" s="27" t="n"/>
      <c r="E428" s="28" t="n"/>
      <c r="F428" s="15">
        <f>IF(OR(D382&lt;&gt;"",E382&lt;&gt;""),IF(D382="",0,D382)+IF(E382="",0,E382),"")</f>
        <v/>
      </c>
      <c r="G428" s="14" t="n"/>
    </row>
    <row r="429">
      <c r="A429" s="14" t="inlineStr">
        <is>
          <t>Octubre</t>
        </is>
      </c>
      <c r="B429" s="17" t="n"/>
      <c r="C429" s="14" t="n"/>
      <c r="D429" s="27" t="n"/>
      <c r="E429" s="28" t="n"/>
      <c r="F429" s="15">
        <f>IF(OR(D383&lt;&gt;"",E383&lt;&gt;""),IF(D383="",0,D383)+IF(E383="",0,E383),"")</f>
        <v/>
      </c>
      <c r="G429" s="14" t="n"/>
    </row>
    <row r="430">
      <c r="A430" s="14" t="inlineStr">
        <is>
          <t>Octubre</t>
        </is>
      </c>
      <c r="B430" s="17" t="n"/>
      <c r="C430" s="14" t="n"/>
      <c r="D430" s="27" t="n"/>
      <c r="E430" s="28" t="n"/>
      <c r="F430" s="15">
        <f>IF(OR(D384&lt;&gt;"",E384&lt;&gt;""),IF(D384="",0,D384)+IF(E384="",0,E384),"")</f>
        <v/>
      </c>
      <c r="G430" s="14" t="n"/>
    </row>
    <row r="431">
      <c r="A431" s="14" t="inlineStr">
        <is>
          <t>Octubre</t>
        </is>
      </c>
      <c r="B431" s="17" t="n"/>
      <c r="C431" s="14" t="n"/>
      <c r="D431" s="27" t="n"/>
      <c r="E431" s="28" t="n"/>
      <c r="F431" s="15">
        <f>IF(OR(D385&lt;&gt;"",E385&lt;&gt;""),IF(D385="",0,D385)+IF(E385="",0,E385),"")</f>
        <v/>
      </c>
      <c r="G431" s="14" t="n"/>
    </row>
    <row r="432">
      <c r="A432" s="14" t="inlineStr">
        <is>
          <t>Octubre</t>
        </is>
      </c>
      <c r="B432" s="17" t="n"/>
      <c r="C432" s="14" t="n"/>
      <c r="D432" s="27" t="n"/>
      <c r="E432" s="28" t="n"/>
      <c r="F432" s="15">
        <f>IF(OR(D386&lt;&gt;"",E386&lt;&gt;""),IF(D386="",0,D386)+IF(E386="",0,E386),"")</f>
        <v/>
      </c>
      <c r="G432" s="14" t="n"/>
    </row>
    <row r="433">
      <c r="A433" s="14" t="inlineStr">
        <is>
          <t>Octubre</t>
        </is>
      </c>
      <c r="B433" s="17" t="n"/>
      <c r="C433" s="14" t="n"/>
      <c r="D433" s="27" t="n"/>
      <c r="E433" s="28" t="n"/>
      <c r="F433" s="15">
        <f>IF(OR(D387&lt;&gt;"",E387&lt;&gt;""),IF(D387="",0,D387)+IF(E387="",0,E387),"")</f>
        <v/>
      </c>
      <c r="G433" s="14" t="n"/>
    </row>
    <row r="434">
      <c r="A434" s="14" t="inlineStr">
        <is>
          <t>Octubre</t>
        </is>
      </c>
      <c r="B434" s="17" t="n"/>
      <c r="C434" s="14" t="n"/>
      <c r="D434" s="27" t="n"/>
      <c r="E434" s="28" t="n"/>
      <c r="F434" s="15">
        <f>IF(OR(D388&lt;&gt;"",E388&lt;&gt;""),IF(D388="",0,D388)+IF(E388="",0,E388),"")</f>
        <v/>
      </c>
      <c r="G434" s="14" t="n"/>
    </row>
    <row r="435">
      <c r="A435" s="14" t="inlineStr">
        <is>
          <t>Octubre</t>
        </is>
      </c>
      <c r="B435" s="17" t="n"/>
      <c r="C435" s="14" t="n"/>
      <c r="D435" s="27" t="n"/>
      <c r="E435" s="28" t="n"/>
      <c r="F435" s="15">
        <f>IF(OR(D389&lt;&gt;"",E389&lt;&gt;""),IF(D389="",0,D389)+IF(E389="",0,E389),"")</f>
        <v/>
      </c>
      <c r="G435" s="14" t="n"/>
    </row>
    <row r="436">
      <c r="A436" s="14" t="inlineStr">
        <is>
          <t>Octubre</t>
        </is>
      </c>
      <c r="B436" s="17" t="n"/>
      <c r="C436" s="14" t="n"/>
      <c r="D436" s="27" t="n"/>
      <c r="E436" s="28" t="n"/>
      <c r="F436" s="15">
        <f>IF(OR(D390&lt;&gt;"",E390&lt;&gt;""),IF(D390="",0,D390)+IF(E390="",0,E390),"")</f>
        <v/>
      </c>
      <c r="G436" s="14" t="n"/>
    </row>
    <row r="437">
      <c r="A437" s="14" t="inlineStr">
        <is>
          <t>Octubre</t>
        </is>
      </c>
      <c r="B437" s="17" t="n"/>
      <c r="C437" s="14" t="n"/>
      <c r="D437" s="27" t="n"/>
      <c r="E437" s="28" t="n"/>
      <c r="F437" s="15">
        <f>IF(OR(D391&lt;&gt;"",E391&lt;&gt;""),IF(D391="",0,D391)+IF(E391="",0,E391),"")</f>
        <v/>
      </c>
      <c r="G437" s="14" t="n"/>
    </row>
    <row r="438">
      <c r="A438" s="14" t="inlineStr">
        <is>
          <t>Octubre</t>
        </is>
      </c>
      <c r="B438" s="17" t="n"/>
      <c r="C438" s="14" t="n"/>
      <c r="D438" s="27" t="n"/>
      <c r="E438" s="28" t="n"/>
      <c r="F438" s="15">
        <f>IF(OR(D392&lt;&gt;"",E392&lt;&gt;""),IF(D392="",0,D392)+IF(E392="",0,E392),"")</f>
        <v/>
      </c>
      <c r="G438" s="14" t="n"/>
    </row>
    <row r="439">
      <c r="A439" s="14" t="inlineStr">
        <is>
          <t>Octubre</t>
        </is>
      </c>
      <c r="B439" s="17" t="n"/>
      <c r="C439" s="14" t="n"/>
      <c r="D439" s="27" t="n"/>
      <c r="E439" s="28" t="n"/>
      <c r="F439" s="15">
        <f>IF(OR(D393&lt;&gt;"",E393&lt;&gt;""),IF(D393="",0,D393)+IF(E393="",0,E393),"")</f>
        <v/>
      </c>
      <c r="G439" s="14" t="n"/>
    </row>
    <row r="440">
      <c r="A440" s="14" t="inlineStr">
        <is>
          <t>Octubre</t>
        </is>
      </c>
      <c r="B440" s="17" t="n"/>
      <c r="C440" s="14" t="n"/>
      <c r="D440" s="27" t="n"/>
      <c r="E440" s="28" t="n"/>
      <c r="F440" s="15">
        <f>IF(OR(D394&lt;&gt;"",E394&lt;&gt;""),IF(D394="",0,D394)+IF(E394="",0,E394),"")</f>
        <v/>
      </c>
      <c r="G440" s="14" t="n"/>
    </row>
    <row r="441">
      <c r="A441" s="14" t="inlineStr">
        <is>
          <t>Octubre</t>
        </is>
      </c>
      <c r="B441" s="17" t="n"/>
      <c r="C441" s="14" t="n"/>
      <c r="D441" s="27" t="n"/>
      <c r="E441" s="28" t="n"/>
      <c r="F441" s="15">
        <f>IF(OR(D395&lt;&gt;"",E395&lt;&gt;""),IF(D395="",0,D395)+IF(E395="",0,E395),"")</f>
        <v/>
      </c>
      <c r="G441" s="14" t="n"/>
    </row>
    <row r="442">
      <c r="A442" s="14" t="inlineStr">
        <is>
          <t>Octubre</t>
        </is>
      </c>
      <c r="B442" s="17" t="n"/>
      <c r="C442" s="14" t="n"/>
      <c r="D442" s="27" t="n"/>
      <c r="E442" s="28" t="n"/>
      <c r="F442" s="15">
        <f>IF(OR(D396&lt;&gt;"",E396&lt;&gt;""),IF(D396="",0,D396)+IF(E396="",0,E396),"")</f>
        <v/>
      </c>
      <c r="G442" s="14" t="n"/>
    </row>
    <row r="443">
      <c r="A443" s="14" t="inlineStr">
        <is>
          <t>Octubre</t>
        </is>
      </c>
      <c r="B443" s="17" t="n"/>
      <c r="C443" s="14" t="n"/>
      <c r="D443" s="27" t="n"/>
      <c r="E443" s="28" t="n"/>
      <c r="F443" s="15">
        <f>IF(OR(D397&lt;&gt;"",E397&lt;&gt;""),IF(D397="",0,D397)+IF(E397="",0,E397),"")</f>
        <v/>
      </c>
      <c r="G443" s="14" t="n"/>
    </row>
    <row r="444">
      <c r="A444" s="14" t="inlineStr">
        <is>
          <t>Octubre</t>
        </is>
      </c>
      <c r="B444" s="17" t="n"/>
      <c r="C444" s="14" t="n"/>
      <c r="D444" s="27" t="n"/>
      <c r="E444" s="28" t="n"/>
      <c r="F444" s="15">
        <f>IF(OR(D398&lt;&gt;"",E398&lt;&gt;""),IF(D398="",0,D398)+IF(E398="",0,E398),"")</f>
        <v/>
      </c>
      <c r="G444" s="14" t="n"/>
    </row>
    <row r="445">
      <c r="A445" s="14" t="inlineStr">
        <is>
          <t>Octubre</t>
        </is>
      </c>
      <c r="B445" s="17" t="n"/>
      <c r="C445" s="14" t="n"/>
      <c r="D445" s="27" t="n"/>
      <c r="E445" s="28" t="n"/>
      <c r="F445" s="15">
        <f>IF(OR(D399&lt;&gt;"",E399&lt;&gt;""),IF(D399="",0,D399)+IF(E399="",0,E399),"")</f>
        <v/>
      </c>
      <c r="G445" s="14" t="n"/>
    </row>
    <row r="446">
      <c r="A446" s="14" t="inlineStr">
        <is>
          <t>Octubre</t>
        </is>
      </c>
      <c r="B446" s="17" t="n"/>
      <c r="C446" s="14" t="n"/>
      <c r="D446" s="27" t="n"/>
      <c r="E446" s="28" t="n"/>
      <c r="F446" s="15">
        <f>IF(OR(D400&lt;&gt;"",E400&lt;&gt;""),IF(D400="",0,D400)+IF(E400="",0,E400),"")</f>
        <v/>
      </c>
      <c r="G446" s="14" t="n"/>
    </row>
    <row r="447">
      <c r="A447" s="14" t="inlineStr">
        <is>
          <t>Octubre</t>
        </is>
      </c>
      <c r="B447" s="17" t="n"/>
      <c r="C447" s="14" t="n"/>
      <c r="D447" s="27" t="n"/>
      <c r="E447" s="28" t="n"/>
      <c r="F447" s="15">
        <f>IF(OR(D401&lt;&gt;"",E401&lt;&gt;""),IF(D401="",0,D401)+IF(E401="",0,E401),"")</f>
        <v/>
      </c>
      <c r="G447" s="14" t="n"/>
    </row>
    <row r="448">
      <c r="A448" s="14" t="inlineStr">
        <is>
          <t>Octubre</t>
        </is>
      </c>
      <c r="B448" s="17" t="n"/>
      <c r="C448" s="14" t="n"/>
      <c r="D448" s="27" t="n"/>
      <c r="E448" s="28" t="n"/>
      <c r="F448" s="15">
        <f>IF(OR(D402&lt;&gt;"",E402&lt;&gt;""),IF(D402="",0,D402)+IF(E402="",0,E402),"")</f>
        <v/>
      </c>
      <c r="G448" s="14" t="n"/>
    </row>
    <row r="449">
      <c r="A449" s="14" t="inlineStr">
        <is>
          <t>Octubre</t>
        </is>
      </c>
      <c r="B449" s="17" t="n"/>
      <c r="C449" s="14" t="n"/>
      <c r="D449" s="27" t="n"/>
      <c r="E449" s="28" t="n"/>
      <c r="F449" s="15">
        <f>IF(OR(D403&lt;&gt;"",E403&lt;&gt;""),IF(D403="",0,D403)+IF(E403="",0,E403),"")</f>
        <v/>
      </c>
      <c r="G449" s="14" t="n"/>
    </row>
    <row r="450">
      <c r="A450" s="14" t="inlineStr">
        <is>
          <t>Octubre</t>
        </is>
      </c>
      <c r="B450" s="17" t="n"/>
      <c r="C450" s="14" t="n"/>
      <c r="D450" s="27" t="n"/>
      <c r="E450" s="28" t="n"/>
      <c r="F450" s="15">
        <f>IF(OR(D404&lt;&gt;"",E404&lt;&gt;""),IF(D404="",0,D404)+IF(E404="",0,E404),"")</f>
        <v/>
      </c>
      <c r="G450" s="14" t="n"/>
    </row>
    <row r="451">
      <c r="A451" s="14" t="inlineStr">
        <is>
          <t>Octubre</t>
        </is>
      </c>
      <c r="B451" s="17" t="n"/>
      <c r="C451" s="14" t="n"/>
      <c r="D451" s="27" t="n"/>
      <c r="E451" s="28" t="n"/>
      <c r="F451" s="15">
        <f>IF(OR(D405&lt;&gt;"",E405&lt;&gt;""),IF(D405="",0,D405)+IF(E405="",0,E405),"")</f>
        <v/>
      </c>
      <c r="G451" s="14" t="n"/>
    </row>
    <row r="452">
      <c r="A452" s="14" t="inlineStr">
        <is>
          <t>Octubre</t>
        </is>
      </c>
      <c r="B452" s="17" t="n"/>
      <c r="C452" s="14" t="n"/>
      <c r="D452" s="27" t="n"/>
      <c r="E452" s="28" t="n"/>
      <c r="F452" s="15">
        <f>IF(OR(D406&lt;&gt;"",E406&lt;&gt;""),IF(D406="",0,D406)+IF(E406="",0,E406),"")</f>
        <v/>
      </c>
      <c r="G452" s="14" t="n"/>
    </row>
    <row r="453">
      <c r="A453" s="14" t="inlineStr">
        <is>
          <t>Octubre</t>
        </is>
      </c>
      <c r="B453" s="17" t="n"/>
      <c r="C453" s="14" t="n"/>
      <c r="D453" s="27" t="n"/>
      <c r="E453" s="28" t="n"/>
      <c r="F453" s="15">
        <f>IF(OR(D407&lt;&gt;"",E407&lt;&gt;""),IF(D407="",0,D407)+IF(E407="",0,E407),"")</f>
        <v/>
      </c>
      <c r="G453" s="14" t="n"/>
    </row>
    <row r="454">
      <c r="A454" s="14" t="inlineStr">
        <is>
          <t>Octubre</t>
        </is>
      </c>
      <c r="B454" s="17" t="n"/>
      <c r="C454" s="14" t="n"/>
      <c r="D454" s="27" t="n"/>
      <c r="E454" s="28" t="n"/>
      <c r="F454" s="15">
        <f>IF(OR(D408&lt;&gt;"",E408&lt;&gt;""),IF(D408="",0,D408)+IF(E408="",0,E408),"")</f>
        <v/>
      </c>
      <c r="G454" s="14" t="n"/>
    </row>
    <row r="455">
      <c r="A455" s="14" t="inlineStr">
        <is>
          <t>Octubre</t>
        </is>
      </c>
      <c r="B455" s="17" t="n"/>
      <c r="C455" s="14" t="n"/>
      <c r="D455" s="27" t="n"/>
      <c r="E455" s="28" t="n"/>
      <c r="F455" s="15">
        <f>IF(OR(D409&lt;&gt;"",E409&lt;&gt;""),IF(D409="",0,D409)+IF(E409="",0,E409),"")</f>
        <v/>
      </c>
      <c r="G455" s="14" t="n"/>
    </row>
    <row r="456">
      <c r="A456" s="14" t="inlineStr">
        <is>
          <t>Octubre</t>
        </is>
      </c>
      <c r="B456" s="17" t="n"/>
      <c r="C456" s="14" t="n"/>
      <c r="D456" s="27" t="n"/>
      <c r="E456" s="28" t="n"/>
      <c r="F456" s="15">
        <f>IF(OR(D410&lt;&gt;"",E410&lt;&gt;""),IF(D410="",0,D410)+IF(E410="",0,E410),"")</f>
        <v/>
      </c>
      <c r="G456" s="14" t="n"/>
    </row>
    <row r="457">
      <c r="A457" s="14" t="inlineStr">
        <is>
          <t>Octubre</t>
        </is>
      </c>
      <c r="B457" s="17" t="n"/>
      <c r="C457" s="14" t="n"/>
      <c r="D457" s="27" t="n"/>
      <c r="E457" s="28" t="n"/>
      <c r="F457" s="15">
        <f>IF(OR(D411&lt;&gt;"",E411&lt;&gt;""),IF(D411="",0,D411)+IF(E411="",0,E411),"")</f>
        <v/>
      </c>
      <c r="G457" s="14" t="n"/>
    </row>
    <row r="458">
      <c r="A458" s="14" t="inlineStr">
        <is>
          <t>Octubre</t>
        </is>
      </c>
      <c r="B458" s="17" t="n"/>
      <c r="C458" s="14" t="n"/>
      <c r="D458" s="27" t="n"/>
      <c r="E458" s="28" t="n"/>
      <c r="F458" s="15">
        <f>IF(OR(D412&lt;&gt;"",E412&lt;&gt;""),IF(D412="",0,D412)+IF(E412="",0,E412),"")</f>
        <v/>
      </c>
      <c r="G458" s="14" t="n"/>
    </row>
    <row r="459">
      <c r="A459" s="14" t="inlineStr">
        <is>
          <t>Octubre</t>
        </is>
      </c>
      <c r="B459" s="17" t="n"/>
      <c r="C459" s="14" t="n"/>
      <c r="D459" s="27" t="n"/>
      <c r="E459" s="28" t="n"/>
      <c r="F459" s="15">
        <f>IF(OR(D413&lt;&gt;"",E413&lt;&gt;""),IF(D413="",0,D413)+IF(E413="",0,E413),"")</f>
        <v/>
      </c>
      <c r="G459" s="14" t="n"/>
    </row>
    <row r="460">
      <c r="A460" s="14" t="inlineStr">
        <is>
          <t>Octubre</t>
        </is>
      </c>
      <c r="B460" s="17" t="n"/>
      <c r="C460" s="14" t="n"/>
      <c r="D460" s="27" t="n"/>
      <c r="E460" s="28" t="n"/>
      <c r="F460" s="15">
        <f>IF(OR(D414&lt;&gt;"",E414&lt;&gt;""),IF(D414="",0,D414)+IF(E414="",0,E414),"")</f>
        <v/>
      </c>
      <c r="G460" s="14" t="n"/>
    </row>
    <row r="461">
      <c r="A461" s="14" t="inlineStr">
        <is>
          <t>Octubre</t>
        </is>
      </c>
      <c r="B461" s="17" t="n"/>
      <c r="C461" s="14" t="n"/>
      <c r="D461" s="27" t="n"/>
      <c r="E461" s="28" t="n"/>
      <c r="F461" s="15">
        <f>IF(OR(D415&lt;&gt;"",E415&lt;&gt;""),IF(D415="",0,D415)+IF(E415="",0,E415),"")</f>
        <v/>
      </c>
      <c r="G461" s="14" t="n"/>
    </row>
    <row r="462">
      <c r="A462" s="14" t="inlineStr">
        <is>
          <t>Octubre</t>
        </is>
      </c>
      <c r="B462" s="17" t="n"/>
      <c r="C462" s="14" t="n"/>
      <c r="D462" s="27" t="n"/>
      <c r="E462" s="28" t="n"/>
      <c r="F462" s="15">
        <f>IF(OR(D416&lt;&gt;"",E416&lt;&gt;""),IF(D416="",0,D416)+IF(E416="",0,E416),"")</f>
        <v/>
      </c>
      <c r="G462" s="14" t="n"/>
    </row>
    <row r="463">
      <c r="A463" s="14" t="inlineStr">
        <is>
          <t>Octubre</t>
        </is>
      </c>
      <c r="B463" s="17" t="n"/>
      <c r="C463" s="14" t="n"/>
      <c r="D463" s="27" t="n"/>
      <c r="E463" s="28" t="n"/>
      <c r="F463" s="15">
        <f>IF(OR(D417&lt;&gt;"",E417&lt;&gt;""),IF(D417="",0,D417)+IF(E417="",0,E417),"")</f>
        <v/>
      </c>
      <c r="G463" s="14" t="n"/>
    </row>
    <row r="464">
      <c r="A464" s="14" t="inlineStr">
        <is>
          <t>Octubre</t>
        </is>
      </c>
      <c r="B464" s="17" t="n"/>
      <c r="C464" s="14" t="n"/>
      <c r="D464" s="27" t="n"/>
      <c r="E464" s="28" t="n"/>
      <c r="F464" s="15">
        <f>IF(OR(D418&lt;&gt;"",E418&lt;&gt;""),IF(D418="",0,D418)+IF(E418="",0,E418),"")</f>
        <v/>
      </c>
      <c r="G464" s="14" t="n"/>
    </row>
    <row r="465">
      <c r="A465" s="14" t="inlineStr">
        <is>
          <t>Octubre</t>
        </is>
      </c>
      <c r="B465" s="17" t="n"/>
      <c r="C465" s="14" t="n"/>
      <c r="D465" s="27" t="n"/>
      <c r="E465" s="28" t="n"/>
      <c r="F465" s="15">
        <f>IF(OR(D419&lt;&gt;"",E419&lt;&gt;""),IF(D419="",0,D419)+IF(E419="",0,E419),"")</f>
        <v/>
      </c>
      <c r="G465" s="14" t="n"/>
    </row>
    <row r="466">
      <c r="A466" s="14" t="inlineStr">
        <is>
          <t>Octubre</t>
        </is>
      </c>
      <c r="B466" s="17" t="n"/>
      <c r="C466" s="14" t="n"/>
      <c r="D466" s="27" t="n"/>
      <c r="E466" s="28" t="n"/>
      <c r="F466" s="15">
        <f>IF(OR(D420&lt;&gt;"",E420&lt;&gt;""),IF(D420="",0,D420)+IF(E420="",0,E420),"")</f>
        <v/>
      </c>
      <c r="G466" s="14" t="n"/>
    </row>
    <row r="467">
      <c r="A467" s="14" t="inlineStr">
        <is>
          <t>Octubre</t>
        </is>
      </c>
      <c r="B467" s="17" t="n"/>
      <c r="C467" s="14" t="n"/>
      <c r="D467" s="27" t="n"/>
      <c r="E467" s="28" t="n"/>
      <c r="F467" s="15">
        <f>IF(OR(D421&lt;&gt;"",E421&lt;&gt;""),IF(D421="",0,D421)+IF(E421="",0,E421),"")</f>
        <v/>
      </c>
      <c r="G467" s="14" t="n"/>
    </row>
    <row r="468">
      <c r="A468" s="10" t="inlineStr">
        <is>
          <t>TOTAL OCTUBRE</t>
        </is>
      </c>
      <c r="B468" s="22" t="n"/>
      <c r="C468" s="29" t="inlineStr">
        <is>
          <t>Totales mes →</t>
        </is>
      </c>
      <c r="D468" s="7">
        <f>SUMIFS($D$4:$D$800,$A$4:$A$800,"Octubre")</f>
        <v/>
      </c>
      <c r="E468" s="7">
        <f>SUMIFS($E$4:$E$800,$A$4:$A$800,"Octubre")</f>
        <v/>
      </c>
      <c r="F468" s="7">
        <f>D468+E468</f>
        <v/>
      </c>
      <c r="G468" s="22" t="n"/>
    </row>
    <row r="470">
      <c r="A470" s="14" t="inlineStr">
        <is>
          <t>Noviembre</t>
        </is>
      </c>
      <c r="B470" s="17" t="n"/>
      <c r="C470" s="14" t="n"/>
      <c r="D470" s="27" t="n"/>
      <c r="E470" s="28" t="n"/>
      <c r="F470" s="15">
        <f>IF(OR(D424&lt;&gt;"",E424&lt;&gt;""),IF(D424="",0,D424)+IF(E424="",0,E424),"")</f>
        <v/>
      </c>
      <c r="G470" s="14" t="n"/>
    </row>
    <row r="471">
      <c r="A471" s="14" t="inlineStr">
        <is>
          <t>Noviembre</t>
        </is>
      </c>
      <c r="B471" s="17" t="n"/>
      <c r="C471" s="14" t="n"/>
      <c r="D471" s="27" t="n"/>
      <c r="E471" s="28" t="n"/>
      <c r="F471" s="15">
        <f>IF(OR(D425&lt;&gt;"",E425&lt;&gt;""),IF(D425="",0,D425)+IF(E425="",0,E425),"")</f>
        <v/>
      </c>
      <c r="G471" s="14" t="n"/>
    </row>
    <row r="472">
      <c r="A472" s="14" t="inlineStr">
        <is>
          <t>Noviembre</t>
        </is>
      </c>
      <c r="B472" s="17" t="n"/>
      <c r="C472" s="14" t="n"/>
      <c r="D472" s="27" t="n"/>
      <c r="E472" s="28" t="n"/>
      <c r="F472" s="15">
        <f>IF(OR(D426&lt;&gt;"",E426&lt;&gt;""),IF(D426="",0,D426)+IF(E426="",0,E426),"")</f>
        <v/>
      </c>
      <c r="G472" s="14" t="n"/>
    </row>
    <row r="473">
      <c r="A473" s="14" t="inlineStr">
        <is>
          <t>Noviembre</t>
        </is>
      </c>
      <c r="B473" s="17" t="n"/>
      <c r="C473" s="14" t="n"/>
      <c r="D473" s="27" t="n"/>
      <c r="E473" s="28" t="n"/>
      <c r="F473" s="15">
        <f>IF(OR(D427&lt;&gt;"",E427&lt;&gt;""),IF(D427="",0,D427)+IF(E427="",0,E427),"")</f>
        <v/>
      </c>
      <c r="G473" s="14" t="n"/>
    </row>
    <row r="474">
      <c r="A474" s="14" t="inlineStr">
        <is>
          <t>Noviembre</t>
        </is>
      </c>
      <c r="B474" s="17" t="n"/>
      <c r="C474" s="14" t="n"/>
      <c r="D474" s="27" t="n"/>
      <c r="E474" s="28" t="n"/>
      <c r="F474" s="15">
        <f>IF(OR(D428&lt;&gt;"",E428&lt;&gt;""),IF(D428="",0,D428)+IF(E428="",0,E428),"")</f>
        <v/>
      </c>
      <c r="G474" s="14" t="n"/>
    </row>
    <row r="475">
      <c r="A475" s="14" t="inlineStr">
        <is>
          <t>Noviembre</t>
        </is>
      </c>
      <c r="B475" s="17" t="n"/>
      <c r="C475" s="14" t="n"/>
      <c r="D475" s="27" t="n"/>
      <c r="E475" s="28" t="n"/>
      <c r="F475" s="15">
        <f>IF(OR(D429&lt;&gt;"",E429&lt;&gt;""),IF(D429="",0,D429)+IF(E429="",0,E429),"")</f>
        <v/>
      </c>
      <c r="G475" s="14" t="n"/>
    </row>
    <row r="476">
      <c r="A476" s="14" t="inlineStr">
        <is>
          <t>Noviembre</t>
        </is>
      </c>
      <c r="B476" s="17" t="n"/>
      <c r="C476" s="14" t="n"/>
      <c r="D476" s="27" t="n"/>
      <c r="E476" s="28" t="n"/>
      <c r="F476" s="15">
        <f>IF(OR(D430&lt;&gt;"",E430&lt;&gt;""),IF(D430="",0,D430)+IF(E430="",0,E430),"")</f>
        <v/>
      </c>
      <c r="G476" s="14" t="n"/>
    </row>
    <row r="477">
      <c r="A477" s="14" t="inlineStr">
        <is>
          <t>Noviembre</t>
        </is>
      </c>
      <c r="B477" s="17" t="n"/>
      <c r="C477" s="14" t="n"/>
      <c r="D477" s="27" t="n"/>
      <c r="E477" s="28" t="n"/>
      <c r="F477" s="15">
        <f>IF(OR(D431&lt;&gt;"",E431&lt;&gt;""),IF(D431="",0,D431)+IF(E431="",0,E431),"")</f>
        <v/>
      </c>
      <c r="G477" s="14" t="n"/>
    </row>
    <row r="478">
      <c r="A478" s="14" t="inlineStr">
        <is>
          <t>Noviembre</t>
        </is>
      </c>
      <c r="B478" s="17" t="n"/>
      <c r="C478" s="14" t="n"/>
      <c r="D478" s="27" t="n"/>
      <c r="E478" s="28" t="n"/>
      <c r="F478" s="15">
        <f>IF(OR(D432&lt;&gt;"",E432&lt;&gt;""),IF(D432="",0,D432)+IF(E432="",0,E432),"")</f>
        <v/>
      </c>
      <c r="G478" s="14" t="n"/>
    </row>
    <row r="479">
      <c r="A479" s="14" t="inlineStr">
        <is>
          <t>Noviembre</t>
        </is>
      </c>
      <c r="B479" s="17" t="n"/>
      <c r="C479" s="14" t="n"/>
      <c r="D479" s="27" t="n"/>
      <c r="E479" s="28" t="n"/>
      <c r="F479" s="15">
        <f>IF(OR(D433&lt;&gt;"",E433&lt;&gt;""),IF(D433="",0,D433)+IF(E433="",0,E433),"")</f>
        <v/>
      </c>
      <c r="G479" s="14" t="n"/>
    </row>
    <row r="480">
      <c r="A480" s="14" t="inlineStr">
        <is>
          <t>Noviembre</t>
        </is>
      </c>
      <c r="B480" s="17" t="n"/>
      <c r="C480" s="14" t="n"/>
      <c r="D480" s="27" t="n"/>
      <c r="E480" s="28" t="n"/>
      <c r="F480" s="15">
        <f>IF(OR(D434&lt;&gt;"",E434&lt;&gt;""),IF(D434="",0,D434)+IF(E434="",0,E434),"")</f>
        <v/>
      </c>
      <c r="G480" s="14" t="n"/>
    </row>
    <row r="481">
      <c r="A481" s="14" t="inlineStr">
        <is>
          <t>Noviembre</t>
        </is>
      </c>
      <c r="B481" s="17" t="n"/>
      <c r="C481" s="14" t="n"/>
      <c r="D481" s="27" t="n"/>
      <c r="E481" s="28" t="n"/>
      <c r="F481" s="15">
        <f>IF(OR(D435&lt;&gt;"",E435&lt;&gt;""),IF(D435="",0,D435)+IF(E435="",0,E435),"")</f>
        <v/>
      </c>
      <c r="G481" s="14" t="n"/>
    </row>
    <row r="482">
      <c r="A482" s="14" t="inlineStr">
        <is>
          <t>Noviembre</t>
        </is>
      </c>
      <c r="B482" s="17" t="n"/>
      <c r="C482" s="14" t="n"/>
      <c r="D482" s="27" t="n"/>
      <c r="E482" s="28" t="n"/>
      <c r="F482" s="15">
        <f>IF(OR(D436&lt;&gt;"",E436&lt;&gt;""),IF(D436="",0,D436)+IF(E436="",0,E436),"")</f>
        <v/>
      </c>
      <c r="G482" s="14" t="n"/>
    </row>
    <row r="483">
      <c r="A483" s="14" t="inlineStr">
        <is>
          <t>Noviembre</t>
        </is>
      </c>
      <c r="B483" s="17" t="n"/>
      <c r="C483" s="14" t="n"/>
      <c r="D483" s="27" t="n"/>
      <c r="E483" s="28" t="n"/>
      <c r="F483" s="15">
        <f>IF(OR(D437&lt;&gt;"",E437&lt;&gt;""),IF(D437="",0,D437)+IF(E437="",0,E437),"")</f>
        <v/>
      </c>
      <c r="G483" s="14" t="n"/>
    </row>
    <row r="484">
      <c r="A484" s="14" t="inlineStr">
        <is>
          <t>Noviembre</t>
        </is>
      </c>
      <c r="B484" s="17" t="n"/>
      <c r="C484" s="14" t="n"/>
      <c r="D484" s="27" t="n"/>
      <c r="E484" s="28" t="n"/>
      <c r="F484" s="15">
        <f>IF(OR(D438&lt;&gt;"",E438&lt;&gt;""),IF(D438="",0,D438)+IF(E438="",0,E438),"")</f>
        <v/>
      </c>
      <c r="G484" s="14" t="n"/>
    </row>
    <row r="485">
      <c r="A485" s="14" t="inlineStr">
        <is>
          <t>Noviembre</t>
        </is>
      </c>
      <c r="B485" s="17" t="n"/>
      <c r="C485" s="14" t="n"/>
      <c r="D485" s="27" t="n"/>
      <c r="E485" s="28" t="n"/>
      <c r="F485" s="15">
        <f>IF(OR(D439&lt;&gt;"",E439&lt;&gt;""),IF(D439="",0,D439)+IF(E439="",0,E439),"")</f>
        <v/>
      </c>
      <c r="G485" s="14" t="n"/>
    </row>
    <row r="486">
      <c r="A486" s="14" t="inlineStr">
        <is>
          <t>Noviembre</t>
        </is>
      </c>
      <c r="B486" s="17" t="n"/>
      <c r="C486" s="14" t="n"/>
      <c r="D486" s="27" t="n"/>
      <c r="E486" s="28" t="n"/>
      <c r="F486" s="15">
        <f>IF(OR(D440&lt;&gt;"",E440&lt;&gt;""),IF(D440="",0,D440)+IF(E440="",0,E440),"")</f>
        <v/>
      </c>
      <c r="G486" s="14" t="n"/>
    </row>
    <row r="487">
      <c r="A487" s="14" t="inlineStr">
        <is>
          <t>Noviembre</t>
        </is>
      </c>
      <c r="B487" s="17" t="n"/>
      <c r="C487" s="14" t="n"/>
      <c r="D487" s="27" t="n"/>
      <c r="E487" s="28" t="n"/>
      <c r="F487" s="15">
        <f>IF(OR(D441&lt;&gt;"",E441&lt;&gt;""),IF(D441="",0,D441)+IF(E441="",0,E441),"")</f>
        <v/>
      </c>
      <c r="G487" s="14" t="n"/>
    </row>
    <row r="488">
      <c r="A488" s="14" t="inlineStr">
        <is>
          <t>Noviembre</t>
        </is>
      </c>
      <c r="B488" s="17" t="n"/>
      <c r="C488" s="14" t="n"/>
      <c r="D488" s="27" t="n"/>
      <c r="E488" s="28" t="n"/>
      <c r="F488" s="15">
        <f>IF(OR(D442&lt;&gt;"",E442&lt;&gt;""),IF(D442="",0,D442)+IF(E442="",0,E442),"")</f>
        <v/>
      </c>
      <c r="G488" s="14" t="n"/>
    </row>
    <row r="489">
      <c r="A489" s="14" t="inlineStr">
        <is>
          <t>Noviembre</t>
        </is>
      </c>
      <c r="B489" s="17" t="n"/>
      <c r="C489" s="14" t="n"/>
      <c r="D489" s="27" t="n"/>
      <c r="E489" s="28" t="n"/>
      <c r="F489" s="15">
        <f>IF(OR(D443&lt;&gt;"",E443&lt;&gt;""),IF(D443="",0,D443)+IF(E443="",0,E443),"")</f>
        <v/>
      </c>
      <c r="G489" s="14" t="n"/>
    </row>
    <row r="490">
      <c r="A490" s="14" t="inlineStr">
        <is>
          <t>Noviembre</t>
        </is>
      </c>
      <c r="B490" s="17" t="n"/>
      <c r="C490" s="14" t="n"/>
      <c r="D490" s="27" t="n"/>
      <c r="E490" s="28" t="n"/>
      <c r="F490" s="15">
        <f>IF(OR(D444&lt;&gt;"",E444&lt;&gt;""),IF(D444="",0,D444)+IF(E444="",0,E444),"")</f>
        <v/>
      </c>
      <c r="G490" s="14" t="n"/>
    </row>
    <row r="491">
      <c r="A491" s="14" t="inlineStr">
        <is>
          <t>Noviembre</t>
        </is>
      </c>
      <c r="B491" s="17" t="n"/>
      <c r="C491" s="14" t="n"/>
      <c r="D491" s="27" t="n"/>
      <c r="E491" s="28" t="n"/>
      <c r="F491" s="15">
        <f>IF(OR(D445&lt;&gt;"",E445&lt;&gt;""),IF(D445="",0,D445)+IF(E445="",0,E445),"")</f>
        <v/>
      </c>
      <c r="G491" s="14" t="n"/>
    </row>
    <row r="492">
      <c r="A492" s="14" t="inlineStr">
        <is>
          <t>Noviembre</t>
        </is>
      </c>
      <c r="B492" s="17" t="n"/>
      <c r="C492" s="14" t="n"/>
      <c r="D492" s="27" t="n"/>
      <c r="E492" s="28" t="n"/>
      <c r="F492" s="15">
        <f>IF(OR(D446&lt;&gt;"",E446&lt;&gt;""),IF(D446="",0,D446)+IF(E446="",0,E446),"")</f>
        <v/>
      </c>
      <c r="G492" s="14" t="n"/>
    </row>
    <row r="493">
      <c r="A493" s="14" t="inlineStr">
        <is>
          <t>Noviembre</t>
        </is>
      </c>
      <c r="B493" s="17" t="n"/>
      <c r="C493" s="14" t="n"/>
      <c r="D493" s="27" t="n"/>
      <c r="E493" s="28" t="n"/>
      <c r="F493" s="15">
        <f>IF(OR(D447&lt;&gt;"",E447&lt;&gt;""),IF(D447="",0,D447)+IF(E447="",0,E447),"")</f>
        <v/>
      </c>
      <c r="G493" s="14" t="n"/>
    </row>
    <row r="494">
      <c r="A494" s="14" t="inlineStr">
        <is>
          <t>Noviembre</t>
        </is>
      </c>
      <c r="B494" s="17" t="n"/>
      <c r="C494" s="14" t="n"/>
      <c r="D494" s="27" t="n"/>
      <c r="E494" s="28" t="n"/>
      <c r="F494" s="15">
        <f>IF(OR(D448&lt;&gt;"",E448&lt;&gt;""),IF(D448="",0,D448)+IF(E448="",0,E448),"")</f>
        <v/>
      </c>
      <c r="G494" s="14" t="n"/>
    </row>
    <row r="495">
      <c r="A495" s="14" t="inlineStr">
        <is>
          <t>Noviembre</t>
        </is>
      </c>
      <c r="B495" s="17" t="n"/>
      <c r="C495" s="14" t="n"/>
      <c r="D495" s="27" t="n"/>
      <c r="E495" s="28" t="n"/>
      <c r="F495" s="15">
        <f>IF(OR(D449&lt;&gt;"",E449&lt;&gt;""),IF(D449="",0,D449)+IF(E449="",0,E449),"")</f>
        <v/>
      </c>
      <c r="G495" s="14" t="n"/>
    </row>
    <row r="496">
      <c r="A496" s="14" t="inlineStr">
        <is>
          <t>Noviembre</t>
        </is>
      </c>
      <c r="B496" s="17" t="n"/>
      <c r="C496" s="14" t="n"/>
      <c r="D496" s="27" t="n"/>
      <c r="E496" s="28" t="n"/>
      <c r="F496" s="15">
        <f>IF(OR(D450&lt;&gt;"",E450&lt;&gt;""),IF(D450="",0,D450)+IF(E450="",0,E450),"")</f>
        <v/>
      </c>
      <c r="G496" s="14" t="n"/>
    </row>
    <row r="497">
      <c r="A497" s="14" t="inlineStr">
        <is>
          <t>Noviembre</t>
        </is>
      </c>
      <c r="B497" s="17" t="n"/>
      <c r="C497" s="14" t="n"/>
      <c r="D497" s="27" t="n"/>
      <c r="E497" s="28" t="n"/>
      <c r="F497" s="15">
        <f>IF(OR(D451&lt;&gt;"",E451&lt;&gt;""),IF(D451="",0,D451)+IF(E451="",0,E451),"")</f>
        <v/>
      </c>
      <c r="G497" s="14" t="n"/>
    </row>
    <row r="498">
      <c r="A498" s="14" t="inlineStr">
        <is>
          <t>Noviembre</t>
        </is>
      </c>
      <c r="B498" s="17" t="n"/>
      <c r="C498" s="14" t="n"/>
      <c r="D498" s="27" t="n"/>
      <c r="E498" s="28" t="n"/>
      <c r="F498" s="15">
        <f>IF(OR(D452&lt;&gt;"",E452&lt;&gt;""),IF(D452="",0,D452)+IF(E452="",0,E452),"")</f>
        <v/>
      </c>
      <c r="G498" s="14" t="n"/>
    </row>
    <row r="499">
      <c r="A499" s="14" t="inlineStr">
        <is>
          <t>Noviembre</t>
        </is>
      </c>
      <c r="B499" s="17" t="n"/>
      <c r="C499" s="14" t="n"/>
      <c r="D499" s="27" t="n"/>
      <c r="E499" s="28" t="n"/>
      <c r="F499" s="15">
        <f>IF(OR(D453&lt;&gt;"",E453&lt;&gt;""),IF(D453="",0,D453)+IF(E453="",0,E453),"")</f>
        <v/>
      </c>
      <c r="G499" s="14" t="n"/>
    </row>
    <row r="500">
      <c r="A500" s="14" t="inlineStr">
        <is>
          <t>Noviembre</t>
        </is>
      </c>
      <c r="B500" s="17" t="n"/>
      <c r="C500" s="14" t="n"/>
      <c r="D500" s="27" t="n"/>
      <c r="E500" s="28" t="n"/>
      <c r="F500" s="15">
        <f>IF(OR(D454&lt;&gt;"",E454&lt;&gt;""),IF(D454="",0,D454)+IF(E454="",0,E454),"")</f>
        <v/>
      </c>
      <c r="G500" s="14" t="n"/>
    </row>
    <row r="501">
      <c r="A501" s="14" t="inlineStr">
        <is>
          <t>Noviembre</t>
        </is>
      </c>
      <c r="B501" s="17" t="n"/>
      <c r="C501" s="14" t="n"/>
      <c r="D501" s="27" t="n"/>
      <c r="E501" s="28" t="n"/>
      <c r="F501" s="15">
        <f>IF(OR(D455&lt;&gt;"",E455&lt;&gt;""),IF(D455="",0,D455)+IF(E455="",0,E455),"")</f>
        <v/>
      </c>
      <c r="G501" s="14" t="n"/>
    </row>
    <row r="502">
      <c r="A502" s="14" t="inlineStr">
        <is>
          <t>Noviembre</t>
        </is>
      </c>
      <c r="B502" s="17" t="n"/>
      <c r="C502" s="14" t="n"/>
      <c r="D502" s="27" t="n"/>
      <c r="E502" s="28" t="n"/>
      <c r="F502" s="15">
        <f>IF(OR(D456&lt;&gt;"",E456&lt;&gt;""),IF(D456="",0,D456)+IF(E456="",0,E456),"")</f>
        <v/>
      </c>
      <c r="G502" s="14" t="n"/>
    </row>
    <row r="503">
      <c r="A503" s="14" t="inlineStr">
        <is>
          <t>Noviembre</t>
        </is>
      </c>
      <c r="B503" s="17" t="n"/>
      <c r="C503" s="14" t="n"/>
      <c r="D503" s="27" t="n"/>
      <c r="E503" s="28" t="n"/>
      <c r="F503" s="15">
        <f>IF(OR(D457&lt;&gt;"",E457&lt;&gt;""),IF(D457="",0,D457)+IF(E457="",0,E457),"")</f>
        <v/>
      </c>
      <c r="G503" s="14" t="n"/>
    </row>
    <row r="504">
      <c r="A504" s="14" t="inlineStr">
        <is>
          <t>Noviembre</t>
        </is>
      </c>
      <c r="B504" s="17" t="n"/>
      <c r="C504" s="14" t="n"/>
      <c r="D504" s="27" t="n"/>
      <c r="E504" s="28" t="n"/>
      <c r="F504" s="15">
        <f>IF(OR(D458&lt;&gt;"",E458&lt;&gt;""),IF(D458="",0,D458)+IF(E458="",0,E458),"")</f>
        <v/>
      </c>
      <c r="G504" s="14" t="n"/>
    </row>
    <row r="505">
      <c r="A505" s="14" t="inlineStr">
        <is>
          <t>Noviembre</t>
        </is>
      </c>
      <c r="B505" s="17" t="n"/>
      <c r="C505" s="14" t="n"/>
      <c r="D505" s="27" t="n"/>
      <c r="E505" s="28" t="n"/>
      <c r="F505" s="15">
        <f>IF(OR(D459&lt;&gt;"",E459&lt;&gt;""),IF(D459="",0,D459)+IF(E459="",0,E459),"")</f>
        <v/>
      </c>
      <c r="G505" s="14" t="n"/>
    </row>
    <row r="506">
      <c r="A506" s="14" t="inlineStr">
        <is>
          <t>Noviembre</t>
        </is>
      </c>
      <c r="B506" s="17" t="n"/>
      <c r="C506" s="14" t="n"/>
      <c r="D506" s="27" t="n"/>
      <c r="E506" s="28" t="n"/>
      <c r="F506" s="15">
        <f>IF(OR(D460&lt;&gt;"",E460&lt;&gt;""),IF(D460="",0,D460)+IF(E460="",0,E460),"")</f>
        <v/>
      </c>
      <c r="G506" s="14" t="n"/>
    </row>
    <row r="507">
      <c r="A507" s="14" t="inlineStr">
        <is>
          <t>Noviembre</t>
        </is>
      </c>
      <c r="B507" s="17" t="n"/>
      <c r="C507" s="14" t="n"/>
      <c r="D507" s="27" t="n"/>
      <c r="E507" s="28" t="n"/>
      <c r="F507" s="15">
        <f>IF(OR(D461&lt;&gt;"",E461&lt;&gt;""),IF(D461="",0,D461)+IF(E461="",0,E461),"")</f>
        <v/>
      </c>
      <c r="G507" s="14" t="n"/>
    </row>
    <row r="508">
      <c r="A508" s="14" t="inlineStr">
        <is>
          <t>Noviembre</t>
        </is>
      </c>
      <c r="B508" s="17" t="n"/>
      <c r="C508" s="14" t="n"/>
      <c r="D508" s="27" t="n"/>
      <c r="E508" s="28" t="n"/>
      <c r="F508" s="15">
        <f>IF(OR(D462&lt;&gt;"",E462&lt;&gt;""),IF(D462="",0,D462)+IF(E462="",0,E462),"")</f>
        <v/>
      </c>
      <c r="G508" s="14" t="n"/>
    </row>
    <row r="509">
      <c r="A509" s="14" t="inlineStr">
        <is>
          <t>Noviembre</t>
        </is>
      </c>
      <c r="B509" s="17" t="n"/>
      <c r="C509" s="14" t="n"/>
      <c r="D509" s="27" t="n"/>
      <c r="E509" s="28" t="n"/>
      <c r="F509" s="15">
        <f>IF(OR(D463&lt;&gt;"",E463&lt;&gt;""),IF(D463="",0,D463)+IF(E463="",0,E463),"")</f>
        <v/>
      </c>
      <c r="G509" s="14" t="n"/>
    </row>
    <row r="510">
      <c r="A510" s="10" t="inlineStr">
        <is>
          <t>TOTAL NOVIEMBRE</t>
        </is>
      </c>
      <c r="B510" s="22" t="n"/>
      <c r="C510" s="29" t="inlineStr">
        <is>
          <t>Totales mes →</t>
        </is>
      </c>
      <c r="D510" s="7">
        <f>SUMIFS($D$4:$D$800,$A$4:$A$800,"Noviembre")</f>
        <v/>
      </c>
      <c r="E510" s="7">
        <f>SUMIFS($E$4:$E$800,$A$4:$A$800,"Noviembre")</f>
        <v/>
      </c>
      <c r="F510" s="7">
        <f>D510+E510</f>
        <v/>
      </c>
      <c r="G510" s="22" t="n"/>
    </row>
    <row r="512">
      <c r="A512" s="14" t="inlineStr">
        <is>
          <t>Diciembre</t>
        </is>
      </c>
      <c r="B512" s="17" t="n"/>
      <c r="C512" s="14" t="n"/>
      <c r="D512" s="27" t="n"/>
      <c r="E512" s="28" t="n"/>
      <c r="F512" s="15">
        <f>IF(OR(D466&lt;&gt;"",E466&lt;&gt;""),IF(D466="",0,D466)+IF(E466="",0,E466),"")</f>
        <v/>
      </c>
      <c r="G512" s="14" t="n"/>
    </row>
    <row r="513">
      <c r="A513" s="14" t="inlineStr">
        <is>
          <t>Diciembre</t>
        </is>
      </c>
      <c r="B513" s="17" t="n"/>
      <c r="C513" s="14" t="n"/>
      <c r="D513" s="27" t="n"/>
      <c r="E513" s="28" t="n"/>
      <c r="F513" s="15">
        <f>IF(OR(D467&lt;&gt;"",E467&lt;&gt;""),IF(D467="",0,D467)+IF(E467="",0,E467),"")</f>
        <v/>
      </c>
      <c r="G513" s="14" t="n"/>
    </row>
    <row r="514">
      <c r="A514" s="14" t="inlineStr">
        <is>
          <t>Diciembre</t>
        </is>
      </c>
      <c r="B514" s="17" t="n"/>
      <c r="C514" s="14" t="n"/>
      <c r="D514" s="27" t="n"/>
      <c r="E514" s="28" t="n"/>
      <c r="F514" s="15">
        <f>IF(OR(D468&lt;&gt;"",E468&lt;&gt;""),IF(D468="",0,D468)+IF(E468="",0,E468),"")</f>
        <v/>
      </c>
      <c r="G514" s="14" t="n"/>
    </row>
    <row r="515">
      <c r="A515" s="14" t="inlineStr">
        <is>
          <t>Diciembre</t>
        </is>
      </c>
      <c r="B515" s="17" t="n"/>
      <c r="C515" s="14" t="n"/>
      <c r="D515" s="27" t="n"/>
      <c r="E515" s="28" t="n"/>
      <c r="F515" s="15">
        <f>IF(OR(D469&lt;&gt;"",E469&lt;&gt;""),IF(D469="",0,D469)+IF(E469="",0,E469),"")</f>
        <v/>
      </c>
      <c r="G515" s="14" t="n"/>
    </row>
    <row r="516">
      <c r="A516" s="14" t="inlineStr">
        <is>
          <t>Diciembre</t>
        </is>
      </c>
      <c r="B516" s="17" t="n"/>
      <c r="C516" s="14" t="n"/>
      <c r="D516" s="27" t="n"/>
      <c r="E516" s="28" t="n"/>
      <c r="F516" s="15">
        <f>IF(OR(D470&lt;&gt;"",E470&lt;&gt;""),IF(D470="",0,D470)+IF(E470="",0,E470),"")</f>
        <v/>
      </c>
      <c r="G516" s="14" t="n"/>
    </row>
    <row r="517">
      <c r="A517" s="14" t="inlineStr">
        <is>
          <t>Diciembre</t>
        </is>
      </c>
      <c r="B517" s="17" t="n"/>
      <c r="C517" s="14" t="n"/>
      <c r="D517" s="27" t="n"/>
      <c r="E517" s="28" t="n"/>
      <c r="F517" s="15">
        <f>IF(OR(D471&lt;&gt;"",E471&lt;&gt;""),IF(D471="",0,D471)+IF(E471="",0,E471),"")</f>
        <v/>
      </c>
      <c r="G517" s="14" t="n"/>
    </row>
    <row r="518">
      <c r="A518" s="14" t="inlineStr">
        <is>
          <t>Diciembre</t>
        </is>
      </c>
      <c r="B518" s="17" t="n"/>
      <c r="C518" s="14" t="n"/>
      <c r="D518" s="27" t="n"/>
      <c r="E518" s="28" t="n"/>
      <c r="F518" s="15">
        <f>IF(OR(D472&lt;&gt;"",E472&lt;&gt;""),IF(D472="",0,D472)+IF(E472="",0,E472),"")</f>
        <v/>
      </c>
      <c r="G518" s="14" t="n"/>
    </row>
    <row r="519">
      <c r="A519" s="14" t="inlineStr">
        <is>
          <t>Diciembre</t>
        </is>
      </c>
      <c r="B519" s="17" t="n"/>
      <c r="C519" s="14" t="n"/>
      <c r="D519" s="27" t="n"/>
      <c r="E519" s="28" t="n"/>
      <c r="F519" s="15">
        <f>IF(OR(D473&lt;&gt;"",E473&lt;&gt;""),IF(D473="",0,D473)+IF(E473="",0,E473),"")</f>
        <v/>
      </c>
      <c r="G519" s="14" t="n"/>
    </row>
    <row r="520">
      <c r="A520" s="14" t="inlineStr">
        <is>
          <t>Diciembre</t>
        </is>
      </c>
      <c r="B520" s="17" t="n"/>
      <c r="C520" s="14" t="n"/>
      <c r="D520" s="27" t="n"/>
      <c r="E520" s="28" t="n"/>
      <c r="F520" s="15">
        <f>IF(OR(D474&lt;&gt;"",E474&lt;&gt;""),IF(D474="",0,D474)+IF(E474="",0,E474),"")</f>
        <v/>
      </c>
      <c r="G520" s="14" t="n"/>
    </row>
    <row r="521">
      <c r="A521" s="14" t="inlineStr">
        <is>
          <t>Diciembre</t>
        </is>
      </c>
      <c r="B521" s="17" t="n"/>
      <c r="C521" s="14" t="n"/>
      <c r="D521" s="27" t="n"/>
      <c r="E521" s="28" t="n"/>
      <c r="F521" s="15">
        <f>IF(OR(D475&lt;&gt;"",E475&lt;&gt;""),IF(D475="",0,D475)+IF(E475="",0,E475),"")</f>
        <v/>
      </c>
      <c r="G521" s="14" t="n"/>
    </row>
    <row r="522">
      <c r="A522" s="14" t="inlineStr">
        <is>
          <t>Diciembre</t>
        </is>
      </c>
      <c r="B522" s="17" t="n"/>
      <c r="C522" s="14" t="n"/>
      <c r="D522" s="27" t="n"/>
      <c r="E522" s="28" t="n"/>
      <c r="F522" s="15">
        <f>IF(OR(D476&lt;&gt;"",E476&lt;&gt;""),IF(D476="",0,D476)+IF(E476="",0,E476),"")</f>
        <v/>
      </c>
      <c r="G522" s="14" t="n"/>
    </row>
    <row r="523">
      <c r="A523" s="14" t="inlineStr">
        <is>
          <t>Diciembre</t>
        </is>
      </c>
      <c r="B523" s="17" t="n"/>
      <c r="C523" s="14" t="n"/>
      <c r="D523" s="27" t="n"/>
      <c r="E523" s="28" t="n"/>
      <c r="F523" s="15">
        <f>IF(OR(D477&lt;&gt;"",E477&lt;&gt;""),IF(D477="",0,D477)+IF(E477="",0,E477),"")</f>
        <v/>
      </c>
      <c r="G523" s="14" t="n"/>
    </row>
    <row r="524">
      <c r="A524" s="14" t="inlineStr">
        <is>
          <t>Diciembre</t>
        </is>
      </c>
      <c r="B524" s="17" t="n"/>
      <c r="C524" s="14" t="n"/>
      <c r="D524" s="27" t="n"/>
      <c r="E524" s="28" t="n"/>
      <c r="F524" s="15">
        <f>IF(OR(D478&lt;&gt;"",E478&lt;&gt;""),IF(D478="",0,D478)+IF(E478="",0,E478),"")</f>
        <v/>
      </c>
      <c r="G524" s="14" t="n"/>
    </row>
    <row r="525">
      <c r="A525" s="14" t="inlineStr">
        <is>
          <t>Diciembre</t>
        </is>
      </c>
      <c r="B525" s="17" t="n"/>
      <c r="C525" s="14" t="n"/>
      <c r="D525" s="27" t="n"/>
      <c r="E525" s="28" t="n"/>
      <c r="F525" s="15">
        <f>IF(OR(D479&lt;&gt;"",E479&lt;&gt;""),IF(D479="",0,D479)+IF(E479="",0,E479),"")</f>
        <v/>
      </c>
      <c r="G525" s="14" t="n"/>
    </row>
    <row r="526">
      <c r="A526" s="14" t="inlineStr">
        <is>
          <t>Diciembre</t>
        </is>
      </c>
      <c r="B526" s="17" t="n"/>
      <c r="C526" s="14" t="n"/>
      <c r="D526" s="27" t="n"/>
      <c r="E526" s="28" t="n"/>
      <c r="F526" s="15">
        <f>IF(OR(D480&lt;&gt;"",E480&lt;&gt;""),IF(D480="",0,D480)+IF(E480="",0,E480),"")</f>
        <v/>
      </c>
      <c r="G526" s="14" t="n"/>
    </row>
    <row r="527">
      <c r="A527" s="14" t="inlineStr">
        <is>
          <t>Diciembre</t>
        </is>
      </c>
      <c r="B527" s="17" t="n"/>
      <c r="C527" s="14" t="n"/>
      <c r="D527" s="27" t="n"/>
      <c r="E527" s="28" t="n"/>
      <c r="F527" s="15">
        <f>IF(OR(D481&lt;&gt;"",E481&lt;&gt;""),IF(D481="",0,D481)+IF(E481="",0,E481),"")</f>
        <v/>
      </c>
      <c r="G527" s="14" t="n"/>
    </row>
    <row r="528">
      <c r="A528" s="14" t="inlineStr">
        <is>
          <t>Diciembre</t>
        </is>
      </c>
      <c r="B528" s="17" t="n"/>
      <c r="C528" s="14" t="n"/>
      <c r="D528" s="27" t="n"/>
      <c r="E528" s="28" t="n"/>
      <c r="F528" s="15">
        <f>IF(OR(D482&lt;&gt;"",E482&lt;&gt;""),IF(D482="",0,D482)+IF(E482="",0,E482),"")</f>
        <v/>
      </c>
      <c r="G528" s="14" t="n"/>
    </row>
    <row r="529">
      <c r="A529" s="14" t="inlineStr">
        <is>
          <t>Diciembre</t>
        </is>
      </c>
      <c r="B529" s="17" t="n"/>
      <c r="C529" s="14" t="n"/>
      <c r="D529" s="27" t="n"/>
      <c r="E529" s="28" t="n"/>
      <c r="F529" s="15">
        <f>IF(OR(D483&lt;&gt;"",E483&lt;&gt;""),IF(D483="",0,D483)+IF(E483="",0,E483),"")</f>
        <v/>
      </c>
      <c r="G529" s="14" t="n"/>
    </row>
    <row r="530">
      <c r="A530" s="14" t="inlineStr">
        <is>
          <t>Diciembre</t>
        </is>
      </c>
      <c r="B530" s="17" t="n"/>
      <c r="C530" s="14" t="n"/>
      <c r="D530" s="27" t="n"/>
      <c r="E530" s="28" t="n"/>
      <c r="F530" s="15">
        <f>IF(OR(D484&lt;&gt;"",E484&lt;&gt;""),IF(D484="",0,D484)+IF(E484="",0,E484),"")</f>
        <v/>
      </c>
      <c r="G530" s="14" t="n"/>
    </row>
    <row r="531">
      <c r="A531" s="14" t="inlineStr">
        <is>
          <t>Diciembre</t>
        </is>
      </c>
      <c r="B531" s="17" t="n"/>
      <c r="C531" s="14" t="n"/>
      <c r="D531" s="27" t="n"/>
      <c r="E531" s="28" t="n"/>
      <c r="F531" s="15">
        <f>IF(OR(D485&lt;&gt;"",E485&lt;&gt;""),IF(D485="",0,D485)+IF(E485="",0,E485),"")</f>
        <v/>
      </c>
      <c r="G531" s="14" t="n"/>
    </row>
    <row r="532">
      <c r="A532" s="14" t="inlineStr">
        <is>
          <t>Diciembre</t>
        </is>
      </c>
      <c r="B532" s="17" t="n"/>
      <c r="C532" s="14" t="n"/>
      <c r="D532" s="27" t="n"/>
      <c r="E532" s="28" t="n"/>
      <c r="F532" s="15">
        <f>IF(OR(D486&lt;&gt;"",E486&lt;&gt;""),IF(D486="",0,D486)+IF(E486="",0,E486),"")</f>
        <v/>
      </c>
      <c r="G532" s="14" t="n"/>
    </row>
    <row r="533">
      <c r="A533" s="14" t="inlineStr">
        <is>
          <t>Diciembre</t>
        </is>
      </c>
      <c r="B533" s="17" t="n"/>
      <c r="C533" s="14" t="n"/>
      <c r="D533" s="27" t="n"/>
      <c r="E533" s="28" t="n"/>
      <c r="F533" s="15">
        <f>IF(OR(D487&lt;&gt;"",E487&lt;&gt;""),IF(D487="",0,D487)+IF(E487="",0,E487),"")</f>
        <v/>
      </c>
      <c r="G533" s="14" t="n"/>
    </row>
    <row r="534">
      <c r="A534" s="14" t="inlineStr">
        <is>
          <t>Diciembre</t>
        </is>
      </c>
      <c r="B534" s="17" t="n"/>
      <c r="C534" s="14" t="n"/>
      <c r="D534" s="27" t="n"/>
      <c r="E534" s="28" t="n"/>
      <c r="F534" s="15">
        <f>IF(OR(D488&lt;&gt;"",E488&lt;&gt;""),IF(D488="",0,D488)+IF(E488="",0,E488),"")</f>
        <v/>
      </c>
      <c r="G534" s="14" t="n"/>
    </row>
    <row r="535">
      <c r="A535" s="14" t="inlineStr">
        <is>
          <t>Diciembre</t>
        </is>
      </c>
      <c r="B535" s="17" t="n"/>
      <c r="C535" s="14" t="n"/>
      <c r="D535" s="27" t="n"/>
      <c r="E535" s="28" t="n"/>
      <c r="F535" s="15">
        <f>IF(OR(D489&lt;&gt;"",E489&lt;&gt;""),IF(D489="",0,D489)+IF(E489="",0,E489),"")</f>
        <v/>
      </c>
      <c r="G535" s="14" t="n"/>
    </row>
    <row r="536">
      <c r="A536" s="14" t="inlineStr">
        <is>
          <t>Diciembre</t>
        </is>
      </c>
      <c r="B536" s="17" t="n"/>
      <c r="C536" s="14" t="n"/>
      <c r="D536" s="27" t="n"/>
      <c r="E536" s="28" t="n"/>
      <c r="F536" s="15">
        <f>IF(OR(D490&lt;&gt;"",E490&lt;&gt;""),IF(D490="",0,D490)+IF(E490="",0,E490),"")</f>
        <v/>
      </c>
      <c r="G536" s="14" t="n"/>
    </row>
    <row r="537">
      <c r="A537" s="14" t="inlineStr">
        <is>
          <t>Diciembre</t>
        </is>
      </c>
      <c r="B537" s="17" t="n"/>
      <c r="C537" s="14" t="n"/>
      <c r="D537" s="27" t="n"/>
      <c r="E537" s="28" t="n"/>
      <c r="F537" s="15">
        <f>IF(OR(D491&lt;&gt;"",E491&lt;&gt;""),IF(D491="",0,D491)+IF(E491="",0,E491),"")</f>
        <v/>
      </c>
      <c r="G537" s="14" t="n"/>
    </row>
    <row r="538">
      <c r="A538" s="14" t="inlineStr">
        <is>
          <t>Diciembre</t>
        </is>
      </c>
      <c r="B538" s="17" t="n"/>
      <c r="C538" s="14" t="n"/>
      <c r="D538" s="27" t="n"/>
      <c r="E538" s="28" t="n"/>
      <c r="F538" s="15">
        <f>IF(OR(D492&lt;&gt;"",E492&lt;&gt;""),IF(D492="",0,D492)+IF(E492="",0,E492),"")</f>
        <v/>
      </c>
      <c r="G538" s="14" t="n"/>
    </row>
    <row r="539">
      <c r="A539" s="14" t="inlineStr">
        <is>
          <t>Diciembre</t>
        </is>
      </c>
      <c r="B539" s="17" t="n"/>
      <c r="C539" s="14" t="n"/>
      <c r="D539" s="27" t="n"/>
      <c r="E539" s="28" t="n"/>
      <c r="F539" s="15">
        <f>IF(OR(D493&lt;&gt;"",E493&lt;&gt;""),IF(D493="",0,D493)+IF(E493="",0,E493),"")</f>
        <v/>
      </c>
      <c r="G539" s="14" t="n"/>
    </row>
    <row r="540">
      <c r="A540" s="14" t="inlineStr">
        <is>
          <t>Diciembre</t>
        </is>
      </c>
      <c r="B540" s="17" t="n"/>
      <c r="C540" s="14" t="n"/>
      <c r="D540" s="27" t="n"/>
      <c r="E540" s="28" t="n"/>
      <c r="F540" s="15">
        <f>IF(OR(D494&lt;&gt;"",E494&lt;&gt;""),IF(D494="",0,D494)+IF(E494="",0,E494),"")</f>
        <v/>
      </c>
      <c r="G540" s="14" t="n"/>
    </row>
    <row r="541">
      <c r="A541" s="14" t="inlineStr">
        <is>
          <t>Diciembre</t>
        </is>
      </c>
      <c r="B541" s="17" t="n"/>
      <c r="C541" s="14" t="n"/>
      <c r="D541" s="27" t="n"/>
      <c r="E541" s="28" t="n"/>
      <c r="F541" s="15">
        <f>IF(OR(D495&lt;&gt;"",E495&lt;&gt;""),IF(D495="",0,D495)+IF(E495="",0,E495),"")</f>
        <v/>
      </c>
      <c r="G541" s="14" t="n"/>
    </row>
    <row r="542">
      <c r="A542" s="14" t="inlineStr">
        <is>
          <t>Diciembre</t>
        </is>
      </c>
      <c r="B542" s="17" t="n"/>
      <c r="C542" s="14" t="n"/>
      <c r="D542" s="27" t="n"/>
      <c r="E542" s="28" t="n"/>
      <c r="F542" s="15">
        <f>IF(OR(D496&lt;&gt;"",E496&lt;&gt;""),IF(D496="",0,D496)+IF(E496="",0,E496),"")</f>
        <v/>
      </c>
      <c r="G542" s="14" t="n"/>
    </row>
    <row r="543">
      <c r="A543" s="14" t="inlineStr">
        <is>
          <t>Diciembre</t>
        </is>
      </c>
      <c r="B543" s="17" t="n"/>
      <c r="C543" s="14" t="n"/>
      <c r="D543" s="27" t="n"/>
      <c r="E543" s="28" t="n"/>
      <c r="F543" s="15">
        <f>IF(OR(D497&lt;&gt;"",E497&lt;&gt;""),IF(D497="",0,D497)+IF(E497="",0,E497),"")</f>
        <v/>
      </c>
      <c r="G543" s="14" t="n"/>
    </row>
    <row r="544">
      <c r="A544" s="14" t="inlineStr">
        <is>
          <t>Diciembre</t>
        </is>
      </c>
      <c r="B544" s="17" t="n"/>
      <c r="C544" s="14" t="n"/>
      <c r="D544" s="27" t="n"/>
      <c r="E544" s="28" t="n"/>
      <c r="F544" s="15">
        <f>IF(OR(D498&lt;&gt;"",E498&lt;&gt;""),IF(D498="",0,D498)+IF(E498="",0,E498),"")</f>
        <v/>
      </c>
      <c r="G544" s="14" t="n"/>
    </row>
    <row r="545">
      <c r="A545" s="14" t="inlineStr">
        <is>
          <t>Diciembre</t>
        </is>
      </c>
      <c r="B545" s="17" t="n"/>
      <c r="C545" s="14" t="n"/>
      <c r="D545" s="27" t="n"/>
      <c r="E545" s="28" t="n"/>
      <c r="F545" s="15">
        <f>IF(OR(D499&lt;&gt;"",E499&lt;&gt;""),IF(D499="",0,D499)+IF(E499="",0,E499),"")</f>
        <v/>
      </c>
      <c r="G545" s="14" t="n"/>
    </row>
    <row r="546">
      <c r="A546" s="14" t="inlineStr">
        <is>
          <t>Diciembre</t>
        </is>
      </c>
      <c r="B546" s="17" t="n"/>
      <c r="C546" s="14" t="n"/>
      <c r="D546" s="27" t="n"/>
      <c r="E546" s="28" t="n"/>
      <c r="F546" s="15">
        <f>IF(OR(D500&lt;&gt;"",E500&lt;&gt;""),IF(D500="",0,D500)+IF(E500="",0,E500),"")</f>
        <v/>
      </c>
      <c r="G546" s="14" t="n"/>
    </row>
    <row r="547">
      <c r="A547" s="14" t="inlineStr">
        <is>
          <t>Diciembre</t>
        </is>
      </c>
      <c r="B547" s="17" t="n"/>
      <c r="C547" s="14" t="n"/>
      <c r="D547" s="27" t="n"/>
      <c r="E547" s="28" t="n"/>
      <c r="F547" s="15">
        <f>IF(OR(D501&lt;&gt;"",E501&lt;&gt;""),IF(D501="",0,D501)+IF(E501="",0,E501),"")</f>
        <v/>
      </c>
      <c r="G547" s="14" t="n"/>
    </row>
    <row r="548">
      <c r="A548" s="14" t="inlineStr">
        <is>
          <t>Diciembre</t>
        </is>
      </c>
      <c r="B548" s="17" t="n"/>
      <c r="C548" s="14" t="n"/>
      <c r="D548" s="27" t="n"/>
      <c r="E548" s="28" t="n"/>
      <c r="F548" s="15">
        <f>IF(OR(D502&lt;&gt;"",E502&lt;&gt;""),IF(D502="",0,D502)+IF(E502="",0,E502),"")</f>
        <v/>
      </c>
      <c r="G548" s="14" t="n"/>
    </row>
    <row r="549">
      <c r="A549" s="14" t="inlineStr">
        <is>
          <t>Diciembre</t>
        </is>
      </c>
      <c r="B549" s="17" t="n"/>
      <c r="C549" s="14" t="n"/>
      <c r="D549" s="27" t="n"/>
      <c r="E549" s="28" t="n"/>
      <c r="F549" s="15">
        <f>IF(OR(D503&lt;&gt;"",E503&lt;&gt;""),IF(D503="",0,D503)+IF(E503="",0,E503),"")</f>
        <v/>
      </c>
      <c r="G549" s="14" t="n"/>
    </row>
    <row r="550">
      <c r="A550" s="14" t="inlineStr">
        <is>
          <t>Diciembre</t>
        </is>
      </c>
      <c r="B550" s="17" t="n"/>
      <c r="C550" s="14" t="n"/>
      <c r="D550" s="27" t="n"/>
      <c r="E550" s="28" t="n"/>
      <c r="F550" s="15">
        <f>IF(OR(D504&lt;&gt;"",E504&lt;&gt;""),IF(D504="",0,D504)+IF(E504="",0,E504),"")</f>
        <v/>
      </c>
      <c r="G550" s="14" t="n"/>
    </row>
    <row r="551">
      <c r="A551" s="14" t="inlineStr">
        <is>
          <t>Diciembre</t>
        </is>
      </c>
      <c r="B551" s="17" t="n"/>
      <c r="C551" s="14" t="n"/>
      <c r="D551" s="27" t="n"/>
      <c r="E551" s="28" t="n"/>
      <c r="F551" s="15">
        <f>IF(OR(D505&lt;&gt;"",E505&lt;&gt;""),IF(D505="",0,D505)+IF(E505="",0,E505),"")</f>
        <v/>
      </c>
      <c r="G551" s="14" t="n"/>
    </row>
    <row r="552">
      <c r="A552" s="10" t="inlineStr">
        <is>
          <t>TOTAL DICIEMBRE</t>
        </is>
      </c>
      <c r="B552" s="22" t="n"/>
      <c r="C552" s="29" t="inlineStr">
        <is>
          <t>Totales mes →</t>
        </is>
      </c>
      <c r="D552" s="7">
        <f>SUMIFS($D$4:$D$800,$A$4:$A$800,"Diciembre")</f>
        <v/>
      </c>
      <c r="E552" s="7">
        <f>SUMIFS($E$4:$E$800,$A$4:$A$800,"Diciembre")</f>
        <v/>
      </c>
      <c r="F552" s="7">
        <f>D552+E552</f>
        <v/>
      </c>
      <c r="G552" s="22" t="n"/>
    </row>
    <row r="553">
      <c r="A553" t="inlineStr">
        <is>
          <t>Enero</t>
        </is>
      </c>
      <c r="B553" s="54" t="n">
        <v>46034</v>
      </c>
      <c r="C553" t="inlineStr">
        <is>
          <t>SUPERMERCADO · Coto</t>
        </is>
      </c>
      <c r="D553" t="n">
        <v>337644</v>
      </c>
      <c r="F553">
        <f>IF(OR(D523&lt;&gt;"",E523&lt;&gt;""),IF(D523="",0,D523)+IF(E523="",0,E523),"")</f>
        <v/>
      </c>
      <c r="G553" t="inlineStr">
        <is>
          <t>SUPERMERCADO · Coto · TC Mercado Pago · compra 2025-12-22</t>
        </is>
      </c>
    </row>
    <row r="554">
      <c r="A554" t="inlineStr">
        <is>
          <t>Enero</t>
        </is>
      </c>
      <c r="B554" s="54" t="n">
        <v>46034</v>
      </c>
      <c r="C554" t="inlineStr">
        <is>
          <t>SUPERMERCADO · Coto</t>
        </is>
      </c>
      <c r="D554" t="n">
        <v>-49597</v>
      </c>
      <c r="F554">
        <f>IF(OR(D524&lt;&gt;"",E524&lt;&gt;""),IF(D524="",0,D524)+IF(E524="",0,E524),"")</f>
        <v/>
      </c>
      <c r="G554" t="inlineStr">
        <is>
          <t>REEMBOLSO · SUPERMERCADO · Coto · TC Mercado Pago · compra 2025-12-23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2"/>
  <sheetViews>
    <sheetView workbookViewId="0">
      <pane ySplit="3" topLeftCell="A4" activePane="bottomLeft" state="frozen"/>
      <selection pane="bottomLeft" activeCell="A1" sqref="A1"/>
    </sheetView>
  </sheetViews>
  <sheetFormatPr baseColWidth="8" defaultRowHeight="15"/>
  <cols>
    <col width="12" customWidth="1" min="1" max="1"/>
    <col width="16" customWidth="1" min="2" max="2"/>
    <col width="48" customWidth="1" min="3" max="3"/>
    <col width="12" customWidth="1" min="4" max="4"/>
    <col width="20" customWidth="1" min="5" max="5"/>
    <col width="18" customWidth="1" min="6" max="6"/>
    <col width="16" customWidth="1" min="7" max="7"/>
    <col width="48" customWidth="1" min="8" max="8"/>
    <col width="12" customWidth="1" min="9" max="9"/>
  </cols>
  <sheetData>
    <row r="1">
      <c r="A1" s="1" t="inlineStr">
        <is>
          <t>CIUDAD 1132 — Detalle de gastos 2026</t>
        </is>
      </c>
    </row>
    <row r="2">
      <c r="A2" s="54" t="n"/>
    </row>
    <row r="3">
      <c r="A3" s="16" t="inlineStr">
        <is>
          <t>Fecha</t>
        </is>
      </c>
      <c r="B3" s="16" t="inlineStr">
        <is>
          <t>Concepto</t>
        </is>
      </c>
      <c r="C3" s="16" t="inlineStr">
        <is>
          <t>Descripción</t>
        </is>
      </c>
      <c r="D3" s="16" t="inlineStr">
        <is>
          <t>Monto</t>
        </is>
      </c>
      <c r="E3" s="16" t="inlineStr">
        <is>
          <t>Forma de pago</t>
        </is>
      </c>
      <c r="F3" s="16" t="inlineStr">
        <is>
          <t>N° Cliente</t>
        </is>
      </c>
      <c r="G3" s="16" t="inlineStr">
        <is>
          <t>N° Medidor</t>
        </is>
      </c>
      <c r="H3" s="16" t="inlineStr">
        <is>
          <t>Notas</t>
        </is>
      </c>
      <c r="I3" s="16" t="inlineStr">
        <is>
          <t>Mes</t>
        </is>
      </c>
    </row>
    <row r="4">
      <c r="A4" s="17" t="n">
        <v>46023</v>
      </c>
      <c r="B4" s="14" t="inlineStr">
        <is>
          <t>LIMPIEZA CASA</t>
        </is>
      </c>
      <c r="C4" s="14" t="inlineStr">
        <is>
          <t>LIMPIEZA CASA — Enero 2026</t>
        </is>
      </c>
      <c r="D4" s="15" t="n">
        <v>650122</v>
      </c>
      <c r="E4" s="14" t="inlineStr"/>
      <c r="F4" s="18" t="inlineStr"/>
      <c r="G4" s="18" t="inlineStr"/>
      <c r="H4" s="14" t="inlineStr"/>
      <c r="I4" s="14" t="inlineStr">
        <is>
          <t>Enero</t>
        </is>
      </c>
    </row>
    <row r="5">
      <c r="A5" s="17" t="n">
        <v>46023</v>
      </c>
      <c r="B5" s="14" t="inlineStr">
        <is>
          <t>Telecentro</t>
        </is>
      </c>
      <c r="C5" s="14" t="inlineStr">
        <is>
          <t>Telecentro CIUDAD — 01/2026 (Gmail)</t>
        </is>
      </c>
      <c r="D5" s="15" t="n">
        <v>37984</v>
      </c>
      <c r="E5" s="14" t="inlineStr"/>
      <c r="F5" s="18" t="inlineStr"/>
      <c r="G5" s="18" t="inlineStr"/>
      <c r="H5" s="14" t="inlineStr">
        <is>
          <t>Recurrente $50.000/mes hasta nuevo aviso</t>
        </is>
      </c>
      <c r="I5" s="14" t="inlineStr">
        <is>
          <t>Enero</t>
        </is>
      </c>
    </row>
    <row r="6">
      <c r="A6" s="17" t="n">
        <v>46029</v>
      </c>
      <c r="B6" s="14" t="inlineStr">
        <is>
          <t>Expensas</t>
        </is>
      </c>
      <c r="C6" s="14" t="inlineStr">
        <is>
          <t>Expensas — Enero 2026 (pago 1)</t>
        </is>
      </c>
      <c r="D6" s="15" t="n">
        <v>35260</v>
      </c>
      <c r="E6" s="14" t="inlineStr">
        <is>
          <t>Transferencia</t>
        </is>
      </c>
      <c r="F6" s="18" t="inlineStr"/>
      <c r="G6" s="18" t="inlineStr"/>
      <c r="H6" s="14" t="inlineStr">
        <is>
          <t>Consorcio de Propietarios · Pagado</t>
        </is>
      </c>
      <c r="I6" s="14" t="inlineStr">
        <is>
          <t>Enero</t>
        </is>
      </c>
    </row>
    <row r="7">
      <c r="A7" s="17" t="n">
        <v>46029</v>
      </c>
      <c r="B7" s="14" t="inlineStr">
        <is>
          <t>Expensas</t>
        </is>
      </c>
      <c r="C7" s="14" t="inlineStr">
        <is>
          <t>Expensas — Enero 2026 (pago 2)</t>
        </is>
      </c>
      <c r="D7" s="15" t="n">
        <v>238240</v>
      </c>
      <c r="E7" s="14" t="inlineStr">
        <is>
          <t>Transferencia</t>
        </is>
      </c>
      <c r="F7" s="18" t="inlineStr"/>
      <c r="G7" s="18" t="inlineStr"/>
      <c r="H7" s="14" t="inlineStr">
        <is>
          <t>Consorcio de Propietarios · Pagado</t>
        </is>
      </c>
      <c r="I7" s="14" t="inlineStr">
        <is>
          <t>Enero</t>
        </is>
      </c>
    </row>
    <row r="8">
      <c r="A8" s="17" t="n">
        <v>46054</v>
      </c>
      <c r="B8" s="14" t="inlineStr">
        <is>
          <t>LIMPIEZA CASA</t>
        </is>
      </c>
      <c r="C8" s="14" t="inlineStr">
        <is>
          <t>LIMPIEZA CASA — Febrero 2026</t>
        </is>
      </c>
      <c r="D8" s="15" t="n">
        <v>515550</v>
      </c>
      <c r="E8" s="14" t="inlineStr"/>
      <c r="F8" s="18" t="inlineStr"/>
      <c r="G8" s="18" t="inlineStr"/>
      <c r="H8" s="14" t="inlineStr">
        <is>
          <t>Original: 515.549,50 · redondeado hacia arriba</t>
        </is>
      </c>
      <c r="I8" s="14" t="inlineStr">
        <is>
          <t>Febrero</t>
        </is>
      </c>
    </row>
    <row r="9">
      <c r="A9" s="17" t="n">
        <v>46054</v>
      </c>
      <c r="B9" s="14" t="inlineStr">
        <is>
          <t>Telecentro</t>
        </is>
      </c>
      <c r="C9" s="14" t="inlineStr">
        <is>
          <t>Telecentro CIUDAD — 02/2026 (Gmail)</t>
        </is>
      </c>
      <c r="D9" s="15" t="n">
        <v>38489</v>
      </c>
      <c r="E9" s="14" t="inlineStr"/>
      <c r="F9" s="18" t="inlineStr"/>
      <c r="G9" s="18" t="inlineStr"/>
      <c r="H9" s="14" t="inlineStr">
        <is>
          <t>Recurrente $50.000/mes hasta nuevo aviso</t>
        </is>
      </c>
      <c r="I9" s="14" t="inlineStr">
        <is>
          <t>Febrero</t>
        </is>
      </c>
    </row>
    <row r="10">
      <c r="A10" s="53" t="n">
        <v>46041</v>
      </c>
      <c r="B10" s="14" t="inlineStr">
        <is>
          <t>Metrogas</t>
        </is>
      </c>
      <c r="C10" s="14" t="inlineStr">
        <is>
          <t>Metrogas CIUDAD · cobro 19/01/2026 (fecha de cobro BBVA, no período consumo)</t>
        </is>
      </c>
      <c r="D10" s="15" t="n">
        <v>26412</v>
      </c>
      <c r="E10" s="14" t="inlineStr">
        <is>
          <t>Débito automático BBVA Visa</t>
        </is>
      </c>
      <c r="F10" s="18" t="inlineStr">
        <is>
          <t>30010996459</t>
        </is>
      </c>
      <c r="G10" s="18" t="inlineStr">
        <is>
          <t>40049923</t>
        </is>
      </c>
      <c r="H10" s="14" t="n"/>
      <c r="I10" s="14" t="n"/>
    </row>
    <row r="11">
      <c r="A11" s="17" t="n">
        <v>46059</v>
      </c>
      <c r="B11" s="14" t="inlineStr">
        <is>
          <t>Expensas</t>
        </is>
      </c>
      <c r="C11" s="14" t="inlineStr">
        <is>
          <t>Expensas — Febrero 2026</t>
        </is>
      </c>
      <c r="D11" s="15" t="n">
        <v>218800</v>
      </c>
      <c r="E11" s="14" t="inlineStr">
        <is>
          <t>Transferencia</t>
        </is>
      </c>
      <c r="F11" s="18" t="inlineStr"/>
      <c r="G11" s="18" t="inlineStr"/>
      <c r="H11" s="14" t="inlineStr">
        <is>
          <t>Consorcio de Propietarios · Pagado</t>
        </is>
      </c>
      <c r="I11" s="14" t="inlineStr">
        <is>
          <t>Febrero</t>
        </is>
      </c>
    </row>
    <row r="12">
      <c r="A12" s="17" t="n">
        <v>46082</v>
      </c>
      <c r="B12" s="14" t="inlineStr">
        <is>
          <t>LIMPIEZA CASA</t>
        </is>
      </c>
      <c r="C12" s="14" t="inlineStr">
        <is>
          <t>LIMPIEZA CASA — Marzo 2026</t>
        </is>
      </c>
      <c r="D12" s="15" t="n">
        <v>524479</v>
      </c>
      <c r="E12" s="14" t="inlineStr"/>
      <c r="F12" s="18" t="inlineStr"/>
      <c r="G12" s="18" t="inlineStr"/>
      <c r="H12" s="14" t="inlineStr">
        <is>
          <t>Original: 524.478,50 · redondeado hacia arriba</t>
        </is>
      </c>
      <c r="I12" s="14" t="inlineStr">
        <is>
          <t>Marzo</t>
        </is>
      </c>
    </row>
    <row r="13">
      <c r="A13" s="17" t="n">
        <v>46082</v>
      </c>
      <c r="B13" s="14" t="inlineStr">
        <is>
          <t>Telecentro</t>
        </is>
      </c>
      <c r="C13" s="14" t="inlineStr">
        <is>
          <t>Telecentro CIUDAD — 03/2026 (Gmail)</t>
        </is>
      </c>
      <c r="D13" s="15" t="n">
        <v>39163</v>
      </c>
      <c r="E13" s="14" t="inlineStr"/>
      <c r="F13" s="18" t="inlineStr"/>
      <c r="G13" s="18" t="inlineStr"/>
      <c r="H13" s="14" t="inlineStr">
        <is>
          <t>Recurrente $50.000/mes hasta nuevo aviso</t>
        </is>
      </c>
      <c r="I13" s="14" t="inlineStr">
        <is>
          <t>Marzo</t>
        </is>
      </c>
    </row>
    <row r="14">
      <c r="A14" s="17" t="n">
        <v>46089</v>
      </c>
      <c r="B14" s="14" t="inlineStr">
        <is>
          <t>Luz</t>
        </is>
      </c>
      <c r="C14" s="14" t="inlineStr">
        <is>
          <t>Edenor — emisión 08/03/2026 · titular Maria Soledad Sanes · CIUDAD · cuenta 008917502309</t>
        </is>
      </c>
      <c r="D14" s="15" t="n">
        <v>82994</v>
      </c>
      <c r="E14" s="14" t="inlineStr">
        <is>
          <t>Débito Visa 3200</t>
        </is>
      </c>
      <c r="F14" s="18" t="inlineStr">
        <is>
          <t>008917502309</t>
        </is>
      </c>
      <c r="G14" s="18" t="inlineStr"/>
      <c r="H14" s="14" t="inlineStr">
        <is>
          <t>Vence 16/03/2026</t>
        </is>
      </c>
      <c r="I14" s="14" t="inlineStr">
        <is>
          <t>Marzo</t>
        </is>
      </c>
    </row>
    <row r="15">
      <c r="A15" s="53" t="n">
        <v>46071</v>
      </c>
      <c r="B15" s="14" t="inlineStr">
        <is>
          <t>Metrogas</t>
        </is>
      </c>
      <c r="C15" s="14" t="inlineStr">
        <is>
          <t>Metrogas CIUDAD · cobro 18/02/2026 (fecha de cobro BBVA, no período consumo)</t>
        </is>
      </c>
      <c r="D15" s="15" t="n">
        <v>25745</v>
      </c>
      <c r="E15" s="14" t="inlineStr">
        <is>
          <t>Débito automático BBVA Visa</t>
        </is>
      </c>
      <c r="F15" s="18" t="inlineStr">
        <is>
          <t>30010996459</t>
        </is>
      </c>
      <c r="G15" s="18" t="inlineStr">
        <is>
          <t>40049923</t>
        </is>
      </c>
      <c r="H15" s="14" t="n"/>
      <c r="I15" s="14" t="n"/>
    </row>
    <row r="16">
      <c r="A16" s="17" t="n">
        <v>46091</v>
      </c>
      <c r="B16" s="14" t="inlineStr">
        <is>
          <t>Expensas</t>
        </is>
      </c>
      <c r="C16" s="14" t="inlineStr">
        <is>
          <t>Expensas — Marzo 2026</t>
        </is>
      </c>
      <c r="D16" s="15" t="n">
        <v>218800</v>
      </c>
      <c r="E16" s="14" t="inlineStr">
        <is>
          <t>Transferencia</t>
        </is>
      </c>
      <c r="F16" s="18" t="inlineStr"/>
      <c r="G16" s="18" t="inlineStr"/>
      <c r="H16" s="14" t="inlineStr">
        <is>
          <t>Consorcio de Propietarios · Pagado</t>
        </is>
      </c>
      <c r="I16" s="14" t="inlineStr">
        <is>
          <t>Marzo</t>
        </is>
      </c>
    </row>
    <row r="17">
      <c r="A17" s="17" t="n">
        <v>46119</v>
      </c>
      <c r="B17" s="14" t="inlineStr">
        <is>
          <t>Expensas</t>
        </is>
      </c>
      <c r="C17" s="14" t="inlineStr">
        <is>
          <t>Expensas — Abril 2026</t>
        </is>
      </c>
      <c r="D17" s="15" t="n">
        <v>235210</v>
      </c>
      <c r="E17" s="14" t="inlineStr">
        <is>
          <t>Transferencia</t>
        </is>
      </c>
      <c r="F17" s="18" t="inlineStr"/>
      <c r="G17" s="18" t="inlineStr"/>
      <c r="H17" s="14" t="inlineStr">
        <is>
          <t>Consorcio de Propietarios · Pagado · Gmail Sent 7-abr</t>
        </is>
      </c>
      <c r="I17" s="14" t="inlineStr">
        <is>
          <t>Abril</t>
        </is>
      </c>
    </row>
    <row r="18">
      <c r="A18" s="17" t="n">
        <v>46113</v>
      </c>
      <c r="B18" s="14" t="inlineStr">
        <is>
          <t>LIMPIEZA CASA</t>
        </is>
      </c>
      <c r="C18" s="14" t="inlineStr">
        <is>
          <t>LIMPIEZA CASA — Abril 2026</t>
        </is>
      </c>
      <c r="D18" s="15" t="n">
        <v>501015</v>
      </c>
      <c r="E18" s="14" t="inlineStr"/>
      <c r="F18" s="18" t="inlineStr"/>
      <c r="G18" s="18" t="inlineStr"/>
      <c r="H18" s="14" t="inlineStr"/>
      <c r="I18" s="14" t="inlineStr">
        <is>
          <t>Abril</t>
        </is>
      </c>
    </row>
    <row r="19">
      <c r="A19" s="17" t="n">
        <v>46113</v>
      </c>
      <c r="B19" s="14" t="inlineStr">
        <is>
          <t>Telecentro</t>
        </is>
      </c>
      <c r="C19" s="14" t="inlineStr">
        <is>
          <t>Telecentro CIUDAD — servicio mensual 04/2026</t>
        </is>
      </c>
      <c r="D19" s="15" t="n">
        <v>50000</v>
      </c>
      <c r="E19" s="14" t="inlineStr"/>
      <c r="F19" s="18" t="inlineStr"/>
      <c r="G19" s="18" t="inlineStr"/>
      <c r="H19" s="14" t="inlineStr">
        <is>
          <t>Recurrente $50.000/mes hasta nuevo aviso</t>
        </is>
      </c>
      <c r="I19" s="14" t="inlineStr">
        <is>
          <t>Abril</t>
        </is>
      </c>
    </row>
    <row r="20">
      <c r="A20" s="17" t="n">
        <v>46114</v>
      </c>
      <c r="B20" s="14" t="inlineStr">
        <is>
          <t>Luz</t>
        </is>
      </c>
      <c r="C20" s="14" t="inlineStr">
        <is>
          <t>Edenor — emisión 02/04/2026 · titular Maria Soledad Sanes · CIUDAD · cuenta 008917502309</t>
        </is>
      </c>
      <c r="D20" s="15" t="n">
        <v>56700</v>
      </c>
      <c r="E20" s="14" t="inlineStr">
        <is>
          <t>Débito Visa 3200</t>
        </is>
      </c>
      <c r="F20" s="18" t="inlineStr">
        <is>
          <t>008917502309</t>
        </is>
      </c>
      <c r="G20" s="18" t="inlineStr"/>
      <c r="H20" s="14" t="inlineStr">
        <is>
          <t>Vence 14/04/2026</t>
        </is>
      </c>
      <c r="I20" s="14" t="inlineStr">
        <is>
          <t>Abril</t>
        </is>
      </c>
    </row>
    <row r="21">
      <c r="A21" s="53" t="n">
        <v>46132</v>
      </c>
      <c r="B21" s="14" t="inlineStr">
        <is>
          <t>Metrogas</t>
        </is>
      </c>
      <c r="C21" s="14" t="inlineStr">
        <is>
          <t>Metrogas CIUDAD · cobro 20/04/2026 (fecha de cobro BBVA, no período consumo)</t>
        </is>
      </c>
      <c r="D21" s="15" t="n">
        <v>37569</v>
      </c>
      <c r="E21" s="14" t="inlineStr">
        <is>
          <t>Débito automático BBVA Visa</t>
        </is>
      </c>
      <c r="F21" s="18" t="inlineStr">
        <is>
          <t>30010996459</t>
        </is>
      </c>
      <c r="G21" s="18" t="inlineStr">
        <is>
          <t>40049923</t>
        </is>
      </c>
      <c r="H21" s="14" t="n"/>
      <c r="I21" s="14" t="n"/>
    </row>
    <row r="22">
      <c r="A22" s="17" t="n"/>
      <c r="B22" s="14" t="n"/>
      <c r="C22" s="14" t="n"/>
      <c r="D22" s="15" t="n"/>
      <c r="E22" s="14" t="n"/>
      <c r="F22" s="18" t="n"/>
      <c r="G22" s="18" t="n"/>
      <c r="H22" s="14" t="n"/>
      <c r="I22" s="14" t="n"/>
    </row>
    <row r="23">
      <c r="A23" s="17" t="n">
        <v>46143</v>
      </c>
      <c r="B23" s="14" t="inlineStr">
        <is>
          <t>LIMPIEZA CASA</t>
        </is>
      </c>
      <c r="C23" s="14" t="inlineStr">
        <is>
          <t>LIMPIEZA CASA — Mayo 2026</t>
        </is>
      </c>
      <c r="D23" s="15" t="n">
        <v>545533</v>
      </c>
      <c r="E23" s="14" t="inlineStr"/>
      <c r="F23" s="18" t="inlineStr"/>
      <c r="G23" s="18" t="inlineStr"/>
      <c r="H23" s="14" t="inlineStr"/>
      <c r="I23" s="14" t="inlineStr">
        <is>
          <t>Mayo</t>
        </is>
      </c>
    </row>
    <row r="24">
      <c r="A24" s="17" t="n">
        <v>46143</v>
      </c>
      <c r="B24" s="14" t="inlineStr">
        <is>
          <t>Telecentro</t>
        </is>
      </c>
      <c r="C24" s="14" t="inlineStr">
        <is>
          <t>Telecentro CIUDAD — servicio mensual 05/2026</t>
        </is>
      </c>
      <c r="D24" s="15" t="n">
        <v>50000</v>
      </c>
      <c r="E24" s="14" t="inlineStr"/>
      <c r="F24" s="18" t="inlineStr"/>
      <c r="G24" s="18" t="inlineStr"/>
      <c r="H24" s="14" t="inlineStr">
        <is>
          <t>Recurrente $50.000/mes hasta nuevo aviso</t>
        </is>
      </c>
      <c r="I24" s="14" t="inlineStr">
        <is>
          <t>Mayo</t>
        </is>
      </c>
    </row>
    <row r="25">
      <c r="A25" s="17" t="n">
        <v>46144</v>
      </c>
      <c r="B25" s="14" t="inlineStr">
        <is>
          <t>Luz</t>
        </is>
      </c>
      <c r="C25" s="14" t="inlineStr">
        <is>
          <t>Edenor — emisión 02/05/2026 · titular Maria Soledad Sanes · CIUDAD · cuenta 008917502309</t>
        </is>
      </c>
      <c r="D25" s="15" t="n">
        <v>52012</v>
      </c>
      <c r="E25" s="14" t="inlineStr">
        <is>
          <t>Débito Visa 3200</t>
        </is>
      </c>
      <c r="F25" s="18" t="inlineStr">
        <is>
          <t>008917502309</t>
        </is>
      </c>
      <c r="G25" s="18" t="inlineStr"/>
      <c r="H25" s="14" t="inlineStr">
        <is>
          <t>Vence 14/05/2026</t>
        </is>
      </c>
      <c r="I25" s="14" t="inlineStr">
        <is>
          <t>Mayo</t>
        </is>
      </c>
    </row>
    <row r="26">
      <c r="A26" s="53" t="n">
        <v>46161</v>
      </c>
      <c r="B26" s="14" t="inlineStr">
        <is>
          <t>Metrogas</t>
        </is>
      </c>
      <c r="C26" s="14" t="inlineStr">
        <is>
          <t>Metrogas CIUDAD · cobro 19/05/2026 (fecha de cobro BBVA, no período consumo)</t>
        </is>
      </c>
      <c r="D26" s="15" t="n">
        <v>36014</v>
      </c>
      <c r="E26" s="14" t="inlineStr">
        <is>
          <t>Débito automático BBVA Visa</t>
        </is>
      </c>
      <c r="F26" s="18" t="inlineStr">
        <is>
          <t>30010996459</t>
        </is>
      </c>
      <c r="G26" s="18" t="inlineStr">
        <is>
          <t>40049923</t>
        </is>
      </c>
      <c r="H26" s="14" t="n"/>
      <c r="I26" s="14" t="n"/>
    </row>
    <row r="27">
      <c r="A27" s="17" t="n">
        <v>46174</v>
      </c>
      <c r="B27" s="14" t="inlineStr">
        <is>
          <t>LIMPIEZA CASA</t>
        </is>
      </c>
      <c r="C27" s="14" t="inlineStr">
        <is>
          <t>LIMPIEZA CASA — Junio 2026</t>
        </is>
      </c>
      <c r="D27" s="15" t="n">
        <v>876981</v>
      </c>
      <c r="E27" s="14" t="inlineStr"/>
      <c r="F27" s="18" t="inlineStr"/>
      <c r="G27" s="18" t="inlineStr"/>
      <c r="H27" s="14" t="inlineStr">
        <is>
          <t>Original: 876.980,50 · redondeado hacia arriba</t>
        </is>
      </c>
      <c r="I27" s="14" t="inlineStr">
        <is>
          <t>Junio</t>
        </is>
      </c>
    </row>
    <row r="28">
      <c r="A28" s="17" t="n">
        <v>46174</v>
      </c>
      <c r="B28" s="14" t="inlineStr">
        <is>
          <t>Telecentro</t>
        </is>
      </c>
      <c r="C28" s="14" t="inlineStr">
        <is>
          <t>Telecentro CIUDAD — servicio mensual 06/2026</t>
        </is>
      </c>
      <c r="D28" s="15" t="n">
        <v>50000</v>
      </c>
      <c r="E28" s="14" t="inlineStr"/>
      <c r="F28" s="18" t="inlineStr"/>
      <c r="G28" s="18" t="inlineStr"/>
      <c r="H28" s="14" t="inlineStr">
        <is>
          <t>Recurrente $50.000/mes hasta nuevo aviso</t>
        </is>
      </c>
      <c r="I28" s="14" t="inlineStr">
        <is>
          <t>Junio</t>
        </is>
      </c>
    </row>
    <row r="29">
      <c r="A29" s="17" t="n">
        <v>46176</v>
      </c>
      <c r="B29" s="14" t="inlineStr">
        <is>
          <t>Luz</t>
        </is>
      </c>
      <c r="C29" s="14" t="inlineStr">
        <is>
          <t>Edenor — emisión 03/06/2026 · titular Maria Soledad Sanes · CIUDAD · cuenta 008917502309</t>
        </is>
      </c>
      <c r="D29" s="15" t="n">
        <v>106212</v>
      </c>
      <c r="E29" s="14" t="inlineStr">
        <is>
          <t>Débito Visa 3200</t>
        </is>
      </c>
      <c r="F29" s="18" t="inlineStr">
        <is>
          <t>008917502309</t>
        </is>
      </c>
      <c r="G29" s="18" t="inlineStr"/>
      <c r="H29" s="14" t="inlineStr">
        <is>
          <t>Vence 16/06/2026</t>
        </is>
      </c>
      <c r="I29" s="14" t="inlineStr">
        <is>
          <t>Junio</t>
        </is>
      </c>
    </row>
    <row r="30">
      <c r="A30" s="53" t="n">
        <v>46190</v>
      </c>
      <c r="B30" s="14" t="inlineStr">
        <is>
          <t>Metrogas</t>
        </is>
      </c>
      <c r="C30" s="14" t="inlineStr">
        <is>
          <t>Metrogas CIUDAD · cobro 17/06/2026 (fecha de cobro BBVA, no período consumo)</t>
        </is>
      </c>
      <c r="D30" s="15" t="n">
        <v>30643</v>
      </c>
      <c r="E30" s="14" t="inlineStr">
        <is>
          <t>Débito automático BBVA Visa</t>
        </is>
      </c>
      <c r="F30" s="18" t="inlineStr">
        <is>
          <t>30010996459</t>
        </is>
      </c>
      <c r="G30" s="18" t="inlineStr">
        <is>
          <t>40049923</t>
        </is>
      </c>
      <c r="H30" s="14" t="n"/>
      <c r="I30" s="14" t="n"/>
    </row>
    <row r="31">
      <c r="A31" s="17" t="n">
        <v>46183</v>
      </c>
      <c r="B31" s="14" t="inlineStr">
        <is>
          <t>Expensas</t>
        </is>
      </c>
      <c r="C31" s="14" t="inlineStr">
        <is>
          <t>Expensas — Mayo 2026 (pago Gmail Sent 10/06)</t>
        </is>
      </c>
      <c r="D31" s="15" t="n">
        <v>246150</v>
      </c>
      <c r="E31" s="14" t="inlineStr">
        <is>
          <t>Transferencia</t>
        </is>
      </c>
      <c r="F31" s="18" t="inlineStr"/>
      <c r="G31" s="18" t="inlineStr"/>
      <c r="H31" s="14" t="inlineStr">
        <is>
          <t>Período mayo · Consorcio De Propietarios · Pagado · Gmail Sent</t>
        </is>
      </c>
      <c r="I31" s="14" t="inlineStr">
        <is>
          <t>Mayo</t>
        </is>
      </c>
    </row>
    <row r="32">
      <c r="A32" s="17" t="n">
        <v>46204</v>
      </c>
      <c r="B32" s="14" t="inlineStr">
        <is>
          <t>Luz</t>
        </is>
      </c>
      <c r="C32" s="14" t="inlineStr">
        <is>
          <t>Edenor — emisión 01/07/2026 · titular Maria Soledad Sanes · CIUDAD · cuenta 008917502309</t>
        </is>
      </c>
      <c r="D32" s="15" t="n">
        <v>128877</v>
      </c>
      <c r="E32" s="14" t="inlineStr">
        <is>
          <t>Débito Visa 3200</t>
        </is>
      </c>
      <c r="F32" s="18" t="inlineStr">
        <is>
          <t>008917502309</t>
        </is>
      </c>
      <c r="G32" s="18" t="inlineStr"/>
      <c r="H32" s="14" t="inlineStr">
        <is>
          <t>Vence 13/07/2026</t>
        </is>
      </c>
      <c r="I32" s="14" t="inlineStr">
        <is>
          <t>Julio</t>
        </is>
      </c>
    </row>
    <row r="33">
      <c r="A33" s="17" t="n">
        <v>46204</v>
      </c>
      <c r="B33" s="14" t="inlineStr">
        <is>
          <t>Telecentro</t>
        </is>
      </c>
      <c r="C33" s="14" t="inlineStr">
        <is>
          <t>Telecentro CIUDAD — servicio mensual 07/2026</t>
        </is>
      </c>
      <c r="D33" s="15" t="n">
        <v>50000</v>
      </c>
      <c r="E33" s="14" t="inlineStr"/>
      <c r="F33" s="18" t="inlineStr"/>
      <c r="G33" s="18" t="inlineStr"/>
      <c r="H33" s="14" t="inlineStr">
        <is>
          <t>Recurrente $50.000/mes hasta nuevo aviso</t>
        </is>
      </c>
      <c r="I33" s="14" t="inlineStr">
        <is>
          <t>Julio</t>
        </is>
      </c>
    </row>
    <row r="34">
      <c r="A34" s="17" t="n">
        <v>46212</v>
      </c>
      <c r="B34" s="14" t="inlineStr">
        <is>
          <t>Expensas</t>
        </is>
      </c>
      <c r="C34" s="14" t="inlineStr">
        <is>
          <t>Expensas — Junio 2026 (pago Gmail Sent 09/07)</t>
        </is>
      </c>
      <c r="D34" s="15" t="n">
        <v>273500</v>
      </c>
      <c r="E34" s="14" t="inlineStr">
        <is>
          <t>Transferencia</t>
        </is>
      </c>
      <c r="F34" s="18" t="inlineStr"/>
      <c r="G34" s="18" t="inlineStr"/>
      <c r="H34" s="14" t="inlineStr">
        <is>
          <t>Período junio · Consorcio De Propietarios · Pagado · Gmail Sent</t>
        </is>
      </c>
      <c r="I34" s="14" t="inlineStr">
        <is>
          <t>Junio</t>
        </is>
      </c>
    </row>
    <row r="35">
      <c r="A35" s="17" t="n">
        <v>46235</v>
      </c>
      <c r="B35" s="14" t="inlineStr">
        <is>
          <t>Telecentro</t>
        </is>
      </c>
      <c r="C35" s="14" t="inlineStr">
        <is>
          <t>Telecentro CIUDAD — servicio mensual 08/2026</t>
        </is>
      </c>
      <c r="D35" s="15" t="n">
        <v>50000</v>
      </c>
      <c r="E35" s="14" t="inlineStr"/>
      <c r="F35" s="18" t="inlineStr"/>
      <c r="G35" s="18" t="inlineStr"/>
      <c r="H35" s="14" t="inlineStr">
        <is>
          <t>Recurrente $50.000/mes hasta nuevo aviso</t>
        </is>
      </c>
      <c r="I35" s="14" t="inlineStr">
        <is>
          <t>Agosto</t>
        </is>
      </c>
    </row>
    <row r="36">
      <c r="A36" s="17" t="n">
        <v>46266</v>
      </c>
      <c r="B36" s="14" t="inlineStr">
        <is>
          <t>Telecentro</t>
        </is>
      </c>
      <c r="C36" s="14" t="inlineStr">
        <is>
          <t>(duplicado) ver fila débito BBVA 25/09 — no sumar</t>
        </is>
      </c>
      <c r="D36" s="15" t="n"/>
      <c r="E36" s="14" t="inlineStr">
        <is>
          <t>Débito BBVA</t>
        </is>
      </c>
      <c r="F36" s="18" t="inlineStr"/>
      <c r="G36" s="18" t="inlineStr"/>
      <c r="H36" s="14" t="inlineStr">
        <is>
          <t>SUPERSEDE · Telecentro Sept está en Detalle débito 25/09 $69.659</t>
        </is>
      </c>
      <c r="I36" s="14" t="inlineStr">
        <is>
          <t>Septiembre</t>
        </is>
      </c>
    </row>
    <row r="37">
      <c r="A37" s="17" t="n">
        <v>46296</v>
      </c>
      <c r="B37" s="14" t="inlineStr">
        <is>
          <t>Telecentro</t>
        </is>
      </c>
      <c r="C37" s="14" t="inlineStr">
        <is>
          <t>Telecentro CIUDAD — servicio mensual 10/2026</t>
        </is>
      </c>
      <c r="D37" s="15" t="n">
        <v>50000</v>
      </c>
      <c r="E37" s="14" t="inlineStr"/>
      <c r="F37" s="18" t="inlineStr"/>
      <c r="G37" s="18" t="inlineStr"/>
      <c r="H37" s="14" t="inlineStr">
        <is>
          <t>Recurrente $50.000/mes hasta nuevo aviso</t>
        </is>
      </c>
      <c r="I37" s="14" t="inlineStr">
        <is>
          <t>Octubre</t>
        </is>
      </c>
    </row>
    <row r="38">
      <c r="A38" s="17" t="n">
        <v>46327</v>
      </c>
      <c r="B38" s="14" t="inlineStr">
        <is>
          <t>Telecentro</t>
        </is>
      </c>
      <c r="C38" s="14" t="inlineStr">
        <is>
          <t>Telecentro CIUDAD — servicio mensual 11/2026</t>
        </is>
      </c>
      <c r="D38" s="15" t="n">
        <v>50000</v>
      </c>
      <c r="E38" s="14" t="inlineStr"/>
      <c r="F38" s="18" t="inlineStr"/>
      <c r="G38" s="18" t="inlineStr"/>
      <c r="H38" s="14" t="inlineStr">
        <is>
          <t>Recurrente $50.000/mes hasta nuevo aviso</t>
        </is>
      </c>
      <c r="I38" s="14" t="inlineStr">
        <is>
          <t>Noviembre</t>
        </is>
      </c>
    </row>
    <row r="39">
      <c r="A39" s="17" t="n">
        <v>46357</v>
      </c>
      <c r="B39" s="14" t="inlineStr">
        <is>
          <t>Telecentro</t>
        </is>
      </c>
      <c r="C39" s="14" t="inlineStr">
        <is>
          <t>Telecentro CIUDAD — servicio mensual 12/2026</t>
        </is>
      </c>
      <c r="D39" s="15" t="n">
        <v>50000</v>
      </c>
      <c r="E39" s="14" t="inlineStr"/>
      <c r="F39" s="18" t="inlineStr"/>
      <c r="G39" s="18" t="inlineStr"/>
      <c r="H39" s="14" t="inlineStr">
        <is>
          <t>Recurrente $50.000/mes hasta nuevo aviso</t>
        </is>
      </c>
      <c r="I39" s="14" t="inlineStr">
        <is>
          <t>Diciembre</t>
        </is>
      </c>
    </row>
    <row r="40">
      <c r="A40" s="25" t="n">
        <v>46023</v>
      </c>
      <c r="B40" t="inlineStr">
        <is>
          <t>Streaming</t>
        </is>
      </c>
      <c r="C40" t="inlineStr">
        <is>
          <t>Streaming — prorrateo anual 200.000 / 12 (Enero)</t>
        </is>
      </c>
      <c r="D40" s="26">
        <f>200000/12</f>
        <v/>
      </c>
      <c r="H40" t="inlineStr">
        <is>
          <t>Total anual 200.000 distribuido en 12 meses</t>
        </is>
      </c>
      <c r="I40" t="inlineStr">
        <is>
          <t>Enero</t>
        </is>
      </c>
    </row>
    <row r="41">
      <c r="A41" s="25" t="n">
        <v>46054</v>
      </c>
      <c r="B41" t="inlineStr">
        <is>
          <t>Streaming</t>
        </is>
      </c>
      <c r="C41" t="inlineStr">
        <is>
          <t>Streaming — prorrateo anual 200.000 / 12 (Febrero)</t>
        </is>
      </c>
      <c r="D41" s="26">
        <f>200000/12</f>
        <v/>
      </c>
      <c r="H41" t="inlineStr">
        <is>
          <t>Total anual 200.000 distribuido en 12 meses</t>
        </is>
      </c>
      <c r="I41" t="inlineStr">
        <is>
          <t>Febrero</t>
        </is>
      </c>
    </row>
    <row r="42">
      <c r="A42" s="25" t="n">
        <v>46082</v>
      </c>
      <c r="B42" t="inlineStr">
        <is>
          <t>Streaming</t>
        </is>
      </c>
      <c r="C42" t="inlineStr">
        <is>
          <t>Streaming — prorrateo anual 200.000 / 12 (Marzo)</t>
        </is>
      </c>
      <c r="D42" s="26">
        <f>200000/12</f>
        <v/>
      </c>
      <c r="H42" t="inlineStr">
        <is>
          <t>Total anual 200.000 distribuido en 12 meses</t>
        </is>
      </c>
      <c r="I42" t="inlineStr">
        <is>
          <t>Marzo</t>
        </is>
      </c>
    </row>
    <row r="43">
      <c r="A43" s="25" t="n">
        <v>46113</v>
      </c>
      <c r="B43" t="inlineStr">
        <is>
          <t>Streaming</t>
        </is>
      </c>
      <c r="C43" t="inlineStr">
        <is>
          <t>Streaming — prorrateo anual 200.000 / 12 (Abril)</t>
        </is>
      </c>
      <c r="D43" s="26">
        <f>200000/12</f>
        <v/>
      </c>
      <c r="H43" t="inlineStr">
        <is>
          <t>Total anual 200.000 distribuido en 12 meses</t>
        </is>
      </c>
      <c r="I43" t="inlineStr">
        <is>
          <t>Abril</t>
        </is>
      </c>
    </row>
    <row r="44">
      <c r="A44" s="25" t="n">
        <v>46143</v>
      </c>
      <c r="B44" t="inlineStr">
        <is>
          <t>Streaming</t>
        </is>
      </c>
      <c r="C44" t="inlineStr">
        <is>
          <t>Streaming — prorrateo anual 200.000 / 12 (Mayo)</t>
        </is>
      </c>
      <c r="D44" s="26">
        <f>200000/12</f>
        <v/>
      </c>
      <c r="H44" t="inlineStr">
        <is>
          <t>Total anual 200.000 distribuido en 12 meses</t>
        </is>
      </c>
      <c r="I44" t="inlineStr">
        <is>
          <t>Mayo</t>
        </is>
      </c>
    </row>
    <row r="45">
      <c r="A45" s="25" t="n">
        <v>46174</v>
      </c>
      <c r="B45" t="inlineStr">
        <is>
          <t>Streaming</t>
        </is>
      </c>
      <c r="C45" t="inlineStr">
        <is>
          <t>Streaming — prorrateo anual 200.000 / 12 (Junio)</t>
        </is>
      </c>
      <c r="D45" s="26">
        <f>200000/12</f>
        <v/>
      </c>
      <c r="H45" t="inlineStr">
        <is>
          <t>Total anual 200.000 distribuido en 12 meses</t>
        </is>
      </c>
      <c r="I45" t="inlineStr">
        <is>
          <t>Junio</t>
        </is>
      </c>
    </row>
    <row r="46">
      <c r="A46" s="25" t="n">
        <v>46204</v>
      </c>
      <c r="B46" t="inlineStr">
        <is>
          <t>Streaming</t>
        </is>
      </c>
      <c r="C46" t="inlineStr">
        <is>
          <t>Streaming — prorrateo anual 200.000 / 12 (Julio)</t>
        </is>
      </c>
      <c r="D46" s="26">
        <f>200000/12</f>
        <v/>
      </c>
      <c r="H46" t="inlineStr">
        <is>
          <t>Total anual 200.000 distribuido en 12 meses</t>
        </is>
      </c>
      <c r="I46" t="inlineStr">
        <is>
          <t>Julio</t>
        </is>
      </c>
    </row>
    <row r="47">
      <c r="A47" s="25" t="n">
        <v>46235</v>
      </c>
      <c r="B47" t="inlineStr">
        <is>
          <t>Streaming</t>
        </is>
      </c>
      <c r="C47" t="inlineStr">
        <is>
          <t>Streaming — prorrateo anual 200.000 / 12 (Agosto)</t>
        </is>
      </c>
      <c r="D47" s="26">
        <f>200000/12</f>
        <v/>
      </c>
      <c r="H47" t="inlineStr">
        <is>
          <t>Total anual 200.000 distribuido en 12 meses</t>
        </is>
      </c>
      <c r="I47" t="inlineStr">
        <is>
          <t>Agosto</t>
        </is>
      </c>
    </row>
    <row r="48">
      <c r="A48" s="25" t="n">
        <v>46266</v>
      </c>
      <c r="B48" t="inlineStr">
        <is>
          <t>Streaming</t>
        </is>
      </c>
      <c r="C48" t="inlineStr">
        <is>
          <t>Streaming — prorrateo anual 200.000 / 12 (Septiembre)</t>
        </is>
      </c>
      <c r="D48" s="26">
        <f>200000/12</f>
        <v/>
      </c>
      <c r="H48" t="inlineStr">
        <is>
          <t>Total anual 200.000 distribuido en 12 meses</t>
        </is>
      </c>
      <c r="I48" t="inlineStr">
        <is>
          <t>Septiembre</t>
        </is>
      </c>
    </row>
    <row r="49">
      <c r="A49" s="25" t="n">
        <v>46296</v>
      </c>
      <c r="B49" t="inlineStr">
        <is>
          <t>Streaming</t>
        </is>
      </c>
      <c r="C49" t="inlineStr">
        <is>
          <t>Streaming — prorrateo anual 200.000 / 12 (Octubre)</t>
        </is>
      </c>
      <c r="D49" s="26">
        <f>200000/12</f>
        <v/>
      </c>
      <c r="H49" t="inlineStr">
        <is>
          <t>Total anual 200.000 distribuido en 12 meses</t>
        </is>
      </c>
      <c r="I49" t="inlineStr">
        <is>
          <t>Octubre</t>
        </is>
      </c>
    </row>
    <row r="50">
      <c r="A50" s="25" t="n">
        <v>46327</v>
      </c>
      <c r="B50" t="inlineStr">
        <is>
          <t>Streaming</t>
        </is>
      </c>
      <c r="C50" t="inlineStr">
        <is>
          <t>Streaming — prorrateo anual 200.000 / 12 (Noviembre)</t>
        </is>
      </c>
      <c r="D50" s="26">
        <f>200000/12</f>
        <v/>
      </c>
      <c r="H50" t="inlineStr">
        <is>
          <t>Total anual 200.000 distribuido en 12 meses</t>
        </is>
      </c>
      <c r="I50" t="inlineStr">
        <is>
          <t>Noviembre</t>
        </is>
      </c>
    </row>
    <row r="51">
      <c r="A51" s="25" t="n">
        <v>46357</v>
      </c>
      <c r="B51" t="inlineStr">
        <is>
          <t>Streaming</t>
        </is>
      </c>
      <c r="C51" t="inlineStr">
        <is>
          <t>Streaming — prorrateo anual 200.000 / 12 (Diciembre)</t>
        </is>
      </c>
      <c r="D51" s="26">
        <f>200000/12</f>
        <v/>
      </c>
      <c r="H51" t="inlineStr">
        <is>
          <t>Total anual 200.000 distribuido en 12 meses</t>
        </is>
      </c>
      <c r="I51" t="inlineStr">
        <is>
          <t>Diciembre</t>
        </is>
      </c>
    </row>
    <row r="52">
      <c r="A52" s="25" t="n">
        <v>46084</v>
      </c>
      <c r="B52" t="inlineStr">
        <is>
          <t>ABL</t>
        </is>
      </c>
      <c r="C52" t="inlineStr">
        <is>
          <t>Agip ABL GCBA</t>
        </is>
      </c>
      <c r="D52" s="26" t="n">
        <v>88141</v>
      </c>
      <c r="E52" t="inlineStr">
        <is>
          <t>Mercado Pago — Dinero disponible</t>
        </is>
      </c>
      <c r="H52" t="inlineStr">
        <is>
          <t>ceil desde $88.140,38</t>
        </is>
      </c>
      <c r="I52" t="inlineStr">
        <is>
          <t>Marzo</t>
        </is>
      </c>
    </row>
    <row r="53">
      <c r="A53" s="25" t="n">
        <v>46066</v>
      </c>
      <c r="B53" t="inlineStr">
        <is>
          <t>ABL</t>
        </is>
      </c>
      <c r="C53" t="inlineStr">
        <is>
          <t>Agip ABL GCBA</t>
        </is>
      </c>
      <c r="D53" s="26" t="n">
        <v>83757</v>
      </c>
      <c r="E53" t="inlineStr">
        <is>
          <t>Mercado Pago — Dinero disponible</t>
        </is>
      </c>
      <c r="H53" t="inlineStr">
        <is>
          <t>ceil desde $83.756,62</t>
        </is>
      </c>
      <c r="I53" t="inlineStr">
        <is>
          <t>Febrero</t>
        </is>
      </c>
    </row>
    <row r="54">
      <c r="A54" s="25" t="n">
        <v>46029</v>
      </c>
      <c r="B54" t="inlineStr">
        <is>
          <t>ABL</t>
        </is>
      </c>
      <c r="C54" t="inlineStr">
        <is>
          <t>Agip</t>
        </is>
      </c>
      <c r="D54" s="26" t="n">
        <v>12435</v>
      </c>
      <c r="E54" t="inlineStr">
        <is>
          <t>Mercado Pago — Dinero disponible</t>
        </is>
      </c>
      <c r="H54" t="inlineStr">
        <is>
          <t>ceil desde $12.434,16 — confirmar si es ABL</t>
        </is>
      </c>
      <c r="I54" t="inlineStr">
        <is>
          <t>Enero</t>
        </is>
      </c>
    </row>
    <row r="55">
      <c r="A55" s="54" t="n">
        <v>46023</v>
      </c>
      <c r="B55" t="inlineStr">
        <is>
          <t>ALMACEN</t>
        </is>
      </c>
      <c r="C55" t="inlineStr">
        <is>
          <t>Almacén CIUDAD — Enero 2026 (total mensual Almacen Detalle)</t>
        </is>
      </c>
      <c r="D55" s="26">
        <f>'Almacen Detalle'!F47</f>
        <v/>
      </c>
      <c r="E55" t="inlineStr">
        <is>
          <t>Total hoja Almacen Detalle (Sol + Chris)</t>
        </is>
      </c>
      <c r="H55" t="inlineStr">
        <is>
          <t>FARMACIA · Farmacia Selma · cargado en Almacen Detalle</t>
        </is>
      </c>
      <c r="I55" t="inlineStr">
        <is>
          <t>Enero</t>
        </is>
      </c>
    </row>
    <row r="56">
      <c r="A56" s="54" t="n">
        <v>46054</v>
      </c>
      <c r="B56" t="inlineStr">
        <is>
          <t>ALMACEN</t>
        </is>
      </c>
      <c r="C56" t="inlineStr">
        <is>
          <t>Almacén CIUDAD — Febrero 2026 (total mensual Almacen Detalle)</t>
        </is>
      </c>
      <c r="D56" s="26">
        <f>'Almacen Detalle'!F87</f>
        <v/>
      </c>
      <c r="E56" t="inlineStr">
        <is>
          <t>Total hoja Almacen Detalle (Sol + Chris)</t>
        </is>
      </c>
      <c r="H56" t="inlineStr">
        <is>
          <t>FARMACIA · Farmacia Maure</t>
        </is>
      </c>
      <c r="I56" t="inlineStr">
        <is>
          <t>Enero</t>
        </is>
      </c>
    </row>
    <row r="57">
      <c r="A57" s="54" t="n">
        <v>46082</v>
      </c>
      <c r="B57" t="inlineStr">
        <is>
          <t>ALMACEN</t>
        </is>
      </c>
      <c r="C57" t="inlineStr">
        <is>
          <t>Almacén CIUDAD — Marzo 2026 (total mensual Almacen Detalle)</t>
        </is>
      </c>
      <c r="D57" s="26">
        <f>'Almacen Detalle'!F131</f>
        <v/>
      </c>
      <c r="E57" t="inlineStr">
        <is>
          <t>Total hoja Almacen Detalle (Sol + Chris)</t>
        </is>
      </c>
      <c r="H57" t="inlineStr">
        <is>
          <t>FARMACIA · Farmacia Maure</t>
        </is>
      </c>
      <c r="I57" t="inlineStr">
        <is>
          <t>Febrero</t>
        </is>
      </c>
    </row>
    <row r="58">
      <c r="A58" s="54" t="n">
        <v>46113</v>
      </c>
      <c r="B58" t="inlineStr">
        <is>
          <t>ALMACEN</t>
        </is>
      </c>
      <c r="C58" t="inlineStr">
        <is>
          <t>Almacén CIUDAD — Abril 2026 (total mensual Almacen Detalle)</t>
        </is>
      </c>
      <c r="D58" s="26">
        <f>'Almacen Detalle'!F176</f>
        <v/>
      </c>
      <c r="E58" t="inlineStr">
        <is>
          <t>Total hoja Almacen Detalle (Sol + Chris)</t>
        </is>
      </c>
      <c r="H58" t="inlineStr">
        <is>
          <t>FARMACIA · Farmacia Maure</t>
        </is>
      </c>
      <c r="I58" t="inlineStr">
        <is>
          <t>Abril</t>
        </is>
      </c>
    </row>
    <row r="59">
      <c r="A59" s="54" t="n">
        <v>46143</v>
      </c>
      <c r="B59" t="inlineStr">
        <is>
          <t>ALMACEN</t>
        </is>
      </c>
      <c r="C59" t="inlineStr">
        <is>
          <t>Almacén CIUDAD — Mayo 2026 (total mensual Almacen Detalle)</t>
        </is>
      </c>
      <c r="D59" s="26">
        <f>'Almacen Detalle'!F228</f>
        <v/>
      </c>
      <c r="E59" t="inlineStr">
        <is>
          <t>Total hoja Almacen Detalle (Sol + Chris)</t>
        </is>
      </c>
      <c r="H59" t="inlineStr">
        <is>
          <t>FARMACIA · Farmacity</t>
        </is>
      </c>
      <c r="I59" t="inlineStr">
        <is>
          <t>Mayo</t>
        </is>
      </c>
    </row>
    <row r="60">
      <c r="A60" s="54" t="n">
        <v>46174</v>
      </c>
      <c r="B60" t="inlineStr">
        <is>
          <t>ALMACEN</t>
        </is>
      </c>
      <c r="C60" t="inlineStr">
        <is>
          <t>Almacén CIUDAD — Junio 2026 (total mensual Almacen Detalle)</t>
        </is>
      </c>
      <c r="D60" s="26">
        <f>'Almacen Detalle'!F273</f>
        <v/>
      </c>
      <c r="E60" t="inlineStr">
        <is>
          <t>Total hoja Almacen Detalle (Sol + Chris)</t>
        </is>
      </c>
      <c r="H60" t="inlineStr">
        <is>
          <t>FARMACIA · Farmacia Maure</t>
        </is>
      </c>
      <c r="I60" t="inlineStr">
        <is>
          <t>Julio</t>
        </is>
      </c>
    </row>
    <row r="61">
      <c r="A61" s="54" t="n">
        <v>46204</v>
      </c>
      <c r="B61" t="inlineStr">
        <is>
          <t>ALMACEN</t>
        </is>
      </c>
      <c r="C61" t="inlineStr">
        <is>
          <t>Almacén CIUDAD — Julio 2026 (total mensual Almacen Detalle)</t>
        </is>
      </c>
      <c r="D61">
        <f>'Almacen Detalle'!F312</f>
        <v/>
      </c>
      <c r="E61" t="inlineStr">
        <is>
          <t>Total hoja Almacen Detalle (Sol + Chris)</t>
        </is>
      </c>
    </row>
    <row r="62">
      <c r="A62" s="53" t="n">
        <v>46235</v>
      </c>
      <c r="B62" s="14" t="inlineStr">
        <is>
          <t>ALMACEN</t>
        </is>
      </c>
      <c r="C62" s="14" t="inlineStr">
        <is>
          <t>Almacén CIUDAD — Agosto 2026 (total mensual Almacen Detalle)</t>
        </is>
      </c>
      <c r="D62" s="15">
        <f>'Almacen Detalle'!F354</f>
        <v/>
      </c>
      <c r="E62" t="inlineStr">
        <is>
          <t>Total hoja Almacen Detalle (Sol + Chris)</t>
        </is>
      </c>
    </row>
    <row r="63">
      <c r="A63" s="54" t="n">
        <v>46266</v>
      </c>
      <c r="B63" t="inlineStr">
        <is>
          <t>ALMACEN</t>
        </is>
      </c>
      <c r="C63" t="inlineStr">
        <is>
          <t>Almacén CIUDAD — Septiembre 2026 (total mensual Almacen Detalle)</t>
        </is>
      </c>
      <c r="D63" s="26">
        <f>'Almacen Detalle'!F396</f>
        <v/>
      </c>
      <c r="E63" t="inlineStr">
        <is>
          <t>Total hoja Almacen Detalle (Sol + Chris)</t>
        </is>
      </c>
    </row>
    <row r="64">
      <c r="A64" s="53" t="n">
        <v>46296</v>
      </c>
      <c r="B64" s="14" t="inlineStr">
        <is>
          <t>ALMACEN</t>
        </is>
      </c>
      <c r="C64" s="14" t="inlineStr">
        <is>
          <t>Almacén CIUDAD — Octubre 2026 (total mensual Almacen Detalle)</t>
        </is>
      </c>
      <c r="D64" s="15">
        <f>'Almacen Detalle'!F438</f>
        <v/>
      </c>
      <c r="E64" s="14" t="inlineStr">
        <is>
          <t>Total hoja Almacen Detalle (Sol + Chris)</t>
        </is>
      </c>
      <c r="F64" s="18" t="inlineStr">
        <is>
          <t>SUSCRIPCIONES · PedidosYa Plus · resumen MP</t>
        </is>
      </c>
    </row>
    <row r="65">
      <c r="A65" s="53" t="n">
        <v>46327</v>
      </c>
      <c r="B65" s="14" t="inlineStr">
        <is>
          <t>ALMACEN</t>
        </is>
      </c>
      <c r="C65" s="14" t="inlineStr">
        <is>
          <t>Almacén CIUDAD — Noviembre 2026 (total mensual Almacen Detalle)</t>
        </is>
      </c>
      <c r="D65" s="15">
        <f>'Almacen Detalle'!F480</f>
        <v/>
      </c>
      <c r="E65" s="14" t="inlineStr">
        <is>
          <t>Total hoja Almacen Detalle (Sol + Chris)</t>
        </is>
      </c>
      <c r="F65" s="18" t="inlineStr">
        <is>
          <t>SUSCRIPCIONES · PedidosYa Plus · resumen MP</t>
        </is>
      </c>
    </row>
    <row r="66">
      <c r="A66" s="53" t="n">
        <v>46357</v>
      </c>
      <c r="B66" s="14" t="inlineStr">
        <is>
          <t>ALMACEN</t>
        </is>
      </c>
      <c r="C66" s="14" t="inlineStr">
        <is>
          <t>Almacén CIUDAD — Diciembre 2026 (total mensual Almacen Detalle)</t>
        </is>
      </c>
      <c r="D66" s="15">
        <f>'Almacen Detalle'!F522</f>
        <v/>
      </c>
      <c r="E66" s="14" t="inlineStr">
        <is>
          <t>Total hoja Almacen Detalle (Sol + Chris)</t>
        </is>
      </c>
      <c r="F66" s="18" t="inlineStr">
        <is>
          <t>AGUS/PSA · resumen MP</t>
        </is>
      </c>
    </row>
    <row r="67">
      <c r="A67" s="53" t="n">
        <v>46036</v>
      </c>
      <c r="B67" s="14" t="inlineStr">
        <is>
          <t>Luz</t>
        </is>
      </c>
      <c r="C67" s="14" t="inlineStr">
        <is>
          <t>Edenor CIUDAD — cobro BBVA 14/01/2026 · titular Maria Soledad Sanes</t>
        </is>
      </c>
      <c r="D67" s="15" t="n">
        <v>127554</v>
      </c>
      <c r="E67" s="14" t="inlineStr">
        <is>
          <t>Débito BBVA</t>
        </is>
      </c>
      <c r="F67" s="18" t="inlineStr">
        <is>
          <t>008917502309</t>
        </is>
      </c>
    </row>
    <row r="68">
      <c r="A68" s="53" t="n">
        <v>46071</v>
      </c>
      <c r="B68" s="14" t="inlineStr">
        <is>
          <t>Luz</t>
        </is>
      </c>
      <c r="C68" s="14" t="inlineStr">
        <is>
          <t>Edenor CIUDAD — cobro BBVA 18/02/2026 · titular Maria Soledad Sanes</t>
        </is>
      </c>
      <c r="D68" s="15" t="n">
        <v>121952</v>
      </c>
      <c r="E68" s="14" t="inlineStr">
        <is>
          <t>Débito BBVA</t>
        </is>
      </c>
      <c r="F68" s="18" t="inlineStr">
        <is>
          <t>008917502309</t>
        </is>
      </c>
    </row>
    <row r="69">
      <c r="A69" s="53" t="n">
        <v>46115</v>
      </c>
      <c r="B69" s="14" t="inlineStr">
        <is>
          <t>Metrogas</t>
        </is>
      </c>
      <c r="C69" s="14" t="inlineStr">
        <is>
          <t>Metrogas CIUDAD · pago MP 03/04/2026 (factura marzo)</t>
        </is>
      </c>
      <c r="D69" s="15" t="n">
        <v>37316</v>
      </c>
      <c r="E69" s="14" t="inlineStr">
        <is>
          <t>Mercado Pago</t>
        </is>
      </c>
      <c r="F69" s="18" t="inlineStr">
        <is>
          <t>30010996459</t>
        </is>
      </c>
    </row>
    <row r="70">
      <c r="A70" s="53" t="n"/>
      <c r="B70" s="14" t="n"/>
      <c r="C70" s="14" t="n"/>
      <c r="D70" s="15" t="n"/>
      <c r="E70" s="14" t="n"/>
      <c r="F70" s="18" t="n"/>
    </row>
    <row r="71">
      <c r="A71" s="53" t="n">
        <v>46217</v>
      </c>
      <c r="B71" s="14" t="inlineStr">
        <is>
          <t>ABL</t>
        </is>
      </c>
      <c r="C71" s="14" t="inlineStr">
        <is>
          <t>Agip ABL GCBA · partida 397789</t>
        </is>
      </c>
      <c r="D71" s="15" t="n">
        <v>26175</v>
      </c>
      <c r="E71" s="14" t="inlineStr">
        <is>
          <t>Mercado Pago — Dinero disponible</t>
        </is>
      </c>
      <c r="F71" s="18" t="n"/>
    </row>
    <row r="72">
      <c r="A72" s="53" t="n">
        <v>46190</v>
      </c>
      <c r="B72" s="14" t="inlineStr">
        <is>
          <t>Telecentro</t>
        </is>
      </c>
      <c r="C72" s="14" t="inlineStr">
        <is>
          <t>Telecentro CIUDAD — pago MP 17/06/2026 (junio)</t>
        </is>
      </c>
      <c r="D72" s="15" t="n">
        <v>48420</v>
      </c>
      <c r="E72" s="14" t="inlineStr">
        <is>
          <t>Mercado Pago</t>
        </is>
      </c>
      <c r="F72" s="18" t="inlineStr">
        <is>
          <t>3491192</t>
        </is>
      </c>
    </row>
    <row r="73">
      <c r="A73" s="53" t="n">
        <v>46203</v>
      </c>
      <c r="B73" s="14" t="inlineStr">
        <is>
          <t>Telecentro</t>
        </is>
      </c>
      <c r="C73" s="14" t="inlineStr">
        <is>
          <t>Telecentro CIUDAD — débito BBVA 30/06/2026 (julio)</t>
        </is>
      </c>
      <c r="D73" s="15" t="n">
        <v>31999</v>
      </c>
      <c r="E73" s="14" t="inlineStr">
        <is>
          <t>Débito BBVA</t>
        </is>
      </c>
      <c r="F73" s="18" t="inlineStr">
        <is>
          <t>3491192</t>
        </is>
      </c>
    </row>
    <row r="74">
      <c r="A74" s="63" t="n">
        <v>46276</v>
      </c>
      <c r="B74" t="inlineStr">
        <is>
          <t>Edenor</t>
        </is>
      </c>
      <c r="C74" t="inlineStr">
        <is>
          <t>Luz Edenor CIUDAD — débito BBVA 11/09/2026</t>
        </is>
      </c>
      <c r="D74" t="n">
        <v>63980</v>
      </c>
      <c r="E74" t="inlineStr">
        <is>
          <t>Débito BBVA</t>
        </is>
      </c>
      <c r="F74" t="inlineStr">
        <is>
          <t>00008917502309</t>
        </is>
      </c>
      <c r="H74" t="inlineStr">
        <is>
          <t>Gmail + Compra aprobada BBVA · cuenta 8917502309</t>
        </is>
      </c>
      <c r="I74" t="inlineStr">
        <is>
          <t>Septiembre</t>
        </is>
      </c>
    </row>
    <row r="75">
      <c r="A75" s="63" t="n">
        <v>46280</v>
      </c>
      <c r="B75" t="inlineStr">
        <is>
          <t>Metrogas</t>
        </is>
      </c>
      <c r="C75" t="inlineStr">
        <is>
          <t>Gas Metrogas CIUDAD — débito BBVA 15/09/2026</t>
        </is>
      </c>
      <c r="D75" t="n">
        <v>105839</v>
      </c>
      <c r="E75" t="inlineStr">
        <is>
          <t>Débito BBVA</t>
        </is>
      </c>
      <c r="F75" t="inlineStr">
        <is>
          <t>30010996459</t>
        </is>
      </c>
      <c r="G75" t="inlineStr">
        <is>
          <t>40049923</t>
        </is>
      </c>
      <c r="H75" t="inlineStr">
        <is>
          <t>Gmail factura + Compra aprobada BBVA</t>
        </is>
      </c>
      <c r="I75" t="inlineStr">
        <is>
          <t>Septiembre</t>
        </is>
      </c>
    </row>
    <row r="76">
      <c r="A76" s="63" t="n">
        <v>46290</v>
      </c>
      <c r="B76" t="inlineStr">
        <is>
          <t>Telecentro</t>
        </is>
      </c>
      <c r="C76" t="inlineStr">
        <is>
          <t>Telecentro CIUDAD — débito BBVA 25/09/2026 (factura mes 10/2026)</t>
        </is>
      </c>
      <c r="D76" t="n">
        <v>69659</v>
      </c>
      <c r="E76" t="inlineStr">
        <is>
          <t>Débito BBVA</t>
        </is>
      </c>
      <c r="H76" t="inlineStr">
        <is>
          <t>Gmail Telecentro 10/2026 $69.659 + Compra aprobada; mes=cobro</t>
        </is>
      </c>
      <c r="I76" t="inlineStr">
        <is>
          <t>Septiembre</t>
        </is>
      </c>
    </row>
    <row r="77">
      <c r="A77" s="63" t="n">
        <v>46266</v>
      </c>
      <c r="B77" t="inlineStr">
        <is>
          <t>Expensas</t>
        </is>
      </c>
      <c r="C77" t="inlineStr">
        <is>
          <t>Expensas — Agosto 2026 (pago Gmail Sent 10/09)</t>
        </is>
      </c>
      <c r="D77" t="n">
        <v>300850</v>
      </c>
      <c r="E77" t="inlineStr">
        <is>
          <t>Transferencia</t>
        </is>
      </c>
      <c r="H77" t="inlineStr">
        <is>
          <t>Período agosto · De Filippo · UF 2 1-A · pagado septiembre</t>
        </is>
      </c>
      <c r="I77" t="inlineStr">
        <is>
          <t>Agosto</t>
        </is>
      </c>
    </row>
    <row r="78">
      <c r="A78" s="63" t="n">
        <v>46266</v>
      </c>
      <c r="B78" t="inlineStr">
        <is>
          <t>Expensas</t>
        </is>
      </c>
      <c r="C78" t="inlineStr">
        <is>
          <t>Expensas — Septiembre 2026 (liquidación; vto 10/10)</t>
        </is>
      </c>
      <c r="D78" t="n">
        <v>328200</v>
      </c>
      <c r="E78" t="inlineStr">
        <is>
          <t>Pendiente</t>
        </is>
      </c>
      <c r="H78" t="inlineStr">
        <is>
          <t>Período septiembre · De Filippo · UF 2 1-A · liquidación Gmail 02/10</t>
        </is>
      </c>
      <c r="I78" t="inlineStr">
        <is>
          <t>Septiembre</t>
        </is>
      </c>
    </row>
    <row r="79">
      <c r="A79" s="52" t="n">
        <v>46293</v>
      </c>
      <c r="B79" t="inlineStr">
        <is>
          <t>Streaming</t>
        </is>
      </c>
      <c r="C79" t="inlineStr">
        <is>
          <t>Streaming música — Spotify · BBVA VISA 28/09/2026</t>
        </is>
      </c>
      <c r="D79" t="n">
        <v>5999</v>
      </c>
      <c r="E79" t="inlineStr">
        <is>
          <t>BBVA VISA</t>
        </is>
      </c>
      <c r="H79" t="inlineStr">
        <is>
          <t>Gmail Compra aprobada · ARS 5.999</t>
        </is>
      </c>
      <c r="I79" t="inlineStr">
        <is>
          <t>Septiembre</t>
        </is>
      </c>
    </row>
    <row r="80">
      <c r="A80" s="52" t="n">
        <v>46290</v>
      </c>
      <c r="B80" t="inlineStr">
        <is>
          <t>LIMPIEZA CASA</t>
        </is>
      </c>
      <c r="C80" t="inlineStr">
        <is>
          <t>Limpieza Susana — Septiembre 2026 (consolidado MP)</t>
        </is>
      </c>
      <c r="D80" t="n">
        <v>835200</v>
      </c>
      <c r="E80" t="inlineStr">
        <is>
          <t>Mercado Pago</t>
        </is>
      </c>
      <c r="H80" t="inlineStr">
        <is>
          <t>7 transferencias Susana Carmen Ortiz · dinero en cuenta MP · no duplicar</t>
        </is>
      </c>
      <c r="I80" t="inlineStr">
        <is>
          <t>Septiembre</t>
        </is>
      </c>
    </row>
    <row r="81">
      <c r="A81" s="52" t="n">
        <v>46279</v>
      </c>
      <c r="B81" t="inlineStr">
        <is>
          <t>IMPUESTOS</t>
        </is>
      </c>
      <c r="C81" t="inlineStr">
        <is>
          <t>ABL — partida 397789 · AGIP</t>
        </is>
      </c>
      <c r="D81" t="n">
        <v>27635</v>
      </c>
      <c r="E81" t="inlineStr">
        <is>
          <t>Mercado Pago</t>
        </is>
      </c>
      <c r="H81" t="inlineStr">
        <is>
          <t>AGIP ABL GCBA · MP 2026-09-14 · partida 397789 (≤80k=CIUDAD)</t>
        </is>
      </c>
      <c r="I81" t="inlineStr">
        <is>
          <t>Septiembre</t>
        </is>
      </c>
    </row>
    <row r="82">
      <c r="A82" s="52" t="n">
        <v>46244</v>
      </c>
      <c r="B82" t="inlineStr">
        <is>
          <t>Expensas</t>
        </is>
      </c>
      <c r="C82" t="inlineStr">
        <is>
          <t>Expensas — Julio 2026 (pago Gmail Sent 10/08)</t>
        </is>
      </c>
      <c r="D82" t="n">
        <v>300850</v>
      </c>
      <c r="E82" t="inlineStr">
        <is>
          <t>Transferencia</t>
        </is>
      </c>
      <c r="H82" t="inlineStr">
        <is>
          <t>Período julio · De Filippo · UF 2 1-A · pagado 10/08 · Gmail Sent · op MP 173005218278</t>
        </is>
      </c>
      <c r="I82" t="inlineStr">
        <is>
          <t>Julio</t>
        </is>
      </c>
    </row>
  </sheetData>
  <autoFilter ref="A3:I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2"/>
  <sheetViews>
    <sheetView workbookViewId="0">
      <selection activeCell="A1" sqref="A1"/>
    </sheetView>
  </sheetViews>
  <sheetFormatPr baseColWidth="8" defaultRowHeight="15"/>
  <cols>
    <col width="14" customWidth="1" min="1" max="1"/>
    <col width="14" customWidth="1" min="2" max="2"/>
    <col width="36" customWidth="1" min="3" max="3"/>
    <col width="14" customWidth="1" min="4" max="4"/>
    <col width="28" customWidth="1" min="5" max="5"/>
    <col width="42" customWidth="1" min="6" max="6"/>
  </cols>
  <sheetData>
    <row r="1">
      <c r="A1" s="1" t="inlineStr">
        <is>
          <t>CIUDAD 1132 — Dinero retirado</t>
        </is>
      </c>
    </row>
    <row r="2">
      <c r="A2" s="30" t="inlineStr">
        <is>
          <t>Retiros de Mercado Pago (concepto «Dinero retirado» / efectivo). No entra en el TOTAL de gastos de la hoja 2026.</t>
        </is>
      </c>
    </row>
    <row r="4">
      <c r="A4" s="31" t="inlineStr">
        <is>
          <t>Resumen por mes</t>
        </is>
      </c>
    </row>
    <row r="5">
      <c r="A5" s="12" t="inlineStr">
        <is>
          <t>Mes</t>
        </is>
      </c>
      <c r="B5" s="12" t="inlineStr">
        <is>
          <t>Total retirado</t>
        </is>
      </c>
    </row>
    <row r="6">
      <c r="A6" s="14" t="inlineStr">
        <is>
          <t>Enero</t>
        </is>
      </c>
      <c r="B6" s="15">
        <f>SUMIF($B$23:$B$500,A6,$D$23:$D$500)</f>
        <v/>
      </c>
    </row>
    <row r="7">
      <c r="A7" s="14" t="inlineStr">
        <is>
          <t>Febrero</t>
        </is>
      </c>
      <c r="B7" s="15">
        <f>SUMIF($B$23:$B$500,A7,$D$23:$D$500)</f>
        <v/>
      </c>
    </row>
    <row r="8">
      <c r="A8" s="14" t="inlineStr">
        <is>
          <t>Marzo</t>
        </is>
      </c>
      <c r="B8" s="15">
        <f>SUMIF($B$23:$B$500,A8,$D$23:$D$500)</f>
        <v/>
      </c>
    </row>
    <row r="9">
      <c r="A9" s="14" t="inlineStr">
        <is>
          <t>Abril</t>
        </is>
      </c>
      <c r="B9" s="15">
        <f>SUMIF($B$23:$B$500,A9,$D$23:$D$500)</f>
        <v/>
      </c>
    </row>
    <row r="10">
      <c r="A10" s="14" t="inlineStr">
        <is>
          <t>Mayo</t>
        </is>
      </c>
      <c r="B10" s="15">
        <f>SUMIF($B$23:$B$500,A10,$D$23:$D$500)</f>
        <v/>
      </c>
    </row>
    <row r="11">
      <c r="A11" s="14" t="inlineStr">
        <is>
          <t>Junio</t>
        </is>
      </c>
      <c r="B11" s="15">
        <f>SUMIF($B$23:$B$500,A11,$D$23:$D$500)</f>
        <v/>
      </c>
    </row>
    <row r="12">
      <c r="A12" s="14" t="inlineStr">
        <is>
          <t>Julio</t>
        </is>
      </c>
      <c r="B12" s="15">
        <f>SUMIF($B$23:$B$500,A12,$D$23:$D$500)</f>
        <v/>
      </c>
    </row>
    <row r="13">
      <c r="A13" s="14" t="inlineStr">
        <is>
          <t>Agosto</t>
        </is>
      </c>
      <c r="B13" s="15">
        <f>SUMIF($B$23:$B$500,A13,$D$23:$D$500)</f>
        <v/>
      </c>
    </row>
    <row r="14">
      <c r="A14" s="14" t="inlineStr">
        <is>
          <t>Septiembre</t>
        </is>
      </c>
      <c r="B14" s="15">
        <f>SUMIF($B$23:$B$500,A14,$D$23:$D$500)</f>
        <v/>
      </c>
    </row>
    <row r="15">
      <c r="A15" s="14" t="inlineStr">
        <is>
          <t>Octubre</t>
        </is>
      </c>
      <c r="B15" s="15">
        <f>SUMIF($B$23:$B$500,A15,$D$23:$D$500)</f>
        <v/>
      </c>
    </row>
    <row r="16">
      <c r="A16" s="14" t="inlineStr">
        <is>
          <t>Noviembre</t>
        </is>
      </c>
      <c r="B16" s="15">
        <f>SUMIF($B$23:$B$500,A16,$D$23:$D$500)</f>
        <v/>
      </c>
    </row>
    <row r="17">
      <c r="A17" s="14" t="inlineStr">
        <is>
          <t>Diciembre</t>
        </is>
      </c>
      <c r="B17" s="15">
        <f>SUMIF($B$23:$B$500,A17,$D$23:$D$500)</f>
        <v/>
      </c>
    </row>
    <row r="18">
      <c r="A18" s="32" t="inlineStr">
        <is>
          <t>TOTAL AÑO</t>
        </is>
      </c>
      <c r="B18" s="33">
        <f>SUM(B6:B17)</f>
        <v/>
      </c>
    </row>
    <row r="21">
      <c r="A21" s="31" t="inlineStr">
        <is>
          <t>Detalle</t>
        </is>
      </c>
    </row>
    <row r="22">
      <c r="A22" s="12" t="inlineStr">
        <is>
          <t>Fecha</t>
        </is>
      </c>
      <c r="B22" s="12" t="inlineStr">
        <is>
          <t>Mes</t>
        </is>
      </c>
      <c r="C22" s="12" t="inlineStr">
        <is>
          <t>Concepto</t>
        </is>
      </c>
      <c r="D22" s="12" t="inlineStr">
        <is>
          <t>Monto</t>
        </is>
      </c>
      <c r="E22" s="12" t="inlineStr">
        <is>
          <t>Medio / destino</t>
        </is>
      </c>
      <c r="F22" s="12" t="inlineStr">
        <is>
          <t>Comentario</t>
        </is>
      </c>
    </row>
    <row r="23">
      <c r="A23" s="17" t="n">
        <v>46222</v>
      </c>
      <c r="B23" s="14" t="inlineStr">
        <is>
          <t>Julio</t>
        </is>
      </c>
      <c r="C23" s="14" t="inlineStr">
        <is>
          <t>Susi</t>
        </is>
      </c>
      <c r="D23" s="15" t="n">
        <v>15000</v>
      </c>
      <c r="E23" s="14" t="inlineStr">
        <is>
          <t>Mercado Pago · ARS</t>
        </is>
      </c>
      <c r="F23" s="14" t="inlineStr">
        <is>
          <t>Dinero retirado · + · financió transferencia Matias Aranda</t>
        </is>
      </c>
    </row>
    <row r="24">
      <c r="A24" s="17" t="n">
        <v>46221</v>
      </c>
      <c r="B24" s="14" t="inlineStr">
        <is>
          <t>Julio</t>
        </is>
      </c>
      <c r="C24" s="14" t="inlineStr">
        <is>
          <t>Palermo</t>
        </is>
      </c>
      <c r="D24" s="15" t="n">
        <v>593000</v>
      </c>
      <c r="E24" s="14" t="inlineStr">
        <is>
          <t>Mercado Pago · ARS</t>
        </is>
      </c>
      <c r="F24" s="14" t="inlineStr">
        <is>
          <t>Dinero retirado · + · financió transferencia Analia Roay</t>
        </is>
      </c>
    </row>
    <row r="25">
      <c r="A25" s="17" t="n">
        <v>46221</v>
      </c>
      <c r="B25" s="14" t="inlineStr">
        <is>
          <t>Julio</t>
        </is>
      </c>
      <c r="C25" s="14" t="inlineStr">
        <is>
          <t>Gastos</t>
        </is>
      </c>
      <c r="D25" s="15" t="n">
        <v>845</v>
      </c>
      <c r="E25" s="14" t="inlineStr">
        <is>
          <t>Mercado Pago · USD</t>
        </is>
      </c>
      <c r="F25" s="14" t="inlineStr">
        <is>
          <t>Dinero retirado · + US$844.37 → ceil 845</t>
        </is>
      </c>
    </row>
    <row r="26">
      <c r="A26" s="17" t="n">
        <v>46221</v>
      </c>
      <c r="B26" s="14" t="inlineStr">
        <is>
          <t>Julio</t>
        </is>
      </c>
      <c r="C26" s="14" t="inlineStr">
        <is>
          <t>Susi</t>
        </is>
      </c>
      <c r="D26" s="15" t="n">
        <v>120000</v>
      </c>
      <c r="E26" s="14" t="inlineStr">
        <is>
          <t>Mercado Pago · ARS</t>
        </is>
      </c>
      <c r="F26" s="14" t="inlineStr">
        <is>
          <t>Dinero retirado · +</t>
        </is>
      </c>
    </row>
    <row r="27">
      <c r="A27" s="17" t="n">
        <v>46221</v>
      </c>
      <c r="B27" s="14" t="inlineStr">
        <is>
          <t>Julio</t>
        </is>
      </c>
      <c r="C27" s="14" t="inlineStr">
        <is>
          <t>AVA</t>
        </is>
      </c>
      <c r="D27" s="15" t="n">
        <v>36813</v>
      </c>
      <c r="E27" s="14" t="inlineStr">
        <is>
          <t>Mercado Pago · ARS</t>
        </is>
      </c>
      <c r="F27" s="14" t="inlineStr">
        <is>
          <t>Dinero retirado · + · ceil 36812.97</t>
        </is>
      </c>
    </row>
    <row r="28">
      <c r="A28" s="17" t="n">
        <v>46221</v>
      </c>
      <c r="B28" s="14" t="inlineStr">
        <is>
          <t>Julio</t>
        </is>
      </c>
      <c r="C28" s="14" t="inlineStr">
        <is>
          <t>Susi</t>
        </is>
      </c>
      <c r="D28" s="15" t="n">
        <v>1</v>
      </c>
      <c r="E28" s="14" t="inlineStr">
        <is>
          <t>Mercado Pago · ARS</t>
        </is>
      </c>
      <c r="F28" s="14" t="inlineStr">
        <is>
          <t>Dinero retirado · +</t>
        </is>
      </c>
    </row>
    <row r="29">
      <c r="A29" s="17" t="n">
        <v>46221</v>
      </c>
      <c r="B29" s="14" t="inlineStr">
        <is>
          <t>Julio</t>
        </is>
      </c>
      <c r="C29" s="14" t="inlineStr">
        <is>
          <t>Susi</t>
        </is>
      </c>
      <c r="D29" s="15" t="n">
        <v>147660</v>
      </c>
      <c r="E29" s="14" t="inlineStr">
        <is>
          <t>Mercado Pago · ARS</t>
        </is>
      </c>
      <c r="F29" s="14" t="inlineStr">
        <is>
          <t>Dinero retirado · + · pareado pago deuda / Susana</t>
        </is>
      </c>
    </row>
    <row r="30">
      <c r="A30" s="17" t="n">
        <v>46221</v>
      </c>
      <c r="B30" s="14" t="inlineStr">
        <is>
          <t>Julio</t>
        </is>
      </c>
      <c r="C30" s="14" t="inlineStr">
        <is>
          <t>Susi</t>
        </is>
      </c>
      <c r="D30" s="15" t="n">
        <v>60000</v>
      </c>
      <c r="E30" s="14" t="inlineStr">
        <is>
          <t>Mercado Pago · ARS</t>
        </is>
      </c>
      <c r="F30" s="14" t="inlineStr">
        <is>
          <t>Dinero retirado · + · pareado pago deuda 60k</t>
        </is>
      </c>
    </row>
    <row r="31">
      <c r="A31" s="17" t="n">
        <v>46220</v>
      </c>
      <c r="B31" s="14" t="inlineStr">
        <is>
          <t>Julio</t>
        </is>
      </c>
      <c r="C31" s="14" t="inlineStr">
        <is>
          <t>Susi</t>
        </is>
      </c>
      <c r="D31" s="15" t="n">
        <v>30000</v>
      </c>
      <c r="E31" s="14" t="inlineStr">
        <is>
          <t>Mercado Pago · ARS</t>
        </is>
      </c>
      <c r="F31" s="14" t="inlineStr">
        <is>
          <t>Dinero retirado · +</t>
        </is>
      </c>
    </row>
    <row r="32">
      <c r="A32" s="17" t="n">
        <v>46218</v>
      </c>
      <c r="B32" s="14" t="inlineStr">
        <is>
          <t>Julio</t>
        </is>
      </c>
      <c r="C32" s="14" t="inlineStr">
        <is>
          <t>Gastos</t>
        </is>
      </c>
      <c r="D32" s="15" t="n">
        <v>500</v>
      </c>
      <c r="E32" s="14" t="inlineStr">
        <is>
          <t>Mercado Pago · USD</t>
        </is>
      </c>
      <c r="F32" s="14" t="inlineStr">
        <is>
          <t>Dinero retirado · + US$500 · pareado Sanes propia</t>
        </is>
      </c>
    </row>
    <row r="33">
      <c r="A33" s="17" t="n">
        <v>46266</v>
      </c>
      <c r="B33" s="14" t="inlineStr">
        <is>
          <t>Septiembre</t>
        </is>
      </c>
      <c r="C33" s="14" t="inlineStr">
        <is>
          <t>AVA</t>
        </is>
      </c>
      <c r="D33" s="15" t="n">
        <v>1000000</v>
      </c>
      <c r="E33" s="14" t="inlineStr">
        <is>
          <t>Mercado Pago · ARS</t>
        </is>
      </c>
      <c r="F33" s="14" t="inlineStr">
        <is>
          <t>Dinero retirado · + · op 176670344236 · resumen oficial cuenta MP 1–30 sep 2026</t>
        </is>
      </c>
    </row>
    <row r="34">
      <c r="A34" s="17" t="n">
        <v>46266</v>
      </c>
      <c r="B34" s="14" t="inlineStr">
        <is>
          <t>Septiembre</t>
        </is>
      </c>
      <c r="C34" s="14" t="inlineStr">
        <is>
          <t>Expensas</t>
        </is>
      </c>
      <c r="D34" s="15" t="n">
        <v>100000</v>
      </c>
      <c r="E34" s="14" t="inlineStr">
        <is>
          <t>Mercado Pago · ARS</t>
        </is>
      </c>
      <c r="F34" s="14" t="inlineStr">
        <is>
          <t>Dinero retirado · + · op 176670197960 · resumen oficial cuenta MP 1–30 sep 2026</t>
        </is>
      </c>
    </row>
    <row r="35">
      <c r="A35" s="17" t="n">
        <v>46266</v>
      </c>
      <c r="B35" s="14" t="inlineStr">
        <is>
          <t>Septiembre</t>
        </is>
      </c>
      <c r="C35" s="14" t="inlineStr">
        <is>
          <t>Tarjeta MELI</t>
        </is>
      </c>
      <c r="D35" s="15" t="n">
        <v>45000</v>
      </c>
      <c r="E35" s="14" t="inlineStr">
        <is>
          <t>Mercado Pago · ARS</t>
        </is>
      </c>
      <c r="F35" s="14" t="inlineStr">
        <is>
          <t>Dinero retirado · + · op 176771280062 · resumen oficial cuenta MP 1–30 sep 2026</t>
        </is>
      </c>
    </row>
    <row r="36">
      <c r="A36" s="17" t="n">
        <v>46266</v>
      </c>
      <c r="B36" s="14" t="inlineStr">
        <is>
          <t>Septiembre</t>
        </is>
      </c>
      <c r="C36" s="14" t="inlineStr">
        <is>
          <t>AVA</t>
        </is>
      </c>
      <c r="D36" s="15" t="n">
        <v>870000</v>
      </c>
      <c r="E36" s="14" t="inlineStr">
        <is>
          <t>Mercado Pago · ARS</t>
        </is>
      </c>
      <c r="F36" s="14" t="inlineStr">
        <is>
          <t>Dinero retirado · + · op 175833734653 · resumen oficial cuenta MP 1–30 sep 2026</t>
        </is>
      </c>
    </row>
    <row r="37">
      <c r="A37" s="17" t="n">
        <v>46267</v>
      </c>
      <c r="B37" s="14" t="inlineStr">
        <is>
          <t>Septiembre</t>
        </is>
      </c>
      <c r="C37" s="14" t="inlineStr">
        <is>
          <t>AVA</t>
        </is>
      </c>
      <c r="D37" s="15" t="n">
        <v>200000</v>
      </c>
      <c r="E37" s="14" t="inlineStr">
        <is>
          <t>Mercado Pago · ARS</t>
        </is>
      </c>
      <c r="F37" s="14" t="inlineStr">
        <is>
          <t>Dinero retirado · + · op 176834369428 · resumen oficial cuenta MP 1–30 sep 2026</t>
        </is>
      </c>
    </row>
    <row r="38">
      <c r="A38" s="17" t="n">
        <v>46268</v>
      </c>
      <c r="B38" s="14" t="inlineStr">
        <is>
          <t>Septiembre</t>
        </is>
      </c>
      <c r="C38" s="14" t="inlineStr">
        <is>
          <t>Tarjeta MELI</t>
        </is>
      </c>
      <c r="D38" s="15" t="n">
        <v>1755982</v>
      </c>
      <c r="E38" s="14" t="inlineStr">
        <is>
          <t>Mercado Pago · ARS</t>
        </is>
      </c>
      <c r="F38" s="14" t="inlineStr">
        <is>
          <t>Dinero retirado · + · op 177129936970 · resumen oficial cuenta MP 1–30 sep 2026</t>
        </is>
      </c>
    </row>
    <row r="39">
      <c r="A39" s="17" t="n">
        <v>46272</v>
      </c>
      <c r="B39" s="14" t="inlineStr">
        <is>
          <t>Septiembre</t>
        </is>
      </c>
      <c r="C39" s="14" t="inlineStr">
        <is>
          <t>AVA</t>
        </is>
      </c>
      <c r="D39" s="15" t="n">
        <v>9426902</v>
      </c>
      <c r="E39" s="14" t="inlineStr">
        <is>
          <t>Mercado Pago · ARS</t>
        </is>
      </c>
      <c r="F39" s="14" t="inlineStr">
        <is>
          <t>Dinero retirado · + · op 177703110684 · resumen oficial cuenta MP 1–30 sep 2026</t>
        </is>
      </c>
    </row>
    <row r="40">
      <c r="A40" s="17" t="n">
        <v>46276</v>
      </c>
      <c r="B40" s="14" t="inlineStr">
        <is>
          <t>Septiembre</t>
        </is>
      </c>
      <c r="C40" s="14" t="inlineStr">
        <is>
          <t>Chris</t>
        </is>
      </c>
      <c r="D40" s="15" t="n">
        <v>2500000</v>
      </c>
      <c r="E40" s="14" t="inlineStr">
        <is>
          <t>Mercado Pago · ARS</t>
        </is>
      </c>
      <c r="F40" s="14" t="inlineStr">
        <is>
          <t>Dinero retirado · + · op 178535014388 · resumen oficial cuenta MP 1–30 sep 2026</t>
        </is>
      </c>
    </row>
    <row r="41">
      <c r="A41" s="17" t="n">
        <v>46279</v>
      </c>
      <c r="B41" s="14" t="inlineStr">
        <is>
          <t>Septiembre</t>
        </is>
      </c>
      <c r="C41" s="14" t="inlineStr">
        <is>
          <t>Expensas</t>
        </is>
      </c>
      <c r="D41" s="15" t="n">
        <v>30000</v>
      </c>
      <c r="E41" s="14" t="inlineStr">
        <is>
          <t>Mercado Pago · ARS</t>
        </is>
      </c>
      <c r="F41" s="14" t="inlineStr">
        <is>
          <t>Dinero retirado · + · op 177992934377 · resumen oficial cuenta MP 1–30 sep 2026</t>
        </is>
      </c>
    </row>
    <row r="42">
      <c r="A42" s="17" t="n">
        <v>46280</v>
      </c>
      <c r="B42" s="14" t="inlineStr">
        <is>
          <t>Septiembre</t>
        </is>
      </c>
      <c r="C42" s="14" t="inlineStr">
        <is>
          <t>Expensas</t>
        </is>
      </c>
      <c r="D42" s="15" t="n">
        <v>3882828</v>
      </c>
      <c r="E42" s="14" t="inlineStr">
        <is>
          <t>Mercado Pago · ARS</t>
        </is>
      </c>
      <c r="F42" s="14" t="inlineStr">
        <is>
          <t>Dinero retirado · + · op 178124476905 · resumen oficial cuenta MP 1–30 sep 2026</t>
        </is>
      </c>
    </row>
    <row r="43">
      <c r="A43" s="17" t="n">
        <v>46282</v>
      </c>
      <c r="B43" s="14" t="inlineStr">
        <is>
          <t>Septiembre</t>
        </is>
      </c>
      <c r="C43" s="14" t="inlineStr">
        <is>
          <t>Tarjeta MELI</t>
        </is>
      </c>
      <c r="D43" s="15" t="n">
        <v>200000</v>
      </c>
      <c r="E43" s="14" t="inlineStr">
        <is>
          <t>Mercado Pago · ARS</t>
        </is>
      </c>
      <c r="F43" s="14" t="inlineStr">
        <is>
          <t>Dinero retirado · + · op 179532656112 · resumen oficial cuenta MP 1–30 sep 2026</t>
        </is>
      </c>
    </row>
    <row r="44">
      <c r="A44" s="17" t="n">
        <v>46282</v>
      </c>
      <c r="B44" s="14" t="inlineStr">
        <is>
          <t>Septiembre</t>
        </is>
      </c>
      <c r="C44" s="14" t="inlineStr">
        <is>
          <t>Tarjeta MELI</t>
        </is>
      </c>
      <c r="D44" s="15" t="n">
        <v>2000000</v>
      </c>
      <c r="E44" s="14" t="inlineStr">
        <is>
          <t>Mercado Pago · ARS</t>
        </is>
      </c>
      <c r="F44" s="14" t="inlineStr">
        <is>
          <t>Dinero retirado · + · op 178598781291 · resumen oficial cuenta MP 1–30 sep 2026</t>
        </is>
      </c>
    </row>
    <row r="45">
      <c r="A45" s="17" t="n">
        <v>46284</v>
      </c>
      <c r="B45" s="14" t="inlineStr">
        <is>
          <t>Septiembre</t>
        </is>
      </c>
      <c r="C45" s="14" t="inlineStr">
        <is>
          <t>Susi</t>
        </is>
      </c>
      <c r="D45" s="15" t="n">
        <v>140000</v>
      </c>
      <c r="E45" s="14" t="inlineStr">
        <is>
          <t>Mercado Pago · ARS</t>
        </is>
      </c>
      <c r="F45" s="14" t="inlineStr">
        <is>
          <t>Dinero retirado · + · op 178958372559 · resumen oficial cuenta MP 1–30 sep 2026</t>
        </is>
      </c>
    </row>
    <row r="46">
      <c r="A46" s="17" t="n">
        <v>46286</v>
      </c>
      <c r="B46" s="14" t="inlineStr">
        <is>
          <t>Septiembre</t>
        </is>
      </c>
      <c r="C46" s="14" t="inlineStr">
        <is>
          <t>Susi</t>
        </is>
      </c>
      <c r="D46" s="15" t="n">
        <v>30000</v>
      </c>
      <c r="E46" s="14" t="inlineStr">
        <is>
          <t>Mercado Pago · ARS</t>
        </is>
      </c>
      <c r="F46" s="14" t="inlineStr">
        <is>
          <t>Dinero retirado · + · op 179116959345 · resumen oficial cuenta MP 1–30 sep 2026</t>
        </is>
      </c>
    </row>
    <row r="47">
      <c r="A47" s="17" t="n">
        <v>46288</v>
      </c>
      <c r="B47" s="14" t="inlineStr">
        <is>
          <t>Septiembre</t>
        </is>
      </c>
      <c r="C47" s="14" t="inlineStr">
        <is>
          <t>Susi</t>
        </is>
      </c>
      <c r="D47" s="15" t="n">
        <v>150000</v>
      </c>
      <c r="E47" s="14" t="inlineStr">
        <is>
          <t>Mercado Pago · ARS</t>
        </is>
      </c>
      <c r="F47" s="14" t="inlineStr">
        <is>
          <t>Dinero retirado · + · op 180454236768 · resumen oficial cuenta MP 1–30 sep 2026</t>
        </is>
      </c>
    </row>
    <row r="48">
      <c r="A48" s="17" t="n">
        <v>46288</v>
      </c>
      <c r="B48" s="14" t="inlineStr">
        <is>
          <t>Septiembre</t>
        </is>
      </c>
      <c r="C48" s="14" t="inlineStr">
        <is>
          <t>Susi</t>
        </is>
      </c>
      <c r="D48" s="15" t="n">
        <v>289299</v>
      </c>
      <c r="E48" s="14" t="inlineStr">
        <is>
          <t>Mercado Pago · ARS</t>
        </is>
      </c>
      <c r="F48" s="14" t="inlineStr">
        <is>
          <t>Dinero retirado · + · op 179515527277 · resumen oficial cuenta MP 1–30 sep 2026</t>
        </is>
      </c>
    </row>
    <row r="49">
      <c r="A49" s="17" t="n">
        <v>46290</v>
      </c>
      <c r="B49" s="14" t="inlineStr">
        <is>
          <t>Septiembre</t>
        </is>
      </c>
      <c r="C49" s="14" t="inlineStr">
        <is>
          <t>Tarjeta MELI</t>
        </is>
      </c>
      <c r="D49" s="15" t="n">
        <v>1811722</v>
      </c>
      <c r="E49" s="14" t="inlineStr">
        <is>
          <t>Mercado Pago · ARS</t>
        </is>
      </c>
      <c r="F49" s="14" t="inlineStr">
        <is>
          <t>Dinero retirado · + · op 179934162641 · resumen oficial cuenta MP 1–30 sep 2026</t>
        </is>
      </c>
    </row>
    <row r="50">
      <c r="A50" s="17" t="n"/>
      <c r="B50" s="14" t="n"/>
      <c r="C50" s="14" t="n"/>
      <c r="D50" s="15" t="n"/>
      <c r="E50" s="14" t="n"/>
      <c r="F50" s="14" t="n"/>
    </row>
    <row r="51">
      <c r="A51" s="17" t="n"/>
      <c r="B51" s="14" t="n"/>
      <c r="C51" s="14" t="n"/>
      <c r="D51" s="15" t="n"/>
      <c r="E51" s="14" t="n"/>
      <c r="F51" s="14" t="n"/>
    </row>
    <row r="52">
      <c r="A52" s="17" t="n"/>
      <c r="B52" s="14" t="n"/>
      <c r="C52" s="14" t="n"/>
      <c r="D52" s="15" t="n"/>
      <c r="E52" s="14" t="n"/>
      <c r="F52" s="14" t="n"/>
    </row>
    <row r="53">
      <c r="A53" s="17" t="n"/>
      <c r="B53" s="14" t="n"/>
      <c r="C53" s="14" t="n"/>
      <c r="D53" s="15" t="n"/>
      <c r="E53" s="14" t="n"/>
      <c r="F53" s="14" t="n"/>
    </row>
    <row r="54">
      <c r="A54" s="17" t="n"/>
      <c r="B54" s="14" t="n"/>
      <c r="C54" s="14" t="n"/>
      <c r="D54" s="15" t="n"/>
      <c r="E54" s="14" t="n"/>
      <c r="F54" s="14" t="n"/>
    </row>
    <row r="55">
      <c r="A55" s="17" t="n"/>
      <c r="B55" s="14" t="n"/>
      <c r="C55" s="14" t="n"/>
      <c r="D55" s="15" t="n"/>
      <c r="E55" s="14" t="n"/>
      <c r="F55" s="14" t="n"/>
    </row>
    <row r="56">
      <c r="A56" s="17" t="n"/>
      <c r="B56" s="14" t="n"/>
      <c r="C56" s="14" t="n"/>
      <c r="D56" s="15" t="n"/>
      <c r="E56" s="14" t="n"/>
      <c r="F56" s="14" t="n"/>
    </row>
    <row r="57">
      <c r="A57" s="17" t="n"/>
      <c r="B57" s="14" t="n"/>
      <c r="C57" s="14" t="n"/>
      <c r="D57" s="15" t="n"/>
      <c r="E57" s="14" t="n"/>
      <c r="F57" s="14" t="n"/>
    </row>
    <row r="58">
      <c r="A58" s="17" t="n"/>
      <c r="B58" s="14" t="n"/>
      <c r="C58" s="14" t="n"/>
      <c r="D58" s="15" t="n"/>
      <c r="E58" s="14" t="n"/>
      <c r="F58" s="14" t="n"/>
    </row>
    <row r="59">
      <c r="A59" s="17" t="n"/>
      <c r="B59" s="14" t="n"/>
      <c r="C59" s="14" t="n"/>
      <c r="D59" s="15" t="n"/>
      <c r="E59" s="14" t="n"/>
      <c r="F59" s="14" t="n"/>
    </row>
    <row r="60">
      <c r="A60" s="17" t="n"/>
      <c r="B60" s="14" t="n"/>
      <c r="C60" s="14" t="n"/>
      <c r="D60" s="15" t="n"/>
      <c r="E60" s="14" t="n"/>
      <c r="F60" s="14" t="n"/>
    </row>
    <row r="61">
      <c r="A61" s="17" t="n"/>
      <c r="B61" s="14" t="n"/>
      <c r="C61" s="14" t="n"/>
      <c r="D61" s="15" t="n"/>
      <c r="E61" s="14" t="n"/>
      <c r="F61" s="14" t="n"/>
    </row>
    <row r="62">
      <c r="A62" s="17" t="n"/>
      <c r="B62" s="14" t="n"/>
      <c r="C62" s="14" t="n"/>
      <c r="D62" s="15" t="n"/>
      <c r="E62" s="14" t="n"/>
      <c r="F62" s="14" t="n"/>
    </row>
    <row r="63">
      <c r="A63" s="17" t="n"/>
      <c r="B63" s="14" t="n"/>
      <c r="C63" s="14" t="n"/>
      <c r="D63" s="15" t="n"/>
      <c r="E63" s="14" t="n"/>
      <c r="F63" s="14" t="n"/>
    </row>
    <row r="64">
      <c r="A64" s="17" t="n"/>
      <c r="B64" s="14" t="n"/>
      <c r="C64" s="14" t="n"/>
      <c r="D64" s="15" t="n"/>
      <c r="E64" s="14" t="n"/>
      <c r="F64" s="14" t="n"/>
    </row>
    <row r="65">
      <c r="A65" s="17" t="n"/>
      <c r="B65" s="14" t="n"/>
      <c r="C65" s="14" t="n"/>
      <c r="D65" s="15" t="n"/>
      <c r="E65" s="14" t="n"/>
      <c r="F65" s="14" t="n"/>
    </row>
    <row r="66">
      <c r="A66" s="17" t="n"/>
      <c r="B66" s="14" t="n"/>
      <c r="C66" s="14" t="n"/>
      <c r="D66" s="15" t="n"/>
      <c r="E66" s="14" t="n"/>
      <c r="F66" s="14" t="n"/>
    </row>
    <row r="67">
      <c r="A67" s="17" t="n"/>
      <c r="B67" s="14" t="n"/>
      <c r="C67" s="14" t="n"/>
      <c r="D67" s="15" t="n"/>
      <c r="E67" s="14" t="n"/>
      <c r="F67" s="14" t="n"/>
    </row>
    <row r="68">
      <c r="A68" s="17" t="n"/>
      <c r="B68" s="14" t="n"/>
      <c r="C68" s="14" t="n"/>
      <c r="D68" s="15" t="n"/>
      <c r="E68" s="14" t="n"/>
      <c r="F68" s="14" t="n"/>
    </row>
    <row r="69">
      <c r="A69" s="17" t="n"/>
      <c r="B69" s="14" t="n"/>
      <c r="C69" s="14" t="n"/>
      <c r="D69" s="15" t="n"/>
      <c r="E69" s="14" t="n"/>
      <c r="F69" s="14" t="n"/>
    </row>
    <row r="70">
      <c r="A70" s="17" t="n"/>
      <c r="B70" s="14" t="n"/>
      <c r="C70" s="14" t="n"/>
      <c r="D70" s="15" t="n"/>
      <c r="E70" s="14" t="n"/>
      <c r="F70" s="14" t="n"/>
    </row>
    <row r="71">
      <c r="A71" s="17" t="n"/>
      <c r="B71" s="14" t="n"/>
      <c r="C71" s="14" t="n"/>
      <c r="D71" s="15" t="n"/>
      <c r="E71" s="14" t="n"/>
      <c r="F71" s="14" t="n"/>
    </row>
    <row r="72">
      <c r="A72" s="17" t="n"/>
      <c r="B72" s="14" t="n"/>
      <c r="C72" s="14" t="n"/>
      <c r="D72" s="15" t="n"/>
      <c r="E72" s="14" t="n"/>
      <c r="F72" s="14" t="n"/>
    </row>
    <row r="73">
      <c r="A73" s="17" t="n"/>
      <c r="B73" s="14" t="n"/>
      <c r="C73" s="14" t="n"/>
      <c r="D73" s="15" t="n"/>
      <c r="E73" s="14" t="n"/>
      <c r="F73" s="14" t="n"/>
    </row>
    <row r="74">
      <c r="A74" s="17" t="n"/>
      <c r="B74" s="14" t="n"/>
      <c r="C74" s="14" t="n"/>
      <c r="D74" s="15" t="n"/>
      <c r="E74" s="14" t="n"/>
      <c r="F74" s="14" t="n"/>
    </row>
    <row r="75">
      <c r="A75" s="17" t="n"/>
      <c r="B75" s="14" t="n"/>
      <c r="C75" s="14" t="n"/>
      <c r="D75" s="15" t="n"/>
      <c r="E75" s="14" t="n"/>
      <c r="F75" s="14" t="n"/>
    </row>
    <row r="76">
      <c r="A76" s="17" t="n"/>
      <c r="B76" s="14" t="n"/>
      <c r="C76" s="14" t="n"/>
      <c r="D76" s="15" t="n"/>
      <c r="E76" s="14" t="n"/>
      <c r="F76" s="14" t="n"/>
    </row>
    <row r="77">
      <c r="A77" s="17" t="n"/>
      <c r="B77" s="14" t="n"/>
      <c r="C77" s="14" t="n"/>
      <c r="D77" s="15" t="n"/>
      <c r="E77" s="14" t="n"/>
      <c r="F77" s="14" t="n"/>
    </row>
    <row r="78">
      <c r="A78" s="17" t="n"/>
      <c r="B78" s="14" t="n"/>
      <c r="C78" s="14" t="n"/>
      <c r="D78" s="15" t="n"/>
      <c r="E78" s="14" t="n"/>
      <c r="F78" s="14" t="n"/>
    </row>
    <row r="79">
      <c r="A79" s="17" t="n"/>
      <c r="B79" s="14" t="n"/>
      <c r="C79" s="14" t="n"/>
      <c r="D79" s="15" t="n"/>
      <c r="E79" s="14" t="n"/>
      <c r="F79" s="14" t="n"/>
    </row>
    <row r="80">
      <c r="A80" s="17" t="n"/>
      <c r="B80" s="14" t="n"/>
      <c r="C80" s="14" t="n"/>
      <c r="D80" s="15" t="n"/>
      <c r="E80" s="14" t="n"/>
      <c r="F80" s="14" t="n"/>
    </row>
    <row r="81">
      <c r="A81" s="17" t="n"/>
      <c r="B81" s="14" t="n"/>
      <c r="C81" s="14" t="n"/>
      <c r="D81" s="15" t="n"/>
      <c r="E81" s="14" t="n"/>
      <c r="F81" s="14" t="n"/>
    </row>
    <row r="82">
      <c r="A82" s="17" t="n"/>
      <c r="B82" s="14" t="n"/>
      <c r="C82" s="14" t="n"/>
      <c r="D82" s="15" t="n"/>
      <c r="E82" s="14" t="n"/>
      <c r="F82" s="14" t="n"/>
    </row>
    <row r="83">
      <c r="A83" s="17" t="n"/>
      <c r="B83" s="14" t="n"/>
      <c r="C83" s="14" t="n"/>
      <c r="D83" s="15" t="n"/>
      <c r="E83" s="14" t="n"/>
      <c r="F83" s="14" t="n"/>
    </row>
    <row r="84">
      <c r="A84" s="17" t="n"/>
      <c r="B84" s="14" t="n"/>
      <c r="C84" s="14" t="n"/>
      <c r="D84" s="15" t="n"/>
      <c r="E84" s="14" t="n"/>
      <c r="F84" s="14" t="n"/>
    </row>
    <row r="85">
      <c r="A85" s="17" t="n"/>
      <c r="B85" s="14" t="n"/>
      <c r="C85" s="14" t="n"/>
      <c r="D85" s="15" t="n"/>
      <c r="E85" s="14" t="n"/>
      <c r="F85" s="14" t="n"/>
    </row>
    <row r="86">
      <c r="A86" s="17" t="n"/>
      <c r="B86" s="14" t="n"/>
      <c r="C86" s="14" t="n"/>
      <c r="D86" s="15" t="n"/>
      <c r="E86" s="14" t="n"/>
      <c r="F86" s="14" t="n"/>
    </row>
    <row r="87">
      <c r="A87" s="17" t="n"/>
      <c r="B87" s="14" t="n"/>
      <c r="C87" s="14" t="n"/>
      <c r="D87" s="15" t="n"/>
      <c r="E87" s="14" t="n"/>
      <c r="F87" s="14" t="n"/>
    </row>
    <row r="88">
      <c r="A88" s="17" t="n"/>
      <c r="B88" s="14" t="n"/>
      <c r="C88" s="14" t="n"/>
      <c r="D88" s="15" t="n"/>
      <c r="E88" s="14" t="n"/>
      <c r="F88" s="14" t="n"/>
    </row>
    <row r="89">
      <c r="A89" s="17" t="n"/>
      <c r="B89" s="14" t="n"/>
      <c r="C89" s="14" t="n"/>
      <c r="D89" s="15" t="n"/>
      <c r="E89" s="14" t="n"/>
      <c r="F89" s="14" t="n"/>
    </row>
    <row r="90">
      <c r="A90" s="17" t="n"/>
      <c r="B90" s="14" t="n"/>
      <c r="C90" s="14" t="n"/>
      <c r="D90" s="15" t="n"/>
      <c r="E90" s="14" t="n"/>
      <c r="F90" s="14" t="n"/>
    </row>
    <row r="91">
      <c r="A91" s="17" t="n"/>
      <c r="B91" s="14" t="n"/>
      <c r="C91" s="14" t="n"/>
      <c r="D91" s="15" t="n"/>
      <c r="E91" s="14" t="n"/>
      <c r="F91" s="14" t="n"/>
    </row>
    <row r="92">
      <c r="A92" s="17" t="n"/>
      <c r="B92" s="14" t="n"/>
      <c r="C92" s="14" t="n"/>
      <c r="D92" s="15" t="n"/>
      <c r="E92" s="14" t="n"/>
      <c r="F92" s="14" t="n"/>
    </row>
    <row r="93">
      <c r="A93" s="17" t="n"/>
      <c r="B93" s="14" t="n"/>
      <c r="C93" s="14" t="n"/>
      <c r="D93" s="15" t="n"/>
      <c r="E93" s="14" t="n"/>
      <c r="F93" s="14" t="n"/>
    </row>
    <row r="94">
      <c r="A94" s="17" t="n"/>
      <c r="B94" s="14" t="n"/>
      <c r="C94" s="14" t="n"/>
      <c r="D94" s="15" t="n"/>
      <c r="E94" s="14" t="n"/>
      <c r="F94" s="14" t="n"/>
    </row>
    <row r="95">
      <c r="A95" s="17" t="n"/>
      <c r="B95" s="14" t="n"/>
      <c r="C95" s="14" t="n"/>
      <c r="D95" s="15" t="n"/>
      <c r="E95" s="14" t="n"/>
      <c r="F95" s="14" t="n"/>
    </row>
    <row r="96">
      <c r="A96" s="17" t="n"/>
      <c r="B96" s="14" t="n"/>
      <c r="C96" s="14" t="n"/>
      <c r="D96" s="15" t="n"/>
      <c r="E96" s="14" t="n"/>
      <c r="F96" s="14" t="n"/>
    </row>
    <row r="97">
      <c r="A97" s="17" t="n"/>
      <c r="B97" s="14" t="n"/>
      <c r="C97" s="14" t="n"/>
      <c r="D97" s="15" t="n"/>
      <c r="E97" s="14" t="n"/>
      <c r="F97" s="14" t="n"/>
    </row>
    <row r="98">
      <c r="A98" s="17" t="n"/>
      <c r="B98" s="14" t="n"/>
      <c r="C98" s="14" t="n"/>
      <c r="D98" s="15" t="n"/>
      <c r="E98" s="14" t="n"/>
      <c r="F98" s="14" t="n"/>
    </row>
    <row r="99">
      <c r="A99" s="17" t="n"/>
      <c r="B99" s="14" t="n"/>
      <c r="C99" s="14" t="n"/>
      <c r="D99" s="15" t="n"/>
      <c r="E99" s="14" t="n"/>
      <c r="F99" s="14" t="n"/>
    </row>
    <row r="100">
      <c r="A100" s="17" t="n"/>
      <c r="B100" s="14" t="n"/>
      <c r="C100" s="14" t="n"/>
      <c r="D100" s="15" t="n"/>
      <c r="E100" s="14" t="n"/>
      <c r="F100" s="14" t="n"/>
    </row>
    <row r="101">
      <c r="A101" s="17" t="n"/>
      <c r="B101" s="14" t="n"/>
      <c r="C101" s="14" t="n"/>
      <c r="D101" s="15" t="n"/>
      <c r="E101" s="14" t="n"/>
      <c r="F101" s="14" t="n"/>
    </row>
    <row r="102">
      <c r="A102" s="17" t="n"/>
      <c r="B102" s="14" t="n"/>
      <c r="C102" s="14" t="n"/>
      <c r="D102" s="15" t="n"/>
      <c r="E102" s="14" t="n"/>
      <c r="F102" s="14" t="n"/>
    </row>
    <row r="103">
      <c r="A103" s="17" t="n"/>
      <c r="B103" s="14" t="n"/>
      <c r="C103" s="14" t="n"/>
      <c r="D103" s="15" t="n"/>
      <c r="E103" s="14" t="n"/>
      <c r="F103" s="14" t="n"/>
    </row>
    <row r="104">
      <c r="A104" s="17" t="n"/>
      <c r="B104" s="14" t="n"/>
      <c r="C104" s="14" t="n"/>
      <c r="D104" s="15" t="n"/>
      <c r="E104" s="14" t="n"/>
      <c r="F104" s="14" t="n"/>
    </row>
    <row r="105">
      <c r="A105" s="17" t="n"/>
      <c r="B105" s="14" t="n"/>
      <c r="C105" s="14" t="n"/>
      <c r="D105" s="15" t="n"/>
      <c r="E105" s="14" t="n"/>
      <c r="F105" s="14" t="n"/>
    </row>
    <row r="106">
      <c r="A106" s="17" t="n"/>
      <c r="B106" s="14" t="n"/>
      <c r="C106" s="14" t="n"/>
      <c r="D106" s="15" t="n"/>
      <c r="E106" s="14" t="n"/>
      <c r="F106" s="14" t="n"/>
    </row>
    <row r="107">
      <c r="A107" s="17" t="n"/>
      <c r="B107" s="14" t="n"/>
      <c r="C107" s="14" t="n"/>
      <c r="D107" s="15" t="n"/>
      <c r="E107" s="14" t="n"/>
      <c r="F107" s="14" t="n"/>
    </row>
    <row r="108">
      <c r="A108" s="17" t="n"/>
      <c r="B108" s="14" t="n"/>
      <c r="C108" s="14" t="n"/>
      <c r="D108" s="15" t="n"/>
      <c r="E108" s="14" t="n"/>
      <c r="F108" s="14" t="n"/>
    </row>
    <row r="109">
      <c r="A109" s="17" t="n"/>
      <c r="B109" s="14" t="n"/>
      <c r="C109" s="14" t="n"/>
      <c r="D109" s="15" t="n"/>
      <c r="E109" s="14" t="n"/>
      <c r="F109" s="14" t="n"/>
    </row>
    <row r="110">
      <c r="A110" s="17" t="n"/>
      <c r="B110" s="14" t="n"/>
      <c r="C110" s="14" t="n"/>
      <c r="D110" s="15" t="n"/>
      <c r="E110" s="14" t="n"/>
      <c r="F110" s="14" t="n"/>
    </row>
    <row r="111">
      <c r="A111" s="17" t="n"/>
      <c r="B111" s="14" t="n"/>
      <c r="C111" s="14" t="n"/>
      <c r="D111" s="15" t="n"/>
      <c r="E111" s="14" t="n"/>
      <c r="F111" s="14" t="n"/>
    </row>
    <row r="112">
      <c r="A112" s="17" t="n"/>
      <c r="B112" s="14" t="n"/>
      <c r="C112" s="14" t="n"/>
      <c r="D112" s="15" t="n"/>
      <c r="E112" s="14" t="n"/>
      <c r="F112" s="14" t="n"/>
    </row>
    <row r="113">
      <c r="A113" s="17" t="n"/>
      <c r="B113" s="14" t="n"/>
      <c r="C113" s="14" t="n"/>
      <c r="D113" s="15" t="n"/>
      <c r="E113" s="14" t="n"/>
      <c r="F113" s="14" t="n"/>
    </row>
    <row r="114">
      <c r="A114" s="17" t="n"/>
      <c r="B114" s="14" t="n"/>
      <c r="C114" s="14" t="n"/>
      <c r="D114" s="15" t="n"/>
      <c r="E114" s="14" t="n"/>
      <c r="F114" s="14" t="n"/>
    </row>
    <row r="115">
      <c r="A115" s="17" t="n"/>
      <c r="B115" s="14" t="n"/>
      <c r="C115" s="14" t="n"/>
      <c r="D115" s="15" t="n"/>
      <c r="E115" s="14" t="n"/>
      <c r="F115" s="14" t="n"/>
    </row>
    <row r="116">
      <c r="A116" s="17" t="n"/>
      <c r="B116" s="14" t="n"/>
      <c r="C116" s="14" t="n"/>
      <c r="D116" s="15" t="n"/>
      <c r="E116" s="14" t="n"/>
      <c r="F116" s="14" t="n"/>
    </row>
    <row r="117">
      <c r="A117" s="17" t="n"/>
      <c r="B117" s="14" t="n"/>
      <c r="C117" s="14" t="n"/>
      <c r="D117" s="15" t="n"/>
      <c r="E117" s="14" t="n"/>
      <c r="F117" s="14" t="n"/>
    </row>
    <row r="118">
      <c r="A118" s="17" t="n"/>
      <c r="B118" s="14" t="n"/>
      <c r="C118" s="14" t="n"/>
      <c r="D118" s="15" t="n"/>
      <c r="E118" s="14" t="n"/>
      <c r="F118" s="14" t="n"/>
    </row>
    <row r="119">
      <c r="A119" s="17" t="n"/>
      <c r="B119" s="14" t="n"/>
      <c r="C119" s="14" t="n"/>
      <c r="D119" s="15" t="n"/>
      <c r="E119" s="14" t="n"/>
      <c r="F119" s="14" t="n"/>
    </row>
    <row r="120">
      <c r="A120" s="17" t="n"/>
      <c r="B120" s="14" t="n"/>
      <c r="C120" s="14" t="n"/>
      <c r="D120" s="15" t="n"/>
      <c r="E120" s="14" t="n"/>
      <c r="F120" s="14" t="n"/>
    </row>
    <row r="121">
      <c r="A121" s="17" t="n"/>
      <c r="B121" s="14" t="n"/>
      <c r="C121" s="14" t="n"/>
      <c r="D121" s="15" t="n"/>
      <c r="E121" s="14" t="n"/>
      <c r="F121" s="14" t="n"/>
    </row>
    <row r="122">
      <c r="A122" s="17" t="n"/>
      <c r="B122" s="14" t="n"/>
      <c r="C122" s="14" t="n"/>
      <c r="D122" s="15" t="n"/>
      <c r="E122" s="14" t="n"/>
      <c r="F122" s="14" t="n"/>
    </row>
    <row r="123">
      <c r="A123" s="17" t="n"/>
      <c r="B123" s="14" t="n"/>
      <c r="C123" s="14" t="n"/>
      <c r="D123" s="15" t="n"/>
      <c r="E123" s="14" t="n"/>
      <c r="F123" s="14" t="n"/>
    </row>
    <row r="124">
      <c r="A124" s="17" t="n"/>
      <c r="B124" s="14" t="n"/>
      <c r="C124" s="14" t="n"/>
      <c r="D124" s="15" t="n"/>
      <c r="E124" s="14" t="n"/>
      <c r="F124" s="14" t="n"/>
    </row>
    <row r="125">
      <c r="A125" s="17" t="n"/>
      <c r="B125" s="14" t="n"/>
      <c r="C125" s="14" t="n"/>
      <c r="D125" s="15" t="n"/>
      <c r="E125" s="14" t="n"/>
      <c r="F125" s="14" t="n"/>
    </row>
    <row r="126">
      <c r="A126" s="17" t="n"/>
      <c r="B126" s="14" t="n"/>
      <c r="C126" s="14" t="n"/>
      <c r="D126" s="15" t="n"/>
      <c r="E126" s="14" t="n"/>
      <c r="F126" s="14" t="n"/>
    </row>
    <row r="127">
      <c r="A127" s="17" t="n"/>
      <c r="B127" s="14" t="n"/>
      <c r="C127" s="14" t="n"/>
      <c r="D127" s="15" t="n"/>
      <c r="E127" s="14" t="n"/>
      <c r="F127" s="14" t="n"/>
    </row>
    <row r="128">
      <c r="A128" s="17" t="n"/>
      <c r="B128" s="14" t="n"/>
      <c r="C128" s="14" t="n"/>
      <c r="D128" s="15" t="n"/>
      <c r="E128" s="14" t="n"/>
      <c r="F128" s="14" t="n"/>
    </row>
    <row r="129">
      <c r="A129" s="17" t="n"/>
      <c r="B129" s="14" t="n"/>
      <c r="C129" s="14" t="n"/>
      <c r="D129" s="15" t="n"/>
      <c r="E129" s="14" t="n"/>
      <c r="F129" s="14" t="n"/>
    </row>
    <row r="130">
      <c r="A130" s="17" t="n"/>
      <c r="B130" s="14" t="n"/>
      <c r="C130" s="14" t="n"/>
      <c r="D130" s="15" t="n"/>
      <c r="E130" s="14" t="n"/>
      <c r="F130" s="14" t="n"/>
    </row>
    <row r="131">
      <c r="A131" s="17" t="n"/>
      <c r="B131" s="14" t="n"/>
      <c r="C131" s="14" t="n"/>
      <c r="D131" s="15" t="n"/>
      <c r="E131" s="14" t="n"/>
      <c r="F131" s="14" t="n"/>
    </row>
    <row r="132">
      <c r="A132" s="17" t="n"/>
      <c r="B132" s="14" t="n"/>
      <c r="C132" s="14" t="n"/>
      <c r="D132" s="15" t="n"/>
      <c r="E132" s="14" t="n"/>
      <c r="F132" s="14" t="n"/>
    </row>
    <row r="133">
      <c r="A133" s="17" t="n"/>
      <c r="B133" s="14" t="n"/>
      <c r="C133" s="14" t="n"/>
      <c r="D133" s="15" t="n"/>
      <c r="E133" s="14" t="n"/>
      <c r="F133" s="14" t="n"/>
    </row>
    <row r="134">
      <c r="A134" s="17" t="n"/>
      <c r="B134" s="14" t="n"/>
      <c r="C134" s="14" t="n"/>
      <c r="D134" s="15" t="n"/>
      <c r="E134" s="14" t="n"/>
      <c r="F134" s="14" t="n"/>
    </row>
    <row r="135">
      <c r="A135" s="17" t="n"/>
      <c r="B135" s="14" t="n"/>
      <c r="C135" s="14" t="n"/>
      <c r="D135" s="15" t="n"/>
      <c r="E135" s="14" t="n"/>
      <c r="F135" s="14" t="n"/>
    </row>
    <row r="136">
      <c r="A136" s="17" t="n"/>
      <c r="B136" s="14" t="n"/>
      <c r="C136" s="14" t="n"/>
      <c r="D136" s="15" t="n"/>
      <c r="E136" s="14" t="n"/>
      <c r="F136" s="14" t="n"/>
    </row>
    <row r="137">
      <c r="A137" s="17" t="n"/>
      <c r="B137" s="14" t="n"/>
      <c r="C137" s="14" t="n"/>
      <c r="D137" s="15" t="n"/>
      <c r="E137" s="14" t="n"/>
      <c r="F137" s="14" t="n"/>
    </row>
    <row r="138">
      <c r="A138" s="17" t="n"/>
      <c r="B138" s="14" t="n"/>
      <c r="C138" s="14" t="n"/>
      <c r="D138" s="15" t="n"/>
      <c r="E138" s="14" t="n"/>
      <c r="F138" s="14" t="n"/>
    </row>
    <row r="139">
      <c r="A139" s="17" t="n"/>
      <c r="B139" s="14" t="n"/>
      <c r="C139" s="14" t="n"/>
      <c r="D139" s="15" t="n"/>
      <c r="E139" s="14" t="n"/>
      <c r="F139" s="14" t="n"/>
    </row>
    <row r="140">
      <c r="A140" s="17" t="n"/>
      <c r="B140" s="14" t="n"/>
      <c r="C140" s="14" t="n"/>
      <c r="D140" s="15" t="n"/>
      <c r="E140" s="14" t="n"/>
      <c r="F140" s="14" t="n"/>
    </row>
    <row r="141">
      <c r="A141" s="17" t="n"/>
      <c r="B141" s="14" t="n"/>
      <c r="C141" s="14" t="n"/>
      <c r="D141" s="15" t="n"/>
      <c r="E141" s="14" t="n"/>
      <c r="F141" s="14" t="n"/>
    </row>
    <row r="142">
      <c r="A142" s="17" t="n"/>
      <c r="B142" s="14" t="n"/>
      <c r="C142" s="14" t="n"/>
      <c r="D142" s="15" t="n"/>
      <c r="E142" s="14" t="n"/>
      <c r="F142" s="14" t="n"/>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13"/>
  <sheetViews>
    <sheetView workbookViewId="0">
      <selection activeCell="A1" sqref="A1"/>
    </sheetView>
  </sheetViews>
  <sheetFormatPr baseColWidth="8" defaultRowHeight="15"/>
  <cols>
    <col width="12" customWidth="1" min="1" max="1"/>
    <col width="12" customWidth="1" min="2" max="2"/>
    <col width="20" customWidth="1" min="3" max="3"/>
    <col width="22" customWidth="1" min="4" max="4"/>
    <col width="12" customWidth="1" min="5" max="5"/>
    <col width="10" customWidth="1" min="6" max="6"/>
    <col width="14" customWidth="1" min="7" max="7"/>
    <col width="55" customWidth="1" min="8" max="8"/>
  </cols>
  <sheetData>
    <row r="1">
      <c r="A1" s="1" t="inlineStr">
        <is>
          <t>CIUDAD 1132 — MP No Gasto (nunca ALMACÉN / nunca matriz 2026)</t>
        </is>
      </c>
    </row>
    <row r="2">
      <c r="A2" s="30" t="inlineStr">
        <is>
          <t>Dinero retirado · Reserva automática / Dinero reservado · Pago de resumen TC · Pago de deuda MP · Inversión (venta/compra USD, bonos, PF). NUNCA van a Almacen Detalle ni suman gastos.</t>
        </is>
      </c>
    </row>
    <row r="4">
      <c r="A4" s="45" t="inlineStr">
        <is>
          <t>Resumen por tipo (julio+)</t>
        </is>
      </c>
    </row>
    <row r="5">
      <c r="A5" s="46" t="inlineStr">
        <is>
          <t>Tipo</t>
        </is>
      </c>
      <c r="B5" s="46" t="inlineStr">
        <is>
          <t>Cantidad</t>
        </is>
      </c>
      <c r="C5" s="46" t="inlineStr">
        <is>
          <t>Suma montos (ARS abs)</t>
        </is>
      </c>
    </row>
    <row r="6">
      <c r="A6" t="inlineStr">
        <is>
          <t>Dinero retirado</t>
        </is>
      </c>
      <c r="B6">
        <f>COUNTIF($C$24:$C$500,A6)</f>
        <v/>
      </c>
      <c r="C6" s="26">
        <f>SUMIF($C$24:$C$500,A6,$E$24:$E$500)</f>
        <v/>
      </c>
    </row>
    <row r="7">
      <c r="A7" t="inlineStr">
        <is>
          <t>Reserva automática</t>
        </is>
      </c>
      <c r="B7">
        <f>COUNTIF($C$24:$C$500,A7)</f>
        <v/>
      </c>
      <c r="C7" s="26">
        <f>SUMIF($C$24:$C$500,A7,$E$24:$E$500)</f>
        <v/>
      </c>
    </row>
    <row r="8">
      <c r="A8" t="inlineStr">
        <is>
          <t>Dinero reservado</t>
        </is>
      </c>
      <c r="B8">
        <f>COUNTIF($C$24:$C$500,A8)</f>
        <v/>
      </c>
      <c r="C8" s="26">
        <f>SUMIF($C$24:$C$500,A8,$E$24:$E$500)</f>
        <v/>
      </c>
    </row>
    <row r="9">
      <c r="A9" t="inlineStr">
        <is>
          <t>Pago de deuda MP</t>
        </is>
      </c>
      <c r="B9">
        <f>COUNTIF($C$24:$C$500,A9)</f>
        <v/>
      </c>
      <c r="C9" s="26">
        <f>SUMIF($C$24:$C$500,A9,$E$24:$E$500)</f>
        <v/>
      </c>
    </row>
    <row r="10">
      <c r="A10" t="inlineStr">
        <is>
          <t>Pago de resumen TC</t>
        </is>
      </c>
      <c r="B10">
        <f>COUNTIF($C$24:$C$500,A10)</f>
        <v/>
      </c>
      <c r="C10" s="26">
        <f>SUMIF($C$24:$C$500,A10,$E$24:$E$500)</f>
        <v/>
      </c>
    </row>
    <row r="11">
      <c r="A11" t="inlineStr">
        <is>
          <t>Inversión</t>
        </is>
      </c>
      <c r="B11">
        <f>COUNTIF($C$24:$C$500,A11)</f>
        <v/>
      </c>
      <c r="C11" s="26">
        <f>SUMIF($C$24:$C$500,A11,$E$24:$E$500)</f>
        <v/>
      </c>
    </row>
    <row r="13">
      <c r="A13" s="47" t="inlineStr">
        <is>
          <t>TOTAL REGISTROS</t>
        </is>
      </c>
      <c r="B13" s="48">
        <f>SUM(B6:B11)</f>
        <v/>
      </c>
      <c r="C13" s="49">
        <f>SUM(C6:C11)</f>
        <v/>
      </c>
    </row>
    <row r="15">
      <c r="A15" s="11" t="inlineStr">
        <is>
          <t>Norma</t>
        </is>
      </c>
    </row>
    <row r="16">
      <c r="A16" s="50" t="inlineStr">
        <is>
          <t>Al analizar extractos MP: si el concepto es Dinero retirado, Reserva automática, Dinero reservado, Pago de resumen / Pago de deuda MP, o Inversión (venta/compra de dólares, bonos, plazos fijos, fondos) → registrar SOLO en esta hoja (y espejo en Dinero Retirado / Inversión / Pago de Tarjetas si aplica). NUNCA en Almacen Detalle, NUNCA como gasto de la hoja 2026.</t>
        </is>
      </c>
    </row>
    <row r="17"/>
    <row r="18"/>
    <row r="21">
      <c r="A21" s="51" t="inlineStr">
        <is>
          <t>Detalle</t>
        </is>
      </c>
    </row>
    <row r="23">
      <c r="A23" s="46" t="inlineStr">
        <is>
          <t>Fecha</t>
        </is>
      </c>
      <c r="B23" s="46" t="inlineStr">
        <is>
          <t>Mes</t>
        </is>
      </c>
      <c r="C23" s="46" t="inlineStr">
        <is>
          <t>Tipo</t>
        </is>
      </c>
      <c r="D23" s="46" t="inlineStr">
        <is>
          <t>Concepto</t>
        </is>
      </c>
      <c r="E23" s="46" t="inlineStr">
        <is>
          <t>Monto</t>
        </is>
      </c>
      <c r="F23" s="46" t="inlineStr">
        <is>
          <t>Moneda</t>
        </is>
      </c>
      <c r="G23" s="46" t="inlineStr">
        <is>
          <t>Medio</t>
        </is>
      </c>
      <c r="H23" s="46" t="inlineStr">
        <is>
          <t>Comentario</t>
        </is>
      </c>
    </row>
    <row r="24">
      <c r="A24" s="52" t="n">
        <v>46222</v>
      </c>
      <c r="B24" t="inlineStr">
        <is>
          <t>Julio</t>
        </is>
      </c>
      <c r="C24" t="inlineStr">
        <is>
          <t>Dinero retirado</t>
        </is>
      </c>
      <c r="D24" t="inlineStr">
        <is>
          <t>Susi</t>
        </is>
      </c>
      <c r="E24" s="26" t="n">
        <v>15000</v>
      </c>
      <c r="F24" t="inlineStr">
        <is>
          <t>ARS</t>
        </is>
      </c>
      <c r="G24" t="inlineStr">
        <is>
          <t>Mercado Pago</t>
        </is>
      </c>
      <c r="H24" t="inlineStr">
        <is>
          <t>Dinero retirado · + · financió transferencia Matias Aranda</t>
        </is>
      </c>
    </row>
    <row r="25">
      <c r="A25" s="52" t="n">
        <v>46221</v>
      </c>
      <c r="B25" t="inlineStr">
        <is>
          <t>Julio</t>
        </is>
      </c>
      <c r="C25" t="inlineStr">
        <is>
          <t>Dinero retirado</t>
        </is>
      </c>
      <c r="D25" t="inlineStr">
        <is>
          <t>Palermo</t>
        </is>
      </c>
      <c r="E25" s="26" t="n">
        <v>593000</v>
      </c>
      <c r="F25" t="inlineStr">
        <is>
          <t>ARS</t>
        </is>
      </c>
      <c r="G25" t="inlineStr">
        <is>
          <t>Mercado Pago</t>
        </is>
      </c>
      <c r="H25" t="inlineStr">
        <is>
          <t>Dinero retirado · + · financió transferencia Analia Roay</t>
        </is>
      </c>
    </row>
    <row r="26">
      <c r="A26" s="52" t="n">
        <v>46221</v>
      </c>
      <c r="B26" t="inlineStr">
        <is>
          <t>Julio</t>
        </is>
      </c>
      <c r="C26" t="inlineStr">
        <is>
          <t>Inversión</t>
        </is>
      </c>
      <c r="D26" t="inlineStr">
        <is>
          <t>Venta de dólares</t>
        </is>
      </c>
      <c r="E26" s="26" t="n">
        <v>1261633</v>
      </c>
      <c r="F26" t="inlineStr">
        <is>
          <t>ARS</t>
        </is>
      </c>
      <c r="G26" t="inlineStr">
        <is>
          <t>Mercado Pago</t>
        </is>
      </c>
      <c r="H26" t="inlineStr">
        <is>
          <t>Venta de dólares · + · en proceso · ceil 1261632.32</t>
        </is>
      </c>
    </row>
    <row r="27">
      <c r="A27" s="52" t="n">
        <v>46221</v>
      </c>
      <c r="B27" t="inlineStr">
        <is>
          <t>Julio</t>
        </is>
      </c>
      <c r="C27" t="inlineStr">
        <is>
          <t>Dinero retirado</t>
        </is>
      </c>
      <c r="D27" t="inlineStr">
        <is>
          <t>Gastos</t>
        </is>
      </c>
      <c r="E27" s="26" t="n">
        <v>845</v>
      </c>
      <c r="F27" t="inlineStr">
        <is>
          <t>USD</t>
        </is>
      </c>
      <c r="G27" t="inlineStr">
        <is>
          <t>Mercado Pago</t>
        </is>
      </c>
      <c r="H27" t="inlineStr">
        <is>
          <t>Dinero retirado · + US$844.37 → ceil 845</t>
        </is>
      </c>
    </row>
    <row r="28">
      <c r="A28" s="52" t="n">
        <v>46221</v>
      </c>
      <c r="B28" t="inlineStr">
        <is>
          <t>Julio</t>
        </is>
      </c>
      <c r="C28" t="inlineStr">
        <is>
          <t>Dinero reservado</t>
        </is>
      </c>
      <c r="D28" t="inlineStr">
        <is>
          <t>Susi</t>
        </is>
      </c>
      <c r="E28" s="26" t="n">
        <v>5654</v>
      </c>
      <c r="F28" t="inlineStr">
        <is>
          <t>ARS</t>
        </is>
      </c>
      <c r="G28" t="inlineStr">
        <is>
          <t>Mercado Pago</t>
        </is>
      </c>
      <c r="H28" t="inlineStr">
        <is>
          <t>Dinero reservado · − · ceil 5653.97 · NUNCA almacén</t>
        </is>
      </c>
    </row>
    <row r="29">
      <c r="A29" s="52" t="n">
        <v>46221</v>
      </c>
      <c r="B29" t="inlineStr">
        <is>
          <t>Julio</t>
        </is>
      </c>
      <c r="C29" t="inlineStr">
        <is>
          <t>Reserva automática</t>
        </is>
      </c>
      <c r="D29" t="inlineStr">
        <is>
          <t>AVA</t>
        </is>
      </c>
      <c r="E29" s="26" t="n">
        <v>500</v>
      </c>
      <c r="F29" t="inlineStr">
        <is>
          <t>ARS</t>
        </is>
      </c>
      <c r="G29" t="inlineStr">
        <is>
          <t>Mercado Pago</t>
        </is>
      </c>
      <c r="H29" t="inlineStr">
        <is>
          <t>Reserva automática · − · NUNCA almacén</t>
        </is>
      </c>
    </row>
    <row r="30">
      <c r="A30" s="52" t="n">
        <v>46221</v>
      </c>
      <c r="B30" t="inlineStr">
        <is>
          <t>Julio</t>
        </is>
      </c>
      <c r="C30" t="inlineStr">
        <is>
          <t>Reserva automática</t>
        </is>
      </c>
      <c r="D30" t="inlineStr">
        <is>
          <t>Susi</t>
        </is>
      </c>
      <c r="E30" s="26" t="n">
        <v>3000</v>
      </c>
      <c r="F30" t="inlineStr">
        <is>
          <t>ARS</t>
        </is>
      </c>
      <c r="G30" t="inlineStr">
        <is>
          <t>Mercado Pago</t>
        </is>
      </c>
      <c r="H30" t="inlineStr">
        <is>
          <t>Reserva automática · − · NUNCA almacén</t>
        </is>
      </c>
    </row>
    <row r="31">
      <c r="A31" s="52" t="n">
        <v>46221</v>
      </c>
      <c r="B31" t="inlineStr">
        <is>
          <t>Julio</t>
        </is>
      </c>
      <c r="C31" t="inlineStr">
        <is>
          <t>Dinero retirado</t>
        </is>
      </c>
      <c r="D31" t="inlineStr">
        <is>
          <t>Susi</t>
        </is>
      </c>
      <c r="E31" s="26" t="n">
        <v>120000</v>
      </c>
      <c r="F31" t="inlineStr">
        <is>
          <t>ARS</t>
        </is>
      </c>
      <c r="G31" t="inlineStr">
        <is>
          <t>Mercado Pago</t>
        </is>
      </c>
      <c r="H31" t="inlineStr">
        <is>
          <t>Dinero retirado · +</t>
        </is>
      </c>
    </row>
    <row r="32">
      <c r="A32" s="52" t="n">
        <v>46221</v>
      </c>
      <c r="B32" t="inlineStr">
        <is>
          <t>Julio</t>
        </is>
      </c>
      <c r="C32" t="inlineStr">
        <is>
          <t>Dinero retirado</t>
        </is>
      </c>
      <c r="D32" t="inlineStr">
        <is>
          <t>AVA</t>
        </is>
      </c>
      <c r="E32" s="26" t="n">
        <v>36813</v>
      </c>
      <c r="F32" t="inlineStr">
        <is>
          <t>ARS</t>
        </is>
      </c>
      <c r="G32" t="inlineStr">
        <is>
          <t>Mercado Pago</t>
        </is>
      </c>
      <c r="H32" t="inlineStr">
        <is>
          <t>Dinero retirado · + · ceil 36812.97</t>
        </is>
      </c>
    </row>
    <row r="33">
      <c r="A33" s="52" t="n">
        <v>46221</v>
      </c>
      <c r="B33" t="inlineStr">
        <is>
          <t>Julio</t>
        </is>
      </c>
      <c r="C33" t="inlineStr">
        <is>
          <t>Dinero retirado</t>
        </is>
      </c>
      <c r="D33" t="inlineStr">
        <is>
          <t>Susi</t>
        </is>
      </c>
      <c r="E33" s="26" t="n">
        <v>1</v>
      </c>
      <c r="F33" t="inlineStr">
        <is>
          <t>ARS</t>
        </is>
      </c>
      <c r="G33" t="inlineStr">
        <is>
          <t>Mercado Pago</t>
        </is>
      </c>
      <c r="H33" t="inlineStr">
        <is>
          <t>Dinero retirado · +</t>
        </is>
      </c>
    </row>
    <row r="34">
      <c r="A34" s="52" t="n">
        <v>46221</v>
      </c>
      <c r="B34" t="inlineStr">
        <is>
          <t>Julio</t>
        </is>
      </c>
      <c r="C34" t="inlineStr">
        <is>
          <t>Pago de deuda MP</t>
        </is>
      </c>
      <c r="D34" t="inlineStr">
        <is>
          <t>Mercado Pago</t>
        </is>
      </c>
      <c r="E34" s="26" t="n">
        <v>147660</v>
      </c>
      <c r="F34" t="inlineStr">
        <is>
          <t>ARS</t>
        </is>
      </c>
      <c r="G34" t="inlineStr">
        <is>
          <t>Mercado Pago</t>
        </is>
      </c>
      <c r="H34" t="inlineStr">
        <is>
          <t>Pago de deuda · − · pareado con retiro Susi 147660 · NUNCA almacén</t>
        </is>
      </c>
    </row>
    <row r="35">
      <c r="A35" s="52" t="n">
        <v>46221</v>
      </c>
      <c r="B35" t="inlineStr">
        <is>
          <t>Julio</t>
        </is>
      </c>
      <c r="C35" t="inlineStr">
        <is>
          <t>Dinero retirado</t>
        </is>
      </c>
      <c r="D35" t="inlineStr">
        <is>
          <t>Susi</t>
        </is>
      </c>
      <c r="E35" s="26" t="n">
        <v>147660</v>
      </c>
      <c r="F35" t="inlineStr">
        <is>
          <t>ARS</t>
        </is>
      </c>
      <c r="G35" t="inlineStr">
        <is>
          <t>Mercado Pago</t>
        </is>
      </c>
      <c r="H35" t="inlineStr">
        <is>
          <t>Dinero retirado · + · pareado pago deuda / Susana</t>
        </is>
      </c>
    </row>
    <row r="36">
      <c r="A36" s="52" t="n">
        <v>46221</v>
      </c>
      <c r="B36" t="inlineStr">
        <is>
          <t>Julio</t>
        </is>
      </c>
      <c r="C36" t="inlineStr">
        <is>
          <t>Pago de deuda MP</t>
        </is>
      </c>
      <c r="D36" t="inlineStr">
        <is>
          <t>Mercado Pago</t>
        </is>
      </c>
      <c r="E36" s="26" t="n">
        <v>60000</v>
      </c>
      <c r="F36" t="inlineStr">
        <is>
          <t>ARS</t>
        </is>
      </c>
      <c r="G36" t="inlineStr">
        <is>
          <t>Mercado Pago</t>
        </is>
      </c>
      <c r="H36" t="inlineStr">
        <is>
          <t>Pago de deuda · − · NUNCA almacén</t>
        </is>
      </c>
    </row>
    <row r="37">
      <c r="A37" s="52" t="n">
        <v>46221</v>
      </c>
      <c r="B37" t="inlineStr">
        <is>
          <t>Julio</t>
        </is>
      </c>
      <c r="C37" t="inlineStr">
        <is>
          <t>Dinero retirado</t>
        </is>
      </c>
      <c r="D37" t="inlineStr">
        <is>
          <t>Susi</t>
        </is>
      </c>
      <c r="E37" s="26" t="n">
        <v>60000</v>
      </c>
      <c r="F37" t="inlineStr">
        <is>
          <t>ARS</t>
        </is>
      </c>
      <c r="G37" t="inlineStr">
        <is>
          <t>Mercado Pago</t>
        </is>
      </c>
      <c r="H37" t="inlineStr">
        <is>
          <t>Dinero retirado · + · pareado pago deuda 60k</t>
        </is>
      </c>
    </row>
    <row r="38">
      <c r="A38" s="52" t="n">
        <v>46221</v>
      </c>
      <c r="B38" t="inlineStr">
        <is>
          <t>Julio</t>
        </is>
      </c>
      <c r="C38" t="inlineStr">
        <is>
          <t>Pago de deuda MP</t>
        </is>
      </c>
      <c r="D38" t="inlineStr">
        <is>
          <t>Mercado Pago</t>
        </is>
      </c>
      <c r="E38" s="26" t="n">
        <v>966</v>
      </c>
      <c r="F38" t="inlineStr">
        <is>
          <t>ARS</t>
        </is>
      </c>
      <c r="G38" t="inlineStr">
        <is>
          <t>Mercado Pago</t>
        </is>
      </c>
      <c r="H38" t="inlineStr">
        <is>
          <t>Pago de deuda · − · ceil 965.70 · NUNCA almacén</t>
        </is>
      </c>
    </row>
    <row r="39">
      <c r="A39" s="52" t="n">
        <v>46220</v>
      </c>
      <c r="B39" t="inlineStr">
        <is>
          <t>Julio</t>
        </is>
      </c>
      <c r="C39" t="inlineStr">
        <is>
          <t>Reserva automática</t>
        </is>
      </c>
      <c r="D39" t="inlineStr">
        <is>
          <t>AVA</t>
        </is>
      </c>
      <c r="E39" s="26" t="n">
        <v>500</v>
      </c>
      <c r="F39" t="inlineStr">
        <is>
          <t>ARS</t>
        </is>
      </c>
      <c r="G39" t="inlineStr">
        <is>
          <t>Mercado Pago</t>
        </is>
      </c>
      <c r="H39" t="inlineStr">
        <is>
          <t>Reserva automática · − · NUNCA almacén</t>
        </is>
      </c>
    </row>
    <row r="40">
      <c r="A40" s="52" t="n">
        <v>46220</v>
      </c>
      <c r="B40" t="inlineStr">
        <is>
          <t>Julio</t>
        </is>
      </c>
      <c r="C40" t="inlineStr">
        <is>
          <t>Reserva automática</t>
        </is>
      </c>
      <c r="D40" t="inlineStr">
        <is>
          <t>Susi</t>
        </is>
      </c>
      <c r="E40" s="26" t="n">
        <v>3000</v>
      </c>
      <c r="F40" t="inlineStr">
        <is>
          <t>ARS</t>
        </is>
      </c>
      <c r="G40" t="inlineStr">
        <is>
          <t>Mercado Pago</t>
        </is>
      </c>
      <c r="H40" t="inlineStr">
        <is>
          <t>Reserva automática · − · 18:17 · NUNCA almacén</t>
        </is>
      </c>
    </row>
    <row r="41">
      <c r="A41" s="52" t="n">
        <v>46220</v>
      </c>
      <c r="B41" t="inlineStr">
        <is>
          <t>Julio</t>
        </is>
      </c>
      <c r="C41" t="inlineStr">
        <is>
          <t>Dinero retirado</t>
        </is>
      </c>
      <c r="D41" t="inlineStr">
        <is>
          <t>Susi</t>
        </is>
      </c>
      <c r="E41" s="26" t="n">
        <v>30000</v>
      </c>
      <c r="F41" t="inlineStr">
        <is>
          <t>ARS</t>
        </is>
      </c>
      <c r="G41" t="inlineStr">
        <is>
          <t>Mercado Pago</t>
        </is>
      </c>
      <c r="H41" t="inlineStr">
        <is>
          <t>Dinero retirado · + · 14:32</t>
        </is>
      </c>
    </row>
    <row r="42">
      <c r="A42" s="52" t="n">
        <v>46219</v>
      </c>
      <c r="B42" t="inlineStr">
        <is>
          <t>Julio</t>
        </is>
      </c>
      <c r="C42" t="inlineStr">
        <is>
          <t>Dinero reservado</t>
        </is>
      </c>
      <c r="D42" t="inlineStr">
        <is>
          <t>Susi</t>
        </is>
      </c>
      <c r="E42" s="26" t="n">
        <v>488004</v>
      </c>
      <c r="F42" t="inlineStr">
        <is>
          <t>ARS</t>
        </is>
      </c>
      <c r="G42" t="inlineStr">
        <is>
          <t>Mercado Pago</t>
        </is>
      </c>
      <c r="H42" t="inlineStr">
        <is>
          <t>Dinero reservado · − · ceil 488003.27 · NUNCA almacén</t>
        </is>
      </c>
    </row>
    <row r="43">
      <c r="A43" s="52" t="n">
        <v>46218</v>
      </c>
      <c r="B43" t="inlineStr">
        <is>
          <t>Julio</t>
        </is>
      </c>
      <c r="C43" t="inlineStr">
        <is>
          <t>Dinero retirado</t>
        </is>
      </c>
      <c r="D43" t="inlineStr">
        <is>
          <t>Gastos</t>
        </is>
      </c>
      <c r="E43" s="26" t="n">
        <v>500</v>
      </c>
      <c r="F43" t="inlineStr">
        <is>
          <t>USD</t>
        </is>
      </c>
      <c r="G43" t="inlineStr">
        <is>
          <t>Mercado Pago</t>
        </is>
      </c>
      <c r="H43" t="inlineStr">
        <is>
          <t>Dinero retirado · + US$500 · pareado transferencia propia Sanes</t>
        </is>
      </c>
    </row>
    <row r="44">
      <c r="A44" s="52" t="n">
        <v>46218</v>
      </c>
      <c r="B44" t="inlineStr">
        <is>
          <t>Julio</t>
        </is>
      </c>
      <c r="C44" t="inlineStr">
        <is>
          <t>Reserva automática</t>
        </is>
      </c>
      <c r="D44" t="inlineStr">
        <is>
          <t>AVA</t>
        </is>
      </c>
      <c r="E44" s="26" t="n">
        <v>500</v>
      </c>
      <c r="F44" t="inlineStr">
        <is>
          <t>ARS</t>
        </is>
      </c>
      <c r="G44" t="inlineStr">
        <is>
          <t>Mercado Pago</t>
        </is>
      </c>
      <c r="H44" t="inlineStr">
        <is>
          <t>Reserva automática · − · NUNCA almacén</t>
        </is>
      </c>
    </row>
    <row r="45">
      <c r="A45" s="52" t="n">
        <v>46218</v>
      </c>
      <c r="B45" t="inlineStr">
        <is>
          <t>Julio</t>
        </is>
      </c>
      <c r="C45" t="inlineStr">
        <is>
          <t>Reserva automática</t>
        </is>
      </c>
      <c r="D45" t="inlineStr">
        <is>
          <t>Susi</t>
        </is>
      </c>
      <c r="E45" s="26" t="n">
        <v>3000</v>
      </c>
      <c r="F45" t="inlineStr">
        <is>
          <t>ARS</t>
        </is>
      </c>
      <c r="G45" t="inlineStr">
        <is>
          <t>Mercado Pago</t>
        </is>
      </c>
      <c r="H45" t="inlineStr">
        <is>
          <t>Reserva automática · − · NUNCA almacén</t>
        </is>
      </c>
    </row>
    <row r="46">
      <c r="A46" s="52" t="n">
        <v>46218</v>
      </c>
      <c r="B46" t="inlineStr">
        <is>
          <t>Julio</t>
        </is>
      </c>
      <c r="C46" t="inlineStr">
        <is>
          <t>Pago de resumen TC</t>
        </is>
      </c>
      <c r="D46" t="inlineStr">
        <is>
          <t>Tarjeta de crédito</t>
        </is>
      </c>
      <c r="E46" s="26" t="n">
        <v>576242</v>
      </c>
      <c r="F46" t="inlineStr">
        <is>
          <t>ARS</t>
        </is>
      </c>
      <c r="G46" t="inlineStr">
        <is>
          <t>Mercado Pago</t>
        </is>
      </c>
      <c r="H46" t="inlineStr">
        <is>
          <t>Pago de resumen · − · ceil 576241.18 · NUNCA almacén / no gasto nuevo</t>
        </is>
      </c>
    </row>
    <row r="47">
      <c r="A47" s="52" t="n">
        <v>46218</v>
      </c>
      <c r="B47" t="inlineStr">
        <is>
          <t>Julio</t>
        </is>
      </c>
      <c r="C47" t="inlineStr">
        <is>
          <t>Inversión</t>
        </is>
      </c>
      <c r="D47" t="inlineStr">
        <is>
          <t>Bonos, plazos fijos y más</t>
        </is>
      </c>
      <c r="E47" s="26" t="n">
        <v>1000000</v>
      </c>
      <c r="F47" t="inlineStr">
        <is>
          <t>ARS</t>
        </is>
      </c>
      <c r="G47" t="inlineStr">
        <is>
          <t>Mercado Pago</t>
        </is>
      </c>
      <c r="H47" t="inlineStr">
        <is>
          <t>Inversión · − · NUNCA almacén</t>
        </is>
      </c>
    </row>
    <row r="48">
      <c r="A48" s="52" t="n">
        <v>46217</v>
      </c>
      <c r="B48" t="inlineStr">
        <is>
          <t>Julio</t>
        </is>
      </c>
      <c r="C48" t="inlineStr">
        <is>
          <t>Reserva automática</t>
        </is>
      </c>
      <c r="D48" t="inlineStr">
        <is>
          <t>AVA</t>
        </is>
      </c>
      <c r="E48" s="26" t="n">
        <v>500</v>
      </c>
      <c r="F48" t="inlineStr">
        <is>
          <t>ARS</t>
        </is>
      </c>
      <c r="G48" t="inlineStr">
        <is>
          <t>Mercado Pago</t>
        </is>
      </c>
      <c r="H48" t="inlineStr">
        <is>
          <t>Reserva automática · − · NUNCA almacén</t>
        </is>
      </c>
    </row>
    <row r="49">
      <c r="A49" s="52" t="n">
        <v>46217</v>
      </c>
      <c r="B49" t="inlineStr">
        <is>
          <t>Julio</t>
        </is>
      </c>
      <c r="C49" t="inlineStr">
        <is>
          <t>Reserva automática</t>
        </is>
      </c>
      <c r="D49" t="inlineStr">
        <is>
          <t>Susi</t>
        </is>
      </c>
      <c r="E49" s="26" t="n">
        <v>3000</v>
      </c>
      <c r="F49" t="inlineStr">
        <is>
          <t>ARS</t>
        </is>
      </c>
      <c r="G49" t="inlineStr">
        <is>
          <t>Mercado Pago</t>
        </is>
      </c>
      <c r="H49" t="inlineStr">
        <is>
          <t>Reserva automática · − · NUNCA almacén</t>
        </is>
      </c>
    </row>
    <row r="50">
      <c r="A50" s="52" t="n">
        <v>46220</v>
      </c>
      <c r="B50" t="inlineStr">
        <is>
          <t>Julio</t>
        </is>
      </c>
      <c r="C50" t="inlineStr">
        <is>
          <t>Reserva automática</t>
        </is>
      </c>
      <c r="D50" t="inlineStr">
        <is>
          <t>Susi</t>
        </is>
      </c>
      <c r="E50" s="26" t="n">
        <v>3000</v>
      </c>
      <c r="F50" t="inlineStr">
        <is>
          <t>ARS</t>
        </is>
      </c>
      <c r="G50" t="inlineStr">
        <is>
          <t>Mercado Pago</t>
        </is>
      </c>
      <c r="H50" t="inlineStr">
        <is>
          <t>Reserva automática · − · 18:17 · NUNCA almacén</t>
        </is>
      </c>
    </row>
    <row r="51">
      <c r="A51" s="52" t="n">
        <v>46220</v>
      </c>
      <c r="B51" t="inlineStr">
        <is>
          <t>Julio</t>
        </is>
      </c>
      <c r="C51" t="inlineStr">
        <is>
          <t>Reserva automática</t>
        </is>
      </c>
      <c r="D51" t="inlineStr">
        <is>
          <t>AVA</t>
        </is>
      </c>
      <c r="E51" s="26" t="n">
        <v>500</v>
      </c>
      <c r="F51" t="inlineStr">
        <is>
          <t>ARS</t>
        </is>
      </c>
      <c r="G51" t="inlineStr">
        <is>
          <t>Mercado Pago</t>
        </is>
      </c>
      <c r="H51" t="inlineStr">
        <is>
          <t>Reserva automática · − · 17:15 · NUNCA almacén</t>
        </is>
      </c>
    </row>
    <row r="52">
      <c r="A52" s="52" t="n">
        <v>46253</v>
      </c>
      <c r="B52" t="inlineStr">
        <is>
          <t>Agosto</t>
        </is>
      </c>
      <c r="C52" t="inlineStr">
        <is>
          <t>Pago de resumen TC</t>
        </is>
      </c>
      <c r="D52" t="inlineStr">
        <is>
          <t>Tarjeta de crédito Mercado Pago</t>
        </is>
      </c>
      <c r="E52" t="n">
        <v>1200000</v>
      </c>
      <c r="F52" t="inlineStr">
        <is>
          <t>ARS</t>
        </is>
      </c>
      <c r="G52" t="inlineStr">
        <is>
          <t>Mercado Pago</t>
        </is>
      </c>
    </row>
    <row r="53">
      <c r="A53" s="52" t="n">
        <v>46253</v>
      </c>
      <c r="B53" t="inlineStr">
        <is>
          <t>Agosto</t>
        </is>
      </c>
      <c r="C53" t="inlineStr">
        <is>
          <t>Pago de resumen TC</t>
        </is>
      </c>
      <c r="D53" t="inlineStr">
        <is>
          <t>Tarjeta de crédito Mercado Pago</t>
        </is>
      </c>
      <c r="E53" t="n">
        <v>1225483</v>
      </c>
      <c r="F53" t="inlineStr">
        <is>
          <t>ARS</t>
        </is>
      </c>
      <c r="G53" t="inlineStr">
        <is>
          <t>Mercado Pago</t>
        </is>
      </c>
    </row>
    <row r="54">
      <c r="A54" s="52" t="n">
        <v>46266</v>
      </c>
      <c r="B54" t="inlineStr">
        <is>
          <t>Septiembre</t>
        </is>
      </c>
      <c r="C54" t="inlineStr">
        <is>
          <t>Dinero reservado</t>
        </is>
      </c>
      <c r="D54" t="inlineStr">
        <is>
          <t>Susi</t>
        </is>
      </c>
      <c r="E54" t="n">
        <v>500000</v>
      </c>
      <c r="F54" t="inlineStr">
        <is>
          <t>ARS</t>
        </is>
      </c>
      <c r="G54" t="inlineStr">
        <is>
          <t>Mercado Pago</t>
        </is>
      </c>
      <c r="H54" t="inlineStr">
        <is>
          <t>Dinero reservado · − · op 175715708841 · NUNCA almacén · resumen oficial cuenta MP 1–30 sep 2026</t>
        </is>
      </c>
    </row>
    <row r="55">
      <c r="A55" s="52" t="n">
        <v>46266</v>
      </c>
      <c r="B55" t="inlineStr">
        <is>
          <t>Septiembre</t>
        </is>
      </c>
      <c r="C55" t="inlineStr">
        <is>
          <t>Dinero reservado</t>
        </is>
      </c>
      <c r="D55" t="inlineStr">
        <is>
          <t>AVA</t>
        </is>
      </c>
      <c r="E55" t="n">
        <v>4300000</v>
      </c>
      <c r="F55" t="inlineStr">
        <is>
          <t>ARS</t>
        </is>
      </c>
      <c r="G55" t="inlineStr">
        <is>
          <t>Mercado Pago</t>
        </is>
      </c>
      <c r="H55" t="inlineStr">
        <is>
          <t>Dinero reservado · − · op 176669207270 · NUNCA almacén · resumen oficial cuenta MP 1–30 sep 2026</t>
        </is>
      </c>
    </row>
    <row r="56">
      <c r="A56" s="52" t="n">
        <v>46266</v>
      </c>
      <c r="B56" t="inlineStr">
        <is>
          <t>Septiembre</t>
        </is>
      </c>
      <c r="C56" t="inlineStr">
        <is>
          <t>Dinero retirado</t>
        </is>
      </c>
      <c r="D56" t="inlineStr">
        <is>
          <t>AVA</t>
        </is>
      </c>
      <c r="E56" t="n">
        <v>1000000</v>
      </c>
      <c r="F56" t="inlineStr">
        <is>
          <t>ARS</t>
        </is>
      </c>
      <c r="G56" t="inlineStr">
        <is>
          <t>Mercado Pago</t>
        </is>
      </c>
      <c r="H56" t="inlineStr">
        <is>
          <t>Dinero retirado · + · op 176670344236 · resumen oficial cuenta MP 1–30 sep 2026</t>
        </is>
      </c>
    </row>
    <row r="57">
      <c r="A57" s="52" t="n">
        <v>46266</v>
      </c>
      <c r="B57" t="inlineStr">
        <is>
          <t>Septiembre</t>
        </is>
      </c>
      <c r="C57" t="inlineStr">
        <is>
          <t>Dinero reservado</t>
        </is>
      </c>
      <c r="D57" t="inlineStr">
        <is>
          <t>Expensas</t>
        </is>
      </c>
      <c r="E57" t="n">
        <v>1000000</v>
      </c>
      <c r="F57" t="inlineStr">
        <is>
          <t>ARS</t>
        </is>
      </c>
      <c r="G57" t="inlineStr">
        <is>
          <t>Mercado Pago</t>
        </is>
      </c>
      <c r="H57" t="inlineStr">
        <is>
          <t>Dinero reservado · − · op 176669891822 · NUNCA almacén · resumen oficial cuenta MP 1–30 sep 2026</t>
        </is>
      </c>
    </row>
    <row r="58">
      <c r="A58" s="52" t="n">
        <v>46266</v>
      </c>
      <c r="B58" t="inlineStr">
        <is>
          <t>Septiembre</t>
        </is>
      </c>
      <c r="C58" t="inlineStr">
        <is>
          <t>Dinero retirado</t>
        </is>
      </c>
      <c r="D58" t="inlineStr">
        <is>
          <t>Expensas</t>
        </is>
      </c>
      <c r="E58" t="n">
        <v>100000</v>
      </c>
      <c r="F58" t="inlineStr">
        <is>
          <t>ARS</t>
        </is>
      </c>
      <c r="G58" t="inlineStr">
        <is>
          <t>Mercado Pago</t>
        </is>
      </c>
      <c r="H58" t="inlineStr">
        <is>
          <t>Dinero retirado · + · op 176670197960 · resumen oficial cuenta MP 1–30 sep 2026</t>
        </is>
      </c>
    </row>
    <row r="59">
      <c r="A59" s="52" t="n">
        <v>46266</v>
      </c>
      <c r="B59" t="inlineStr">
        <is>
          <t>Septiembre</t>
        </is>
      </c>
      <c r="C59" t="inlineStr">
        <is>
          <t>Reserva automática</t>
        </is>
      </c>
      <c r="D59" t="inlineStr">
        <is>
          <t>Susi</t>
        </is>
      </c>
      <c r="E59" t="n">
        <v>3000</v>
      </c>
      <c r="F59" t="inlineStr">
        <is>
          <t>ARS</t>
        </is>
      </c>
      <c r="G59" t="inlineStr">
        <is>
          <t>Mercado Pago</t>
        </is>
      </c>
      <c r="H59" t="inlineStr">
        <is>
          <t>Reserva automática · − · op 175716957483 · NUNCA almacén · resumen oficial cuenta MP 1–30 sep 2026</t>
        </is>
      </c>
    </row>
    <row r="60">
      <c r="A60" s="52" t="n">
        <v>46266</v>
      </c>
      <c r="B60" t="inlineStr">
        <is>
          <t>Septiembre</t>
        </is>
      </c>
      <c r="C60" t="inlineStr">
        <is>
          <t>Reserva automática</t>
        </is>
      </c>
      <c r="D60" t="inlineStr">
        <is>
          <t>AVA</t>
        </is>
      </c>
      <c r="E60" t="n">
        <v>500</v>
      </c>
      <c r="F60" t="inlineStr">
        <is>
          <t>ARS</t>
        </is>
      </c>
      <c r="G60" t="inlineStr">
        <is>
          <t>Mercado Pago</t>
        </is>
      </c>
      <c r="H60" t="inlineStr">
        <is>
          <t>Reserva automática · − · op 176670874948 · NUNCA almacén · resumen oficial cuenta MP 1–30 sep 2026</t>
        </is>
      </c>
    </row>
    <row r="61">
      <c r="A61" s="52" t="n">
        <v>46266</v>
      </c>
      <c r="B61" t="inlineStr">
        <is>
          <t>Septiembre</t>
        </is>
      </c>
      <c r="C61" t="inlineStr">
        <is>
          <t>Inversión</t>
        </is>
      </c>
      <c r="D61" t="inlineStr">
        <is>
          <t>Venta de dólares</t>
        </is>
      </c>
      <c r="E61" t="n">
        <v>1715612</v>
      </c>
      <c r="F61" t="inlineStr">
        <is>
          <t>ARS</t>
        </is>
      </c>
      <c r="G61" t="inlineStr">
        <is>
          <t>Mercado Pago</t>
        </is>
      </c>
      <c r="H61" t="inlineStr">
        <is>
          <t>Inversión · Rescate · + · op 175716248657 · ceil 1715611.4 · resumen oficial cuenta MP 1–30 sep 2026</t>
        </is>
      </c>
    </row>
    <row r="62">
      <c r="A62" s="52" t="n">
        <v>46266</v>
      </c>
      <c r="B62" t="inlineStr">
        <is>
          <t>Septiembre</t>
        </is>
      </c>
      <c r="C62" t="inlineStr">
        <is>
          <t>Dinero reservado</t>
        </is>
      </c>
      <c r="D62" t="inlineStr">
        <is>
          <t>Tarjeta MELI</t>
        </is>
      </c>
      <c r="E62" t="n">
        <v>1799162</v>
      </c>
      <c r="F62" t="inlineStr">
        <is>
          <t>ARS</t>
        </is>
      </c>
      <c r="G62" t="inlineStr">
        <is>
          <t>Mercado Pago</t>
        </is>
      </c>
      <c r="H62" t="inlineStr">
        <is>
          <t>Dinero reservado · − · op 176697071778 · NUNCA almacén · resumen oficial cuenta MP 1–30 sep 2026</t>
        </is>
      </c>
    </row>
    <row r="63">
      <c r="A63" s="52" t="n">
        <v>46266</v>
      </c>
      <c r="B63" t="inlineStr">
        <is>
          <t>Septiembre</t>
        </is>
      </c>
      <c r="C63" t="inlineStr">
        <is>
          <t>Dinero retirado</t>
        </is>
      </c>
      <c r="D63" t="inlineStr">
        <is>
          <t>Tarjeta MELI</t>
        </is>
      </c>
      <c r="E63" t="n">
        <v>45000</v>
      </c>
      <c r="F63" t="inlineStr">
        <is>
          <t>ARS</t>
        </is>
      </c>
      <c r="G63" t="inlineStr">
        <is>
          <t>Mercado Pago</t>
        </is>
      </c>
      <c r="H63" t="inlineStr">
        <is>
          <t>Dinero retirado · + · op 176771280062 · resumen oficial cuenta MP 1–30 sep 2026</t>
        </is>
      </c>
    </row>
    <row r="64">
      <c r="A64" s="52" t="n">
        <v>46266</v>
      </c>
      <c r="B64" t="inlineStr">
        <is>
          <t>Septiembre</t>
        </is>
      </c>
      <c r="C64" t="inlineStr">
        <is>
          <t>Dinero retirado</t>
        </is>
      </c>
      <c r="D64" t="inlineStr">
        <is>
          <t>AVA</t>
        </is>
      </c>
      <c r="E64" t="n">
        <v>870000</v>
      </c>
      <c r="F64" t="inlineStr">
        <is>
          <t>ARS</t>
        </is>
      </c>
      <c r="G64" t="inlineStr">
        <is>
          <t>Mercado Pago</t>
        </is>
      </c>
      <c r="H64" t="inlineStr">
        <is>
          <t>Dinero retirado · + · op 175833734653 · resumen oficial cuenta MP 1–30 sep 2026</t>
        </is>
      </c>
    </row>
    <row r="65">
      <c r="A65" s="52" t="n">
        <v>46266</v>
      </c>
      <c r="B65" t="inlineStr">
        <is>
          <t>Septiembre</t>
        </is>
      </c>
      <c r="C65" t="inlineStr">
        <is>
          <t>Reserva automática</t>
        </is>
      </c>
      <c r="D65" t="inlineStr">
        <is>
          <t>Susi</t>
        </is>
      </c>
      <c r="E65" t="n">
        <v>3000</v>
      </c>
      <c r="F65" t="inlineStr">
        <is>
          <t>ARS</t>
        </is>
      </c>
      <c r="G65" t="inlineStr">
        <is>
          <t>Mercado Pago</t>
        </is>
      </c>
      <c r="H65" t="inlineStr">
        <is>
          <t>Reserva automática · − · op 175848472625 · NUNCA almacén · resumen oficial cuenta MP 1–30 sep 2026</t>
        </is>
      </c>
    </row>
    <row r="66">
      <c r="A66" s="52" t="n">
        <v>46266</v>
      </c>
      <c r="B66" t="inlineStr">
        <is>
          <t>Septiembre</t>
        </is>
      </c>
      <c r="C66" t="inlineStr">
        <is>
          <t>Reserva automática</t>
        </is>
      </c>
      <c r="D66" t="inlineStr">
        <is>
          <t>AVA</t>
        </is>
      </c>
      <c r="E66" t="n">
        <v>500</v>
      </c>
      <c r="F66" t="inlineStr">
        <is>
          <t>ARS</t>
        </is>
      </c>
      <c r="G66" t="inlineStr">
        <is>
          <t>Mercado Pago</t>
        </is>
      </c>
      <c r="H66" t="inlineStr">
        <is>
          <t>Reserva automática · − · op 176802548522 · NUNCA almacén · resumen oficial cuenta MP 1–30 sep 2026</t>
        </is>
      </c>
    </row>
    <row r="67">
      <c r="A67" s="52" t="n">
        <v>46267</v>
      </c>
      <c r="B67" t="inlineStr">
        <is>
          <t>Septiembre</t>
        </is>
      </c>
      <c r="C67" t="inlineStr">
        <is>
          <t>Reserva automática</t>
        </is>
      </c>
      <c r="D67" t="inlineStr">
        <is>
          <t>AVA</t>
        </is>
      </c>
      <c r="E67" t="n">
        <v>500</v>
      </c>
      <c r="F67" t="inlineStr">
        <is>
          <t>ARS</t>
        </is>
      </c>
      <c r="G67" t="inlineStr">
        <is>
          <t>Mercado Pago</t>
        </is>
      </c>
      <c r="H67" t="inlineStr">
        <is>
          <t>Reserva automática · − · op 175878560779 · NUNCA almacén · resumen oficial cuenta MP 1–30 sep 2026</t>
        </is>
      </c>
    </row>
    <row r="68">
      <c r="A68" s="52" t="n">
        <v>46267</v>
      </c>
      <c r="B68" t="inlineStr">
        <is>
          <t>Septiembre</t>
        </is>
      </c>
      <c r="C68" t="inlineStr">
        <is>
          <t>Reserva automática</t>
        </is>
      </c>
      <c r="D68" t="inlineStr">
        <is>
          <t>Susi</t>
        </is>
      </c>
      <c r="E68" t="n">
        <v>3000</v>
      </c>
      <c r="F68" t="inlineStr">
        <is>
          <t>ARS</t>
        </is>
      </c>
      <c r="G68" t="inlineStr">
        <is>
          <t>Mercado Pago</t>
        </is>
      </c>
      <c r="H68" t="inlineStr">
        <is>
          <t>Reserva automática · − · op 175878219507 · NUNCA almacén · resumen oficial cuenta MP 1–30 sep 2026</t>
        </is>
      </c>
    </row>
    <row r="69">
      <c r="A69" s="52" t="n">
        <v>46267</v>
      </c>
      <c r="B69" t="inlineStr">
        <is>
          <t>Septiembre</t>
        </is>
      </c>
      <c r="C69" t="inlineStr">
        <is>
          <t>Dinero retirado</t>
        </is>
      </c>
      <c r="D69" t="inlineStr">
        <is>
          <t>AVA</t>
        </is>
      </c>
      <c r="E69" t="n">
        <v>200000</v>
      </c>
      <c r="F69" t="inlineStr">
        <is>
          <t>ARS</t>
        </is>
      </c>
      <c r="G69" t="inlineStr">
        <is>
          <t>Mercado Pago</t>
        </is>
      </c>
      <c r="H69" t="inlineStr">
        <is>
          <t>Dinero retirado · + · op 176834369428 · resumen oficial cuenta MP 1–30 sep 2026</t>
        </is>
      </c>
    </row>
    <row r="70">
      <c r="A70" s="52" t="n">
        <v>46267</v>
      </c>
      <c r="B70" t="inlineStr">
        <is>
          <t>Septiembre</t>
        </is>
      </c>
      <c r="C70" t="inlineStr">
        <is>
          <t>Reserva automática</t>
        </is>
      </c>
      <c r="D70" t="inlineStr">
        <is>
          <t>Susi</t>
        </is>
      </c>
      <c r="E70" t="n">
        <v>3000</v>
      </c>
      <c r="F70" t="inlineStr">
        <is>
          <t>ARS</t>
        </is>
      </c>
      <c r="G70" t="inlineStr">
        <is>
          <t>Mercado Pago</t>
        </is>
      </c>
      <c r="H70" t="inlineStr">
        <is>
          <t>Reserva automática · − · op 176834779136 · NUNCA almacén · resumen oficial cuenta MP 1–30 sep 2026</t>
        </is>
      </c>
    </row>
    <row r="71">
      <c r="A71" s="52" t="n">
        <v>46267</v>
      </c>
      <c r="B71" t="inlineStr">
        <is>
          <t>Septiembre</t>
        </is>
      </c>
      <c r="C71" t="inlineStr">
        <is>
          <t>Reserva automática</t>
        </is>
      </c>
      <c r="D71" t="inlineStr">
        <is>
          <t>AVA</t>
        </is>
      </c>
      <c r="E71" t="n">
        <v>500</v>
      </c>
      <c r="F71" t="inlineStr">
        <is>
          <t>ARS</t>
        </is>
      </c>
      <c r="G71" t="inlineStr">
        <is>
          <t>Mercado Pago</t>
        </is>
      </c>
      <c r="H71" t="inlineStr">
        <is>
          <t>Reserva automática · − · op 176835046480 · NUNCA almacén · resumen oficial cuenta MP 1–30 sep 2026</t>
        </is>
      </c>
    </row>
    <row r="72">
      <c r="A72" s="52" t="n">
        <v>46267</v>
      </c>
      <c r="B72" t="inlineStr">
        <is>
          <t>Septiembre</t>
        </is>
      </c>
      <c r="C72" t="inlineStr">
        <is>
          <t>Reserva automática</t>
        </is>
      </c>
      <c r="D72" t="inlineStr">
        <is>
          <t>Susi</t>
        </is>
      </c>
      <c r="E72" t="n">
        <v>3000</v>
      </c>
      <c r="F72" t="inlineStr">
        <is>
          <t>ARS</t>
        </is>
      </c>
      <c r="G72" t="inlineStr">
        <is>
          <t>Mercado Pago</t>
        </is>
      </c>
      <c r="H72" t="inlineStr">
        <is>
          <t>Reserva automática · − · op 175943040057 · NUNCA almacén · resumen oficial cuenta MP 1–30 sep 2026</t>
        </is>
      </c>
    </row>
    <row r="73">
      <c r="A73" s="52" t="n">
        <v>46267</v>
      </c>
      <c r="B73" t="inlineStr">
        <is>
          <t>Septiembre</t>
        </is>
      </c>
      <c r="C73" t="inlineStr">
        <is>
          <t>Reserva automática</t>
        </is>
      </c>
      <c r="D73" t="inlineStr">
        <is>
          <t>AVA</t>
        </is>
      </c>
      <c r="E73" t="n">
        <v>500</v>
      </c>
      <c r="F73" t="inlineStr">
        <is>
          <t>ARS</t>
        </is>
      </c>
      <c r="G73" t="inlineStr">
        <is>
          <t>Mercado Pago</t>
        </is>
      </c>
      <c r="H73" t="inlineStr">
        <is>
          <t>Reserva automática · − · op 175943510931 · NUNCA almacén · resumen oficial cuenta MP 1–30 sep 2026</t>
        </is>
      </c>
    </row>
    <row r="74">
      <c r="A74" s="52" t="n">
        <v>46268</v>
      </c>
      <c r="B74" t="inlineStr">
        <is>
          <t>Septiembre</t>
        </is>
      </c>
      <c r="C74" t="inlineStr">
        <is>
          <t>Reserva automática</t>
        </is>
      </c>
      <c r="D74" t="inlineStr">
        <is>
          <t>Susi</t>
        </is>
      </c>
      <c r="E74" t="n">
        <v>3000</v>
      </c>
      <c r="F74" t="inlineStr">
        <is>
          <t>ARS</t>
        </is>
      </c>
      <c r="G74" t="inlineStr">
        <is>
          <t>Mercado Pago</t>
        </is>
      </c>
      <c r="H74" t="inlineStr">
        <is>
          <t>Reserva automática · − · op 176090234135 · NUNCA almacén · resumen oficial cuenta MP 1–30 sep 2026</t>
        </is>
      </c>
    </row>
    <row r="75">
      <c r="A75" s="52" t="n">
        <v>46268</v>
      </c>
      <c r="B75" t="inlineStr">
        <is>
          <t>Septiembre</t>
        </is>
      </c>
      <c r="C75" t="inlineStr">
        <is>
          <t>Reserva automática</t>
        </is>
      </c>
      <c r="D75" t="inlineStr">
        <is>
          <t>AVA</t>
        </is>
      </c>
      <c r="E75" t="n">
        <v>500</v>
      </c>
      <c r="F75" t="inlineStr">
        <is>
          <t>ARS</t>
        </is>
      </c>
      <c r="G75" t="inlineStr">
        <is>
          <t>Mercado Pago</t>
        </is>
      </c>
      <c r="H75" t="inlineStr">
        <is>
          <t>Reserva automática · − · op 177048512550 · NUNCA almacén · resumen oficial cuenta MP 1–30 sep 2026</t>
        </is>
      </c>
    </row>
    <row r="76">
      <c r="A76" s="52" t="n">
        <v>46268</v>
      </c>
      <c r="B76" t="inlineStr">
        <is>
          <t>Septiembre</t>
        </is>
      </c>
      <c r="C76" t="inlineStr">
        <is>
          <t>Reserva automática</t>
        </is>
      </c>
      <c r="D76" t="inlineStr">
        <is>
          <t>Susi</t>
        </is>
      </c>
      <c r="E76" t="n">
        <v>3000</v>
      </c>
      <c r="F76" t="inlineStr">
        <is>
          <t>ARS</t>
        </is>
      </c>
      <c r="G76" t="inlineStr">
        <is>
          <t>Mercado Pago</t>
        </is>
      </c>
      <c r="H76" t="inlineStr">
        <is>
          <t>Reserva automática · − · op 177061078740 · NUNCA almacén · resumen oficial cuenta MP 1–30 sep 2026</t>
        </is>
      </c>
    </row>
    <row r="77">
      <c r="A77" s="52" t="n">
        <v>46268</v>
      </c>
      <c r="B77" t="inlineStr">
        <is>
          <t>Septiembre</t>
        </is>
      </c>
      <c r="C77" t="inlineStr">
        <is>
          <t>Reserva automática</t>
        </is>
      </c>
      <c r="D77" t="inlineStr">
        <is>
          <t>AVA</t>
        </is>
      </c>
      <c r="E77" t="n">
        <v>500</v>
      </c>
      <c r="F77" t="inlineStr">
        <is>
          <t>ARS</t>
        </is>
      </c>
      <c r="G77" t="inlineStr">
        <is>
          <t>Mercado Pago</t>
        </is>
      </c>
      <c r="H77" t="inlineStr">
        <is>
          <t>Reserva automática · − · op 176102660757 · NUNCA almacén · resumen oficial cuenta MP 1–30 sep 2026</t>
        </is>
      </c>
    </row>
    <row r="78">
      <c r="A78" s="52" t="n">
        <v>46268</v>
      </c>
      <c r="B78" t="inlineStr">
        <is>
          <t>Septiembre</t>
        </is>
      </c>
      <c r="C78" t="inlineStr">
        <is>
          <t>Reserva automática</t>
        </is>
      </c>
      <c r="D78" t="inlineStr">
        <is>
          <t>Susi</t>
        </is>
      </c>
      <c r="E78" t="n">
        <v>3000</v>
      </c>
      <c r="F78" t="inlineStr">
        <is>
          <t>ARS</t>
        </is>
      </c>
      <c r="G78" t="inlineStr">
        <is>
          <t>Mercado Pago</t>
        </is>
      </c>
      <c r="H78" t="inlineStr">
        <is>
          <t>Reserva automática · − · op 176110844753 · NUNCA almacén · resumen oficial cuenta MP 1–30 sep 2026</t>
        </is>
      </c>
    </row>
    <row r="79">
      <c r="A79" s="52" t="n">
        <v>46268</v>
      </c>
      <c r="B79" t="inlineStr">
        <is>
          <t>Septiembre</t>
        </is>
      </c>
      <c r="C79" t="inlineStr">
        <is>
          <t>Reserva automática</t>
        </is>
      </c>
      <c r="D79" t="inlineStr">
        <is>
          <t>AVA</t>
        </is>
      </c>
      <c r="E79" t="n">
        <v>500</v>
      </c>
      <c r="F79" t="inlineStr">
        <is>
          <t>ARS</t>
        </is>
      </c>
      <c r="G79" t="inlineStr">
        <is>
          <t>Mercado Pago</t>
        </is>
      </c>
      <c r="H79" t="inlineStr">
        <is>
          <t>Reserva automática · − · op 176110521451 · NUNCA almacén · resumen oficial cuenta MP 1–30 sep 2026</t>
        </is>
      </c>
    </row>
    <row r="80">
      <c r="A80" s="52" t="n">
        <v>46268</v>
      </c>
      <c r="B80" t="inlineStr">
        <is>
          <t>Septiembre</t>
        </is>
      </c>
      <c r="C80" t="inlineStr">
        <is>
          <t>Dinero retirado</t>
        </is>
      </c>
      <c r="D80" t="inlineStr">
        <is>
          <t>Tarjeta MELI</t>
        </is>
      </c>
      <c r="E80" t="n">
        <v>1755982</v>
      </c>
      <c r="F80" t="inlineStr">
        <is>
          <t>ARS</t>
        </is>
      </c>
      <c r="G80" t="inlineStr">
        <is>
          <t>Mercado Pago</t>
        </is>
      </c>
      <c r="H80" t="inlineStr">
        <is>
          <t>Dinero retirado · + · op 177129936970 · resumen oficial cuenta MP 1–30 sep 2026</t>
        </is>
      </c>
    </row>
    <row r="81">
      <c r="A81" s="52" t="n">
        <v>46270</v>
      </c>
      <c r="B81" t="inlineStr">
        <is>
          <t>Septiembre</t>
        </is>
      </c>
      <c r="C81" t="inlineStr">
        <is>
          <t>Reserva automática</t>
        </is>
      </c>
      <c r="D81" t="inlineStr">
        <is>
          <t>Susi</t>
        </is>
      </c>
      <c r="E81" t="n">
        <v>3000</v>
      </c>
      <c r="F81" t="inlineStr">
        <is>
          <t>ARS</t>
        </is>
      </c>
      <c r="G81" t="inlineStr">
        <is>
          <t>Mercado Pago</t>
        </is>
      </c>
      <c r="H81" t="inlineStr">
        <is>
          <t>Reserva automática · − · op 176478978461 · NUNCA almacén · resumen oficial cuenta MP 1–30 sep 2026</t>
        </is>
      </c>
    </row>
    <row r="82">
      <c r="A82" s="52" t="n">
        <v>46270</v>
      </c>
      <c r="B82" t="inlineStr">
        <is>
          <t>Septiembre</t>
        </is>
      </c>
      <c r="C82" t="inlineStr">
        <is>
          <t>Reserva automática</t>
        </is>
      </c>
      <c r="D82" t="inlineStr">
        <is>
          <t>AVA</t>
        </is>
      </c>
      <c r="E82" t="n">
        <v>500</v>
      </c>
      <c r="F82" t="inlineStr">
        <is>
          <t>ARS</t>
        </is>
      </c>
      <c r="G82" t="inlineStr">
        <is>
          <t>Mercado Pago</t>
        </is>
      </c>
      <c r="H82" t="inlineStr">
        <is>
          <t>Reserva automática · − · op 176478645009 · NUNCA almacén · resumen oficial cuenta MP 1–30 sep 2026</t>
        </is>
      </c>
    </row>
    <row r="83">
      <c r="A83" s="52" t="n">
        <v>46270</v>
      </c>
      <c r="B83" t="inlineStr">
        <is>
          <t>Septiembre</t>
        </is>
      </c>
      <c r="C83" t="inlineStr">
        <is>
          <t>Reserva automática</t>
        </is>
      </c>
      <c r="D83" t="inlineStr">
        <is>
          <t>Susi</t>
        </is>
      </c>
      <c r="E83" t="n">
        <v>3000</v>
      </c>
      <c r="F83" t="inlineStr">
        <is>
          <t>ARS</t>
        </is>
      </c>
      <c r="G83" t="inlineStr">
        <is>
          <t>Mercado Pago</t>
        </is>
      </c>
      <c r="H83" t="inlineStr">
        <is>
          <t>Reserva automática · − · op 176513362435 · NUNCA almacén · resumen oficial cuenta MP 1–30 sep 2026</t>
        </is>
      </c>
    </row>
    <row r="84">
      <c r="A84" s="52" t="n">
        <v>46270</v>
      </c>
      <c r="B84" t="inlineStr">
        <is>
          <t>Septiembre</t>
        </is>
      </c>
      <c r="C84" t="inlineStr">
        <is>
          <t>Reserva automática</t>
        </is>
      </c>
      <c r="D84" t="inlineStr">
        <is>
          <t>AVA</t>
        </is>
      </c>
      <c r="E84" t="n">
        <v>500</v>
      </c>
      <c r="F84" t="inlineStr">
        <is>
          <t>ARS</t>
        </is>
      </c>
      <c r="G84" t="inlineStr">
        <is>
          <t>Mercado Pago</t>
        </is>
      </c>
      <c r="H84" t="inlineStr">
        <is>
          <t>Reserva automática · − · op 177473307814 · NUNCA almacén · resumen oficial cuenta MP 1–30 sep 2026</t>
        </is>
      </c>
    </row>
    <row r="85">
      <c r="A85" s="52" t="n">
        <v>46270</v>
      </c>
      <c r="B85" t="inlineStr">
        <is>
          <t>Septiembre</t>
        </is>
      </c>
      <c r="C85" t="inlineStr">
        <is>
          <t>Reserva automática</t>
        </is>
      </c>
      <c r="D85" t="inlineStr">
        <is>
          <t>Susi</t>
        </is>
      </c>
      <c r="E85" t="n">
        <v>3000</v>
      </c>
      <c r="F85" t="inlineStr">
        <is>
          <t>ARS</t>
        </is>
      </c>
      <c r="G85" t="inlineStr">
        <is>
          <t>Mercado Pago</t>
        </is>
      </c>
      <c r="H85" t="inlineStr">
        <is>
          <t>Reserva automática · − · op 176513003377 · NUNCA almacén · resumen oficial cuenta MP 1–30 sep 2026</t>
        </is>
      </c>
    </row>
    <row r="86">
      <c r="A86" s="52" t="n">
        <v>46270</v>
      </c>
      <c r="B86" t="inlineStr">
        <is>
          <t>Septiembre</t>
        </is>
      </c>
      <c r="C86" t="inlineStr">
        <is>
          <t>Reserva automática</t>
        </is>
      </c>
      <c r="D86" t="inlineStr">
        <is>
          <t>AVA</t>
        </is>
      </c>
      <c r="E86" t="n">
        <v>500</v>
      </c>
      <c r="F86" t="inlineStr">
        <is>
          <t>ARS</t>
        </is>
      </c>
      <c r="G86" t="inlineStr">
        <is>
          <t>Mercado Pago</t>
        </is>
      </c>
      <c r="H86" t="inlineStr">
        <is>
          <t>Reserva automática · − · op 176512584059 · NUNCA almacén · resumen oficial cuenta MP 1–30 sep 2026</t>
        </is>
      </c>
    </row>
    <row r="87">
      <c r="A87" s="52" t="n">
        <v>46271</v>
      </c>
      <c r="B87" t="inlineStr">
        <is>
          <t>Septiembre</t>
        </is>
      </c>
      <c r="C87" t="inlineStr">
        <is>
          <t>Reserva automática</t>
        </is>
      </c>
      <c r="D87" t="inlineStr">
        <is>
          <t>Susi</t>
        </is>
      </c>
      <c r="E87" t="n">
        <v>3000</v>
      </c>
      <c r="F87" t="inlineStr">
        <is>
          <t>ARS</t>
        </is>
      </c>
      <c r="G87" t="inlineStr">
        <is>
          <t>Mercado Pago</t>
        </is>
      </c>
      <c r="H87" t="inlineStr">
        <is>
          <t>Reserva automática · − · op 177557514804 · NUNCA almacén · resumen oficial cuenta MP 1–30 sep 2026</t>
        </is>
      </c>
    </row>
    <row r="88">
      <c r="A88" s="52" t="n">
        <v>46271</v>
      </c>
      <c r="B88" t="inlineStr">
        <is>
          <t>Septiembre</t>
        </is>
      </c>
      <c r="C88" t="inlineStr">
        <is>
          <t>Reserva automática</t>
        </is>
      </c>
      <c r="D88" t="inlineStr">
        <is>
          <t>AVA</t>
        </is>
      </c>
      <c r="E88" t="n">
        <v>500</v>
      </c>
      <c r="F88" t="inlineStr">
        <is>
          <t>ARS</t>
        </is>
      </c>
      <c r="G88" t="inlineStr">
        <is>
          <t>Mercado Pago</t>
        </is>
      </c>
      <c r="H88" t="inlineStr">
        <is>
          <t>Reserva automática · − · op 177557083696 · NUNCA almacén · resumen oficial cuenta MP 1–30 sep 2026</t>
        </is>
      </c>
    </row>
    <row r="89">
      <c r="A89" s="52" t="n">
        <v>46272</v>
      </c>
      <c r="B89" t="inlineStr">
        <is>
          <t>Septiembre</t>
        </is>
      </c>
      <c r="C89" t="inlineStr">
        <is>
          <t>Dinero retirado</t>
        </is>
      </c>
      <c r="D89" t="inlineStr">
        <is>
          <t>AVA</t>
        </is>
      </c>
      <c r="E89" t="n">
        <v>9426902</v>
      </c>
      <c r="F89" t="inlineStr">
        <is>
          <t>ARS</t>
        </is>
      </c>
      <c r="G89" t="inlineStr">
        <is>
          <t>Mercado Pago</t>
        </is>
      </c>
      <c r="H89" t="inlineStr">
        <is>
          <t>Dinero retirado · + · op 177703110684 · resumen oficial cuenta MP 1–30 sep 2026</t>
        </is>
      </c>
    </row>
    <row r="90">
      <c r="A90" s="52" t="n">
        <v>46272</v>
      </c>
      <c r="B90" t="inlineStr">
        <is>
          <t>Septiembre</t>
        </is>
      </c>
      <c r="C90" t="inlineStr">
        <is>
          <t>Reserva automática</t>
        </is>
      </c>
      <c r="D90" t="inlineStr">
        <is>
          <t>Susi</t>
        </is>
      </c>
      <c r="E90" t="n">
        <v>3000</v>
      </c>
      <c r="F90" t="inlineStr">
        <is>
          <t>ARS</t>
        </is>
      </c>
      <c r="G90" t="inlineStr">
        <is>
          <t>Mercado Pago</t>
        </is>
      </c>
      <c r="H90" t="inlineStr">
        <is>
          <t>Reserva automática · − · op 176739027479 · NUNCA almacén · resumen oficial cuenta MP 1–30 sep 2026</t>
        </is>
      </c>
    </row>
    <row r="91">
      <c r="A91" s="52" t="n">
        <v>46272</v>
      </c>
      <c r="B91" t="inlineStr">
        <is>
          <t>Septiembre</t>
        </is>
      </c>
      <c r="C91" t="inlineStr">
        <is>
          <t>Reserva automática</t>
        </is>
      </c>
      <c r="D91" t="inlineStr">
        <is>
          <t>AVA</t>
        </is>
      </c>
      <c r="E91" t="n">
        <v>500</v>
      </c>
      <c r="F91" t="inlineStr">
        <is>
          <t>ARS</t>
        </is>
      </c>
      <c r="G91" t="inlineStr">
        <is>
          <t>Mercado Pago</t>
        </is>
      </c>
      <c r="H91" t="inlineStr">
        <is>
          <t>Reserva automática · − · op 176739233051 · NUNCA almacén · resumen oficial cuenta MP 1–30 sep 2026</t>
        </is>
      </c>
    </row>
    <row r="92">
      <c r="A92" s="52" t="n">
        <v>46272</v>
      </c>
      <c r="B92" t="inlineStr">
        <is>
          <t>Septiembre</t>
        </is>
      </c>
      <c r="C92" t="inlineStr">
        <is>
          <t>Dinero reservado</t>
        </is>
      </c>
      <c r="D92" t="inlineStr">
        <is>
          <t>AVA</t>
        </is>
      </c>
      <c r="E92" t="n">
        <v>3500000</v>
      </c>
      <c r="F92" t="inlineStr">
        <is>
          <t>ARS</t>
        </is>
      </c>
      <c r="G92" t="inlineStr">
        <is>
          <t>Mercado Pago</t>
        </is>
      </c>
      <c r="H92" t="inlineStr">
        <is>
          <t>Dinero reservado · − · op 177703071306 · NUNCA almacén · resumen oficial cuenta MP 1–30 sep 2026</t>
        </is>
      </c>
    </row>
    <row r="93">
      <c r="A93" s="52" t="n">
        <v>46272</v>
      </c>
      <c r="B93" t="inlineStr">
        <is>
          <t>Septiembre</t>
        </is>
      </c>
      <c r="C93" t="inlineStr">
        <is>
          <t>Reserva automática</t>
        </is>
      </c>
      <c r="D93" t="inlineStr">
        <is>
          <t>Susi</t>
        </is>
      </c>
      <c r="E93" t="n">
        <v>3000</v>
      </c>
      <c r="F93" t="inlineStr">
        <is>
          <t>ARS</t>
        </is>
      </c>
      <c r="G93" t="inlineStr">
        <is>
          <t>Mercado Pago</t>
        </is>
      </c>
      <c r="H93" t="inlineStr">
        <is>
          <t>Reserva automática · − · op 176765715563 · NUNCA almacén · resumen oficial cuenta MP 1–30 sep 2026</t>
        </is>
      </c>
    </row>
    <row r="94">
      <c r="A94" s="52" t="n">
        <v>46272</v>
      </c>
      <c r="B94" t="inlineStr">
        <is>
          <t>Septiembre</t>
        </is>
      </c>
      <c r="C94" t="inlineStr">
        <is>
          <t>Reserva automática</t>
        </is>
      </c>
      <c r="D94" t="inlineStr">
        <is>
          <t>AVA</t>
        </is>
      </c>
      <c r="E94" t="n">
        <v>500</v>
      </c>
      <c r="F94" t="inlineStr">
        <is>
          <t>ARS</t>
        </is>
      </c>
      <c r="G94" t="inlineStr">
        <is>
          <t>Mercado Pago</t>
        </is>
      </c>
      <c r="H94" t="inlineStr">
        <is>
          <t>Reserva automática · − · op 176765461843 · NUNCA almacén · resumen oficial cuenta MP 1–30 sep 2026</t>
        </is>
      </c>
    </row>
    <row r="95">
      <c r="A95" s="52" t="n">
        <v>46272</v>
      </c>
      <c r="B95" t="inlineStr">
        <is>
          <t>Septiembre</t>
        </is>
      </c>
      <c r="C95" t="inlineStr">
        <is>
          <t>Reserva automática</t>
        </is>
      </c>
      <c r="D95" t="inlineStr">
        <is>
          <t>Susi</t>
        </is>
      </c>
      <c r="E95" t="n">
        <v>3000</v>
      </c>
      <c r="F95" t="inlineStr">
        <is>
          <t>ARS</t>
        </is>
      </c>
      <c r="G95" t="inlineStr">
        <is>
          <t>Mercado Pago</t>
        </is>
      </c>
      <c r="H95" t="inlineStr">
        <is>
          <t>Reserva automática · − · op 176810447269 · NUNCA almacén · resumen oficial cuenta MP 1–30 sep 2026</t>
        </is>
      </c>
    </row>
    <row r="96">
      <c r="A96" s="52" t="n">
        <v>46272</v>
      </c>
      <c r="B96" t="inlineStr">
        <is>
          <t>Septiembre</t>
        </is>
      </c>
      <c r="C96" t="inlineStr">
        <is>
          <t>Reserva automática</t>
        </is>
      </c>
      <c r="D96" t="inlineStr">
        <is>
          <t>AVA</t>
        </is>
      </c>
      <c r="E96" t="n">
        <v>500</v>
      </c>
      <c r="F96" t="inlineStr">
        <is>
          <t>ARS</t>
        </is>
      </c>
      <c r="G96" t="inlineStr">
        <is>
          <t>Mercado Pago</t>
        </is>
      </c>
      <c r="H96" t="inlineStr">
        <is>
          <t>Reserva automática · − · op 176810051943 · NUNCA almacén · resumen oficial cuenta MP 1–30 sep 2026</t>
        </is>
      </c>
    </row>
    <row r="97">
      <c r="A97" s="52" t="n">
        <v>46273</v>
      </c>
      <c r="B97" t="inlineStr">
        <is>
          <t>Septiembre</t>
        </is>
      </c>
      <c r="C97" t="inlineStr">
        <is>
          <t>Dinero reservado</t>
        </is>
      </c>
      <c r="D97" t="inlineStr">
        <is>
          <t>Palermo</t>
        </is>
      </c>
      <c r="E97" t="n">
        <v>3315000</v>
      </c>
      <c r="F97" t="inlineStr">
        <is>
          <t>ARS</t>
        </is>
      </c>
      <c r="G97" t="inlineStr">
        <is>
          <t>Mercado Pago</t>
        </is>
      </c>
      <c r="H97" t="inlineStr">
        <is>
          <t>Dinero reservado · − · op 177990827740 · NUNCA almacén · resumen oficial cuenta MP 1–30 sep 2026</t>
        </is>
      </c>
    </row>
    <row r="98">
      <c r="A98" s="52" t="n">
        <v>46274</v>
      </c>
      <c r="B98" t="inlineStr">
        <is>
          <t>Septiembre</t>
        </is>
      </c>
      <c r="C98" t="inlineStr">
        <is>
          <t>Reserva automática</t>
        </is>
      </c>
      <c r="D98" t="inlineStr">
        <is>
          <t>Susi</t>
        </is>
      </c>
      <c r="E98" t="n">
        <v>3000</v>
      </c>
      <c r="F98" t="inlineStr">
        <is>
          <t>ARS</t>
        </is>
      </c>
      <c r="G98" t="inlineStr">
        <is>
          <t>Mercado Pago</t>
        </is>
      </c>
      <c r="H98" t="inlineStr">
        <is>
          <t>Reserva automática · − · op 178133332060 · NUNCA almacén · resumen oficial cuenta MP 1–30 sep 2026</t>
        </is>
      </c>
    </row>
    <row r="99">
      <c r="A99" s="52" t="n">
        <v>46274</v>
      </c>
      <c r="B99" t="inlineStr">
        <is>
          <t>Septiembre</t>
        </is>
      </c>
      <c r="C99" t="inlineStr">
        <is>
          <t>Reserva automática</t>
        </is>
      </c>
      <c r="D99" t="inlineStr">
        <is>
          <t>AVA</t>
        </is>
      </c>
      <c r="E99" t="n">
        <v>500</v>
      </c>
      <c r="F99" t="inlineStr">
        <is>
          <t>ARS</t>
        </is>
      </c>
      <c r="G99" t="inlineStr">
        <is>
          <t>Mercado Pago</t>
        </is>
      </c>
      <c r="H99" t="inlineStr">
        <is>
          <t>Reserva automática · − · op 177166384311 · NUNCA almacén · resumen oficial cuenta MP 1–30 sep 2026</t>
        </is>
      </c>
    </row>
    <row r="100">
      <c r="A100" s="52" t="n">
        <v>46274</v>
      </c>
      <c r="B100" t="inlineStr">
        <is>
          <t>Septiembre</t>
        </is>
      </c>
      <c r="C100" t="inlineStr">
        <is>
          <t>Reserva automática</t>
        </is>
      </c>
      <c r="D100" t="inlineStr">
        <is>
          <t>Susi</t>
        </is>
      </c>
      <c r="E100" t="n">
        <v>3000</v>
      </c>
      <c r="F100" t="inlineStr">
        <is>
          <t>ARS</t>
        </is>
      </c>
      <c r="G100" t="inlineStr">
        <is>
          <t>Mercado Pago</t>
        </is>
      </c>
      <c r="H100" t="inlineStr">
        <is>
          <t>Reserva automática · − · op 177184965983 · NUNCA almacén · resumen oficial cuenta MP 1–30 sep 2026</t>
        </is>
      </c>
    </row>
    <row r="101">
      <c r="A101" s="52" t="n">
        <v>46274</v>
      </c>
      <c r="B101" t="inlineStr">
        <is>
          <t>Septiembre</t>
        </is>
      </c>
      <c r="C101" t="inlineStr">
        <is>
          <t>Reserva automática</t>
        </is>
      </c>
      <c r="D101" t="inlineStr">
        <is>
          <t>AVA</t>
        </is>
      </c>
      <c r="E101" t="n">
        <v>500</v>
      </c>
      <c r="F101" t="inlineStr">
        <is>
          <t>ARS</t>
        </is>
      </c>
      <c r="G101" t="inlineStr">
        <is>
          <t>Mercado Pago</t>
        </is>
      </c>
      <c r="H101" t="inlineStr">
        <is>
          <t>Reserva automática · − · op 177185572769 · NUNCA almacén · resumen oficial cuenta MP 1–30 sep 2026</t>
        </is>
      </c>
    </row>
    <row r="102">
      <c r="A102" s="52" t="n">
        <v>46274</v>
      </c>
      <c r="B102" t="inlineStr">
        <is>
          <t>Septiembre</t>
        </is>
      </c>
      <c r="C102" t="inlineStr">
        <is>
          <t>Dinero reservado</t>
        </is>
      </c>
      <c r="D102" t="inlineStr">
        <is>
          <t>Chris</t>
        </is>
      </c>
      <c r="E102" t="n">
        <v>5350000</v>
      </c>
      <c r="F102" t="inlineStr">
        <is>
          <t>ARS</t>
        </is>
      </c>
      <c r="G102" t="inlineStr">
        <is>
          <t>Mercado Pago</t>
        </is>
      </c>
      <c r="H102" t="inlineStr">
        <is>
          <t>Dinero reservado · − · op 178212152144 · NUNCA almacén · resumen oficial cuenta MP 1–30 sep 2026</t>
        </is>
      </c>
    </row>
    <row r="103">
      <c r="A103" s="52" t="n">
        <v>46274</v>
      </c>
      <c r="B103" t="inlineStr">
        <is>
          <t>Septiembre</t>
        </is>
      </c>
      <c r="C103" t="inlineStr">
        <is>
          <t>Reserva automática</t>
        </is>
      </c>
      <c r="D103" t="inlineStr">
        <is>
          <t>Susi</t>
        </is>
      </c>
      <c r="E103" t="n">
        <v>3000</v>
      </c>
      <c r="F103" t="inlineStr">
        <is>
          <t>ARS</t>
        </is>
      </c>
      <c r="G103" t="inlineStr">
        <is>
          <t>Mercado Pago</t>
        </is>
      </c>
      <c r="H103" t="inlineStr">
        <is>
          <t>Reserva automática · − · op 177243225315 · NUNCA almacén · resumen oficial cuenta MP 1–30 sep 2026</t>
        </is>
      </c>
    </row>
    <row r="104">
      <c r="A104" s="52" t="n">
        <v>46274</v>
      </c>
      <c r="B104" t="inlineStr">
        <is>
          <t>Septiembre</t>
        </is>
      </c>
      <c r="C104" t="inlineStr">
        <is>
          <t>Reserva automática</t>
        </is>
      </c>
      <c r="D104" t="inlineStr">
        <is>
          <t>AVA</t>
        </is>
      </c>
      <c r="E104" t="n">
        <v>500</v>
      </c>
      <c r="F104" t="inlineStr">
        <is>
          <t>ARS</t>
        </is>
      </c>
      <c r="G104" t="inlineStr">
        <is>
          <t>Mercado Pago</t>
        </is>
      </c>
      <c r="H104" t="inlineStr">
        <is>
          <t>Reserva automática · − · op 178211023854 · NUNCA almacén · resumen oficial cuenta MP 1–30 sep 2026</t>
        </is>
      </c>
    </row>
    <row r="105">
      <c r="A105" s="52" t="n">
        <v>46275</v>
      </c>
      <c r="B105" t="inlineStr">
        <is>
          <t>Septiembre</t>
        </is>
      </c>
      <c r="C105" t="inlineStr">
        <is>
          <t>Inversión</t>
        </is>
      </c>
      <c r="D105" t="inlineStr">
        <is>
          <t>Venta de dólares</t>
        </is>
      </c>
      <c r="E105" t="n">
        <v>2989714</v>
      </c>
      <c r="F105" t="inlineStr">
        <is>
          <t>ARS</t>
        </is>
      </c>
      <c r="G105" t="inlineStr">
        <is>
          <t>Mercado Pago</t>
        </is>
      </c>
      <c r="H105" t="inlineStr">
        <is>
          <t>Inversión · Rescate · + · op 178296615510 · ceil 2989713.19 · resumen oficial cuenta MP 1–30 sep 2026</t>
        </is>
      </c>
    </row>
    <row r="106">
      <c r="A106" s="52" t="n">
        <v>46275</v>
      </c>
      <c r="B106" t="inlineStr">
        <is>
          <t>Septiembre</t>
        </is>
      </c>
      <c r="C106" t="inlineStr">
        <is>
          <t>Reserva automática</t>
        </is>
      </c>
      <c r="D106" t="inlineStr">
        <is>
          <t>Susi</t>
        </is>
      </c>
      <c r="E106" t="n">
        <v>3000</v>
      </c>
      <c r="F106" t="inlineStr">
        <is>
          <t>ARS</t>
        </is>
      </c>
      <c r="G106" t="inlineStr">
        <is>
          <t>Mercado Pago</t>
        </is>
      </c>
      <c r="H106" t="inlineStr">
        <is>
          <t>Reserva automática · − · op 177384210977 · NUNCA almacén · resumen oficial cuenta MP 1–30 sep 2026</t>
        </is>
      </c>
    </row>
    <row r="107">
      <c r="A107" s="52" t="n">
        <v>46275</v>
      </c>
      <c r="B107" t="inlineStr">
        <is>
          <t>Septiembre</t>
        </is>
      </c>
      <c r="C107" t="inlineStr">
        <is>
          <t>Reserva automática</t>
        </is>
      </c>
      <c r="D107" t="inlineStr">
        <is>
          <t>AVA</t>
        </is>
      </c>
      <c r="E107" t="n">
        <v>500</v>
      </c>
      <c r="F107" t="inlineStr">
        <is>
          <t>ARS</t>
        </is>
      </c>
      <c r="G107" t="inlineStr">
        <is>
          <t>Mercado Pago</t>
        </is>
      </c>
      <c r="H107" t="inlineStr">
        <is>
          <t>Reserva automática · − · op 177383588053 · NUNCA almacén · resumen oficial cuenta MP 1–30 sep 2026</t>
        </is>
      </c>
    </row>
    <row r="108">
      <c r="A108" s="52" t="n">
        <v>46275</v>
      </c>
      <c r="B108" t="inlineStr">
        <is>
          <t>Septiembre</t>
        </is>
      </c>
      <c r="C108" t="inlineStr">
        <is>
          <t>Reserva automática</t>
        </is>
      </c>
      <c r="D108" t="inlineStr">
        <is>
          <t>Susi</t>
        </is>
      </c>
      <c r="E108" t="n">
        <v>3000</v>
      </c>
      <c r="F108" t="inlineStr">
        <is>
          <t>ARS</t>
        </is>
      </c>
      <c r="G108" t="inlineStr">
        <is>
          <t>Mercado Pago</t>
        </is>
      </c>
      <c r="H108" t="inlineStr">
        <is>
          <t>Reserva automática · − · op 178377355184 · NUNCA almacén · resumen oficial cuenta MP 1–30 sep 2026</t>
        </is>
      </c>
    </row>
    <row r="109">
      <c r="A109" s="52" t="n">
        <v>46275</v>
      </c>
      <c r="B109" t="inlineStr">
        <is>
          <t>Septiembre</t>
        </is>
      </c>
      <c r="C109" t="inlineStr">
        <is>
          <t>Reserva automática</t>
        </is>
      </c>
      <c r="D109" t="inlineStr">
        <is>
          <t>AVA</t>
        </is>
      </c>
      <c r="E109" t="n">
        <v>500</v>
      </c>
      <c r="F109" t="inlineStr">
        <is>
          <t>ARS</t>
        </is>
      </c>
      <c r="G109" t="inlineStr">
        <is>
          <t>Mercado Pago</t>
        </is>
      </c>
      <c r="H109" t="inlineStr">
        <is>
          <t>Reserva automática · − · op 178377449072 · NUNCA almacén · resumen oficial cuenta MP 1–30 sep 2026</t>
        </is>
      </c>
    </row>
    <row r="110">
      <c r="A110" s="52" t="n">
        <v>46276</v>
      </c>
      <c r="B110" t="inlineStr">
        <is>
          <t>Septiembre</t>
        </is>
      </c>
      <c r="C110" t="inlineStr">
        <is>
          <t>Inversión</t>
        </is>
      </c>
      <c r="D110" t="inlineStr">
        <is>
          <t>Bonos, plazos fijos y más</t>
        </is>
      </c>
      <c r="E110" t="n">
        <v>12361244</v>
      </c>
      <c r="F110" t="inlineStr">
        <is>
          <t>ARS</t>
        </is>
      </c>
      <c r="G110" t="inlineStr">
        <is>
          <t>Mercado Pago</t>
        </is>
      </c>
      <c r="H110" t="inlineStr">
        <is>
          <t>Inversión · Rescate · + · op 178259630038 · ceil 12361243.87 · resumen oficial cuenta MP 1–30 sep 2026</t>
        </is>
      </c>
    </row>
    <row r="111">
      <c r="A111" s="52" t="n">
        <v>46276</v>
      </c>
      <c r="B111" t="inlineStr">
        <is>
          <t>Septiembre</t>
        </is>
      </c>
      <c r="C111" t="inlineStr">
        <is>
          <t>Reserva automática</t>
        </is>
      </c>
      <c r="D111" t="inlineStr">
        <is>
          <t>Susi</t>
        </is>
      </c>
      <c r="E111" t="n">
        <v>3000</v>
      </c>
      <c r="F111" t="inlineStr">
        <is>
          <t>ARS</t>
        </is>
      </c>
      <c r="G111" t="inlineStr">
        <is>
          <t>Mercado Pago</t>
        </is>
      </c>
      <c r="H111" t="inlineStr">
        <is>
          <t>Reserva automática · − · op 178494392640 · NUNCA almacén · resumen oficial cuenta MP 1–30 sep 2026</t>
        </is>
      </c>
    </row>
    <row r="112">
      <c r="A112" s="52" t="n">
        <v>46276</v>
      </c>
      <c r="B112" t="inlineStr">
        <is>
          <t>Septiembre</t>
        </is>
      </c>
      <c r="C112" t="inlineStr">
        <is>
          <t>Reserva automática</t>
        </is>
      </c>
      <c r="D112" t="inlineStr">
        <is>
          <t>AVA</t>
        </is>
      </c>
      <c r="E112" t="n">
        <v>500</v>
      </c>
      <c r="F112" t="inlineStr">
        <is>
          <t>ARS</t>
        </is>
      </c>
      <c r="G112" t="inlineStr">
        <is>
          <t>Mercado Pago</t>
        </is>
      </c>
      <c r="H112" t="inlineStr">
        <is>
          <t>Reserva automática · − · op 177523472223 · NUNCA almacén · resumen oficial cuenta MP 1–30 sep 2026</t>
        </is>
      </c>
    </row>
    <row r="113">
      <c r="A113" s="52" t="n">
        <v>46276</v>
      </c>
      <c r="B113" t="inlineStr">
        <is>
          <t>Septiembre</t>
        </is>
      </c>
      <c r="C113" t="inlineStr">
        <is>
          <t>Reserva automática</t>
        </is>
      </c>
      <c r="D113" t="inlineStr">
        <is>
          <t>Susi</t>
        </is>
      </c>
      <c r="E113" t="n">
        <v>3000</v>
      </c>
      <c r="F113" t="inlineStr">
        <is>
          <t>ARS</t>
        </is>
      </c>
      <c r="G113" t="inlineStr">
        <is>
          <t>Mercado Pago</t>
        </is>
      </c>
      <c r="H113" t="inlineStr">
        <is>
          <t>Reserva automática · − · op 177539975407 · NUNCA almacén · resumen oficial cuenta MP 1–30 sep 2026</t>
        </is>
      </c>
    </row>
    <row r="114">
      <c r="A114" s="52" t="n">
        <v>46276</v>
      </c>
      <c r="B114" t="inlineStr">
        <is>
          <t>Septiembre</t>
        </is>
      </c>
      <c r="C114" t="inlineStr">
        <is>
          <t>Reserva automática</t>
        </is>
      </c>
      <c r="D114" t="inlineStr">
        <is>
          <t>AVA</t>
        </is>
      </c>
      <c r="E114" t="n">
        <v>500</v>
      </c>
      <c r="F114" t="inlineStr">
        <is>
          <t>ARS</t>
        </is>
      </c>
      <c r="G114" t="inlineStr">
        <is>
          <t>Mercado Pago</t>
        </is>
      </c>
      <c r="H114" t="inlineStr">
        <is>
          <t>Reserva automática · − · op 177540356463 · NUNCA almacén · resumen oficial cuenta MP 1–30 sep 2026</t>
        </is>
      </c>
    </row>
    <row r="115">
      <c r="A115" s="52" t="n">
        <v>46276</v>
      </c>
      <c r="B115" t="inlineStr">
        <is>
          <t>Septiembre</t>
        </is>
      </c>
      <c r="C115" t="inlineStr">
        <is>
          <t>Reserva automática</t>
        </is>
      </c>
      <c r="D115" t="inlineStr">
        <is>
          <t>Susi</t>
        </is>
      </c>
      <c r="E115" t="n">
        <v>3000</v>
      </c>
      <c r="F115" t="inlineStr">
        <is>
          <t>ARS</t>
        </is>
      </c>
      <c r="G115" t="inlineStr">
        <is>
          <t>Mercado Pago</t>
        </is>
      </c>
      <c r="H115" t="inlineStr">
        <is>
          <t>Reserva automática · − · op 177559893607 · NUNCA almacén · resumen oficial cuenta MP 1–30 sep 2026</t>
        </is>
      </c>
    </row>
    <row r="116">
      <c r="A116" s="52" t="n">
        <v>46276</v>
      </c>
      <c r="B116" t="inlineStr">
        <is>
          <t>Septiembre</t>
        </is>
      </c>
      <c r="C116" t="inlineStr">
        <is>
          <t>Reserva automática</t>
        </is>
      </c>
      <c r="D116" t="inlineStr">
        <is>
          <t>AVA</t>
        </is>
      </c>
      <c r="E116" t="n">
        <v>500</v>
      </c>
      <c r="F116" t="inlineStr">
        <is>
          <t>ARS</t>
        </is>
      </c>
      <c r="G116" t="inlineStr">
        <is>
          <t>Mercado Pago</t>
        </is>
      </c>
      <c r="H116" t="inlineStr">
        <is>
          <t>Reserva automática · − · op 178531848482 · NUNCA almacén · resumen oficial cuenta MP 1–30 sep 2026</t>
        </is>
      </c>
    </row>
    <row r="117">
      <c r="A117" s="52" t="n">
        <v>46276</v>
      </c>
      <c r="B117" t="inlineStr">
        <is>
          <t>Septiembre</t>
        </is>
      </c>
      <c r="C117" t="inlineStr">
        <is>
          <t>Dinero reservado</t>
        </is>
      </c>
      <c r="D117" t="inlineStr">
        <is>
          <t>Chris</t>
        </is>
      </c>
      <c r="E117" t="n">
        <v>14250000</v>
      </c>
      <c r="F117" t="inlineStr">
        <is>
          <t>ARS</t>
        </is>
      </c>
      <c r="G117" t="inlineStr">
        <is>
          <t>Mercado Pago</t>
        </is>
      </c>
      <c r="H117" t="inlineStr">
        <is>
          <t>Dinero reservado · − · op 177562253415 · NUNCA almacén · resumen oficial cuenta MP 1–30 sep 2026</t>
        </is>
      </c>
    </row>
    <row r="118">
      <c r="A118" s="52" t="n">
        <v>46276</v>
      </c>
      <c r="B118" t="inlineStr">
        <is>
          <t>Septiembre</t>
        </is>
      </c>
      <c r="C118" t="inlineStr">
        <is>
          <t>Dinero retirado</t>
        </is>
      </c>
      <c r="D118" t="inlineStr">
        <is>
          <t>Chris</t>
        </is>
      </c>
      <c r="E118" t="n">
        <v>2500000</v>
      </c>
      <c r="F118" t="inlineStr">
        <is>
          <t>ARS</t>
        </is>
      </c>
      <c r="G118" t="inlineStr">
        <is>
          <t>Mercado Pago</t>
        </is>
      </c>
      <c r="H118" t="inlineStr">
        <is>
          <t>Dinero retirado · + · op 178535014388 · resumen oficial cuenta MP 1–30 sep 2026</t>
        </is>
      </c>
    </row>
    <row r="119">
      <c r="A119" s="52" t="n">
        <v>46276</v>
      </c>
      <c r="B119" t="inlineStr">
        <is>
          <t>Septiembre</t>
        </is>
      </c>
      <c r="C119" t="inlineStr">
        <is>
          <t>Dinero reservado</t>
        </is>
      </c>
      <c r="D119" t="inlineStr">
        <is>
          <t>Expensas</t>
        </is>
      </c>
      <c r="E119" t="n">
        <v>3000000</v>
      </c>
      <c r="F119" t="inlineStr">
        <is>
          <t>ARS</t>
        </is>
      </c>
      <c r="G119" t="inlineStr">
        <is>
          <t>Mercado Pago</t>
        </is>
      </c>
      <c r="H119" t="inlineStr">
        <is>
          <t>Dinero reservado · − · op 178535192218 · NUNCA almacén · resumen oficial cuenta MP 1–30 sep 2026</t>
        </is>
      </c>
    </row>
    <row r="120">
      <c r="A120" s="52" t="n">
        <v>46276</v>
      </c>
      <c r="B120" t="inlineStr">
        <is>
          <t>Septiembre</t>
        </is>
      </c>
      <c r="C120" t="inlineStr">
        <is>
          <t>Reserva automática</t>
        </is>
      </c>
      <c r="D120" t="inlineStr">
        <is>
          <t>Susi</t>
        </is>
      </c>
      <c r="E120" t="n">
        <v>3000</v>
      </c>
      <c r="F120" t="inlineStr">
        <is>
          <t>ARS</t>
        </is>
      </c>
      <c r="G120" t="inlineStr">
        <is>
          <t>Mercado Pago</t>
        </is>
      </c>
      <c r="H120" t="inlineStr">
        <is>
          <t>Reserva automática · − · op 178538843204 · NUNCA almacén · resumen oficial cuenta MP 1–30 sep 2026</t>
        </is>
      </c>
    </row>
    <row r="121">
      <c r="A121" s="52" t="n">
        <v>46276</v>
      </c>
      <c r="B121" t="inlineStr">
        <is>
          <t>Septiembre</t>
        </is>
      </c>
      <c r="C121" t="inlineStr">
        <is>
          <t>Reserva automática</t>
        </is>
      </c>
      <c r="D121" t="inlineStr">
        <is>
          <t>AVA</t>
        </is>
      </c>
      <c r="E121" t="n">
        <v>500</v>
      </c>
      <c r="F121" t="inlineStr">
        <is>
          <t>ARS</t>
        </is>
      </c>
      <c r="G121" t="inlineStr">
        <is>
          <t>Mercado Pago</t>
        </is>
      </c>
      <c r="H121" t="inlineStr">
        <is>
          <t>Reserva automática · − · op 178538905044 · NUNCA almacén · resumen oficial cuenta MP 1–30 sep 2026</t>
        </is>
      </c>
    </row>
    <row r="122">
      <c r="A122" s="52" t="n">
        <v>46276</v>
      </c>
      <c r="B122" t="inlineStr">
        <is>
          <t>Septiembre</t>
        </is>
      </c>
      <c r="C122" t="inlineStr">
        <is>
          <t>Reserva automática</t>
        </is>
      </c>
      <c r="D122" t="inlineStr">
        <is>
          <t>Susi</t>
        </is>
      </c>
      <c r="E122" t="n">
        <v>3000</v>
      </c>
      <c r="F122" t="inlineStr">
        <is>
          <t>ARS</t>
        </is>
      </c>
      <c r="G122" t="inlineStr">
        <is>
          <t>Mercado Pago</t>
        </is>
      </c>
      <c r="H122" t="inlineStr">
        <is>
          <t>Reserva automática · − · op 177603355513 · NUNCA almacén · resumen oficial cuenta MP 1–30 sep 2026</t>
        </is>
      </c>
    </row>
    <row r="123">
      <c r="A123" s="52" t="n">
        <v>46276</v>
      </c>
      <c r="B123" t="inlineStr">
        <is>
          <t>Septiembre</t>
        </is>
      </c>
      <c r="C123" t="inlineStr">
        <is>
          <t>Reserva automática</t>
        </is>
      </c>
      <c r="D123" t="inlineStr">
        <is>
          <t>AVA</t>
        </is>
      </c>
      <c r="E123" t="n">
        <v>500</v>
      </c>
      <c r="F123" t="inlineStr">
        <is>
          <t>ARS</t>
        </is>
      </c>
      <c r="G123" t="inlineStr">
        <is>
          <t>Mercado Pago</t>
        </is>
      </c>
      <c r="H123" t="inlineStr">
        <is>
          <t>Reserva automática · − · op 178575430328 · NUNCA almacén · resumen oficial cuenta MP 1–30 sep 2026</t>
        </is>
      </c>
    </row>
    <row r="124">
      <c r="A124" s="52" t="n">
        <v>46276</v>
      </c>
      <c r="B124" t="inlineStr">
        <is>
          <t>Septiembre</t>
        </is>
      </c>
      <c r="C124" t="inlineStr">
        <is>
          <t>Reserva automática</t>
        </is>
      </c>
      <c r="D124" t="inlineStr">
        <is>
          <t>Susi</t>
        </is>
      </c>
      <c r="E124" t="n">
        <v>3000</v>
      </c>
      <c r="F124" t="inlineStr">
        <is>
          <t>ARS</t>
        </is>
      </c>
      <c r="G124" t="inlineStr">
        <is>
          <t>Mercado Pago</t>
        </is>
      </c>
      <c r="H124" t="inlineStr">
        <is>
          <t>Reserva automática · − · op 178608730030 · NUNCA almacén · resumen oficial cuenta MP 1–30 sep 2026</t>
        </is>
      </c>
    </row>
    <row r="125">
      <c r="A125" s="52" t="n">
        <v>46276</v>
      </c>
      <c r="B125" t="inlineStr">
        <is>
          <t>Septiembre</t>
        </is>
      </c>
      <c r="C125" t="inlineStr">
        <is>
          <t>Reserva automática</t>
        </is>
      </c>
      <c r="D125" t="inlineStr">
        <is>
          <t>AVA</t>
        </is>
      </c>
      <c r="E125" t="n">
        <v>500</v>
      </c>
      <c r="F125" t="inlineStr">
        <is>
          <t>ARS</t>
        </is>
      </c>
      <c r="G125" t="inlineStr">
        <is>
          <t>Mercado Pago</t>
        </is>
      </c>
      <c r="H125" t="inlineStr">
        <is>
          <t>Reserva automática · − · op 177637615159 · NUNCA almacén · resumen oficial cuenta MP 1–30 sep 2026</t>
        </is>
      </c>
    </row>
    <row r="126">
      <c r="A126" s="52" t="n">
        <v>46277</v>
      </c>
      <c r="B126" t="inlineStr">
        <is>
          <t>Septiembre</t>
        </is>
      </c>
      <c r="C126" t="inlineStr">
        <is>
          <t>Reserva automática</t>
        </is>
      </c>
      <c r="D126" t="inlineStr">
        <is>
          <t>Susi</t>
        </is>
      </c>
      <c r="E126" t="n">
        <v>3000</v>
      </c>
      <c r="F126" t="inlineStr">
        <is>
          <t>ARS</t>
        </is>
      </c>
      <c r="G126" t="inlineStr">
        <is>
          <t>Mercado Pago</t>
        </is>
      </c>
      <c r="H126" t="inlineStr">
        <is>
          <t>Reserva automática · − · op 177678010209 · NUNCA almacén · resumen oficial cuenta MP 1–30 sep 2026</t>
        </is>
      </c>
    </row>
    <row r="127">
      <c r="A127" s="52" t="n">
        <v>46277</v>
      </c>
      <c r="B127" t="inlineStr">
        <is>
          <t>Septiembre</t>
        </is>
      </c>
      <c r="C127" t="inlineStr">
        <is>
          <t>Reserva automática</t>
        </is>
      </c>
      <c r="D127" t="inlineStr">
        <is>
          <t>AVA</t>
        </is>
      </c>
      <c r="E127" t="n">
        <v>500</v>
      </c>
      <c r="F127" t="inlineStr">
        <is>
          <t>ARS</t>
        </is>
      </c>
      <c r="G127" t="inlineStr">
        <is>
          <t>Mercado Pago</t>
        </is>
      </c>
      <c r="H127" t="inlineStr">
        <is>
          <t>Reserva automática · − · op 177678048133 · NUNCA almacén · resumen oficial cuenta MP 1–30 sep 2026</t>
        </is>
      </c>
    </row>
    <row r="128">
      <c r="A128" s="52" t="n">
        <v>46277</v>
      </c>
      <c r="B128" t="inlineStr">
        <is>
          <t>Septiembre</t>
        </is>
      </c>
      <c r="C128" t="inlineStr">
        <is>
          <t>Reserva automática</t>
        </is>
      </c>
      <c r="D128" t="inlineStr">
        <is>
          <t>Susi</t>
        </is>
      </c>
      <c r="E128" t="n">
        <v>3000</v>
      </c>
      <c r="F128" t="inlineStr">
        <is>
          <t>ARS</t>
        </is>
      </c>
      <c r="G128" t="inlineStr">
        <is>
          <t>Mercado Pago</t>
        </is>
      </c>
      <c r="H128" t="inlineStr">
        <is>
          <t>Reserva automática · − · op 178657801584 · NUNCA almacén · resumen oficial cuenta MP 1–30 sep 2026</t>
        </is>
      </c>
    </row>
    <row r="129">
      <c r="A129" s="52" t="n">
        <v>46277</v>
      </c>
      <c r="B129" t="inlineStr">
        <is>
          <t>Septiembre</t>
        </is>
      </c>
      <c r="C129" t="inlineStr">
        <is>
          <t>Reserva automática</t>
        </is>
      </c>
      <c r="D129" t="inlineStr">
        <is>
          <t>AVA</t>
        </is>
      </c>
      <c r="E129" t="n">
        <v>500</v>
      </c>
      <c r="F129" t="inlineStr">
        <is>
          <t>ARS</t>
        </is>
      </c>
      <c r="G129" t="inlineStr">
        <is>
          <t>Mercado Pago</t>
        </is>
      </c>
      <c r="H129" t="inlineStr">
        <is>
          <t>Reserva automática · − · op 177685227483 · NUNCA almacén · resumen oficial cuenta MP 1–30 sep 2026</t>
        </is>
      </c>
    </row>
    <row r="130">
      <c r="A130" s="52" t="n">
        <v>46277</v>
      </c>
      <c r="B130" t="inlineStr">
        <is>
          <t>Septiembre</t>
        </is>
      </c>
      <c r="C130" t="inlineStr">
        <is>
          <t>Reserva automática</t>
        </is>
      </c>
      <c r="D130" t="inlineStr">
        <is>
          <t>Susi</t>
        </is>
      </c>
      <c r="E130" t="n">
        <v>3000</v>
      </c>
      <c r="F130" t="inlineStr">
        <is>
          <t>ARS</t>
        </is>
      </c>
      <c r="G130" t="inlineStr">
        <is>
          <t>Mercado Pago</t>
        </is>
      </c>
      <c r="H130" t="inlineStr">
        <is>
          <t>Reserva automática · − · op 178678366022 · NUNCA almacén · resumen oficial cuenta MP 1–30 sep 2026</t>
        </is>
      </c>
    </row>
    <row r="131">
      <c r="A131" s="52" t="n">
        <v>46277</v>
      </c>
      <c r="B131" t="inlineStr">
        <is>
          <t>Septiembre</t>
        </is>
      </c>
      <c r="C131" t="inlineStr">
        <is>
          <t>Reserva automática</t>
        </is>
      </c>
      <c r="D131" t="inlineStr">
        <is>
          <t>AVA</t>
        </is>
      </c>
      <c r="E131" t="n">
        <v>500</v>
      </c>
      <c r="F131" t="inlineStr">
        <is>
          <t>ARS</t>
        </is>
      </c>
      <c r="G131" t="inlineStr">
        <is>
          <t>Mercado Pago</t>
        </is>
      </c>
      <c r="H131" t="inlineStr">
        <is>
          <t>Reserva automática · − · op 178678937068 · NUNCA almacén · resumen oficial cuenta MP 1–30 sep 2026</t>
        </is>
      </c>
    </row>
    <row r="132">
      <c r="A132" s="52" t="n">
        <v>46277</v>
      </c>
      <c r="B132" t="inlineStr">
        <is>
          <t>Septiembre</t>
        </is>
      </c>
      <c r="C132" t="inlineStr">
        <is>
          <t>Reserva automática</t>
        </is>
      </c>
      <c r="D132" t="inlineStr">
        <is>
          <t>Susi</t>
        </is>
      </c>
      <c r="E132" t="n">
        <v>3000</v>
      </c>
      <c r="F132" t="inlineStr">
        <is>
          <t>ARS</t>
        </is>
      </c>
      <c r="G132" t="inlineStr">
        <is>
          <t>Mercado Pago</t>
        </is>
      </c>
      <c r="H132" t="inlineStr">
        <is>
          <t>Reserva automática · − · op 178703421548 · NUNCA almacén · resumen oficial cuenta MP 1–30 sep 2026</t>
        </is>
      </c>
    </row>
    <row r="133">
      <c r="A133" s="52" t="n">
        <v>46277</v>
      </c>
      <c r="B133" t="inlineStr">
        <is>
          <t>Septiembre</t>
        </is>
      </c>
      <c r="C133" t="inlineStr">
        <is>
          <t>Reserva automática</t>
        </is>
      </c>
      <c r="D133" t="inlineStr">
        <is>
          <t>AVA</t>
        </is>
      </c>
      <c r="E133" t="n">
        <v>500</v>
      </c>
      <c r="F133" t="inlineStr">
        <is>
          <t>ARS</t>
        </is>
      </c>
      <c r="G133" t="inlineStr">
        <is>
          <t>Mercado Pago</t>
        </is>
      </c>
      <c r="H133" t="inlineStr">
        <is>
          <t>Reserva automática · − · op 177731160851 · NUNCA almacén · resumen oficial cuenta MP 1–30 sep 2026</t>
        </is>
      </c>
    </row>
    <row r="134">
      <c r="A134" s="52" t="n">
        <v>46278</v>
      </c>
      <c r="B134" t="inlineStr">
        <is>
          <t>Septiembre</t>
        </is>
      </c>
      <c r="C134" t="inlineStr">
        <is>
          <t>Reserva automática</t>
        </is>
      </c>
      <c r="D134" t="inlineStr">
        <is>
          <t>Susi</t>
        </is>
      </c>
      <c r="E134" t="n">
        <v>3000</v>
      </c>
      <c r="F134" t="inlineStr">
        <is>
          <t>ARS</t>
        </is>
      </c>
      <c r="G134" t="inlineStr">
        <is>
          <t>Mercado Pago</t>
        </is>
      </c>
      <c r="H134" t="inlineStr">
        <is>
          <t>Reserva automática · − · op 178865038902 · NUNCA almacén · resumen oficial cuenta MP 1–30 sep 2026</t>
        </is>
      </c>
    </row>
    <row r="135">
      <c r="A135" s="52" t="n">
        <v>46278</v>
      </c>
      <c r="B135" t="inlineStr">
        <is>
          <t>Septiembre</t>
        </is>
      </c>
      <c r="C135" t="inlineStr">
        <is>
          <t>Reserva automática</t>
        </is>
      </c>
      <c r="D135" t="inlineStr">
        <is>
          <t>AVA</t>
        </is>
      </c>
      <c r="E135" t="n">
        <v>500</v>
      </c>
      <c r="F135" t="inlineStr">
        <is>
          <t>ARS</t>
        </is>
      </c>
      <c r="G135" t="inlineStr">
        <is>
          <t>Mercado Pago</t>
        </is>
      </c>
      <c r="H135" t="inlineStr">
        <is>
          <t>Reserva automática · − · op 177891177673 · NUNCA almacén · resumen oficial cuenta MP 1–30 sep 2026</t>
        </is>
      </c>
    </row>
    <row r="136">
      <c r="A136" s="52" t="n">
        <v>46279</v>
      </c>
      <c r="B136" t="inlineStr">
        <is>
          <t>Septiembre</t>
        </is>
      </c>
      <c r="C136" t="inlineStr">
        <is>
          <t>Dinero retirado</t>
        </is>
      </c>
      <c r="D136" t="inlineStr">
        <is>
          <t>Expensas</t>
        </is>
      </c>
      <c r="E136" t="n">
        <v>30000</v>
      </c>
      <c r="F136" t="inlineStr">
        <is>
          <t>ARS</t>
        </is>
      </c>
      <c r="G136" t="inlineStr">
        <is>
          <t>Mercado Pago</t>
        </is>
      </c>
      <c r="H136" t="inlineStr">
        <is>
          <t>Dinero retirado · + · op 177992934377 · resumen oficial cuenta MP 1–30 sep 2026</t>
        </is>
      </c>
    </row>
    <row r="137">
      <c r="A137" s="52" t="n">
        <v>46279</v>
      </c>
      <c r="B137" t="inlineStr">
        <is>
          <t>Septiembre</t>
        </is>
      </c>
      <c r="C137" t="inlineStr">
        <is>
          <t>Reserva automática</t>
        </is>
      </c>
      <c r="D137" t="inlineStr">
        <is>
          <t>Susi</t>
        </is>
      </c>
      <c r="E137" t="n">
        <v>3000</v>
      </c>
      <c r="F137" t="inlineStr">
        <is>
          <t>ARS</t>
        </is>
      </c>
      <c r="G137" t="inlineStr">
        <is>
          <t>Mercado Pago</t>
        </is>
      </c>
      <c r="H137" t="inlineStr">
        <is>
          <t>Reserva automática · − · op 178969460526 · NUNCA almacén · resumen oficial cuenta MP 1–30 sep 2026</t>
        </is>
      </c>
    </row>
    <row r="138">
      <c r="A138" s="52" t="n">
        <v>46279</v>
      </c>
      <c r="B138" t="inlineStr">
        <is>
          <t>Septiembre</t>
        </is>
      </c>
      <c r="C138" t="inlineStr">
        <is>
          <t>Reserva automática</t>
        </is>
      </c>
      <c r="D138" t="inlineStr">
        <is>
          <t>AVA</t>
        </is>
      </c>
      <c r="E138" t="n">
        <v>500</v>
      </c>
      <c r="F138" t="inlineStr">
        <is>
          <t>ARS</t>
        </is>
      </c>
      <c r="G138" t="inlineStr">
        <is>
          <t>Mercado Pago</t>
        </is>
      </c>
      <c r="H138" t="inlineStr">
        <is>
          <t>Reserva automática · − · op 178968921438 · NUNCA almacén · resumen oficial cuenta MP 1–30 sep 2026</t>
        </is>
      </c>
    </row>
    <row r="139">
      <c r="A139" s="52" t="n">
        <v>46279</v>
      </c>
      <c r="B139" t="inlineStr">
        <is>
          <t>Septiembre</t>
        </is>
      </c>
      <c r="C139" t="inlineStr">
        <is>
          <t>Reserva automática</t>
        </is>
      </c>
      <c r="D139" t="inlineStr">
        <is>
          <t>AVA</t>
        </is>
      </c>
      <c r="E139" t="n">
        <v>500</v>
      </c>
      <c r="F139" t="inlineStr">
        <is>
          <t>ARS</t>
        </is>
      </c>
      <c r="G139" t="inlineStr">
        <is>
          <t>Mercado Pago</t>
        </is>
      </c>
      <c r="H139" t="inlineStr">
        <is>
          <t>Reserva automática · − · op 178049600513 · NUNCA almacén · resumen oficial cuenta MP 1–30 sep 2026</t>
        </is>
      </c>
    </row>
    <row r="140">
      <c r="A140" s="52" t="n">
        <v>46279</v>
      </c>
      <c r="B140" t="inlineStr">
        <is>
          <t>Septiembre</t>
        </is>
      </c>
      <c r="C140" t="inlineStr">
        <is>
          <t>Reserva automática</t>
        </is>
      </c>
      <c r="D140" t="inlineStr">
        <is>
          <t>AVA</t>
        </is>
      </c>
      <c r="E140" t="n">
        <v>500</v>
      </c>
      <c r="F140" t="inlineStr">
        <is>
          <t>ARS</t>
        </is>
      </c>
      <c r="G140" t="inlineStr">
        <is>
          <t>Mercado Pago</t>
        </is>
      </c>
      <c r="H140" t="inlineStr">
        <is>
          <t>Reserva automática · − · op 178049526865 · NUNCA almacén · resumen oficial cuenta MP 1–30 sep 2026</t>
        </is>
      </c>
    </row>
    <row r="141">
      <c r="A141" s="52" t="n">
        <v>46280</v>
      </c>
      <c r="B141" t="inlineStr">
        <is>
          <t>Septiembre</t>
        </is>
      </c>
      <c r="C141" t="inlineStr">
        <is>
          <t>Dinero retirado</t>
        </is>
      </c>
      <c r="D141" t="inlineStr">
        <is>
          <t>Expensas</t>
        </is>
      </c>
      <c r="E141" t="n">
        <v>3882828</v>
      </c>
      <c r="F141" t="inlineStr">
        <is>
          <t>ARS</t>
        </is>
      </c>
      <c r="G141" t="inlineStr">
        <is>
          <t>Mercado Pago</t>
        </is>
      </c>
      <c r="H141" t="inlineStr">
        <is>
          <t>Dinero retirado · + · op 178124476905 · resumen oficial cuenta MP 1–30 sep 2026</t>
        </is>
      </c>
    </row>
    <row r="142">
      <c r="A142" s="52" t="n">
        <v>46280</v>
      </c>
      <c r="B142" t="inlineStr">
        <is>
          <t>Septiembre</t>
        </is>
      </c>
      <c r="C142" t="inlineStr">
        <is>
          <t>Dinero reservado</t>
        </is>
      </c>
      <c r="D142" t="inlineStr">
        <is>
          <t>Tarjeta MELI</t>
        </is>
      </c>
      <c r="E142" t="n">
        <v>4000000</v>
      </c>
      <c r="F142" t="inlineStr">
        <is>
          <t>ARS</t>
        </is>
      </c>
      <c r="G142" t="inlineStr">
        <is>
          <t>Mercado Pago</t>
        </is>
      </c>
      <c r="H142" t="inlineStr">
        <is>
          <t>Dinero reservado · − · op 178125385343 · NUNCA almacén · resumen oficial cuenta MP 1–30 sep 2026</t>
        </is>
      </c>
    </row>
    <row r="143">
      <c r="A143" s="52" t="n">
        <v>46280</v>
      </c>
      <c r="B143" t="inlineStr">
        <is>
          <t>Septiembre</t>
        </is>
      </c>
      <c r="C143" t="inlineStr">
        <is>
          <t>Inversión</t>
        </is>
      </c>
      <c r="D143" t="inlineStr">
        <is>
          <t>Venta de dólares</t>
        </is>
      </c>
      <c r="E143" t="n">
        <v>59334</v>
      </c>
      <c r="F143" t="inlineStr">
        <is>
          <t>ARS</t>
        </is>
      </c>
      <c r="G143" t="inlineStr">
        <is>
          <t>Mercado Pago</t>
        </is>
      </c>
      <c r="H143" t="inlineStr">
        <is>
          <t>Inversión · Rescate · + · op 178124944219 · ceil 59333.83 · resumen oficial cuenta MP 1–30 sep 2026</t>
        </is>
      </c>
    </row>
    <row r="144">
      <c r="A144" s="52" t="n">
        <v>46280</v>
      </c>
      <c r="B144" t="inlineStr">
        <is>
          <t>Septiembre</t>
        </is>
      </c>
      <c r="C144" t="inlineStr">
        <is>
          <t>Reserva automática</t>
        </is>
      </c>
      <c r="D144" t="inlineStr">
        <is>
          <t>Susi</t>
        </is>
      </c>
      <c r="E144" t="n">
        <v>3000</v>
      </c>
      <c r="F144" t="inlineStr">
        <is>
          <t>ARS</t>
        </is>
      </c>
      <c r="G144" t="inlineStr">
        <is>
          <t>Mercado Pago</t>
        </is>
      </c>
      <c r="H144" t="inlineStr">
        <is>
          <t>Reserva automática · − · op 178155086899 · NUNCA almacén · resumen oficial cuenta MP 1–30 sep 2026</t>
        </is>
      </c>
    </row>
    <row r="145">
      <c r="A145" s="52" t="n">
        <v>46280</v>
      </c>
      <c r="B145" t="inlineStr">
        <is>
          <t>Septiembre</t>
        </is>
      </c>
      <c r="C145" t="inlineStr">
        <is>
          <t>Reserva automática</t>
        </is>
      </c>
      <c r="D145" t="inlineStr">
        <is>
          <t>AVA</t>
        </is>
      </c>
      <c r="E145" t="n">
        <v>500</v>
      </c>
      <c r="F145" t="inlineStr">
        <is>
          <t>ARS</t>
        </is>
      </c>
      <c r="G145" t="inlineStr">
        <is>
          <t>Mercado Pago</t>
        </is>
      </c>
      <c r="H145" t="inlineStr">
        <is>
          <t>Reserva automática · − · op 179132390774 · NUNCA almacén · resumen oficial cuenta MP 1–30 sep 2026</t>
        </is>
      </c>
    </row>
    <row r="146">
      <c r="A146" s="52" t="n">
        <v>46280</v>
      </c>
      <c r="B146" t="inlineStr">
        <is>
          <t>Septiembre</t>
        </is>
      </c>
      <c r="C146" t="inlineStr">
        <is>
          <t>Reserva automática</t>
        </is>
      </c>
      <c r="D146" t="inlineStr">
        <is>
          <t>Susi</t>
        </is>
      </c>
      <c r="E146" t="n">
        <v>3000</v>
      </c>
      <c r="F146" t="inlineStr">
        <is>
          <t>ARS</t>
        </is>
      </c>
      <c r="G146" t="inlineStr">
        <is>
          <t>Mercado Pago</t>
        </is>
      </c>
      <c r="H146" t="inlineStr">
        <is>
          <t>Reserva automática · − · op 179161853648 · NUNCA almacén · resumen oficial cuenta MP 1–30 sep 2026</t>
        </is>
      </c>
    </row>
    <row r="147">
      <c r="A147" s="52" t="n">
        <v>46280</v>
      </c>
      <c r="B147" t="inlineStr">
        <is>
          <t>Septiembre</t>
        </is>
      </c>
      <c r="C147" t="inlineStr">
        <is>
          <t>Reserva automática</t>
        </is>
      </c>
      <c r="D147" t="inlineStr">
        <is>
          <t>AVA</t>
        </is>
      </c>
      <c r="E147" t="n">
        <v>500</v>
      </c>
      <c r="F147" t="inlineStr">
        <is>
          <t>ARS</t>
        </is>
      </c>
      <c r="G147" t="inlineStr">
        <is>
          <t>Mercado Pago</t>
        </is>
      </c>
      <c r="H147" t="inlineStr">
        <is>
          <t>Reserva automática · − · op 178184757721 · NUNCA almacén · resumen oficial cuenta MP 1–30 sep 2026</t>
        </is>
      </c>
    </row>
    <row r="148">
      <c r="A148" s="52" t="n">
        <v>46280</v>
      </c>
      <c r="B148" t="inlineStr">
        <is>
          <t>Septiembre</t>
        </is>
      </c>
      <c r="C148" t="inlineStr">
        <is>
          <t>Reserva automática</t>
        </is>
      </c>
      <c r="D148" t="inlineStr">
        <is>
          <t>Susi</t>
        </is>
      </c>
      <c r="E148" t="n">
        <v>3000</v>
      </c>
      <c r="F148" t="inlineStr">
        <is>
          <t>ARS</t>
        </is>
      </c>
      <c r="G148" t="inlineStr">
        <is>
          <t>Mercado Pago</t>
        </is>
      </c>
      <c r="H148" t="inlineStr">
        <is>
          <t>Reserva automática · − · op 179176046632 · NUNCA almacén · resumen oficial cuenta MP 1–30 sep 2026</t>
        </is>
      </c>
    </row>
    <row r="149">
      <c r="A149" s="52" t="n">
        <v>46280</v>
      </c>
      <c r="B149" t="inlineStr">
        <is>
          <t>Septiembre</t>
        </is>
      </c>
      <c r="C149" t="inlineStr">
        <is>
          <t>Reserva automática</t>
        </is>
      </c>
      <c r="D149" t="inlineStr">
        <is>
          <t>AVA</t>
        </is>
      </c>
      <c r="E149" t="n">
        <v>500</v>
      </c>
      <c r="F149" t="inlineStr">
        <is>
          <t>ARS</t>
        </is>
      </c>
      <c r="G149" t="inlineStr">
        <is>
          <t>Mercado Pago</t>
        </is>
      </c>
      <c r="H149" t="inlineStr">
        <is>
          <t>Reserva automática · − · op 178198375373 · NUNCA almacén · resumen oficial cuenta MP 1–30 sep 2026</t>
        </is>
      </c>
    </row>
    <row r="150">
      <c r="A150" s="52" t="n">
        <v>46280</v>
      </c>
      <c r="B150" t="inlineStr">
        <is>
          <t>Septiembre</t>
        </is>
      </c>
      <c r="C150" t="inlineStr">
        <is>
          <t>Reserva automática</t>
        </is>
      </c>
      <c r="D150" t="inlineStr">
        <is>
          <t>Susi</t>
        </is>
      </c>
      <c r="E150" t="n">
        <v>3000</v>
      </c>
      <c r="F150" t="inlineStr">
        <is>
          <t>ARS</t>
        </is>
      </c>
      <c r="G150" t="inlineStr">
        <is>
          <t>Mercado Pago</t>
        </is>
      </c>
      <c r="H150" t="inlineStr">
        <is>
          <t>Reserva automática · − · op 179253193712 · NUNCA almacén · resumen oficial cuenta MP 1–30 sep 2026</t>
        </is>
      </c>
    </row>
    <row r="151">
      <c r="A151" s="52" t="n">
        <v>46280</v>
      </c>
      <c r="B151" t="inlineStr">
        <is>
          <t>Septiembre</t>
        </is>
      </c>
      <c r="C151" t="inlineStr">
        <is>
          <t>Reserva automática</t>
        </is>
      </c>
      <c r="D151" t="inlineStr">
        <is>
          <t>AVA</t>
        </is>
      </c>
      <c r="E151" t="n">
        <v>500</v>
      </c>
      <c r="F151" t="inlineStr">
        <is>
          <t>ARS</t>
        </is>
      </c>
      <c r="G151" t="inlineStr">
        <is>
          <t>Mercado Pago</t>
        </is>
      </c>
      <c r="H151" t="inlineStr">
        <is>
          <t>Reserva automática · − · op 178275476767 · NUNCA almacén · resumen oficial cuenta MP 1–30 sep 2026</t>
        </is>
      </c>
    </row>
    <row r="152">
      <c r="A152" s="52" t="n">
        <v>46282</v>
      </c>
      <c r="B152" t="inlineStr">
        <is>
          <t>Septiembre</t>
        </is>
      </c>
      <c r="C152" t="inlineStr">
        <is>
          <t>Reserva automática</t>
        </is>
      </c>
      <c r="D152" t="inlineStr">
        <is>
          <t>Susi</t>
        </is>
      </c>
      <c r="E152" t="n">
        <v>3000</v>
      </c>
      <c r="F152" t="inlineStr">
        <is>
          <t>ARS</t>
        </is>
      </c>
      <c r="G152" t="inlineStr">
        <is>
          <t>Mercado Pago</t>
        </is>
      </c>
      <c r="H152" t="inlineStr">
        <is>
          <t>Reserva automática · − · op 178526326783 · NUNCA almacén · resumen oficial cuenta MP 1–30 sep 2026</t>
        </is>
      </c>
    </row>
    <row r="153">
      <c r="A153" s="52" t="n">
        <v>46282</v>
      </c>
      <c r="B153" t="inlineStr">
        <is>
          <t>Septiembre</t>
        </is>
      </c>
      <c r="C153" t="inlineStr">
        <is>
          <t>Reserva automática</t>
        </is>
      </c>
      <c r="D153" t="inlineStr">
        <is>
          <t>AVA</t>
        </is>
      </c>
      <c r="E153" t="n">
        <v>500</v>
      </c>
      <c r="F153" t="inlineStr">
        <is>
          <t>ARS</t>
        </is>
      </c>
      <c r="G153" t="inlineStr">
        <is>
          <t>Mercado Pago</t>
        </is>
      </c>
      <c r="H153" t="inlineStr">
        <is>
          <t>Reserva automática · − · op 178526532391 · NUNCA almacén · resumen oficial cuenta MP 1–30 sep 2026</t>
        </is>
      </c>
    </row>
    <row r="154">
      <c r="A154" s="52" t="n">
        <v>46282</v>
      </c>
      <c r="B154" t="inlineStr">
        <is>
          <t>Septiembre</t>
        </is>
      </c>
      <c r="C154" t="inlineStr">
        <is>
          <t>Dinero retirado</t>
        </is>
      </c>
      <c r="D154" t="inlineStr">
        <is>
          <t>Tarjeta MELI</t>
        </is>
      </c>
      <c r="E154" t="n">
        <v>200000</v>
      </c>
      <c r="F154" t="inlineStr">
        <is>
          <t>ARS</t>
        </is>
      </c>
      <c r="G154" t="inlineStr">
        <is>
          <t>Mercado Pago</t>
        </is>
      </c>
      <c r="H154" t="inlineStr">
        <is>
          <t>Dinero retirado · + · op 179532656112 · resumen oficial cuenta MP 1–30 sep 2026</t>
        </is>
      </c>
    </row>
    <row r="155">
      <c r="A155" s="52" t="n">
        <v>46282</v>
      </c>
      <c r="B155" t="inlineStr">
        <is>
          <t>Septiembre</t>
        </is>
      </c>
      <c r="C155" t="inlineStr">
        <is>
          <t>Dinero retirado</t>
        </is>
      </c>
      <c r="D155" t="inlineStr">
        <is>
          <t>Tarjeta MELI</t>
        </is>
      </c>
      <c r="E155" t="n">
        <v>2000000</v>
      </c>
      <c r="F155" t="inlineStr">
        <is>
          <t>ARS</t>
        </is>
      </c>
      <c r="G155" t="inlineStr">
        <is>
          <t>Mercado Pago</t>
        </is>
      </c>
      <c r="H155" t="inlineStr">
        <is>
          <t>Dinero retirado · + · op 178598781291 · resumen oficial cuenta MP 1–30 sep 2026</t>
        </is>
      </c>
    </row>
    <row r="156">
      <c r="A156" s="52" t="n">
        <v>46283</v>
      </c>
      <c r="B156" t="inlineStr">
        <is>
          <t>Septiembre</t>
        </is>
      </c>
      <c r="C156" t="inlineStr">
        <is>
          <t>Reserva automática</t>
        </is>
      </c>
      <c r="D156" t="inlineStr">
        <is>
          <t>Susi</t>
        </is>
      </c>
      <c r="E156" t="n">
        <v>3000</v>
      </c>
      <c r="F156" t="inlineStr">
        <is>
          <t>ARS</t>
        </is>
      </c>
      <c r="G156" t="inlineStr">
        <is>
          <t>Mercado Pago</t>
        </is>
      </c>
      <c r="H156" t="inlineStr">
        <is>
          <t>Reserva automática · − · op 178722971971 · NUNCA almacén · resumen oficial cuenta MP 1–30 sep 2026</t>
        </is>
      </c>
    </row>
    <row r="157">
      <c r="A157" s="52" t="n">
        <v>46283</v>
      </c>
      <c r="B157" t="inlineStr">
        <is>
          <t>Septiembre</t>
        </is>
      </c>
      <c r="C157" t="inlineStr">
        <is>
          <t>Reserva automática</t>
        </is>
      </c>
      <c r="D157" t="inlineStr">
        <is>
          <t>AVA</t>
        </is>
      </c>
      <c r="E157" t="n">
        <v>500</v>
      </c>
      <c r="F157" t="inlineStr">
        <is>
          <t>ARS</t>
        </is>
      </c>
      <c r="G157" t="inlineStr">
        <is>
          <t>Mercado Pago</t>
        </is>
      </c>
      <c r="H157" t="inlineStr">
        <is>
          <t>Reserva automática · − · op 178723263267 · NUNCA almacén · resumen oficial cuenta MP 1–30 sep 2026</t>
        </is>
      </c>
    </row>
    <row r="158">
      <c r="A158" s="52" t="n">
        <v>46284</v>
      </c>
      <c r="B158" t="inlineStr">
        <is>
          <t>Septiembre</t>
        </is>
      </c>
      <c r="C158" t="inlineStr">
        <is>
          <t>Reserva automática</t>
        </is>
      </c>
      <c r="D158" t="inlineStr">
        <is>
          <t>AVA</t>
        </is>
      </c>
      <c r="E158" t="n">
        <v>500</v>
      </c>
      <c r="F158" t="inlineStr">
        <is>
          <t>ARS</t>
        </is>
      </c>
      <c r="G158" t="inlineStr">
        <is>
          <t>Mercado Pago</t>
        </is>
      </c>
      <c r="H158" t="inlineStr">
        <is>
          <t>Reserva automática · − · op 179869153172 · NUNCA almacén · resumen oficial cuenta MP 1–30 sep 2026</t>
        </is>
      </c>
    </row>
    <row r="159">
      <c r="A159" s="52" t="n">
        <v>46284</v>
      </c>
      <c r="B159" t="inlineStr">
        <is>
          <t>Septiembre</t>
        </is>
      </c>
      <c r="C159" t="inlineStr">
        <is>
          <t>Dinero retirado</t>
        </is>
      </c>
      <c r="D159" t="inlineStr">
        <is>
          <t>Susi</t>
        </is>
      </c>
      <c r="E159" t="n">
        <v>140000</v>
      </c>
      <c r="F159" t="inlineStr">
        <is>
          <t>ARS</t>
        </is>
      </c>
      <c r="G159" t="inlineStr">
        <is>
          <t>Mercado Pago</t>
        </is>
      </c>
      <c r="H159" t="inlineStr">
        <is>
          <t>Dinero retirado · + · op 178958372559 · resumen oficial cuenta MP 1–30 sep 2026</t>
        </is>
      </c>
    </row>
    <row r="160">
      <c r="A160" s="52" t="n">
        <v>46286</v>
      </c>
      <c r="B160" t="inlineStr">
        <is>
          <t>Septiembre</t>
        </is>
      </c>
      <c r="C160" t="inlineStr">
        <is>
          <t>Dinero retirado</t>
        </is>
      </c>
      <c r="D160" t="inlineStr">
        <is>
          <t>Susi</t>
        </is>
      </c>
      <c r="E160" t="n">
        <v>30000</v>
      </c>
      <c r="F160" t="inlineStr">
        <is>
          <t>ARS</t>
        </is>
      </c>
      <c r="G160" t="inlineStr">
        <is>
          <t>Mercado Pago</t>
        </is>
      </c>
      <c r="H160" t="inlineStr">
        <is>
          <t>Dinero retirado · + · op 179116959345 · resumen oficial cuenta MP 1–30 sep 2026</t>
        </is>
      </c>
    </row>
    <row r="161">
      <c r="A161" s="52" t="n">
        <v>46286</v>
      </c>
      <c r="B161" t="inlineStr">
        <is>
          <t>Septiembre</t>
        </is>
      </c>
      <c r="C161" t="inlineStr">
        <is>
          <t>Reserva automática</t>
        </is>
      </c>
      <c r="D161" t="inlineStr">
        <is>
          <t>Susi</t>
        </is>
      </c>
      <c r="E161" t="n">
        <v>3000</v>
      </c>
      <c r="F161" t="inlineStr">
        <is>
          <t>ARS</t>
        </is>
      </c>
      <c r="G161" t="inlineStr">
        <is>
          <t>Mercado Pago</t>
        </is>
      </c>
      <c r="H161" t="inlineStr">
        <is>
          <t>Reserva automática · − · op 180197111410 · NUNCA almacén · resumen oficial cuenta MP 1–30 sep 2026</t>
        </is>
      </c>
    </row>
    <row r="162">
      <c r="A162" s="52" t="n">
        <v>46286</v>
      </c>
      <c r="B162" t="inlineStr">
        <is>
          <t>Septiembre</t>
        </is>
      </c>
      <c r="C162" t="inlineStr">
        <is>
          <t>Reserva automática</t>
        </is>
      </c>
      <c r="D162" t="inlineStr">
        <is>
          <t>AVA</t>
        </is>
      </c>
      <c r="E162" t="n">
        <v>500</v>
      </c>
      <c r="F162" t="inlineStr">
        <is>
          <t>ARS</t>
        </is>
      </c>
      <c r="G162" t="inlineStr">
        <is>
          <t>Mercado Pago</t>
        </is>
      </c>
      <c r="H162" t="inlineStr">
        <is>
          <t>Reserva automática · − · op 180196975634 · NUNCA almacén · resumen oficial cuenta MP 1–30 sep 2026</t>
        </is>
      </c>
    </row>
    <row r="163">
      <c r="A163" s="52" t="n">
        <v>46287</v>
      </c>
      <c r="B163" t="inlineStr">
        <is>
          <t>Septiembre</t>
        </is>
      </c>
      <c r="C163" t="inlineStr">
        <is>
          <t>Reserva automática</t>
        </is>
      </c>
      <c r="D163" t="inlineStr">
        <is>
          <t>Susi</t>
        </is>
      </c>
      <c r="E163" t="n">
        <v>3000</v>
      </c>
      <c r="F163" t="inlineStr">
        <is>
          <t>ARS</t>
        </is>
      </c>
      <c r="G163" t="inlineStr">
        <is>
          <t>Mercado Pago</t>
        </is>
      </c>
      <c r="H163" t="inlineStr">
        <is>
          <t>Reserva automática · − · op 180324332334 · NUNCA almacén · resumen oficial cuenta MP 1–30 sep 2026</t>
        </is>
      </c>
    </row>
    <row r="164">
      <c r="A164" s="52" t="n">
        <v>46287</v>
      </c>
      <c r="B164" t="inlineStr">
        <is>
          <t>Septiembre</t>
        </is>
      </c>
      <c r="C164" t="inlineStr">
        <is>
          <t>Reserva automática</t>
        </is>
      </c>
      <c r="D164" t="inlineStr">
        <is>
          <t>AVA</t>
        </is>
      </c>
      <c r="E164" t="n">
        <v>500</v>
      </c>
      <c r="F164" t="inlineStr">
        <is>
          <t>ARS</t>
        </is>
      </c>
      <c r="G164" t="inlineStr">
        <is>
          <t>Mercado Pago</t>
        </is>
      </c>
      <c r="H164" t="inlineStr">
        <is>
          <t>Reserva automática · − · op 180323439910 · NUNCA almacén · resumen oficial cuenta MP 1–30 sep 2026</t>
        </is>
      </c>
    </row>
    <row r="165">
      <c r="A165" s="52" t="n">
        <v>46287</v>
      </c>
      <c r="B165" t="inlineStr">
        <is>
          <t>Septiembre</t>
        </is>
      </c>
      <c r="C165" t="inlineStr">
        <is>
          <t>Reserva automática</t>
        </is>
      </c>
      <c r="D165" t="inlineStr">
        <is>
          <t>Susi</t>
        </is>
      </c>
      <c r="E165" t="n">
        <v>3000</v>
      </c>
      <c r="F165" t="inlineStr">
        <is>
          <t>ARS</t>
        </is>
      </c>
      <c r="G165" t="inlineStr">
        <is>
          <t>Mercado Pago</t>
        </is>
      </c>
      <c r="H165" t="inlineStr">
        <is>
          <t>Reserva automática · − · op 179402404563 · NUNCA almacén · resumen oficial cuenta MP 1–30 sep 2026</t>
        </is>
      </c>
    </row>
    <row r="166">
      <c r="A166" s="52" t="n">
        <v>46287</v>
      </c>
      <c r="B166" t="inlineStr">
        <is>
          <t>Septiembre</t>
        </is>
      </c>
      <c r="C166" t="inlineStr">
        <is>
          <t>Reserva automática</t>
        </is>
      </c>
      <c r="D166" t="inlineStr">
        <is>
          <t>AVA</t>
        </is>
      </c>
      <c r="E166" t="n">
        <v>500</v>
      </c>
      <c r="F166" t="inlineStr">
        <is>
          <t>ARS</t>
        </is>
      </c>
      <c r="G166" t="inlineStr">
        <is>
          <t>Mercado Pago</t>
        </is>
      </c>
      <c r="H166" t="inlineStr">
        <is>
          <t>Reserva automática · − · op 180394592646 · NUNCA almacén · resumen oficial cuenta MP 1–30 sep 2026</t>
        </is>
      </c>
    </row>
    <row r="167">
      <c r="A167" s="52" t="n">
        <v>46288</v>
      </c>
      <c r="B167" t="inlineStr">
        <is>
          <t>Septiembre</t>
        </is>
      </c>
      <c r="C167" t="inlineStr">
        <is>
          <t>Dinero retirado</t>
        </is>
      </c>
      <c r="D167" t="inlineStr">
        <is>
          <t>Susi</t>
        </is>
      </c>
      <c r="E167" t="n">
        <v>150000</v>
      </c>
      <c r="F167" t="inlineStr">
        <is>
          <t>ARS</t>
        </is>
      </c>
      <c r="G167" t="inlineStr">
        <is>
          <t>Mercado Pago</t>
        </is>
      </c>
      <c r="H167" t="inlineStr">
        <is>
          <t>Dinero retirado · + · op 180454236768 · resumen oficial cuenta MP 1–30 sep 2026</t>
        </is>
      </c>
    </row>
    <row r="168">
      <c r="A168" s="52" t="n">
        <v>46288</v>
      </c>
      <c r="B168" t="inlineStr">
        <is>
          <t>Septiembre</t>
        </is>
      </c>
      <c r="C168" t="inlineStr">
        <is>
          <t>Reserva automática</t>
        </is>
      </c>
      <c r="D168" t="inlineStr">
        <is>
          <t>Susi</t>
        </is>
      </c>
      <c r="E168" t="n">
        <v>3000</v>
      </c>
      <c r="F168" t="inlineStr">
        <is>
          <t>ARS</t>
        </is>
      </c>
      <c r="G168" t="inlineStr">
        <is>
          <t>Mercado Pago</t>
        </is>
      </c>
      <c r="H168" t="inlineStr">
        <is>
          <t>Reserva automática · − · op 179479866227 · NUNCA almacén · resumen oficial cuenta MP 1–30 sep 2026</t>
        </is>
      </c>
    </row>
    <row r="169">
      <c r="A169" s="52" t="n">
        <v>46288</v>
      </c>
      <c r="B169" t="inlineStr">
        <is>
          <t>Septiembre</t>
        </is>
      </c>
      <c r="C169" t="inlineStr">
        <is>
          <t>Reserva automática</t>
        </is>
      </c>
      <c r="D169" t="inlineStr">
        <is>
          <t>AVA</t>
        </is>
      </c>
      <c r="E169" t="n">
        <v>500</v>
      </c>
      <c r="F169" t="inlineStr">
        <is>
          <t>ARS</t>
        </is>
      </c>
      <c r="G169" t="inlineStr">
        <is>
          <t>Mercado Pago</t>
        </is>
      </c>
      <c r="H169" t="inlineStr">
        <is>
          <t>Reserva automática · − · op 180473066748 · NUNCA almacén · resumen oficial cuenta MP 1–30 sep 2026</t>
        </is>
      </c>
    </row>
    <row r="170">
      <c r="A170" s="52" t="n">
        <v>46288</v>
      </c>
      <c r="B170" t="inlineStr">
        <is>
          <t>Septiembre</t>
        </is>
      </c>
      <c r="C170" t="inlineStr">
        <is>
          <t>Reserva automática</t>
        </is>
      </c>
      <c r="D170" t="inlineStr">
        <is>
          <t>AVA</t>
        </is>
      </c>
      <c r="E170" t="n">
        <v>500</v>
      </c>
      <c r="F170" t="inlineStr">
        <is>
          <t>ARS</t>
        </is>
      </c>
      <c r="G170" t="inlineStr">
        <is>
          <t>Mercado Pago</t>
        </is>
      </c>
      <c r="H170" t="inlineStr">
        <is>
          <t>Reserva automática · − · op 180499636292 · NUNCA almacén · resumen oficial cuenta MP 1–30 sep 2026</t>
        </is>
      </c>
    </row>
    <row r="171">
      <c r="A171" s="52" t="n">
        <v>46288</v>
      </c>
      <c r="B171" t="inlineStr">
        <is>
          <t>Septiembre</t>
        </is>
      </c>
      <c r="C171" t="inlineStr">
        <is>
          <t>Reserva automática</t>
        </is>
      </c>
      <c r="D171" t="inlineStr">
        <is>
          <t>Susi</t>
        </is>
      </c>
      <c r="E171" t="n">
        <v>3000</v>
      </c>
      <c r="F171" t="inlineStr">
        <is>
          <t>ARS</t>
        </is>
      </c>
      <c r="G171" t="inlineStr">
        <is>
          <t>Mercado Pago</t>
        </is>
      </c>
      <c r="H171" t="inlineStr">
        <is>
          <t>Reserva automática · − · op 179505160083 · NUNCA almacén · resumen oficial cuenta MP 1–30 sep 2026</t>
        </is>
      </c>
    </row>
    <row r="172">
      <c r="A172" s="52" t="n">
        <v>46288</v>
      </c>
      <c r="B172" t="inlineStr">
        <is>
          <t>Septiembre</t>
        </is>
      </c>
      <c r="C172" t="inlineStr">
        <is>
          <t>Dinero retirado</t>
        </is>
      </c>
      <c r="D172" t="inlineStr">
        <is>
          <t>Susi</t>
        </is>
      </c>
      <c r="E172" t="n">
        <v>289299</v>
      </c>
      <c r="F172" t="inlineStr">
        <is>
          <t>ARS</t>
        </is>
      </c>
      <c r="G172" t="inlineStr">
        <is>
          <t>Mercado Pago</t>
        </is>
      </c>
      <c r="H172" t="inlineStr">
        <is>
          <t>Dinero retirado · + · op 179515527277 · resumen oficial cuenta MP 1–30 sep 2026</t>
        </is>
      </c>
    </row>
    <row r="173">
      <c r="A173" s="52" t="n">
        <v>46288</v>
      </c>
      <c r="B173" t="inlineStr">
        <is>
          <t>Septiembre</t>
        </is>
      </c>
      <c r="C173" t="inlineStr">
        <is>
          <t>Reserva automática</t>
        </is>
      </c>
      <c r="D173" t="inlineStr">
        <is>
          <t>Susi</t>
        </is>
      </c>
      <c r="E173" t="n">
        <v>3000</v>
      </c>
      <c r="F173" t="inlineStr">
        <is>
          <t>ARS</t>
        </is>
      </c>
      <c r="G173" t="inlineStr">
        <is>
          <t>Mercado Pago</t>
        </is>
      </c>
      <c r="H173" t="inlineStr">
        <is>
          <t>Reserva automática · − · op 180509287726 · NUNCA almacén · resumen oficial cuenta MP 1–30 sep 2026</t>
        </is>
      </c>
    </row>
    <row r="174">
      <c r="A174" s="52" t="n">
        <v>46288</v>
      </c>
      <c r="B174" t="inlineStr">
        <is>
          <t>Septiembre</t>
        </is>
      </c>
      <c r="C174" t="inlineStr">
        <is>
          <t>Reserva automática</t>
        </is>
      </c>
      <c r="D174" t="inlineStr">
        <is>
          <t>AVA</t>
        </is>
      </c>
      <c r="E174" t="n">
        <v>500</v>
      </c>
      <c r="F174" t="inlineStr">
        <is>
          <t>ARS</t>
        </is>
      </c>
      <c r="G174" t="inlineStr">
        <is>
          <t>Mercado Pago</t>
        </is>
      </c>
      <c r="H174" t="inlineStr">
        <is>
          <t>Reserva automática · − · op 180509211884 · NUNCA almacén · resumen oficial cuenta MP 1–30 sep 2026</t>
        </is>
      </c>
    </row>
    <row r="175">
      <c r="A175" s="52" t="n">
        <v>46288</v>
      </c>
      <c r="B175" t="inlineStr">
        <is>
          <t>Septiembre</t>
        </is>
      </c>
      <c r="C175" t="inlineStr">
        <is>
          <t>Reserva automática</t>
        </is>
      </c>
      <c r="D175" t="inlineStr">
        <is>
          <t>Susi</t>
        </is>
      </c>
      <c r="E175" t="n">
        <v>3000</v>
      </c>
      <c r="F175" t="inlineStr">
        <is>
          <t>ARS</t>
        </is>
      </c>
      <c r="G175" t="inlineStr">
        <is>
          <t>Mercado Pago</t>
        </is>
      </c>
      <c r="H175" t="inlineStr">
        <is>
          <t>Reserva automática · − · op 180517687840 · NUNCA almacén · resumen oficial cuenta MP 1–30 sep 2026</t>
        </is>
      </c>
    </row>
    <row r="176">
      <c r="A176" s="52" t="n">
        <v>46288</v>
      </c>
      <c r="B176" t="inlineStr">
        <is>
          <t>Septiembre</t>
        </is>
      </c>
      <c r="C176" t="inlineStr">
        <is>
          <t>Reserva automática</t>
        </is>
      </c>
      <c r="D176" t="inlineStr">
        <is>
          <t>AVA</t>
        </is>
      </c>
      <c r="E176" t="n">
        <v>500</v>
      </c>
      <c r="F176" t="inlineStr">
        <is>
          <t>ARS</t>
        </is>
      </c>
      <c r="G176" t="inlineStr">
        <is>
          <t>Mercado Pago</t>
        </is>
      </c>
      <c r="H176" t="inlineStr">
        <is>
          <t>Reserva automática · − · op 179524053893 · NUNCA almacén · resumen oficial cuenta MP 1–30 sep 2026</t>
        </is>
      </c>
    </row>
    <row r="177">
      <c r="A177" s="52" t="n">
        <v>46288</v>
      </c>
      <c r="B177" t="inlineStr">
        <is>
          <t>Septiembre</t>
        </is>
      </c>
      <c r="C177" t="inlineStr">
        <is>
          <t>Reserva automática</t>
        </is>
      </c>
      <c r="D177" t="inlineStr">
        <is>
          <t>Susi</t>
        </is>
      </c>
      <c r="E177" t="n">
        <v>3000</v>
      </c>
      <c r="F177" t="inlineStr">
        <is>
          <t>ARS</t>
        </is>
      </c>
      <c r="G177" t="inlineStr">
        <is>
          <t>Mercado Pago</t>
        </is>
      </c>
      <c r="H177" t="inlineStr">
        <is>
          <t>Reserva automática · − · op 179554392883 · NUNCA almacén · resumen oficial cuenta MP 1–30 sep 2026</t>
        </is>
      </c>
    </row>
    <row r="178">
      <c r="A178" s="52" t="n">
        <v>46288</v>
      </c>
      <c r="B178" t="inlineStr">
        <is>
          <t>Septiembre</t>
        </is>
      </c>
      <c r="C178" t="inlineStr">
        <is>
          <t>Reserva automática</t>
        </is>
      </c>
      <c r="D178" t="inlineStr">
        <is>
          <t>AVA</t>
        </is>
      </c>
      <c r="E178" t="n">
        <v>500</v>
      </c>
      <c r="F178" t="inlineStr">
        <is>
          <t>ARS</t>
        </is>
      </c>
      <c r="G178" t="inlineStr">
        <is>
          <t>Mercado Pago</t>
        </is>
      </c>
      <c r="H178" t="inlineStr">
        <is>
          <t>Reserva automática · − · op 179554349053 · NUNCA almacén · resumen oficial cuenta MP 1–30 sep 2026</t>
        </is>
      </c>
    </row>
    <row r="179">
      <c r="A179" s="52" t="n">
        <v>46290</v>
      </c>
      <c r="B179" t="inlineStr">
        <is>
          <t>Septiembre</t>
        </is>
      </c>
      <c r="C179" t="inlineStr">
        <is>
          <t>Reserva automática</t>
        </is>
      </c>
      <c r="D179" t="inlineStr">
        <is>
          <t>Susi</t>
        </is>
      </c>
      <c r="E179" t="n">
        <v>3000</v>
      </c>
      <c r="F179" t="inlineStr">
        <is>
          <t>ARS</t>
        </is>
      </c>
      <c r="G179" t="inlineStr">
        <is>
          <t>Mercado Pago</t>
        </is>
      </c>
      <c r="H179" t="inlineStr">
        <is>
          <t>Reserva automática · − · op 179858414151 · NUNCA almacén · resumen oficial cuenta MP 1–30 sep 2026</t>
        </is>
      </c>
    </row>
    <row r="180">
      <c r="A180" s="52" t="n">
        <v>46290</v>
      </c>
      <c r="B180" t="inlineStr">
        <is>
          <t>Septiembre</t>
        </is>
      </c>
      <c r="C180" t="inlineStr">
        <is>
          <t>Reserva automática</t>
        </is>
      </c>
      <c r="D180" t="inlineStr">
        <is>
          <t>AVA</t>
        </is>
      </c>
      <c r="E180" t="n">
        <v>500</v>
      </c>
      <c r="F180" t="inlineStr">
        <is>
          <t>ARS</t>
        </is>
      </c>
      <c r="G180" t="inlineStr">
        <is>
          <t>Mercado Pago</t>
        </is>
      </c>
      <c r="H180" t="inlineStr">
        <is>
          <t>Reserva automática · − · op 180854903344 · NUNCA almacén · resumen oficial cuenta MP 1–30 sep 2026</t>
        </is>
      </c>
    </row>
    <row r="181">
      <c r="A181" s="52" t="n">
        <v>46290</v>
      </c>
      <c r="B181" t="inlineStr">
        <is>
          <t>Septiembre</t>
        </is>
      </c>
      <c r="C181" t="inlineStr">
        <is>
          <t>Reserva automática</t>
        </is>
      </c>
      <c r="D181" t="inlineStr">
        <is>
          <t>Susi</t>
        </is>
      </c>
      <c r="E181" t="n">
        <v>3000</v>
      </c>
      <c r="F181" t="inlineStr">
        <is>
          <t>ARS</t>
        </is>
      </c>
      <c r="G181" t="inlineStr">
        <is>
          <t>Mercado Pago</t>
        </is>
      </c>
      <c r="H181" t="inlineStr">
        <is>
          <t>Reserva automática · − · op 180883895316 · NUNCA almacén · resumen oficial cuenta MP 1–30 sep 2026</t>
        </is>
      </c>
    </row>
    <row r="182">
      <c r="A182" s="52" t="n">
        <v>46290</v>
      </c>
      <c r="B182" t="inlineStr">
        <is>
          <t>Septiembre</t>
        </is>
      </c>
      <c r="C182" t="inlineStr">
        <is>
          <t>Reserva automática</t>
        </is>
      </c>
      <c r="D182" t="inlineStr">
        <is>
          <t>AVA</t>
        </is>
      </c>
      <c r="E182" t="n">
        <v>500</v>
      </c>
      <c r="F182" t="inlineStr">
        <is>
          <t>ARS</t>
        </is>
      </c>
      <c r="G182" t="inlineStr">
        <is>
          <t>Mercado Pago</t>
        </is>
      </c>
      <c r="H182" t="inlineStr">
        <is>
          <t>Reserva automática · − · op 179887452105 · NUNCA almacén · resumen oficial cuenta MP 1–30 sep 2026</t>
        </is>
      </c>
    </row>
    <row r="183">
      <c r="A183" s="52" t="n">
        <v>46290</v>
      </c>
      <c r="B183" t="inlineStr">
        <is>
          <t>Septiembre</t>
        </is>
      </c>
      <c r="C183" t="inlineStr">
        <is>
          <t>Reserva automática</t>
        </is>
      </c>
      <c r="D183" t="inlineStr">
        <is>
          <t>Susi</t>
        </is>
      </c>
      <c r="E183" t="n">
        <v>3000</v>
      </c>
      <c r="F183" t="inlineStr">
        <is>
          <t>ARS</t>
        </is>
      </c>
      <c r="G183" t="inlineStr">
        <is>
          <t>Mercado Pago</t>
        </is>
      </c>
      <c r="H183" t="inlineStr">
        <is>
          <t>Reserva automática · − · op 179893871239 · NUNCA almacén · resumen oficial cuenta MP 1–30 sep 2026</t>
        </is>
      </c>
    </row>
    <row r="184">
      <c r="A184" s="52" t="n">
        <v>46290</v>
      </c>
      <c r="B184" t="inlineStr">
        <is>
          <t>Septiembre</t>
        </is>
      </c>
      <c r="C184" t="inlineStr">
        <is>
          <t>Reserva automática</t>
        </is>
      </c>
      <c r="D184" t="inlineStr">
        <is>
          <t>AVA</t>
        </is>
      </c>
      <c r="E184" t="n">
        <v>500</v>
      </c>
      <c r="F184" t="inlineStr">
        <is>
          <t>ARS</t>
        </is>
      </c>
      <c r="G184" t="inlineStr">
        <is>
          <t>Mercado Pago</t>
        </is>
      </c>
      <c r="H184" t="inlineStr">
        <is>
          <t>Reserva automática · − · op 180890813500 · NUNCA almacén · resumen oficial cuenta MP 1–30 sep 2026</t>
        </is>
      </c>
    </row>
    <row r="185">
      <c r="A185" s="52" t="n">
        <v>46290</v>
      </c>
      <c r="B185" t="inlineStr">
        <is>
          <t>Septiembre</t>
        </is>
      </c>
      <c r="C185" t="inlineStr">
        <is>
          <t>Dinero retirado</t>
        </is>
      </c>
      <c r="D185" t="inlineStr">
        <is>
          <t>Tarjeta MELI</t>
        </is>
      </c>
      <c r="E185" t="n">
        <v>1811722</v>
      </c>
      <c r="F185" t="inlineStr">
        <is>
          <t>ARS</t>
        </is>
      </c>
      <c r="G185" t="inlineStr">
        <is>
          <t>Mercado Pago</t>
        </is>
      </c>
      <c r="H185" t="inlineStr">
        <is>
          <t>Dinero retirado · + · op 179934162641 · resumen oficial cuenta MP 1–30 sep 2026</t>
        </is>
      </c>
    </row>
    <row r="186">
      <c r="A186" s="52" t="n">
        <v>46290</v>
      </c>
      <c r="B186" t="inlineStr">
        <is>
          <t>Septiembre</t>
        </is>
      </c>
      <c r="C186" t="inlineStr">
        <is>
          <t>Reserva automática</t>
        </is>
      </c>
      <c r="D186" t="inlineStr">
        <is>
          <t>Susi</t>
        </is>
      </c>
      <c r="E186" t="n">
        <v>3000</v>
      </c>
      <c r="F186" t="inlineStr">
        <is>
          <t>ARS</t>
        </is>
      </c>
      <c r="G186" t="inlineStr">
        <is>
          <t>Mercado Pago</t>
        </is>
      </c>
      <c r="H186" t="inlineStr">
        <is>
          <t>Reserva automática · − · op 179933511791 · NUNCA almacén · resumen oficial cuenta MP 1–30 sep 2026</t>
        </is>
      </c>
    </row>
    <row r="187">
      <c r="A187" s="52" t="n">
        <v>46290</v>
      </c>
      <c r="B187" t="inlineStr">
        <is>
          <t>Septiembre</t>
        </is>
      </c>
      <c r="C187" t="inlineStr">
        <is>
          <t>Reserva automática</t>
        </is>
      </c>
      <c r="D187" t="inlineStr">
        <is>
          <t>AVA</t>
        </is>
      </c>
      <c r="E187" t="n">
        <v>500</v>
      </c>
      <c r="F187" t="inlineStr">
        <is>
          <t>ARS</t>
        </is>
      </c>
      <c r="G187" t="inlineStr">
        <is>
          <t>Mercado Pago</t>
        </is>
      </c>
      <c r="H187" t="inlineStr">
        <is>
          <t>Reserva automática · − · op 179934418277 · NUNCA almacén · resumen oficial cuenta MP 1–30 sep 2026</t>
        </is>
      </c>
    </row>
    <row r="188">
      <c r="A188" s="52" t="n">
        <v>46290</v>
      </c>
      <c r="B188" t="inlineStr">
        <is>
          <t>Septiembre</t>
        </is>
      </c>
      <c r="C188" t="inlineStr">
        <is>
          <t>Reserva automática</t>
        </is>
      </c>
      <c r="D188" t="inlineStr">
        <is>
          <t>AVA</t>
        </is>
      </c>
      <c r="E188" t="n">
        <v>500</v>
      </c>
      <c r="F188" t="inlineStr">
        <is>
          <t>ARS</t>
        </is>
      </c>
      <c r="G188" t="inlineStr">
        <is>
          <t>Mercado Pago</t>
        </is>
      </c>
      <c r="H188" t="inlineStr">
        <is>
          <t>Reserva automática · − · op 180931900416 · NUNCA almacén · resumen oficial cuenta MP 1–30 sep 2026</t>
        </is>
      </c>
    </row>
    <row r="189">
      <c r="A189" s="52" t="n">
        <v>46290</v>
      </c>
      <c r="B189" t="inlineStr">
        <is>
          <t>Septiembre</t>
        </is>
      </c>
      <c r="C189" t="inlineStr">
        <is>
          <t>Reserva automática</t>
        </is>
      </c>
      <c r="D189" t="inlineStr">
        <is>
          <t>Susi</t>
        </is>
      </c>
      <c r="E189" t="n">
        <v>3000</v>
      </c>
      <c r="F189" t="inlineStr">
        <is>
          <t>ARS</t>
        </is>
      </c>
      <c r="G189" t="inlineStr">
        <is>
          <t>Mercado Pago</t>
        </is>
      </c>
      <c r="H189" t="inlineStr">
        <is>
          <t>Reserva automática · − · op 179934720203 · NUNCA almacén · resumen oficial cuenta MP 1–30 sep 2026</t>
        </is>
      </c>
    </row>
    <row r="190">
      <c r="A190" s="52" t="n">
        <v>46290</v>
      </c>
      <c r="B190" t="inlineStr">
        <is>
          <t>Septiembre</t>
        </is>
      </c>
      <c r="C190" t="inlineStr">
        <is>
          <t>Reserva automática</t>
        </is>
      </c>
      <c r="D190" t="inlineStr">
        <is>
          <t>Susi</t>
        </is>
      </c>
      <c r="E190" t="n">
        <v>3000</v>
      </c>
      <c r="F190" t="inlineStr">
        <is>
          <t>ARS</t>
        </is>
      </c>
      <c r="G190" t="inlineStr">
        <is>
          <t>Mercado Pago</t>
        </is>
      </c>
      <c r="H190" t="inlineStr">
        <is>
          <t>Reserva automática · − · op 180932134430 · NUNCA almacén · resumen oficial cuenta MP 1–30 sep 2026</t>
        </is>
      </c>
    </row>
    <row r="191">
      <c r="A191" s="52" t="n">
        <v>46290</v>
      </c>
      <c r="B191" t="inlineStr">
        <is>
          <t>Septiembre</t>
        </is>
      </c>
      <c r="C191" t="inlineStr">
        <is>
          <t>Reserva automática</t>
        </is>
      </c>
      <c r="D191" t="inlineStr">
        <is>
          <t>AVA</t>
        </is>
      </c>
      <c r="E191" t="n">
        <v>500</v>
      </c>
      <c r="F191" t="inlineStr">
        <is>
          <t>ARS</t>
        </is>
      </c>
      <c r="G191" t="inlineStr">
        <is>
          <t>Mercado Pago</t>
        </is>
      </c>
      <c r="H191" t="inlineStr">
        <is>
          <t>Reserva automática · − · op 179933877881 · NUNCA almacén · resumen oficial cuenta MP 1–30 sep 2026</t>
        </is>
      </c>
    </row>
    <row r="192">
      <c r="A192" s="52" t="n">
        <v>46292</v>
      </c>
      <c r="B192" t="inlineStr">
        <is>
          <t>Septiembre</t>
        </is>
      </c>
      <c r="C192" t="inlineStr">
        <is>
          <t>Reserva automática</t>
        </is>
      </c>
      <c r="D192" t="inlineStr">
        <is>
          <t>Susi</t>
        </is>
      </c>
      <c r="E192" t="n">
        <v>3000</v>
      </c>
      <c r="F192" t="inlineStr">
        <is>
          <t>ARS</t>
        </is>
      </c>
      <c r="G192" t="inlineStr">
        <is>
          <t>Mercado Pago</t>
        </is>
      </c>
      <c r="H192" t="inlineStr">
        <is>
          <t>Reserva automática · − · op 180185848583 · NUNCA almacén · resumen oficial cuenta MP 1–30 sep 2026</t>
        </is>
      </c>
    </row>
    <row r="193">
      <c r="A193" s="52" t="n">
        <v>46292</v>
      </c>
      <c r="B193" t="inlineStr">
        <is>
          <t>Septiembre</t>
        </is>
      </c>
      <c r="C193" t="inlineStr">
        <is>
          <t>Reserva automática</t>
        </is>
      </c>
      <c r="D193" t="inlineStr">
        <is>
          <t>AVA</t>
        </is>
      </c>
      <c r="E193" t="n">
        <v>500</v>
      </c>
      <c r="F193" t="inlineStr">
        <is>
          <t>ARS</t>
        </is>
      </c>
      <c r="G193" t="inlineStr">
        <is>
          <t>Mercado Pago</t>
        </is>
      </c>
      <c r="H193" t="inlineStr">
        <is>
          <t>Reserva automática · − · op 181184852708 · NUNCA almacén · resumen oficial cuenta MP 1–30 sep 2026</t>
        </is>
      </c>
    </row>
    <row r="194">
      <c r="A194" s="52" t="n">
        <v>46292</v>
      </c>
      <c r="B194" t="inlineStr">
        <is>
          <t>Septiembre</t>
        </is>
      </c>
      <c r="C194" t="inlineStr">
        <is>
          <t>Reserva automática</t>
        </is>
      </c>
      <c r="D194" t="inlineStr">
        <is>
          <t>Expensas</t>
        </is>
      </c>
      <c r="E194" t="n">
        <v>1000</v>
      </c>
      <c r="F194" t="inlineStr">
        <is>
          <t>ARS</t>
        </is>
      </c>
      <c r="G194" t="inlineStr">
        <is>
          <t>Mercado Pago</t>
        </is>
      </c>
      <c r="H194" t="inlineStr">
        <is>
          <t>Reserva automática · − · op 181184361728 · NUNCA almacén · resumen oficial cuenta MP 1–30 sep 2026</t>
        </is>
      </c>
    </row>
    <row r="195">
      <c r="A195" s="52" t="n">
        <v>46292</v>
      </c>
      <c r="B195" t="inlineStr">
        <is>
          <t>Septiembre</t>
        </is>
      </c>
      <c r="C195" t="inlineStr">
        <is>
          <t>Reserva automática</t>
        </is>
      </c>
      <c r="D195" t="inlineStr">
        <is>
          <t>Susi</t>
        </is>
      </c>
      <c r="E195" t="n">
        <v>3000</v>
      </c>
      <c r="F195" t="inlineStr">
        <is>
          <t>ARS</t>
        </is>
      </c>
      <c r="G195" t="inlineStr">
        <is>
          <t>Mercado Pago</t>
        </is>
      </c>
      <c r="H195" t="inlineStr">
        <is>
          <t>Reserva automática · − · op 180214555407 · NUNCA almacén · resumen oficial cuenta MP 1–30 sep 2026</t>
        </is>
      </c>
    </row>
    <row r="196">
      <c r="A196" s="52" t="n">
        <v>46292</v>
      </c>
      <c r="B196" t="inlineStr">
        <is>
          <t>Septiembre</t>
        </is>
      </c>
      <c r="C196" t="inlineStr">
        <is>
          <t>Reserva automática</t>
        </is>
      </c>
      <c r="D196" t="inlineStr">
        <is>
          <t>AVA</t>
        </is>
      </c>
      <c r="E196" t="n">
        <v>500</v>
      </c>
      <c r="F196" t="inlineStr">
        <is>
          <t>ARS</t>
        </is>
      </c>
      <c r="G196" t="inlineStr">
        <is>
          <t>Mercado Pago</t>
        </is>
      </c>
      <c r="H196" t="inlineStr">
        <is>
          <t>Reserva automática · − · op 181213491760 · NUNCA almacén · resumen oficial cuenta MP 1–30 sep 2026</t>
        </is>
      </c>
    </row>
    <row r="197">
      <c r="A197" s="52" t="n">
        <v>46292</v>
      </c>
      <c r="B197" t="inlineStr">
        <is>
          <t>Septiembre</t>
        </is>
      </c>
      <c r="C197" t="inlineStr">
        <is>
          <t>Reserva automática</t>
        </is>
      </c>
      <c r="D197" t="inlineStr">
        <is>
          <t>Expensas</t>
        </is>
      </c>
      <c r="E197" t="n">
        <v>1000</v>
      </c>
      <c r="F197" t="inlineStr">
        <is>
          <t>ARS</t>
        </is>
      </c>
      <c r="G197" t="inlineStr">
        <is>
          <t>Mercado Pago</t>
        </is>
      </c>
      <c r="H197" t="inlineStr">
        <is>
          <t>Reserva automática · − · op 180215070423 · NUNCA almacén · resumen oficial cuenta MP 1–30 sep 2026</t>
        </is>
      </c>
    </row>
    <row r="198">
      <c r="A198" s="52" t="n">
        <v>46293</v>
      </c>
      <c r="B198" t="inlineStr">
        <is>
          <t>Septiembre</t>
        </is>
      </c>
      <c r="C198" t="inlineStr">
        <is>
          <t>Reserva automática</t>
        </is>
      </c>
      <c r="D198" t="inlineStr">
        <is>
          <t>Susi</t>
        </is>
      </c>
      <c r="E198" t="n">
        <v>3000</v>
      </c>
      <c r="F198" t="inlineStr">
        <is>
          <t>ARS</t>
        </is>
      </c>
      <c r="G198" t="inlineStr">
        <is>
          <t>Mercado Pago</t>
        </is>
      </c>
      <c r="H198" t="inlineStr">
        <is>
          <t>Reserva automática · − · op 181356860684 · NUNCA almacén · resumen oficial cuenta MP 1–30 sep 2026</t>
        </is>
      </c>
    </row>
    <row r="199">
      <c r="A199" s="52" t="n">
        <v>46293</v>
      </c>
      <c r="B199" t="inlineStr">
        <is>
          <t>Septiembre</t>
        </is>
      </c>
      <c r="C199" t="inlineStr">
        <is>
          <t>Reserva automática</t>
        </is>
      </c>
      <c r="D199" t="inlineStr">
        <is>
          <t>AVA</t>
        </is>
      </c>
      <c r="E199" t="n">
        <v>500</v>
      </c>
      <c r="F199" t="inlineStr">
        <is>
          <t>ARS</t>
        </is>
      </c>
      <c r="G199" t="inlineStr">
        <is>
          <t>Mercado Pago</t>
        </is>
      </c>
      <c r="H199" t="inlineStr">
        <is>
          <t>Reserva automática · − · op 181356501420 · NUNCA almacén · resumen oficial cuenta MP 1–30 sep 2026</t>
        </is>
      </c>
    </row>
    <row r="200">
      <c r="A200" s="52" t="n">
        <v>46293</v>
      </c>
      <c r="B200" t="inlineStr">
        <is>
          <t>Septiembre</t>
        </is>
      </c>
      <c r="C200" t="inlineStr">
        <is>
          <t>Reserva automática</t>
        </is>
      </c>
      <c r="D200" t="inlineStr">
        <is>
          <t>Expensas</t>
        </is>
      </c>
      <c r="E200" t="n">
        <v>1000</v>
      </c>
      <c r="F200" t="inlineStr">
        <is>
          <t>ARS</t>
        </is>
      </c>
      <c r="G200" t="inlineStr">
        <is>
          <t>Mercado Pago</t>
        </is>
      </c>
      <c r="H200" t="inlineStr">
        <is>
          <t>Reserva automática · − · op 180354959139 · NUNCA almacén · resumen oficial cuenta MP 1–30 sep 2026</t>
        </is>
      </c>
    </row>
    <row r="201">
      <c r="A201" s="52" t="n">
        <v>46294</v>
      </c>
      <c r="B201" t="inlineStr">
        <is>
          <t>Septiembre</t>
        </is>
      </c>
      <c r="C201" t="inlineStr">
        <is>
          <t>Reserva automática</t>
        </is>
      </c>
      <c r="D201" t="inlineStr">
        <is>
          <t>AVA</t>
        </is>
      </c>
      <c r="E201" t="n">
        <v>500</v>
      </c>
      <c r="F201" t="inlineStr">
        <is>
          <t>ARS</t>
        </is>
      </c>
      <c r="G201" t="inlineStr">
        <is>
          <t>Mercado Pago</t>
        </is>
      </c>
      <c r="H201" t="inlineStr">
        <is>
          <t>Reserva automática · − · op 180443209897 · NUNCA almacén · resumen oficial cuenta MP 1–30 sep 2026</t>
        </is>
      </c>
    </row>
    <row r="202">
      <c r="A202" s="52" t="n">
        <v>46294</v>
      </c>
      <c r="B202" t="inlineStr">
        <is>
          <t>Septiembre</t>
        </is>
      </c>
      <c r="C202" t="inlineStr">
        <is>
          <t>Reserva automática</t>
        </is>
      </c>
      <c r="D202" t="inlineStr">
        <is>
          <t>Expensas</t>
        </is>
      </c>
      <c r="E202" t="n">
        <v>1000</v>
      </c>
      <c r="F202" t="inlineStr">
        <is>
          <t>ARS</t>
        </is>
      </c>
      <c r="G202" t="inlineStr">
        <is>
          <t>Mercado Pago</t>
        </is>
      </c>
      <c r="H202" t="inlineStr">
        <is>
          <t>Reserva automática · − · op 181445983258 · NUNCA almacén · resumen oficial cuenta MP 1–30 sep 2026</t>
        </is>
      </c>
    </row>
    <row r="203">
      <c r="A203" s="52" t="n">
        <v>46294</v>
      </c>
      <c r="B203" t="inlineStr">
        <is>
          <t>Septiembre</t>
        </is>
      </c>
      <c r="C203" t="inlineStr">
        <is>
          <t>Reserva automática</t>
        </is>
      </c>
      <c r="D203" t="inlineStr">
        <is>
          <t>Susi</t>
        </is>
      </c>
      <c r="E203" t="n">
        <v>3000</v>
      </c>
      <c r="F203" t="inlineStr">
        <is>
          <t>ARS</t>
        </is>
      </c>
      <c r="G203" t="inlineStr">
        <is>
          <t>Mercado Pago</t>
        </is>
      </c>
      <c r="H203" t="inlineStr">
        <is>
          <t>Reserva automática · − · op 181446075048 · NUNCA almacén · resumen oficial cuenta MP 1–30 sep 2026</t>
        </is>
      </c>
    </row>
    <row r="204">
      <c r="A204" s="52" t="n">
        <v>46294</v>
      </c>
      <c r="B204" t="inlineStr">
        <is>
          <t>Septiembre</t>
        </is>
      </c>
      <c r="C204" t="inlineStr">
        <is>
          <t>Reserva automática</t>
        </is>
      </c>
      <c r="D204" t="inlineStr">
        <is>
          <t>Susi</t>
        </is>
      </c>
      <c r="E204" t="n">
        <v>3000</v>
      </c>
      <c r="F204" t="inlineStr">
        <is>
          <t>ARS</t>
        </is>
      </c>
      <c r="G204" t="inlineStr">
        <is>
          <t>Mercado Pago</t>
        </is>
      </c>
      <c r="H204" t="inlineStr">
        <is>
          <t>Reserva automática · − · op 180456281961 · NUNCA almacén · resumen oficial cuenta MP 1–30 sep 2026</t>
        </is>
      </c>
    </row>
    <row r="205">
      <c r="A205" s="52" t="n">
        <v>46294</v>
      </c>
      <c r="B205" t="inlineStr">
        <is>
          <t>Septiembre</t>
        </is>
      </c>
      <c r="C205" t="inlineStr">
        <is>
          <t>Reserva automática</t>
        </is>
      </c>
      <c r="D205" t="inlineStr">
        <is>
          <t>AVA</t>
        </is>
      </c>
      <c r="E205" t="n">
        <v>500</v>
      </c>
      <c r="F205" t="inlineStr">
        <is>
          <t>ARS</t>
        </is>
      </c>
      <c r="G205" t="inlineStr">
        <is>
          <t>Mercado Pago</t>
        </is>
      </c>
      <c r="H205" t="inlineStr">
        <is>
          <t>Reserva automática · − · op 180456192015 · NUNCA almacén · resumen oficial cuenta MP 1–30 sep 2026</t>
        </is>
      </c>
    </row>
    <row r="206">
      <c r="A206" s="52" t="n">
        <v>46294</v>
      </c>
      <c r="B206" t="inlineStr">
        <is>
          <t>Septiembre</t>
        </is>
      </c>
      <c r="C206" t="inlineStr">
        <is>
          <t>Reserva automática</t>
        </is>
      </c>
      <c r="D206" t="inlineStr">
        <is>
          <t>Expensas</t>
        </is>
      </c>
      <c r="E206" t="n">
        <v>1000</v>
      </c>
      <c r="F206" t="inlineStr">
        <is>
          <t>ARS</t>
        </is>
      </c>
      <c r="G206" t="inlineStr">
        <is>
          <t>Mercado Pago</t>
        </is>
      </c>
      <c r="H206" t="inlineStr">
        <is>
          <t>Reserva automática · − · op 180456231953 · NUNCA almacén · resumen oficial cuenta MP 1–30 sep 2026</t>
        </is>
      </c>
    </row>
    <row r="207">
      <c r="A207" s="52" t="n">
        <v>46295</v>
      </c>
      <c r="B207" t="inlineStr">
        <is>
          <t>Septiembre</t>
        </is>
      </c>
      <c r="C207" t="inlineStr">
        <is>
          <t>Pago de resumen TC</t>
        </is>
      </c>
      <c r="D207" t="inlineStr">
        <is>
          <t>Tarjeta de crédito Mercado Pago</t>
        </is>
      </c>
      <c r="E207" t="n">
        <v>500000</v>
      </c>
      <c r="F207" t="inlineStr">
        <is>
          <t>ARS</t>
        </is>
      </c>
      <c r="G207" t="inlineStr">
        <is>
          <t>Mercado Pago</t>
        </is>
      </c>
      <c r="H207" t="inlineStr">
        <is>
          <t>Pago de resumen · − · op 181614816434 · NUNCA almacén · resumen oficial cuenta MP 1–30 sep 2026</t>
        </is>
      </c>
    </row>
    <row r="208">
      <c r="A208" s="52" t="n">
        <v>46295</v>
      </c>
      <c r="B208" t="inlineStr">
        <is>
          <t>Septiembre</t>
        </is>
      </c>
      <c r="C208" t="inlineStr">
        <is>
          <t>Reserva automática</t>
        </is>
      </c>
      <c r="D208" t="inlineStr">
        <is>
          <t>Susi</t>
        </is>
      </c>
      <c r="E208" t="n">
        <v>3000</v>
      </c>
      <c r="F208" t="inlineStr">
        <is>
          <t>ARS</t>
        </is>
      </c>
      <c r="G208" t="inlineStr">
        <is>
          <t>Mercado Pago</t>
        </is>
      </c>
      <c r="H208" t="inlineStr">
        <is>
          <t>Reserva automática · − · op 181680628954 · NUNCA almacén · resumen oficial cuenta MP 1–30 sep 2026</t>
        </is>
      </c>
    </row>
    <row r="209">
      <c r="A209" s="52" t="n">
        <v>46295</v>
      </c>
      <c r="B209" t="inlineStr">
        <is>
          <t>Septiembre</t>
        </is>
      </c>
      <c r="C209" t="inlineStr">
        <is>
          <t>Reserva automática</t>
        </is>
      </c>
      <c r="D209" t="inlineStr">
        <is>
          <t>AVA</t>
        </is>
      </c>
      <c r="E209" t="n">
        <v>500</v>
      </c>
      <c r="F209" t="inlineStr">
        <is>
          <t>ARS</t>
        </is>
      </c>
      <c r="G209" t="inlineStr">
        <is>
          <t>Mercado Pago</t>
        </is>
      </c>
      <c r="H209" t="inlineStr">
        <is>
          <t>Reserva automática · − · op 181680447374 · NUNCA almacén · resumen oficial cuenta MP 1–30 sep 2026</t>
        </is>
      </c>
    </row>
    <row r="210">
      <c r="A210" s="52" t="n">
        <v>46295</v>
      </c>
      <c r="B210" t="inlineStr">
        <is>
          <t>Septiembre</t>
        </is>
      </c>
      <c r="C210" t="inlineStr">
        <is>
          <t>Reserva automática</t>
        </is>
      </c>
      <c r="D210" t="inlineStr">
        <is>
          <t>Expensas</t>
        </is>
      </c>
      <c r="E210" t="n">
        <v>1000</v>
      </c>
      <c r="F210" t="inlineStr">
        <is>
          <t>ARS</t>
        </is>
      </c>
      <c r="G210" t="inlineStr">
        <is>
          <t>Mercado Pago</t>
        </is>
      </c>
      <c r="H210" t="inlineStr">
        <is>
          <t>Reserva automática · − · op 180676620465 · NUNCA almacén · resumen oficial cuenta MP 1–30 sep 2026</t>
        </is>
      </c>
    </row>
    <row r="211">
      <c r="A211" s="52" t="n">
        <v>46295</v>
      </c>
      <c r="B211" t="inlineStr">
        <is>
          <t>Septiembre</t>
        </is>
      </c>
      <c r="C211" t="inlineStr">
        <is>
          <t>Reserva automática</t>
        </is>
      </c>
      <c r="D211" t="inlineStr">
        <is>
          <t>Susi</t>
        </is>
      </c>
      <c r="E211" t="n">
        <v>3000</v>
      </c>
      <c r="F211" t="inlineStr">
        <is>
          <t>ARS</t>
        </is>
      </c>
      <c r="G211" t="inlineStr">
        <is>
          <t>Mercado Pago</t>
        </is>
      </c>
      <c r="H211" t="inlineStr">
        <is>
          <t>Reserva automática · − · op 180677002449 · NUNCA almacén · resumen oficial cuenta MP 1–30 sep 2026</t>
        </is>
      </c>
    </row>
    <row r="212">
      <c r="A212" s="52" t="n">
        <v>46295</v>
      </c>
      <c r="B212" t="inlineStr">
        <is>
          <t>Septiembre</t>
        </is>
      </c>
      <c r="C212" t="inlineStr">
        <is>
          <t>Reserva automática</t>
        </is>
      </c>
      <c r="D212" t="inlineStr">
        <is>
          <t>AVA</t>
        </is>
      </c>
      <c r="E212" t="n">
        <v>500</v>
      </c>
      <c r="F212" t="inlineStr">
        <is>
          <t>ARS</t>
        </is>
      </c>
      <c r="G212" t="inlineStr">
        <is>
          <t>Mercado Pago</t>
        </is>
      </c>
      <c r="H212" t="inlineStr">
        <is>
          <t>Reserva automática · − · op 180677032403 · NUNCA almacén · resumen oficial cuenta MP 1–30 sep 2026</t>
        </is>
      </c>
    </row>
    <row r="213">
      <c r="A213" s="52" t="n">
        <v>46295</v>
      </c>
      <c r="B213" t="inlineStr">
        <is>
          <t>Septiembre</t>
        </is>
      </c>
      <c r="C213" t="inlineStr">
        <is>
          <t>Reserva automática</t>
        </is>
      </c>
      <c r="D213" t="inlineStr">
        <is>
          <t>Expensas</t>
        </is>
      </c>
      <c r="E213" t="n">
        <v>1000</v>
      </c>
      <c r="F213" t="inlineStr">
        <is>
          <t>ARS</t>
        </is>
      </c>
      <c r="G213" t="inlineStr">
        <is>
          <t>Mercado Pago</t>
        </is>
      </c>
      <c r="H213" t="inlineStr">
        <is>
          <t>Reserva automática · − · op 180676447379 · NUNCA almacén · resumen oficial cuenta MP 1–30 sep 2026</t>
        </is>
      </c>
    </row>
  </sheetData>
  <mergeCells count="3">
    <mergeCell ref="A16:H18"/>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23"/>
  <sheetViews>
    <sheetView workbookViewId="0">
      <pane ySplit="23" topLeftCell="A24" activePane="bottomLeft" state="frozen"/>
      <selection pane="bottomLeft" activeCell="A1" sqref="A1"/>
    </sheetView>
  </sheetViews>
  <sheetFormatPr baseColWidth="8" defaultRowHeight="15"/>
  <cols>
    <col width="14" customWidth="1" min="1" max="1"/>
    <col width="14" customWidth="1" min="2" max="2"/>
    <col width="20" customWidth="1" min="3" max="3"/>
    <col width="18" customWidth="1" min="4" max="4"/>
    <col width="34" customWidth="1" min="5" max="5"/>
    <col width="15" customWidth="1" min="6" max="6"/>
    <col width="25" customWidth="1" min="7" max="7"/>
    <col width="15" customWidth="1" min="8" max="8"/>
    <col width="18" customWidth="1" min="9" max="9"/>
    <col width="42" customWidth="1" min="10" max="10"/>
  </cols>
  <sheetData>
    <row r="1">
      <c r="A1" s="1" t="inlineStr">
        <is>
          <t>CIUDAD 1132 — Inversión</t>
        </is>
      </c>
    </row>
    <row r="2">
      <c r="A2" s="30" t="inlineStr">
        <is>
          <t>Bonos, plazos fijos, fondos y otros movimientos de inversión. No suma al TOTAL de gastos de la hoja 2026.</t>
        </is>
      </c>
    </row>
    <row r="4">
      <c r="A4" s="31" t="inlineStr">
        <is>
          <t>Resumen por mes</t>
        </is>
      </c>
    </row>
    <row r="5">
      <c r="A5" s="34" t="inlineStr">
        <is>
          <t>Mes</t>
        </is>
      </c>
      <c r="B5" s="34" t="inlineStr">
        <is>
          <t>Invertido</t>
        </is>
      </c>
      <c r="C5" s="34" t="inlineStr">
        <is>
          <t>Rescatado</t>
        </is>
      </c>
      <c r="D5" s="34" t="inlineStr">
        <is>
          <t>Rendimiento</t>
        </is>
      </c>
      <c r="E5" s="34" t="inlineStr">
        <is>
          <t>Neto</t>
        </is>
      </c>
    </row>
    <row r="6">
      <c r="A6" s="14" t="inlineStr">
        <is>
          <t>Enero</t>
        </is>
      </c>
      <c r="B6" s="15">
        <f>SUMIFS($F$24:$F$500,$B$24:$B$500,A6,$D$24:$D$500,"Inversión")</f>
        <v/>
      </c>
      <c r="C6" s="15">
        <f>SUMIFS($F$24:$F$500,$B$24:$B$500,A6,$D$24:$D$500,"Rescate")</f>
        <v/>
      </c>
      <c r="D6" s="15">
        <f>SUMIFS($F$24:$F$500,$B$24:$B$500,A6,$D$24:$D$500,"Rendimiento")</f>
        <v/>
      </c>
      <c r="E6" s="15">
        <f>C6+D6-B6</f>
        <v/>
      </c>
    </row>
    <row r="7">
      <c r="A7" s="14" t="inlineStr">
        <is>
          <t>Febrero</t>
        </is>
      </c>
      <c r="B7" s="15">
        <f>SUMIFS($F$24:$F$500,$B$24:$B$500,A7,$D$24:$D$500,"Inversión")</f>
        <v/>
      </c>
      <c r="C7" s="15">
        <f>SUMIFS($F$24:$F$500,$B$24:$B$500,A7,$D$24:$D$500,"Rescate")</f>
        <v/>
      </c>
      <c r="D7" s="15">
        <f>SUMIFS($F$24:$F$500,$B$24:$B$500,A7,$D$24:$D$500,"Rendimiento")</f>
        <v/>
      </c>
      <c r="E7" s="15">
        <f>C7+D7-B7</f>
        <v/>
      </c>
    </row>
    <row r="8">
      <c r="A8" s="14" t="inlineStr">
        <is>
          <t>Marzo</t>
        </is>
      </c>
      <c r="B8" s="15">
        <f>SUMIFS($F$24:$F$500,$B$24:$B$500,A8,$D$24:$D$500,"Inversión")</f>
        <v/>
      </c>
      <c r="C8" s="15">
        <f>SUMIFS($F$24:$F$500,$B$24:$B$500,A8,$D$24:$D$500,"Rescate")</f>
        <v/>
      </c>
      <c r="D8" s="15">
        <f>SUMIFS($F$24:$F$500,$B$24:$B$500,A8,$D$24:$D$500,"Rendimiento")</f>
        <v/>
      </c>
      <c r="E8" s="15">
        <f>C8+D8-B8</f>
        <v/>
      </c>
    </row>
    <row r="9">
      <c r="A9" s="14" t="inlineStr">
        <is>
          <t>Abril</t>
        </is>
      </c>
      <c r="B9" s="15">
        <f>SUMIFS($F$24:$F$500,$B$24:$B$500,A9,$D$24:$D$500,"Inversión")</f>
        <v/>
      </c>
      <c r="C9" s="15">
        <f>SUMIFS($F$24:$F$500,$B$24:$B$500,A9,$D$24:$D$500,"Rescate")</f>
        <v/>
      </c>
      <c r="D9" s="15">
        <f>SUMIFS($F$24:$F$500,$B$24:$B$500,A9,$D$24:$D$500,"Rendimiento")</f>
        <v/>
      </c>
      <c r="E9" s="15">
        <f>C9+D9-B9</f>
        <v/>
      </c>
    </row>
    <row r="10">
      <c r="A10" s="14" t="inlineStr">
        <is>
          <t>Mayo</t>
        </is>
      </c>
      <c r="B10" s="15">
        <f>SUMIFS($F$24:$F$500,$B$24:$B$500,A10,$D$24:$D$500,"Inversión")</f>
        <v/>
      </c>
      <c r="C10" s="15">
        <f>SUMIFS($F$24:$F$500,$B$24:$B$500,A10,$D$24:$D$500,"Rescate")</f>
        <v/>
      </c>
      <c r="D10" s="15">
        <f>SUMIFS($F$24:$F$500,$B$24:$B$500,A10,$D$24:$D$500,"Rendimiento")</f>
        <v/>
      </c>
      <c r="E10" s="15">
        <f>C10+D10-B10</f>
        <v/>
      </c>
    </row>
    <row r="11">
      <c r="A11" s="14" t="inlineStr">
        <is>
          <t>Junio</t>
        </is>
      </c>
      <c r="B11" s="15">
        <f>SUMIFS($F$24:$F$500,$B$24:$B$500,A11,$D$24:$D$500,"Inversión")</f>
        <v/>
      </c>
      <c r="C11" s="15">
        <f>SUMIFS($F$24:$F$500,$B$24:$B$500,A11,$D$24:$D$500,"Rescate")</f>
        <v/>
      </c>
      <c r="D11" s="15">
        <f>SUMIFS($F$24:$F$500,$B$24:$B$500,A11,$D$24:$D$500,"Rendimiento")</f>
        <v/>
      </c>
      <c r="E11" s="15">
        <f>C11+D11-B11</f>
        <v/>
      </c>
    </row>
    <row r="12">
      <c r="A12" s="14" t="inlineStr">
        <is>
          <t>Julio</t>
        </is>
      </c>
      <c r="B12" s="15">
        <f>SUMIFS($F$24:$F$500,$B$24:$B$500,A12,$D$24:$D$500,"Inversión")</f>
        <v/>
      </c>
      <c r="C12" s="15">
        <f>SUMIFS($F$24:$F$500,$B$24:$B$500,A12,$D$24:$D$500,"Rescate")</f>
        <v/>
      </c>
      <c r="D12" s="15">
        <f>SUMIFS($F$24:$F$500,$B$24:$B$500,A12,$D$24:$D$500,"Rendimiento")</f>
        <v/>
      </c>
      <c r="E12" s="15">
        <f>C12+D12-B12</f>
        <v/>
      </c>
    </row>
    <row r="13">
      <c r="A13" s="14" t="inlineStr">
        <is>
          <t>Agosto</t>
        </is>
      </c>
      <c r="B13" s="15">
        <f>SUMIFS($F$24:$F$500,$B$24:$B$500,A13,$D$24:$D$500,"Inversión")</f>
        <v/>
      </c>
      <c r="C13" s="15">
        <f>SUMIFS($F$24:$F$500,$B$24:$B$500,A13,$D$24:$D$500,"Rescate")</f>
        <v/>
      </c>
      <c r="D13" s="15">
        <f>SUMIFS($F$24:$F$500,$B$24:$B$500,A13,$D$24:$D$500,"Rendimiento")</f>
        <v/>
      </c>
      <c r="E13" s="15">
        <f>C13+D13-B13</f>
        <v/>
      </c>
    </row>
    <row r="14">
      <c r="A14" s="14" t="inlineStr">
        <is>
          <t>Septiembre</t>
        </is>
      </c>
      <c r="B14" s="15">
        <f>SUMIFS($F$24:$F$500,$B$24:$B$500,A14,$D$24:$D$500,"Inversión")</f>
        <v/>
      </c>
      <c r="C14" s="15">
        <f>SUMIFS($F$24:$F$500,$B$24:$B$500,A14,$D$24:$D$500,"Rescate")</f>
        <v/>
      </c>
      <c r="D14" s="15">
        <f>SUMIFS($F$24:$F$500,$B$24:$B$500,A14,$D$24:$D$500,"Rendimiento")</f>
        <v/>
      </c>
      <c r="E14" s="15">
        <f>C14+D14-B14</f>
        <v/>
      </c>
    </row>
    <row r="15">
      <c r="A15" s="14" t="inlineStr">
        <is>
          <t>Octubre</t>
        </is>
      </c>
      <c r="B15" s="15">
        <f>SUMIFS($F$24:$F$500,$B$24:$B$500,A15,$D$24:$D$500,"Inversión")</f>
        <v/>
      </c>
      <c r="C15" s="15">
        <f>SUMIFS($F$24:$F$500,$B$24:$B$500,A15,$D$24:$D$500,"Rescate")</f>
        <v/>
      </c>
      <c r="D15" s="15">
        <f>SUMIFS($F$24:$F$500,$B$24:$B$500,A15,$D$24:$D$500,"Rendimiento")</f>
        <v/>
      </c>
      <c r="E15" s="15">
        <f>C15+D15-B15</f>
        <v/>
      </c>
    </row>
    <row r="16">
      <c r="A16" s="14" t="inlineStr">
        <is>
          <t>Noviembre</t>
        </is>
      </c>
      <c r="B16" s="15">
        <f>SUMIFS($F$24:$F$500,$B$24:$B$500,A16,$D$24:$D$500,"Inversión")</f>
        <v/>
      </c>
      <c r="C16" s="15">
        <f>SUMIFS($F$24:$F$500,$B$24:$B$500,A16,$D$24:$D$500,"Rescate")</f>
        <v/>
      </c>
      <c r="D16" s="15">
        <f>SUMIFS($F$24:$F$500,$B$24:$B$500,A16,$D$24:$D$500,"Rendimiento")</f>
        <v/>
      </c>
      <c r="E16" s="15">
        <f>C16+D16-B16</f>
        <v/>
      </c>
    </row>
    <row r="17">
      <c r="A17" s="14" t="inlineStr">
        <is>
          <t>Diciembre</t>
        </is>
      </c>
      <c r="B17" s="15">
        <f>SUMIFS($F$24:$F$500,$B$24:$B$500,A17,$D$24:$D$500,"Inversión")</f>
        <v/>
      </c>
      <c r="C17" s="15">
        <f>SUMIFS($F$24:$F$500,$B$24:$B$500,A17,$D$24:$D$500,"Rescate")</f>
        <v/>
      </c>
      <c r="D17" s="15">
        <f>SUMIFS($F$24:$F$500,$B$24:$B$500,A17,$D$24:$D$500,"Rendimiento")</f>
        <v/>
      </c>
      <c r="E17" s="15">
        <f>C17+D17-B17</f>
        <v/>
      </c>
    </row>
    <row r="18">
      <c r="A18" s="35" t="inlineStr">
        <is>
          <t>TOTAL AÑO</t>
        </is>
      </c>
      <c r="B18" s="36">
        <f>SUM(B6:B17)</f>
        <v/>
      </c>
      <c r="C18" s="36">
        <f>SUM(C6:C17)</f>
        <v/>
      </c>
      <c r="D18" s="36">
        <f>SUM(D6:D17)</f>
        <v/>
      </c>
      <c r="E18" s="36">
        <f>SUM(E6:E17)</f>
        <v/>
      </c>
    </row>
    <row r="21">
      <c r="A21" s="31" t="inlineStr">
        <is>
          <t>Detalle</t>
        </is>
      </c>
    </row>
    <row r="23">
      <c r="A23" s="34" t="inlineStr">
        <is>
          <t>Fecha</t>
        </is>
      </c>
      <c r="B23" s="34" t="inlineStr">
        <is>
          <t>Mes</t>
        </is>
      </c>
      <c r="C23" s="34" t="inlineStr">
        <is>
          <t>Tipo</t>
        </is>
      </c>
      <c r="D23" s="34" t="inlineStr">
        <is>
          <t>Movimiento</t>
        </is>
      </c>
      <c r="E23" s="34" t="inlineStr">
        <is>
          <t>Instrumento / concepto</t>
        </is>
      </c>
      <c r="F23" s="34" t="inlineStr">
        <is>
          <t>Monto</t>
        </is>
      </c>
      <c r="G23" s="34" t="inlineStr">
        <is>
          <t>Entidad / medio</t>
        </is>
      </c>
      <c r="H23" s="34" t="inlineStr">
        <is>
          <t>Vencimiento</t>
        </is>
      </c>
      <c r="I23" s="34" t="inlineStr">
        <is>
          <t>Tasa / rendimiento</t>
        </is>
      </c>
      <c r="J23" s="34" t="inlineStr">
        <is>
          <t>Comentario</t>
        </is>
      </c>
    </row>
    <row r="24">
      <c r="A24" s="17" t="n">
        <v>46221</v>
      </c>
      <c r="B24" s="14" t="inlineStr">
        <is>
          <t>Julio</t>
        </is>
      </c>
      <c r="C24" s="14" t="inlineStr">
        <is>
          <t>USD</t>
        </is>
      </c>
      <c r="D24" s="14" t="inlineStr">
        <is>
          <t>Rescate</t>
        </is>
      </c>
      <c r="E24" s="14" t="inlineStr">
        <is>
          <t>Venta de dólares</t>
        </is>
      </c>
      <c r="F24" s="15" t="n">
        <v>1261633</v>
      </c>
      <c r="G24" s="14" t="inlineStr">
        <is>
          <t>Mercado Pago</t>
        </is>
      </c>
      <c r="H24" s="17" t="n"/>
      <c r="I24" s="37" t="n"/>
      <c r="J24" s="14" t="inlineStr">
        <is>
          <t>En proceso · ceil 1.261.632,32 · también en MP No Gasto</t>
        </is>
      </c>
    </row>
    <row r="25">
      <c r="A25" s="17" t="n">
        <v>46218</v>
      </c>
      <c r="B25" s="14" t="inlineStr">
        <is>
          <t>Julio</t>
        </is>
      </c>
      <c r="C25" s="14" t="inlineStr">
        <is>
          <t>Bonos/PF</t>
        </is>
      </c>
      <c r="D25" s="14" t="inlineStr">
        <is>
          <t>Inversión</t>
        </is>
      </c>
      <c r="E25" s="14" t="inlineStr">
        <is>
          <t>Bonos, plazos fijos y más</t>
        </is>
      </c>
      <c r="F25" s="15" t="n">
        <v>1000000</v>
      </c>
      <c r="G25" s="14" t="inlineStr">
        <is>
          <t>Mercado Pago</t>
        </is>
      </c>
      <c r="H25" s="17" t="n"/>
      <c r="I25" s="37" t="n"/>
      <c r="J25" s="14" t="n"/>
    </row>
    <row r="26">
      <c r="A26" s="17" t="n">
        <v>46266</v>
      </c>
      <c r="B26" s="14" t="inlineStr">
        <is>
          <t>Septiembre</t>
        </is>
      </c>
      <c r="C26" s="14" t="inlineStr">
        <is>
          <t>USD</t>
        </is>
      </c>
      <c r="D26" s="14" t="inlineStr">
        <is>
          <t>Rescate</t>
        </is>
      </c>
      <c r="E26" s="14" t="inlineStr">
        <is>
          <t>Venta de dólares</t>
        </is>
      </c>
      <c r="F26" s="15" t="n">
        <v>1715612</v>
      </c>
      <c r="G26" s="14" t="inlineStr">
        <is>
          <t>Mercado Pago</t>
        </is>
      </c>
      <c r="H26" s="17" t="n"/>
      <c r="I26" s="37" t="n"/>
      <c r="J26" s="14" t="inlineStr">
        <is>
          <t>Rescate · op 175716248657 · resumen oficial cuenta MP 1–30 sep 2026</t>
        </is>
      </c>
    </row>
    <row r="27">
      <c r="A27" s="17" t="n">
        <v>46275</v>
      </c>
      <c r="B27" s="14" t="inlineStr">
        <is>
          <t>Septiembre</t>
        </is>
      </c>
      <c r="C27" s="14" t="inlineStr">
        <is>
          <t>USD</t>
        </is>
      </c>
      <c r="D27" s="14" t="inlineStr">
        <is>
          <t>Rescate</t>
        </is>
      </c>
      <c r="E27" s="14" t="inlineStr">
        <is>
          <t>Venta de dólares</t>
        </is>
      </c>
      <c r="F27" s="15" t="n">
        <v>2989714</v>
      </c>
      <c r="G27" s="14" t="inlineStr">
        <is>
          <t>Mercado Pago</t>
        </is>
      </c>
      <c r="H27" s="17" t="n"/>
      <c r="I27" s="37" t="n"/>
      <c r="J27" s="14" t="inlineStr">
        <is>
          <t>Rescate · op 178296615510 · resumen oficial cuenta MP 1–30 sep 2026</t>
        </is>
      </c>
    </row>
    <row r="28">
      <c r="A28" s="17" t="n">
        <v>46276</v>
      </c>
      <c r="B28" s="14" t="inlineStr">
        <is>
          <t>Septiembre</t>
        </is>
      </c>
      <c r="C28" s="14" t="inlineStr">
        <is>
          <t>Bonos/PF</t>
        </is>
      </c>
      <c r="D28" s="14" t="inlineStr">
        <is>
          <t>Rescate</t>
        </is>
      </c>
      <c r="E28" s="14" t="inlineStr">
        <is>
          <t>Bonos, plazos fijos y más</t>
        </is>
      </c>
      <c r="F28" s="15" t="n">
        <v>12361244</v>
      </c>
      <c r="G28" s="14" t="inlineStr">
        <is>
          <t>Mercado Pago</t>
        </is>
      </c>
      <c r="H28" s="17" t="n"/>
      <c r="I28" s="37" t="n"/>
      <c r="J28" s="14" t="inlineStr">
        <is>
          <t>Rescate · op 178259630038 · resumen oficial cuenta MP 1–30 sep 2026</t>
        </is>
      </c>
    </row>
    <row r="29">
      <c r="A29" s="17" t="n">
        <v>46280</v>
      </c>
      <c r="B29" s="14" t="inlineStr">
        <is>
          <t>Septiembre</t>
        </is>
      </c>
      <c r="C29" s="14" t="inlineStr">
        <is>
          <t>USD</t>
        </is>
      </c>
      <c r="D29" s="14" t="inlineStr">
        <is>
          <t>Rescate</t>
        </is>
      </c>
      <c r="E29" s="14" t="inlineStr">
        <is>
          <t>Venta de dólares</t>
        </is>
      </c>
      <c r="F29" s="15" t="n">
        <v>59334</v>
      </c>
      <c r="G29" s="14" t="inlineStr">
        <is>
          <t>Mercado Pago</t>
        </is>
      </c>
      <c r="H29" s="17" t="n"/>
      <c r="I29" s="37" t="n"/>
      <c r="J29" s="14" t="inlineStr">
        <is>
          <t>Rescate · op 178124944219 · resumen oficial cuenta MP 1–30 sep 2026</t>
        </is>
      </c>
    </row>
    <row r="30">
      <c r="A30" s="17" t="n"/>
      <c r="B30" s="14" t="n"/>
      <c r="C30" s="14" t="n"/>
      <c r="D30" s="14" t="n"/>
      <c r="E30" s="14" t="n"/>
      <c r="F30" s="15" t="n"/>
      <c r="G30" s="14" t="n"/>
      <c r="H30" s="17" t="n"/>
      <c r="I30" s="37" t="n"/>
      <c r="J30" s="14" t="n"/>
    </row>
    <row r="31">
      <c r="A31" s="17" t="n"/>
      <c r="B31" s="14" t="n"/>
      <c r="C31" s="14" t="n"/>
      <c r="D31" s="14" t="n"/>
      <c r="E31" s="14" t="n"/>
      <c r="F31" s="15" t="n"/>
      <c r="G31" s="14" t="n"/>
      <c r="H31" s="17" t="n"/>
      <c r="I31" s="37" t="n"/>
      <c r="J31" s="14" t="n"/>
    </row>
    <row r="32">
      <c r="A32" s="17" t="n"/>
      <c r="B32" s="14" t="n"/>
      <c r="C32" s="14" t="n"/>
      <c r="D32" s="14" t="n"/>
      <c r="E32" s="14" t="n"/>
      <c r="F32" s="15" t="n"/>
      <c r="G32" s="14" t="n"/>
      <c r="H32" s="17" t="n"/>
      <c r="I32" s="37" t="n"/>
      <c r="J32" s="14" t="n"/>
    </row>
    <row r="33">
      <c r="A33" s="17" t="n"/>
      <c r="B33" s="14" t="n"/>
      <c r="C33" s="14" t="n"/>
      <c r="D33" s="14" t="n"/>
      <c r="E33" s="14" t="n"/>
      <c r="F33" s="15" t="n"/>
      <c r="G33" s="14" t="n"/>
      <c r="H33" s="17" t="n"/>
      <c r="I33" s="37" t="n"/>
      <c r="J33" s="14" t="n"/>
    </row>
    <row r="34">
      <c r="A34" s="17" t="n"/>
      <c r="B34" s="14" t="n"/>
      <c r="C34" s="14" t="n"/>
      <c r="D34" s="14" t="n"/>
      <c r="E34" s="14" t="n"/>
      <c r="F34" s="15" t="n"/>
      <c r="G34" s="14" t="n"/>
      <c r="H34" s="17" t="n"/>
      <c r="I34" s="37" t="n"/>
      <c r="J34" s="14" t="n"/>
    </row>
    <row r="35">
      <c r="A35" s="17" t="n"/>
      <c r="B35" s="14" t="n"/>
      <c r="C35" s="14" t="n"/>
      <c r="D35" s="14" t="n"/>
      <c r="E35" s="14" t="n"/>
      <c r="F35" s="15" t="n"/>
      <c r="G35" s="14" t="n"/>
      <c r="H35" s="17" t="n"/>
      <c r="I35" s="37" t="n"/>
      <c r="J35" s="14" t="n"/>
    </row>
    <row r="36">
      <c r="A36" s="17" t="n"/>
      <c r="B36" s="14" t="n"/>
      <c r="C36" s="14" t="n"/>
      <c r="D36" s="14" t="n"/>
      <c r="E36" s="14" t="n"/>
      <c r="F36" s="15" t="n"/>
      <c r="G36" s="14" t="n"/>
      <c r="H36" s="17" t="n"/>
      <c r="I36" s="37" t="n"/>
      <c r="J36" s="14" t="n"/>
    </row>
    <row r="37">
      <c r="A37" s="17" t="n"/>
      <c r="B37" s="14" t="n"/>
      <c r="C37" s="14" t="n"/>
      <c r="D37" s="14" t="n"/>
      <c r="E37" s="14" t="n"/>
      <c r="F37" s="15" t="n"/>
      <c r="G37" s="14" t="n"/>
      <c r="H37" s="17" t="n"/>
      <c r="I37" s="37" t="n"/>
      <c r="J37" s="14" t="n"/>
    </row>
    <row r="38">
      <c r="A38" s="17" t="n"/>
      <c r="B38" s="14" t="n"/>
      <c r="C38" s="14" t="n"/>
      <c r="D38" s="14" t="n"/>
      <c r="E38" s="14" t="n"/>
      <c r="F38" s="15" t="n"/>
      <c r="G38" s="14" t="n"/>
      <c r="H38" s="17" t="n"/>
      <c r="I38" s="37" t="n"/>
      <c r="J38" s="14" t="n"/>
    </row>
    <row r="39">
      <c r="A39" s="17" t="n"/>
      <c r="B39" s="14" t="n"/>
      <c r="C39" s="14" t="n"/>
      <c r="D39" s="14" t="n"/>
      <c r="E39" s="14" t="n"/>
      <c r="F39" s="15" t="n"/>
      <c r="G39" s="14" t="n"/>
      <c r="H39" s="17" t="n"/>
      <c r="I39" s="37" t="n"/>
      <c r="J39" s="14" t="n"/>
    </row>
    <row r="40">
      <c r="A40" s="17" t="n"/>
      <c r="B40" s="14" t="n"/>
      <c r="C40" s="14" t="n"/>
      <c r="D40" s="14" t="n"/>
      <c r="E40" s="14" t="n"/>
      <c r="F40" s="15" t="n"/>
      <c r="G40" s="14" t="n"/>
      <c r="H40" s="17" t="n"/>
      <c r="I40" s="37" t="n"/>
      <c r="J40" s="14" t="n"/>
    </row>
    <row r="41">
      <c r="A41" s="17" t="n"/>
      <c r="B41" s="14" t="n"/>
      <c r="C41" s="14" t="n"/>
      <c r="D41" s="14" t="n"/>
      <c r="E41" s="14" t="n"/>
      <c r="F41" s="15" t="n"/>
      <c r="G41" s="14" t="n"/>
      <c r="H41" s="17" t="n"/>
      <c r="I41" s="37" t="n"/>
      <c r="J41" s="14" t="n"/>
    </row>
    <row r="42">
      <c r="A42" s="17" t="n"/>
      <c r="B42" s="14" t="n"/>
      <c r="C42" s="14" t="n"/>
      <c r="D42" s="14" t="n"/>
      <c r="E42" s="14" t="n"/>
      <c r="F42" s="15" t="n"/>
      <c r="G42" s="14" t="n"/>
      <c r="H42" s="17" t="n"/>
      <c r="I42" s="37" t="n"/>
      <c r="J42" s="14" t="n"/>
    </row>
    <row r="43">
      <c r="A43" s="17" t="n"/>
      <c r="B43" s="14" t="n"/>
      <c r="C43" s="14" t="n"/>
      <c r="D43" s="14" t="n"/>
      <c r="E43" s="14" t="n"/>
      <c r="F43" s="15" t="n"/>
      <c r="G43" s="14" t="n"/>
      <c r="H43" s="17" t="n"/>
      <c r="I43" s="37" t="n"/>
      <c r="J43" s="14" t="n"/>
    </row>
    <row r="44">
      <c r="A44" s="17" t="n"/>
      <c r="B44" s="14" t="n"/>
      <c r="C44" s="14" t="n"/>
      <c r="D44" s="14" t="n"/>
      <c r="E44" s="14" t="n"/>
      <c r="F44" s="15" t="n"/>
      <c r="G44" s="14" t="n"/>
      <c r="H44" s="17" t="n"/>
      <c r="I44" s="37" t="n"/>
      <c r="J44" s="14" t="n"/>
    </row>
    <row r="45">
      <c r="A45" s="17" t="n"/>
      <c r="B45" s="14" t="n"/>
      <c r="C45" s="14" t="n"/>
      <c r="D45" s="14" t="n"/>
      <c r="E45" s="14" t="n"/>
      <c r="F45" s="15" t="n"/>
      <c r="G45" s="14" t="n"/>
      <c r="H45" s="17" t="n"/>
      <c r="I45" s="37" t="n"/>
      <c r="J45" s="14" t="n"/>
    </row>
    <row r="46">
      <c r="A46" s="17" t="n"/>
      <c r="B46" s="14" t="n"/>
      <c r="C46" s="14" t="n"/>
      <c r="D46" s="14" t="n"/>
      <c r="E46" s="14" t="n"/>
      <c r="F46" s="15" t="n"/>
      <c r="G46" s="14" t="n"/>
      <c r="H46" s="17" t="n"/>
      <c r="I46" s="37" t="n"/>
      <c r="J46" s="14" t="n"/>
    </row>
    <row r="47">
      <c r="A47" s="17" t="n"/>
      <c r="B47" s="14" t="n"/>
      <c r="C47" s="14" t="n"/>
      <c r="D47" s="14" t="n"/>
      <c r="E47" s="14" t="n"/>
      <c r="F47" s="15" t="n"/>
      <c r="G47" s="14" t="n"/>
      <c r="H47" s="17" t="n"/>
      <c r="I47" s="37" t="n"/>
      <c r="J47" s="14" t="n"/>
    </row>
    <row r="48">
      <c r="A48" s="17" t="n"/>
      <c r="B48" s="14" t="n"/>
      <c r="C48" s="14" t="n"/>
      <c r="D48" s="14" t="n"/>
      <c r="E48" s="14" t="n"/>
      <c r="F48" s="15" t="n"/>
      <c r="G48" s="14" t="n"/>
      <c r="H48" s="17" t="n"/>
      <c r="I48" s="37" t="n"/>
      <c r="J48" s="14" t="n"/>
    </row>
    <row r="49">
      <c r="A49" s="17" t="n"/>
      <c r="B49" s="14" t="n"/>
      <c r="C49" s="14" t="n"/>
      <c r="D49" s="14" t="n"/>
      <c r="E49" s="14" t="n"/>
      <c r="F49" s="15" t="n"/>
      <c r="G49" s="14" t="n"/>
      <c r="H49" s="17" t="n"/>
      <c r="I49" s="37" t="n"/>
      <c r="J49" s="14" t="n"/>
    </row>
    <row r="50">
      <c r="A50" s="17" t="n"/>
      <c r="B50" s="14" t="n"/>
      <c r="C50" s="14" t="n"/>
      <c r="D50" s="14" t="n"/>
      <c r="E50" s="14" t="n"/>
      <c r="F50" s="15" t="n"/>
      <c r="G50" s="14" t="n"/>
      <c r="H50" s="17" t="n"/>
      <c r="I50" s="37" t="n"/>
      <c r="J50" s="14" t="n"/>
    </row>
    <row r="51">
      <c r="A51" s="17" t="n"/>
      <c r="B51" s="14" t="n"/>
      <c r="C51" s="14" t="n"/>
      <c r="D51" s="14" t="n"/>
      <c r="E51" s="14" t="n"/>
      <c r="F51" s="15" t="n"/>
      <c r="G51" s="14" t="n"/>
      <c r="H51" s="17" t="n"/>
      <c r="I51" s="37" t="n"/>
      <c r="J51" s="14" t="n"/>
    </row>
    <row r="52">
      <c r="A52" s="17" t="n"/>
      <c r="B52" s="14" t="n"/>
      <c r="C52" s="14" t="n"/>
      <c r="D52" s="14" t="n"/>
      <c r="E52" s="14" t="n"/>
      <c r="F52" s="15" t="n"/>
      <c r="G52" s="14" t="n"/>
      <c r="H52" s="17" t="n"/>
      <c r="I52" s="37" t="n"/>
      <c r="J52" s="14" t="n"/>
    </row>
    <row r="53">
      <c r="A53" s="17" t="n"/>
      <c r="B53" s="14" t="n"/>
      <c r="C53" s="14" t="n"/>
      <c r="D53" s="14" t="n"/>
      <c r="E53" s="14" t="n"/>
      <c r="F53" s="15" t="n"/>
      <c r="G53" s="14" t="n"/>
      <c r="H53" s="17" t="n"/>
      <c r="I53" s="37" t="n"/>
      <c r="J53" s="14" t="n"/>
    </row>
    <row r="54">
      <c r="A54" s="17" t="n"/>
      <c r="B54" s="14" t="n"/>
      <c r="C54" s="14" t="n"/>
      <c r="D54" s="14" t="n"/>
      <c r="E54" s="14" t="n"/>
      <c r="F54" s="15" t="n"/>
      <c r="G54" s="14" t="n"/>
      <c r="H54" s="17" t="n"/>
      <c r="I54" s="37" t="n"/>
      <c r="J54" s="14" t="n"/>
    </row>
    <row r="55">
      <c r="A55" s="17" t="n"/>
      <c r="B55" s="14" t="n"/>
      <c r="C55" s="14" t="n"/>
      <c r="D55" s="14" t="n"/>
      <c r="E55" s="14" t="n"/>
      <c r="F55" s="15" t="n"/>
      <c r="G55" s="14" t="n"/>
      <c r="H55" s="17" t="n"/>
      <c r="I55" s="37" t="n"/>
      <c r="J55" s="14" t="n"/>
    </row>
    <row r="56">
      <c r="A56" s="17" t="n"/>
      <c r="B56" s="14" t="n"/>
      <c r="C56" s="14" t="n"/>
      <c r="D56" s="14" t="n"/>
      <c r="E56" s="14" t="n"/>
      <c r="F56" s="15" t="n"/>
      <c r="G56" s="14" t="n"/>
      <c r="H56" s="17" t="n"/>
      <c r="I56" s="37" t="n"/>
      <c r="J56" s="14" t="n"/>
    </row>
    <row r="57">
      <c r="A57" s="17" t="n"/>
      <c r="B57" s="14" t="n"/>
      <c r="C57" s="14" t="n"/>
      <c r="D57" s="14" t="n"/>
      <c r="E57" s="14" t="n"/>
      <c r="F57" s="15" t="n"/>
      <c r="G57" s="14" t="n"/>
      <c r="H57" s="17" t="n"/>
      <c r="I57" s="37" t="n"/>
      <c r="J57" s="14" t="n"/>
    </row>
    <row r="58">
      <c r="A58" s="17" t="n"/>
      <c r="B58" s="14" t="n"/>
      <c r="C58" s="14" t="n"/>
      <c r="D58" s="14" t="n"/>
      <c r="E58" s="14" t="n"/>
      <c r="F58" s="15" t="n"/>
      <c r="G58" s="14" t="n"/>
      <c r="H58" s="17" t="n"/>
      <c r="I58" s="37" t="n"/>
      <c r="J58" s="14" t="n"/>
    </row>
    <row r="59">
      <c r="A59" s="17" t="n"/>
      <c r="B59" s="14" t="n"/>
      <c r="C59" s="14" t="n"/>
      <c r="D59" s="14" t="n"/>
      <c r="E59" s="14" t="n"/>
      <c r="F59" s="15" t="n"/>
      <c r="G59" s="14" t="n"/>
      <c r="H59" s="17" t="n"/>
      <c r="I59" s="37" t="n"/>
      <c r="J59" s="14" t="n"/>
    </row>
    <row r="60">
      <c r="A60" s="17" t="n"/>
      <c r="B60" s="14" t="n"/>
      <c r="C60" s="14" t="n"/>
      <c r="D60" s="14" t="n"/>
      <c r="E60" s="14" t="n"/>
      <c r="F60" s="15" t="n"/>
      <c r="G60" s="14" t="n"/>
      <c r="H60" s="17" t="n"/>
      <c r="I60" s="37" t="n"/>
      <c r="J60" s="14" t="n"/>
    </row>
    <row r="61">
      <c r="A61" s="17" t="n"/>
      <c r="B61" s="14" t="n"/>
      <c r="C61" s="14" t="n"/>
      <c r="D61" s="14" t="n"/>
      <c r="E61" s="14" t="n"/>
      <c r="F61" s="15" t="n"/>
      <c r="G61" s="14" t="n"/>
      <c r="H61" s="17" t="n"/>
      <c r="I61" s="37" t="n"/>
      <c r="J61" s="14" t="n"/>
    </row>
    <row r="62">
      <c r="A62" s="17" t="n"/>
      <c r="B62" s="14" t="n"/>
      <c r="C62" s="14" t="n"/>
      <c r="D62" s="14" t="n"/>
      <c r="E62" s="14" t="n"/>
      <c r="F62" s="15" t="n"/>
      <c r="G62" s="14" t="n"/>
      <c r="H62" s="17" t="n"/>
      <c r="I62" s="37" t="n"/>
      <c r="J62" s="14" t="n"/>
    </row>
    <row r="63">
      <c r="A63" s="17" t="n"/>
      <c r="B63" s="14" t="n"/>
      <c r="C63" s="14" t="n"/>
      <c r="D63" s="14" t="n"/>
      <c r="E63" s="14" t="n"/>
      <c r="F63" s="15" t="n"/>
      <c r="G63" s="14" t="n"/>
      <c r="H63" s="17" t="n"/>
      <c r="I63" s="37" t="n"/>
      <c r="J63" s="14" t="n"/>
    </row>
    <row r="64">
      <c r="A64" s="17" t="n"/>
      <c r="B64" s="14" t="n"/>
      <c r="C64" s="14" t="n"/>
      <c r="D64" s="14" t="n"/>
      <c r="E64" s="14" t="n"/>
      <c r="F64" s="15" t="n"/>
      <c r="G64" s="14" t="n"/>
      <c r="H64" s="17" t="n"/>
      <c r="I64" s="37" t="n"/>
      <c r="J64" s="14" t="n"/>
    </row>
    <row r="65">
      <c r="A65" s="17" t="n"/>
      <c r="B65" s="14" t="n"/>
      <c r="C65" s="14" t="n"/>
      <c r="D65" s="14" t="n"/>
      <c r="E65" s="14" t="n"/>
      <c r="F65" s="15" t="n"/>
      <c r="G65" s="14" t="n"/>
      <c r="H65" s="17" t="n"/>
      <c r="I65" s="37" t="n"/>
      <c r="J65" s="14" t="n"/>
    </row>
    <row r="66">
      <c r="A66" s="17" t="n"/>
      <c r="B66" s="14" t="n"/>
      <c r="C66" s="14" t="n"/>
      <c r="D66" s="14" t="n"/>
      <c r="E66" s="14" t="n"/>
      <c r="F66" s="15" t="n"/>
      <c r="G66" s="14" t="n"/>
      <c r="H66" s="17" t="n"/>
      <c r="I66" s="37" t="n"/>
      <c r="J66" s="14" t="n"/>
    </row>
    <row r="67">
      <c r="A67" s="17" t="n"/>
      <c r="B67" s="14" t="n"/>
      <c r="C67" s="14" t="n"/>
      <c r="D67" s="14" t="n"/>
      <c r="E67" s="14" t="n"/>
      <c r="F67" s="15" t="n"/>
      <c r="G67" s="14" t="n"/>
      <c r="H67" s="17" t="n"/>
      <c r="I67" s="37" t="n"/>
      <c r="J67" s="14" t="n"/>
    </row>
    <row r="68">
      <c r="A68" s="17" t="n"/>
      <c r="B68" s="14" t="n"/>
      <c r="C68" s="14" t="n"/>
      <c r="D68" s="14" t="n"/>
      <c r="E68" s="14" t="n"/>
      <c r="F68" s="15" t="n"/>
      <c r="G68" s="14" t="n"/>
      <c r="H68" s="17" t="n"/>
      <c r="I68" s="37" t="n"/>
      <c r="J68" s="14" t="n"/>
    </row>
    <row r="69">
      <c r="A69" s="17" t="n"/>
      <c r="B69" s="14" t="n"/>
      <c r="C69" s="14" t="n"/>
      <c r="D69" s="14" t="n"/>
      <c r="E69" s="14" t="n"/>
      <c r="F69" s="15" t="n"/>
      <c r="G69" s="14" t="n"/>
      <c r="H69" s="17" t="n"/>
      <c r="I69" s="37" t="n"/>
      <c r="J69" s="14" t="n"/>
    </row>
    <row r="70">
      <c r="A70" s="17" t="n"/>
      <c r="B70" s="14" t="n"/>
      <c r="C70" s="14" t="n"/>
      <c r="D70" s="14" t="n"/>
      <c r="E70" s="14" t="n"/>
      <c r="F70" s="15" t="n"/>
      <c r="G70" s="14" t="n"/>
      <c r="H70" s="17" t="n"/>
      <c r="I70" s="37" t="n"/>
      <c r="J70" s="14" t="n"/>
    </row>
    <row r="71">
      <c r="A71" s="17" t="n"/>
      <c r="B71" s="14" t="n"/>
      <c r="C71" s="14" t="n"/>
      <c r="D71" s="14" t="n"/>
      <c r="E71" s="14" t="n"/>
      <c r="F71" s="15" t="n"/>
      <c r="G71" s="14" t="n"/>
      <c r="H71" s="17" t="n"/>
      <c r="I71" s="37" t="n"/>
      <c r="J71" s="14" t="n"/>
    </row>
    <row r="72">
      <c r="A72" s="17" t="n"/>
      <c r="B72" s="14" t="n"/>
      <c r="C72" s="14" t="n"/>
      <c r="D72" s="14" t="n"/>
      <c r="E72" s="14" t="n"/>
      <c r="F72" s="15" t="n"/>
      <c r="G72" s="14" t="n"/>
      <c r="H72" s="17" t="n"/>
      <c r="I72" s="37" t="n"/>
      <c r="J72" s="14" t="n"/>
    </row>
    <row r="73">
      <c r="A73" s="17" t="n"/>
      <c r="B73" s="14" t="n"/>
      <c r="C73" s="14" t="n"/>
      <c r="D73" s="14" t="n"/>
      <c r="E73" s="14" t="n"/>
      <c r="F73" s="15" t="n"/>
      <c r="G73" s="14" t="n"/>
      <c r="H73" s="17" t="n"/>
      <c r="I73" s="37" t="n"/>
      <c r="J73" s="14" t="n"/>
    </row>
    <row r="74">
      <c r="A74" s="17" t="n"/>
      <c r="B74" s="14" t="n"/>
      <c r="C74" s="14" t="n"/>
      <c r="D74" s="14" t="n"/>
      <c r="E74" s="14" t="n"/>
      <c r="F74" s="15" t="n"/>
      <c r="G74" s="14" t="n"/>
      <c r="H74" s="17" t="n"/>
      <c r="I74" s="37" t="n"/>
      <c r="J74" s="14" t="n"/>
    </row>
    <row r="75">
      <c r="A75" s="17" t="n"/>
      <c r="B75" s="14" t="n"/>
      <c r="C75" s="14" t="n"/>
      <c r="D75" s="14" t="n"/>
      <c r="E75" s="14" t="n"/>
      <c r="F75" s="15" t="n"/>
      <c r="G75" s="14" t="n"/>
      <c r="H75" s="17" t="n"/>
      <c r="I75" s="37" t="n"/>
      <c r="J75" s="14" t="n"/>
    </row>
    <row r="76">
      <c r="A76" s="17" t="n"/>
      <c r="B76" s="14" t="n"/>
      <c r="C76" s="14" t="n"/>
      <c r="D76" s="14" t="n"/>
      <c r="E76" s="14" t="n"/>
      <c r="F76" s="15" t="n"/>
      <c r="G76" s="14" t="n"/>
      <c r="H76" s="17" t="n"/>
      <c r="I76" s="37" t="n"/>
      <c r="J76" s="14" t="n"/>
    </row>
    <row r="77">
      <c r="A77" s="17" t="n"/>
      <c r="B77" s="14" t="n"/>
      <c r="C77" s="14" t="n"/>
      <c r="D77" s="14" t="n"/>
      <c r="E77" s="14" t="n"/>
      <c r="F77" s="15" t="n"/>
      <c r="G77" s="14" t="n"/>
      <c r="H77" s="17" t="n"/>
      <c r="I77" s="37" t="n"/>
      <c r="J77" s="14" t="n"/>
    </row>
    <row r="78">
      <c r="A78" s="17" t="n"/>
      <c r="B78" s="14" t="n"/>
      <c r="C78" s="14" t="n"/>
      <c r="D78" s="14" t="n"/>
      <c r="E78" s="14" t="n"/>
      <c r="F78" s="15" t="n"/>
      <c r="G78" s="14" t="n"/>
      <c r="H78" s="17" t="n"/>
      <c r="I78" s="37" t="n"/>
      <c r="J78" s="14" t="n"/>
    </row>
    <row r="79">
      <c r="A79" s="17" t="n"/>
      <c r="B79" s="14" t="n"/>
      <c r="C79" s="14" t="n"/>
      <c r="D79" s="14" t="n"/>
      <c r="E79" s="14" t="n"/>
      <c r="F79" s="15" t="n"/>
      <c r="G79" s="14" t="n"/>
      <c r="H79" s="17" t="n"/>
      <c r="I79" s="37" t="n"/>
      <c r="J79" s="14" t="n"/>
    </row>
    <row r="80">
      <c r="A80" s="17" t="n"/>
      <c r="B80" s="14" t="n"/>
      <c r="C80" s="14" t="n"/>
      <c r="D80" s="14" t="n"/>
      <c r="E80" s="14" t="n"/>
      <c r="F80" s="15" t="n"/>
      <c r="G80" s="14" t="n"/>
      <c r="H80" s="17" t="n"/>
      <c r="I80" s="37" t="n"/>
      <c r="J80" s="14" t="n"/>
    </row>
    <row r="81">
      <c r="A81" s="17" t="n"/>
      <c r="B81" s="14" t="n"/>
      <c r="C81" s="14" t="n"/>
      <c r="D81" s="14" t="n"/>
      <c r="E81" s="14" t="n"/>
      <c r="F81" s="15" t="n"/>
      <c r="G81" s="14" t="n"/>
      <c r="H81" s="17" t="n"/>
      <c r="I81" s="37" t="n"/>
      <c r="J81" s="14" t="n"/>
    </row>
    <row r="82">
      <c r="A82" s="17" t="n"/>
      <c r="B82" s="14" t="n"/>
      <c r="C82" s="14" t="n"/>
      <c r="D82" s="14" t="n"/>
      <c r="E82" s="14" t="n"/>
      <c r="F82" s="15" t="n"/>
      <c r="G82" s="14" t="n"/>
      <c r="H82" s="17" t="n"/>
      <c r="I82" s="37" t="n"/>
      <c r="J82" s="14" t="n"/>
    </row>
    <row r="83">
      <c r="A83" s="17" t="n"/>
      <c r="B83" s="14" t="n"/>
      <c r="C83" s="14" t="n"/>
      <c r="D83" s="14" t="n"/>
      <c r="E83" s="14" t="n"/>
      <c r="F83" s="15" t="n"/>
      <c r="G83" s="14" t="n"/>
      <c r="H83" s="17" t="n"/>
      <c r="I83" s="37" t="n"/>
      <c r="J83" s="14" t="n"/>
    </row>
    <row r="84">
      <c r="A84" s="17" t="n"/>
      <c r="B84" s="14" t="n"/>
      <c r="C84" s="14" t="n"/>
      <c r="D84" s="14" t="n"/>
      <c r="E84" s="14" t="n"/>
      <c r="F84" s="15" t="n"/>
      <c r="G84" s="14" t="n"/>
      <c r="H84" s="17" t="n"/>
      <c r="I84" s="37" t="n"/>
      <c r="J84" s="14" t="n"/>
    </row>
    <row r="85">
      <c r="A85" s="17" t="n"/>
      <c r="B85" s="14" t="n"/>
      <c r="C85" s="14" t="n"/>
      <c r="D85" s="14" t="n"/>
      <c r="E85" s="14" t="n"/>
      <c r="F85" s="15" t="n"/>
      <c r="G85" s="14" t="n"/>
      <c r="H85" s="17" t="n"/>
      <c r="I85" s="37" t="n"/>
      <c r="J85" s="14" t="n"/>
    </row>
    <row r="86">
      <c r="A86" s="17" t="n"/>
      <c r="B86" s="14" t="n"/>
      <c r="C86" s="14" t="n"/>
      <c r="D86" s="14" t="n"/>
      <c r="E86" s="14" t="n"/>
      <c r="F86" s="15" t="n"/>
      <c r="G86" s="14" t="n"/>
      <c r="H86" s="17" t="n"/>
      <c r="I86" s="37" t="n"/>
      <c r="J86" s="14" t="n"/>
    </row>
    <row r="87">
      <c r="A87" s="17" t="n"/>
      <c r="B87" s="14" t="n"/>
      <c r="C87" s="14" t="n"/>
      <c r="D87" s="14" t="n"/>
      <c r="E87" s="14" t="n"/>
      <c r="F87" s="15" t="n"/>
      <c r="G87" s="14" t="n"/>
      <c r="H87" s="17" t="n"/>
      <c r="I87" s="37" t="n"/>
      <c r="J87" s="14" t="n"/>
    </row>
    <row r="88">
      <c r="A88" s="17" t="n"/>
      <c r="B88" s="14" t="n"/>
      <c r="C88" s="14" t="n"/>
      <c r="D88" s="14" t="n"/>
      <c r="E88" s="14" t="n"/>
      <c r="F88" s="15" t="n"/>
      <c r="G88" s="14" t="n"/>
      <c r="H88" s="17" t="n"/>
      <c r="I88" s="37" t="n"/>
      <c r="J88" s="14" t="n"/>
    </row>
    <row r="89">
      <c r="A89" s="17" t="n"/>
      <c r="B89" s="14" t="n"/>
      <c r="C89" s="14" t="n"/>
      <c r="D89" s="14" t="n"/>
      <c r="E89" s="14" t="n"/>
      <c r="F89" s="15" t="n"/>
      <c r="G89" s="14" t="n"/>
      <c r="H89" s="17" t="n"/>
      <c r="I89" s="37" t="n"/>
      <c r="J89" s="14" t="n"/>
    </row>
    <row r="90">
      <c r="A90" s="17" t="n"/>
      <c r="B90" s="14" t="n"/>
      <c r="C90" s="14" t="n"/>
      <c r="D90" s="14" t="n"/>
      <c r="E90" s="14" t="n"/>
      <c r="F90" s="15" t="n"/>
      <c r="G90" s="14" t="n"/>
      <c r="H90" s="17" t="n"/>
      <c r="I90" s="37" t="n"/>
      <c r="J90" s="14" t="n"/>
    </row>
    <row r="91">
      <c r="A91" s="17" t="n"/>
      <c r="B91" s="14" t="n"/>
      <c r="C91" s="14" t="n"/>
      <c r="D91" s="14" t="n"/>
      <c r="E91" s="14" t="n"/>
      <c r="F91" s="15" t="n"/>
      <c r="G91" s="14" t="n"/>
      <c r="H91" s="17" t="n"/>
      <c r="I91" s="37" t="n"/>
      <c r="J91" s="14" t="n"/>
    </row>
    <row r="92">
      <c r="A92" s="17" t="n"/>
      <c r="B92" s="14" t="n"/>
      <c r="C92" s="14" t="n"/>
      <c r="D92" s="14" t="n"/>
      <c r="E92" s="14" t="n"/>
      <c r="F92" s="15" t="n"/>
      <c r="G92" s="14" t="n"/>
      <c r="H92" s="17" t="n"/>
      <c r="I92" s="37" t="n"/>
      <c r="J92" s="14" t="n"/>
    </row>
    <row r="93">
      <c r="A93" s="17" t="n"/>
      <c r="B93" s="14" t="n"/>
      <c r="C93" s="14" t="n"/>
      <c r="D93" s="14" t="n"/>
      <c r="E93" s="14" t="n"/>
      <c r="F93" s="15" t="n"/>
      <c r="G93" s="14" t="n"/>
      <c r="H93" s="17" t="n"/>
      <c r="I93" s="37" t="n"/>
      <c r="J93" s="14" t="n"/>
    </row>
    <row r="94">
      <c r="A94" s="17" t="n"/>
      <c r="B94" s="14" t="n"/>
      <c r="C94" s="14" t="n"/>
      <c r="D94" s="14" t="n"/>
      <c r="E94" s="14" t="n"/>
      <c r="F94" s="15" t="n"/>
      <c r="G94" s="14" t="n"/>
      <c r="H94" s="17" t="n"/>
      <c r="I94" s="37" t="n"/>
      <c r="J94" s="14" t="n"/>
    </row>
    <row r="95">
      <c r="A95" s="17" t="n"/>
      <c r="B95" s="14" t="n"/>
      <c r="C95" s="14" t="n"/>
      <c r="D95" s="14" t="n"/>
      <c r="E95" s="14" t="n"/>
      <c r="F95" s="15" t="n"/>
      <c r="G95" s="14" t="n"/>
      <c r="H95" s="17" t="n"/>
      <c r="I95" s="37" t="n"/>
      <c r="J95" s="14" t="n"/>
    </row>
    <row r="96">
      <c r="A96" s="17" t="n"/>
      <c r="B96" s="14" t="n"/>
      <c r="C96" s="14" t="n"/>
      <c r="D96" s="14" t="n"/>
      <c r="E96" s="14" t="n"/>
      <c r="F96" s="15" t="n"/>
      <c r="G96" s="14" t="n"/>
      <c r="H96" s="17" t="n"/>
      <c r="I96" s="37" t="n"/>
      <c r="J96" s="14" t="n"/>
    </row>
    <row r="97">
      <c r="A97" s="17" t="n"/>
      <c r="B97" s="14" t="n"/>
      <c r="C97" s="14" t="n"/>
      <c r="D97" s="14" t="n"/>
      <c r="E97" s="14" t="n"/>
      <c r="F97" s="15" t="n"/>
      <c r="G97" s="14" t="n"/>
      <c r="H97" s="17" t="n"/>
      <c r="I97" s="37" t="n"/>
      <c r="J97" s="14" t="n"/>
    </row>
    <row r="98">
      <c r="A98" s="17" t="n"/>
      <c r="B98" s="14" t="n"/>
      <c r="C98" s="14" t="n"/>
      <c r="D98" s="14" t="n"/>
      <c r="E98" s="14" t="n"/>
      <c r="F98" s="15" t="n"/>
      <c r="G98" s="14" t="n"/>
      <c r="H98" s="17" t="n"/>
      <c r="I98" s="37" t="n"/>
      <c r="J98" s="14" t="n"/>
    </row>
    <row r="99">
      <c r="A99" s="17" t="n"/>
      <c r="B99" s="14" t="n"/>
      <c r="C99" s="14" t="n"/>
      <c r="D99" s="14" t="n"/>
      <c r="E99" s="14" t="n"/>
      <c r="F99" s="15" t="n"/>
      <c r="G99" s="14" t="n"/>
      <c r="H99" s="17" t="n"/>
      <c r="I99" s="37" t="n"/>
      <c r="J99" s="14" t="n"/>
    </row>
    <row r="100">
      <c r="A100" s="17" t="n"/>
      <c r="B100" s="14" t="n"/>
      <c r="C100" s="14" t="n"/>
      <c r="D100" s="14" t="n"/>
      <c r="E100" s="14" t="n"/>
      <c r="F100" s="15" t="n"/>
      <c r="G100" s="14" t="n"/>
      <c r="H100" s="17" t="n"/>
      <c r="I100" s="37" t="n"/>
      <c r="J100" s="14" t="n"/>
    </row>
    <row r="101">
      <c r="A101" s="17" t="n"/>
      <c r="B101" s="14" t="n"/>
      <c r="C101" s="14" t="n"/>
      <c r="D101" s="14" t="n"/>
      <c r="E101" s="14" t="n"/>
      <c r="F101" s="15" t="n"/>
      <c r="G101" s="14" t="n"/>
      <c r="H101" s="17" t="n"/>
      <c r="I101" s="37" t="n"/>
      <c r="J101" s="14" t="n"/>
    </row>
    <row r="102">
      <c r="A102" s="17" t="n"/>
      <c r="B102" s="14" t="n"/>
      <c r="C102" s="14" t="n"/>
      <c r="D102" s="14" t="n"/>
      <c r="E102" s="14" t="n"/>
      <c r="F102" s="15" t="n"/>
      <c r="G102" s="14" t="n"/>
      <c r="H102" s="17" t="n"/>
      <c r="I102" s="37" t="n"/>
      <c r="J102" s="14" t="n"/>
    </row>
    <row r="103">
      <c r="A103" s="17" t="n"/>
      <c r="B103" s="14" t="n"/>
      <c r="C103" s="14" t="n"/>
      <c r="D103" s="14" t="n"/>
      <c r="E103" s="14" t="n"/>
      <c r="F103" s="15" t="n"/>
      <c r="G103" s="14" t="n"/>
      <c r="H103" s="17" t="n"/>
      <c r="I103" s="37" t="n"/>
      <c r="J103" s="14" t="n"/>
    </row>
    <row r="104">
      <c r="A104" s="17" t="n"/>
      <c r="B104" s="14" t="n"/>
      <c r="C104" s="14" t="n"/>
      <c r="D104" s="14" t="n"/>
      <c r="E104" s="14" t="n"/>
      <c r="F104" s="15" t="n"/>
      <c r="G104" s="14" t="n"/>
      <c r="H104" s="17" t="n"/>
      <c r="I104" s="37" t="n"/>
      <c r="J104" s="14" t="n"/>
    </row>
    <row r="105">
      <c r="A105" s="17" t="n"/>
      <c r="B105" s="14" t="n"/>
      <c r="C105" s="14" t="n"/>
      <c r="D105" s="14" t="n"/>
      <c r="E105" s="14" t="n"/>
      <c r="F105" s="15" t="n"/>
      <c r="G105" s="14" t="n"/>
      <c r="H105" s="17" t="n"/>
      <c r="I105" s="37" t="n"/>
      <c r="J105" s="14" t="n"/>
    </row>
    <row r="106">
      <c r="A106" s="17" t="n"/>
      <c r="B106" s="14" t="n"/>
      <c r="C106" s="14" t="n"/>
      <c r="D106" s="14" t="n"/>
      <c r="E106" s="14" t="n"/>
      <c r="F106" s="15" t="n"/>
      <c r="G106" s="14" t="n"/>
      <c r="H106" s="17" t="n"/>
      <c r="I106" s="37" t="n"/>
      <c r="J106" s="14" t="n"/>
    </row>
    <row r="107">
      <c r="A107" s="17" t="n"/>
      <c r="B107" s="14" t="n"/>
      <c r="C107" s="14" t="n"/>
      <c r="D107" s="14" t="n"/>
      <c r="E107" s="14" t="n"/>
      <c r="F107" s="15" t="n"/>
      <c r="G107" s="14" t="n"/>
      <c r="H107" s="17" t="n"/>
      <c r="I107" s="37" t="n"/>
      <c r="J107" s="14" t="n"/>
    </row>
    <row r="108">
      <c r="A108" s="17" t="n"/>
      <c r="B108" s="14" t="n"/>
      <c r="C108" s="14" t="n"/>
      <c r="D108" s="14" t="n"/>
      <c r="E108" s="14" t="n"/>
      <c r="F108" s="15" t="n"/>
      <c r="G108" s="14" t="n"/>
      <c r="H108" s="17" t="n"/>
      <c r="I108" s="37" t="n"/>
      <c r="J108" s="14" t="n"/>
    </row>
    <row r="109">
      <c r="A109" s="17" t="n"/>
      <c r="B109" s="14" t="n"/>
      <c r="C109" s="14" t="n"/>
      <c r="D109" s="14" t="n"/>
      <c r="E109" s="14" t="n"/>
      <c r="F109" s="15" t="n"/>
      <c r="G109" s="14" t="n"/>
      <c r="H109" s="17" t="n"/>
      <c r="I109" s="37" t="n"/>
      <c r="J109" s="14" t="n"/>
    </row>
    <row r="110">
      <c r="A110" s="17" t="n"/>
      <c r="B110" s="14" t="n"/>
      <c r="C110" s="14" t="n"/>
      <c r="D110" s="14" t="n"/>
      <c r="E110" s="14" t="n"/>
      <c r="F110" s="15" t="n"/>
      <c r="G110" s="14" t="n"/>
      <c r="H110" s="17" t="n"/>
      <c r="I110" s="37" t="n"/>
      <c r="J110" s="14" t="n"/>
    </row>
    <row r="111">
      <c r="A111" s="17" t="n"/>
      <c r="B111" s="14" t="n"/>
      <c r="C111" s="14" t="n"/>
      <c r="D111" s="14" t="n"/>
      <c r="E111" s="14" t="n"/>
      <c r="F111" s="15" t="n"/>
      <c r="G111" s="14" t="n"/>
      <c r="H111" s="17" t="n"/>
      <c r="I111" s="37" t="n"/>
      <c r="J111" s="14" t="n"/>
    </row>
    <row r="112">
      <c r="A112" s="17" t="n"/>
      <c r="B112" s="14" t="n"/>
      <c r="C112" s="14" t="n"/>
      <c r="D112" s="14" t="n"/>
      <c r="E112" s="14" t="n"/>
      <c r="F112" s="15" t="n"/>
      <c r="G112" s="14" t="n"/>
      <c r="H112" s="17" t="n"/>
      <c r="I112" s="37" t="n"/>
      <c r="J112" s="14" t="n"/>
    </row>
    <row r="113">
      <c r="A113" s="17" t="n"/>
      <c r="B113" s="14" t="n"/>
      <c r="C113" s="14" t="n"/>
      <c r="D113" s="14" t="n"/>
      <c r="E113" s="14" t="n"/>
      <c r="F113" s="15" t="n"/>
      <c r="G113" s="14" t="n"/>
      <c r="H113" s="17" t="n"/>
      <c r="I113" s="37" t="n"/>
      <c r="J113" s="14" t="n"/>
    </row>
    <row r="114">
      <c r="A114" s="17" t="n"/>
      <c r="B114" s="14" t="n"/>
      <c r="C114" s="14" t="n"/>
      <c r="D114" s="14" t="n"/>
      <c r="E114" s="14" t="n"/>
      <c r="F114" s="15" t="n"/>
      <c r="G114" s="14" t="n"/>
      <c r="H114" s="17" t="n"/>
      <c r="I114" s="37" t="n"/>
      <c r="J114" s="14" t="n"/>
    </row>
    <row r="115">
      <c r="A115" s="17" t="n"/>
      <c r="B115" s="14" t="n"/>
      <c r="C115" s="14" t="n"/>
      <c r="D115" s="14" t="n"/>
      <c r="E115" s="14" t="n"/>
      <c r="F115" s="15" t="n"/>
      <c r="G115" s="14" t="n"/>
      <c r="H115" s="17" t="n"/>
      <c r="I115" s="37" t="n"/>
      <c r="J115" s="14" t="n"/>
    </row>
    <row r="116">
      <c r="A116" s="17" t="n"/>
      <c r="B116" s="14" t="n"/>
      <c r="C116" s="14" t="n"/>
      <c r="D116" s="14" t="n"/>
      <c r="E116" s="14" t="n"/>
      <c r="F116" s="15" t="n"/>
      <c r="G116" s="14" t="n"/>
      <c r="H116" s="17" t="n"/>
      <c r="I116" s="37" t="n"/>
      <c r="J116" s="14" t="n"/>
    </row>
    <row r="117">
      <c r="A117" s="17" t="n"/>
      <c r="B117" s="14" t="n"/>
      <c r="C117" s="14" t="n"/>
      <c r="D117" s="14" t="n"/>
      <c r="E117" s="14" t="n"/>
      <c r="F117" s="15" t="n"/>
      <c r="G117" s="14" t="n"/>
      <c r="H117" s="17" t="n"/>
      <c r="I117" s="37" t="n"/>
      <c r="J117" s="14" t="n"/>
    </row>
    <row r="118">
      <c r="A118" s="17" t="n"/>
      <c r="B118" s="14" t="n"/>
      <c r="C118" s="14" t="n"/>
      <c r="D118" s="14" t="n"/>
      <c r="E118" s="14" t="n"/>
      <c r="F118" s="15" t="n"/>
      <c r="G118" s="14" t="n"/>
      <c r="H118" s="17" t="n"/>
      <c r="I118" s="37" t="n"/>
      <c r="J118" s="14" t="n"/>
    </row>
    <row r="119">
      <c r="A119" s="17" t="n"/>
      <c r="B119" s="14" t="n"/>
      <c r="C119" s="14" t="n"/>
      <c r="D119" s="14" t="n"/>
      <c r="E119" s="14" t="n"/>
      <c r="F119" s="15" t="n"/>
      <c r="G119" s="14" t="n"/>
      <c r="H119" s="17" t="n"/>
      <c r="I119" s="37" t="n"/>
      <c r="J119" s="14" t="n"/>
    </row>
    <row r="120">
      <c r="A120" s="17" t="n"/>
      <c r="B120" s="14" t="n"/>
      <c r="C120" s="14" t="n"/>
      <c r="D120" s="14" t="n"/>
      <c r="E120" s="14" t="n"/>
      <c r="F120" s="15" t="n"/>
      <c r="G120" s="14" t="n"/>
      <c r="H120" s="17" t="n"/>
      <c r="I120" s="37" t="n"/>
      <c r="J120" s="14" t="n"/>
    </row>
    <row r="121">
      <c r="A121" s="17" t="n"/>
      <c r="B121" s="14" t="n"/>
      <c r="C121" s="14" t="n"/>
      <c r="D121" s="14" t="n"/>
      <c r="E121" s="14" t="n"/>
      <c r="F121" s="15" t="n"/>
      <c r="G121" s="14" t="n"/>
      <c r="H121" s="17" t="n"/>
      <c r="I121" s="37" t="n"/>
      <c r="J121" s="14" t="n"/>
    </row>
    <row r="122">
      <c r="A122" s="17" t="n"/>
      <c r="B122" s="14" t="n"/>
      <c r="C122" s="14" t="n"/>
      <c r="D122" s="14" t="n"/>
      <c r="E122" s="14" t="n"/>
      <c r="F122" s="15" t="n"/>
      <c r="G122" s="14" t="n"/>
      <c r="H122" s="17" t="n"/>
      <c r="I122" s="37" t="n"/>
      <c r="J122" s="14" t="n"/>
    </row>
    <row r="123">
      <c r="A123" s="17" t="n"/>
      <c r="B123" s="14" t="n"/>
      <c r="C123" s="14" t="n"/>
      <c r="D123" s="14" t="n"/>
      <c r="E123" s="14" t="n"/>
      <c r="F123" s="15" t="n"/>
      <c r="G123" s="14" t="n"/>
      <c r="H123" s="17" t="n"/>
      <c r="I123" s="37" t="n"/>
      <c r="J123" s="14" t="n"/>
    </row>
    <row r="124">
      <c r="A124" s="17" t="n"/>
      <c r="B124" s="14" t="n"/>
      <c r="C124" s="14" t="n"/>
      <c r="D124" s="14" t="n"/>
      <c r="E124" s="14" t="n"/>
      <c r="F124" s="15" t="n"/>
      <c r="G124" s="14" t="n"/>
      <c r="H124" s="17" t="n"/>
      <c r="I124" s="37" t="n"/>
      <c r="J124" s="14" t="n"/>
    </row>
    <row r="125">
      <c r="A125" s="17" t="n"/>
      <c r="B125" s="14" t="n"/>
      <c r="C125" s="14" t="n"/>
      <c r="D125" s="14" t="n"/>
      <c r="E125" s="14" t="n"/>
      <c r="F125" s="15" t="n"/>
      <c r="G125" s="14" t="n"/>
      <c r="H125" s="17" t="n"/>
      <c r="I125" s="37" t="n"/>
      <c r="J125" s="14" t="n"/>
    </row>
    <row r="126">
      <c r="A126" s="17" t="n"/>
      <c r="B126" s="14" t="n"/>
      <c r="C126" s="14" t="n"/>
      <c r="D126" s="14" t="n"/>
      <c r="E126" s="14" t="n"/>
      <c r="F126" s="15" t="n"/>
      <c r="G126" s="14" t="n"/>
      <c r="H126" s="17" t="n"/>
      <c r="I126" s="37" t="n"/>
      <c r="J126" s="14" t="n"/>
    </row>
    <row r="127">
      <c r="A127" s="17" t="n"/>
      <c r="B127" s="14" t="n"/>
      <c r="C127" s="14" t="n"/>
      <c r="D127" s="14" t="n"/>
      <c r="E127" s="14" t="n"/>
      <c r="F127" s="15" t="n"/>
      <c r="G127" s="14" t="n"/>
      <c r="H127" s="17" t="n"/>
      <c r="I127" s="37" t="n"/>
      <c r="J127" s="14" t="n"/>
    </row>
    <row r="128">
      <c r="A128" s="17" t="n"/>
      <c r="B128" s="14" t="n"/>
      <c r="C128" s="14" t="n"/>
      <c r="D128" s="14" t="n"/>
      <c r="E128" s="14" t="n"/>
      <c r="F128" s="15" t="n"/>
      <c r="G128" s="14" t="n"/>
      <c r="H128" s="17" t="n"/>
      <c r="I128" s="37" t="n"/>
      <c r="J128" s="14" t="n"/>
    </row>
    <row r="129">
      <c r="A129" s="17" t="n"/>
      <c r="B129" s="14" t="n"/>
      <c r="C129" s="14" t="n"/>
      <c r="D129" s="14" t="n"/>
      <c r="E129" s="14" t="n"/>
      <c r="F129" s="15" t="n"/>
      <c r="G129" s="14" t="n"/>
      <c r="H129" s="17" t="n"/>
      <c r="I129" s="37" t="n"/>
      <c r="J129" s="14" t="n"/>
    </row>
    <row r="130">
      <c r="A130" s="17" t="n"/>
      <c r="B130" s="14" t="n"/>
      <c r="C130" s="14" t="n"/>
      <c r="D130" s="14" t="n"/>
      <c r="E130" s="14" t="n"/>
      <c r="F130" s="15" t="n"/>
      <c r="G130" s="14" t="n"/>
      <c r="H130" s="17" t="n"/>
      <c r="I130" s="37" t="n"/>
      <c r="J130" s="14" t="n"/>
    </row>
    <row r="131">
      <c r="A131" s="17" t="n"/>
      <c r="B131" s="14" t="n"/>
      <c r="C131" s="14" t="n"/>
      <c r="D131" s="14" t="n"/>
      <c r="E131" s="14" t="n"/>
      <c r="F131" s="15" t="n"/>
      <c r="G131" s="14" t="n"/>
      <c r="H131" s="17" t="n"/>
      <c r="I131" s="37" t="n"/>
      <c r="J131" s="14" t="n"/>
    </row>
    <row r="132">
      <c r="A132" s="17" t="n"/>
      <c r="B132" s="14" t="n"/>
      <c r="C132" s="14" t="n"/>
      <c r="D132" s="14" t="n"/>
      <c r="E132" s="14" t="n"/>
      <c r="F132" s="15" t="n"/>
      <c r="G132" s="14" t="n"/>
      <c r="H132" s="17" t="n"/>
      <c r="I132" s="37" t="n"/>
      <c r="J132" s="14" t="n"/>
    </row>
    <row r="133">
      <c r="A133" s="17" t="n"/>
      <c r="B133" s="14" t="n"/>
      <c r="C133" s="14" t="n"/>
      <c r="D133" s="14" t="n"/>
      <c r="E133" s="14" t="n"/>
      <c r="F133" s="15" t="n"/>
      <c r="G133" s="14" t="n"/>
      <c r="H133" s="17" t="n"/>
      <c r="I133" s="37" t="n"/>
      <c r="J133" s="14" t="n"/>
    </row>
    <row r="134">
      <c r="A134" s="17" t="n"/>
      <c r="B134" s="14" t="n"/>
      <c r="C134" s="14" t="n"/>
      <c r="D134" s="14" t="n"/>
      <c r="E134" s="14" t="n"/>
      <c r="F134" s="15" t="n"/>
      <c r="G134" s="14" t="n"/>
      <c r="H134" s="17" t="n"/>
      <c r="I134" s="37" t="n"/>
      <c r="J134" s="14" t="n"/>
    </row>
    <row r="135">
      <c r="A135" s="17" t="n"/>
      <c r="B135" s="14" t="n"/>
      <c r="C135" s="14" t="n"/>
      <c r="D135" s="14" t="n"/>
      <c r="E135" s="14" t="n"/>
      <c r="F135" s="15" t="n"/>
      <c r="G135" s="14" t="n"/>
      <c r="H135" s="17" t="n"/>
      <c r="I135" s="37" t="n"/>
      <c r="J135" s="14" t="n"/>
    </row>
    <row r="136">
      <c r="A136" s="17" t="n"/>
      <c r="B136" s="14" t="n"/>
      <c r="C136" s="14" t="n"/>
      <c r="D136" s="14" t="n"/>
      <c r="E136" s="14" t="n"/>
      <c r="F136" s="15" t="n"/>
      <c r="G136" s="14" t="n"/>
      <c r="H136" s="17" t="n"/>
      <c r="I136" s="37" t="n"/>
      <c r="J136" s="14" t="n"/>
    </row>
    <row r="137">
      <c r="A137" s="17" t="n"/>
      <c r="B137" s="14" t="n"/>
      <c r="C137" s="14" t="n"/>
      <c r="D137" s="14" t="n"/>
      <c r="E137" s="14" t="n"/>
      <c r="F137" s="15" t="n"/>
      <c r="G137" s="14" t="n"/>
      <c r="H137" s="17" t="n"/>
      <c r="I137" s="37" t="n"/>
      <c r="J137" s="14" t="n"/>
    </row>
    <row r="138">
      <c r="A138" s="17" t="n"/>
      <c r="B138" s="14" t="n"/>
      <c r="C138" s="14" t="n"/>
      <c r="D138" s="14" t="n"/>
      <c r="E138" s="14" t="n"/>
      <c r="F138" s="15" t="n"/>
      <c r="G138" s="14" t="n"/>
      <c r="H138" s="17" t="n"/>
      <c r="I138" s="37" t="n"/>
      <c r="J138" s="14" t="n"/>
    </row>
    <row r="139">
      <c r="A139" s="17" t="n"/>
      <c r="B139" s="14" t="n"/>
      <c r="C139" s="14" t="n"/>
      <c r="D139" s="14" t="n"/>
      <c r="E139" s="14" t="n"/>
      <c r="F139" s="15" t="n"/>
      <c r="G139" s="14" t="n"/>
      <c r="H139" s="17" t="n"/>
      <c r="I139" s="37" t="n"/>
      <c r="J139" s="14" t="n"/>
    </row>
    <row r="140">
      <c r="A140" s="17" t="n"/>
      <c r="B140" s="14" t="n"/>
      <c r="C140" s="14" t="n"/>
      <c r="D140" s="14" t="n"/>
      <c r="E140" s="14" t="n"/>
      <c r="F140" s="15" t="n"/>
      <c r="G140" s="14" t="n"/>
      <c r="H140" s="17" t="n"/>
      <c r="I140" s="37" t="n"/>
      <c r="J140" s="14" t="n"/>
    </row>
    <row r="141">
      <c r="A141" s="17" t="n"/>
      <c r="B141" s="14" t="n"/>
      <c r="C141" s="14" t="n"/>
      <c r="D141" s="14" t="n"/>
      <c r="E141" s="14" t="n"/>
      <c r="F141" s="15" t="n"/>
      <c r="G141" s="14" t="n"/>
      <c r="H141" s="17" t="n"/>
      <c r="I141" s="37" t="n"/>
      <c r="J141" s="14" t="n"/>
    </row>
    <row r="142">
      <c r="A142" s="17" t="n"/>
      <c r="B142" s="14" t="n"/>
      <c r="C142" s="14" t="n"/>
      <c r="D142" s="14" t="n"/>
      <c r="E142" s="14" t="n"/>
      <c r="F142" s="15" t="n"/>
      <c r="G142" s="14" t="n"/>
      <c r="H142" s="17" t="n"/>
      <c r="I142" s="37" t="n"/>
      <c r="J142" s="14" t="n"/>
    </row>
    <row r="143">
      <c r="A143" s="17" t="n"/>
      <c r="B143" s="14" t="n"/>
      <c r="C143" s="14" t="n"/>
      <c r="D143" s="14" t="n"/>
      <c r="E143" s="14" t="n"/>
      <c r="F143" s="15" t="n"/>
      <c r="G143" s="14" t="n"/>
      <c r="H143" s="17" t="n"/>
      <c r="I143" s="37" t="n"/>
      <c r="J143" s="14" t="n"/>
    </row>
    <row r="144">
      <c r="A144" s="17" t="n"/>
      <c r="B144" s="14" t="n"/>
      <c r="C144" s="14" t="n"/>
      <c r="D144" s="14" t="n"/>
      <c r="E144" s="14" t="n"/>
      <c r="F144" s="15" t="n"/>
      <c r="G144" s="14" t="n"/>
      <c r="H144" s="17" t="n"/>
      <c r="I144" s="37" t="n"/>
      <c r="J144" s="14" t="n"/>
    </row>
    <row r="145">
      <c r="A145" s="17" t="n"/>
      <c r="B145" s="14" t="n"/>
      <c r="C145" s="14" t="n"/>
      <c r="D145" s="14" t="n"/>
      <c r="E145" s="14" t="n"/>
      <c r="F145" s="15" t="n"/>
      <c r="G145" s="14" t="n"/>
      <c r="H145" s="17" t="n"/>
      <c r="I145" s="37" t="n"/>
      <c r="J145" s="14" t="n"/>
    </row>
    <row r="146">
      <c r="A146" s="17" t="n"/>
      <c r="B146" s="14" t="n"/>
      <c r="C146" s="14" t="n"/>
      <c r="D146" s="14" t="n"/>
      <c r="E146" s="14" t="n"/>
      <c r="F146" s="15" t="n"/>
      <c r="G146" s="14" t="n"/>
      <c r="H146" s="17" t="n"/>
      <c r="I146" s="37" t="n"/>
      <c r="J146" s="14" t="n"/>
    </row>
    <row r="147">
      <c r="A147" s="17" t="n"/>
      <c r="B147" s="14" t="n"/>
      <c r="C147" s="14" t="n"/>
      <c r="D147" s="14" t="n"/>
      <c r="E147" s="14" t="n"/>
      <c r="F147" s="15" t="n"/>
      <c r="G147" s="14" t="n"/>
      <c r="H147" s="17" t="n"/>
      <c r="I147" s="37" t="n"/>
      <c r="J147" s="14" t="n"/>
    </row>
    <row r="148">
      <c r="A148" s="17" t="n"/>
      <c r="B148" s="14" t="n"/>
      <c r="C148" s="14" t="n"/>
      <c r="D148" s="14" t="n"/>
      <c r="E148" s="14" t="n"/>
      <c r="F148" s="15" t="n"/>
      <c r="G148" s="14" t="n"/>
      <c r="H148" s="17" t="n"/>
      <c r="I148" s="37" t="n"/>
      <c r="J148" s="14" t="n"/>
    </row>
    <row r="149">
      <c r="A149" s="17" t="n"/>
      <c r="B149" s="14" t="n"/>
      <c r="C149" s="14" t="n"/>
      <c r="D149" s="14" t="n"/>
      <c r="E149" s="14" t="n"/>
      <c r="F149" s="15" t="n"/>
      <c r="G149" s="14" t="n"/>
      <c r="H149" s="17" t="n"/>
      <c r="I149" s="37" t="n"/>
      <c r="J149" s="14" t="n"/>
    </row>
    <row r="150">
      <c r="A150" s="17" t="n"/>
      <c r="B150" s="14" t="n"/>
      <c r="C150" s="14" t="n"/>
      <c r="D150" s="14" t="n"/>
      <c r="E150" s="14" t="n"/>
      <c r="F150" s="15" t="n"/>
      <c r="G150" s="14" t="n"/>
      <c r="H150" s="17" t="n"/>
      <c r="I150" s="37" t="n"/>
      <c r="J150" s="14" t="n"/>
    </row>
    <row r="151">
      <c r="A151" s="17" t="n"/>
      <c r="B151" s="14" t="n"/>
      <c r="C151" s="14" t="n"/>
      <c r="D151" s="14" t="n"/>
      <c r="E151" s="14" t="n"/>
      <c r="F151" s="15" t="n"/>
      <c r="G151" s="14" t="n"/>
      <c r="H151" s="17" t="n"/>
      <c r="I151" s="37" t="n"/>
      <c r="J151" s="14" t="n"/>
    </row>
    <row r="152">
      <c r="A152" s="17" t="n"/>
      <c r="B152" s="14" t="n"/>
      <c r="C152" s="14" t="n"/>
      <c r="D152" s="14" t="n"/>
      <c r="E152" s="14" t="n"/>
      <c r="F152" s="15" t="n"/>
      <c r="G152" s="14" t="n"/>
      <c r="H152" s="17" t="n"/>
      <c r="I152" s="37" t="n"/>
      <c r="J152" s="14" t="n"/>
    </row>
    <row r="153">
      <c r="A153" s="17" t="n"/>
      <c r="B153" s="14" t="n"/>
      <c r="C153" s="14" t="n"/>
      <c r="D153" s="14" t="n"/>
      <c r="E153" s="14" t="n"/>
      <c r="F153" s="15" t="n"/>
      <c r="G153" s="14" t="n"/>
      <c r="H153" s="17" t="n"/>
      <c r="I153" s="37" t="n"/>
      <c r="J153" s="14" t="n"/>
    </row>
    <row r="154">
      <c r="A154" s="17" t="n"/>
      <c r="B154" s="14" t="n"/>
      <c r="C154" s="14" t="n"/>
      <c r="D154" s="14" t="n"/>
      <c r="E154" s="14" t="n"/>
      <c r="F154" s="15" t="n"/>
      <c r="G154" s="14" t="n"/>
      <c r="H154" s="17" t="n"/>
      <c r="I154" s="37" t="n"/>
      <c r="J154" s="14" t="n"/>
    </row>
    <row r="155">
      <c r="A155" s="17" t="n"/>
      <c r="B155" s="14" t="n"/>
      <c r="C155" s="14" t="n"/>
      <c r="D155" s="14" t="n"/>
      <c r="E155" s="14" t="n"/>
      <c r="F155" s="15" t="n"/>
      <c r="G155" s="14" t="n"/>
      <c r="H155" s="17" t="n"/>
      <c r="I155" s="37" t="n"/>
      <c r="J155" s="14" t="n"/>
    </row>
    <row r="156">
      <c r="A156" s="17" t="n"/>
      <c r="B156" s="14" t="n"/>
      <c r="C156" s="14" t="n"/>
      <c r="D156" s="14" t="n"/>
      <c r="E156" s="14" t="n"/>
      <c r="F156" s="15" t="n"/>
      <c r="G156" s="14" t="n"/>
      <c r="H156" s="17" t="n"/>
      <c r="I156" s="37" t="n"/>
      <c r="J156" s="14" t="n"/>
    </row>
    <row r="157">
      <c r="A157" s="17" t="n"/>
      <c r="B157" s="14" t="n"/>
      <c r="C157" s="14" t="n"/>
      <c r="D157" s="14" t="n"/>
      <c r="E157" s="14" t="n"/>
      <c r="F157" s="15" t="n"/>
      <c r="G157" s="14" t="n"/>
      <c r="H157" s="17" t="n"/>
      <c r="I157" s="37" t="n"/>
      <c r="J157" s="14" t="n"/>
    </row>
    <row r="158">
      <c r="A158" s="17" t="n"/>
      <c r="B158" s="14" t="n"/>
      <c r="C158" s="14" t="n"/>
      <c r="D158" s="14" t="n"/>
      <c r="E158" s="14" t="n"/>
      <c r="F158" s="15" t="n"/>
      <c r="G158" s="14" t="n"/>
      <c r="H158" s="17" t="n"/>
      <c r="I158" s="37" t="n"/>
      <c r="J158" s="14" t="n"/>
    </row>
    <row r="159">
      <c r="A159" s="17" t="n"/>
      <c r="B159" s="14" t="n"/>
      <c r="C159" s="14" t="n"/>
      <c r="D159" s="14" t="n"/>
      <c r="E159" s="14" t="n"/>
      <c r="F159" s="15" t="n"/>
      <c r="G159" s="14" t="n"/>
      <c r="H159" s="17" t="n"/>
      <c r="I159" s="37" t="n"/>
      <c r="J159" s="14" t="n"/>
    </row>
    <row r="160">
      <c r="A160" s="17" t="n"/>
      <c r="B160" s="14" t="n"/>
      <c r="C160" s="14" t="n"/>
      <c r="D160" s="14" t="n"/>
      <c r="E160" s="14" t="n"/>
      <c r="F160" s="15" t="n"/>
      <c r="G160" s="14" t="n"/>
      <c r="H160" s="17" t="n"/>
      <c r="I160" s="37" t="n"/>
      <c r="J160" s="14" t="n"/>
    </row>
    <row r="161">
      <c r="A161" s="17" t="n"/>
      <c r="B161" s="14" t="n"/>
      <c r="C161" s="14" t="n"/>
      <c r="D161" s="14" t="n"/>
      <c r="E161" s="14" t="n"/>
      <c r="F161" s="15" t="n"/>
      <c r="G161" s="14" t="n"/>
      <c r="H161" s="17" t="n"/>
      <c r="I161" s="37" t="n"/>
      <c r="J161" s="14" t="n"/>
    </row>
    <row r="162">
      <c r="A162" s="17" t="n"/>
      <c r="B162" s="14" t="n"/>
      <c r="C162" s="14" t="n"/>
      <c r="D162" s="14" t="n"/>
      <c r="E162" s="14" t="n"/>
      <c r="F162" s="15" t="n"/>
      <c r="G162" s="14" t="n"/>
      <c r="H162" s="17" t="n"/>
      <c r="I162" s="37" t="n"/>
      <c r="J162" s="14" t="n"/>
    </row>
    <row r="163">
      <c r="A163" s="17" t="n"/>
      <c r="B163" s="14" t="n"/>
      <c r="C163" s="14" t="n"/>
      <c r="D163" s="14" t="n"/>
      <c r="E163" s="14" t="n"/>
      <c r="F163" s="15" t="n"/>
      <c r="G163" s="14" t="n"/>
      <c r="H163" s="17" t="n"/>
      <c r="I163" s="37" t="n"/>
      <c r="J163" s="14" t="n"/>
    </row>
    <row r="164">
      <c r="A164" s="17" t="n"/>
      <c r="B164" s="14" t="n"/>
      <c r="C164" s="14" t="n"/>
      <c r="D164" s="14" t="n"/>
      <c r="E164" s="14" t="n"/>
      <c r="F164" s="15" t="n"/>
      <c r="G164" s="14" t="n"/>
      <c r="H164" s="17" t="n"/>
      <c r="I164" s="37" t="n"/>
      <c r="J164" s="14" t="n"/>
    </row>
    <row r="165">
      <c r="A165" s="17" t="n"/>
      <c r="B165" s="14" t="n"/>
      <c r="C165" s="14" t="n"/>
      <c r="D165" s="14" t="n"/>
      <c r="E165" s="14" t="n"/>
      <c r="F165" s="15" t="n"/>
      <c r="G165" s="14" t="n"/>
      <c r="H165" s="17" t="n"/>
      <c r="I165" s="37" t="n"/>
      <c r="J165" s="14" t="n"/>
    </row>
    <row r="166">
      <c r="A166" s="17" t="n"/>
      <c r="B166" s="14" t="n"/>
      <c r="C166" s="14" t="n"/>
      <c r="D166" s="14" t="n"/>
      <c r="E166" s="14" t="n"/>
      <c r="F166" s="15" t="n"/>
      <c r="G166" s="14" t="n"/>
      <c r="H166" s="17" t="n"/>
      <c r="I166" s="37" t="n"/>
      <c r="J166" s="14" t="n"/>
    </row>
    <row r="167">
      <c r="A167" s="17" t="n"/>
      <c r="B167" s="14" t="n"/>
      <c r="C167" s="14" t="n"/>
      <c r="D167" s="14" t="n"/>
      <c r="E167" s="14" t="n"/>
      <c r="F167" s="15" t="n"/>
      <c r="G167" s="14" t="n"/>
      <c r="H167" s="17" t="n"/>
      <c r="I167" s="37" t="n"/>
      <c r="J167" s="14" t="n"/>
    </row>
    <row r="168">
      <c r="A168" s="17" t="n"/>
      <c r="B168" s="14" t="n"/>
      <c r="C168" s="14" t="n"/>
      <c r="D168" s="14" t="n"/>
      <c r="E168" s="14" t="n"/>
      <c r="F168" s="15" t="n"/>
      <c r="G168" s="14" t="n"/>
      <c r="H168" s="17" t="n"/>
      <c r="I168" s="37" t="n"/>
      <c r="J168" s="14" t="n"/>
    </row>
    <row r="169">
      <c r="A169" s="17" t="n"/>
      <c r="B169" s="14" t="n"/>
      <c r="C169" s="14" t="n"/>
      <c r="D169" s="14" t="n"/>
      <c r="E169" s="14" t="n"/>
      <c r="F169" s="15" t="n"/>
      <c r="G169" s="14" t="n"/>
      <c r="H169" s="17" t="n"/>
      <c r="I169" s="37" t="n"/>
      <c r="J169" s="14" t="n"/>
    </row>
    <row r="170">
      <c r="A170" s="17" t="n"/>
      <c r="B170" s="14" t="n"/>
      <c r="C170" s="14" t="n"/>
      <c r="D170" s="14" t="n"/>
      <c r="E170" s="14" t="n"/>
      <c r="F170" s="15" t="n"/>
      <c r="G170" s="14" t="n"/>
      <c r="H170" s="17" t="n"/>
      <c r="I170" s="37" t="n"/>
      <c r="J170" s="14" t="n"/>
    </row>
    <row r="171">
      <c r="A171" s="17" t="n"/>
      <c r="B171" s="14" t="n"/>
      <c r="C171" s="14" t="n"/>
      <c r="D171" s="14" t="n"/>
      <c r="E171" s="14" t="n"/>
      <c r="F171" s="15" t="n"/>
      <c r="G171" s="14" t="n"/>
      <c r="H171" s="17" t="n"/>
      <c r="I171" s="37" t="n"/>
      <c r="J171" s="14" t="n"/>
    </row>
    <row r="172">
      <c r="A172" s="17" t="n"/>
      <c r="B172" s="14" t="n"/>
      <c r="C172" s="14" t="n"/>
      <c r="D172" s="14" t="n"/>
      <c r="E172" s="14" t="n"/>
      <c r="F172" s="15" t="n"/>
      <c r="G172" s="14" t="n"/>
      <c r="H172" s="17" t="n"/>
      <c r="I172" s="37" t="n"/>
      <c r="J172" s="14" t="n"/>
    </row>
    <row r="173">
      <c r="A173" s="17" t="n"/>
      <c r="B173" s="14" t="n"/>
      <c r="C173" s="14" t="n"/>
      <c r="D173" s="14" t="n"/>
      <c r="E173" s="14" t="n"/>
      <c r="F173" s="15" t="n"/>
      <c r="G173" s="14" t="n"/>
      <c r="H173" s="17" t="n"/>
      <c r="I173" s="37" t="n"/>
      <c r="J173" s="14" t="n"/>
    </row>
    <row r="174">
      <c r="A174" s="17" t="n"/>
      <c r="B174" s="14" t="n"/>
      <c r="C174" s="14" t="n"/>
      <c r="D174" s="14" t="n"/>
      <c r="E174" s="14" t="n"/>
      <c r="F174" s="15" t="n"/>
      <c r="G174" s="14" t="n"/>
      <c r="H174" s="17" t="n"/>
      <c r="I174" s="37" t="n"/>
      <c r="J174" s="14" t="n"/>
    </row>
    <row r="175">
      <c r="A175" s="17" t="n"/>
      <c r="B175" s="14" t="n"/>
      <c r="C175" s="14" t="n"/>
      <c r="D175" s="14" t="n"/>
      <c r="E175" s="14" t="n"/>
      <c r="F175" s="15" t="n"/>
      <c r="G175" s="14" t="n"/>
      <c r="H175" s="17" t="n"/>
      <c r="I175" s="37" t="n"/>
      <c r="J175" s="14" t="n"/>
    </row>
    <row r="176">
      <c r="A176" s="17" t="n"/>
      <c r="B176" s="14" t="n"/>
      <c r="C176" s="14" t="n"/>
      <c r="D176" s="14" t="n"/>
      <c r="E176" s="14" t="n"/>
      <c r="F176" s="15" t="n"/>
      <c r="G176" s="14" t="n"/>
      <c r="H176" s="17" t="n"/>
      <c r="I176" s="37" t="n"/>
      <c r="J176" s="14" t="n"/>
    </row>
    <row r="177">
      <c r="A177" s="17" t="n"/>
      <c r="B177" s="14" t="n"/>
      <c r="C177" s="14" t="n"/>
      <c r="D177" s="14" t="n"/>
      <c r="E177" s="14" t="n"/>
      <c r="F177" s="15" t="n"/>
      <c r="G177" s="14" t="n"/>
      <c r="H177" s="17" t="n"/>
      <c r="I177" s="37" t="n"/>
      <c r="J177" s="14" t="n"/>
    </row>
    <row r="178">
      <c r="A178" s="17" t="n"/>
      <c r="B178" s="14" t="n"/>
      <c r="C178" s="14" t="n"/>
      <c r="D178" s="14" t="n"/>
      <c r="E178" s="14" t="n"/>
      <c r="F178" s="15" t="n"/>
      <c r="G178" s="14" t="n"/>
      <c r="H178" s="17" t="n"/>
      <c r="I178" s="37" t="n"/>
      <c r="J178" s="14" t="n"/>
    </row>
    <row r="179">
      <c r="A179" s="17" t="n"/>
      <c r="B179" s="14" t="n"/>
      <c r="C179" s="14" t="n"/>
      <c r="D179" s="14" t="n"/>
      <c r="E179" s="14" t="n"/>
      <c r="F179" s="15" t="n"/>
      <c r="G179" s="14" t="n"/>
      <c r="H179" s="17" t="n"/>
      <c r="I179" s="37" t="n"/>
      <c r="J179" s="14" t="n"/>
    </row>
    <row r="180">
      <c r="A180" s="17" t="n"/>
      <c r="B180" s="14" t="n"/>
      <c r="C180" s="14" t="n"/>
      <c r="D180" s="14" t="n"/>
      <c r="E180" s="14" t="n"/>
      <c r="F180" s="15" t="n"/>
      <c r="G180" s="14" t="n"/>
      <c r="H180" s="17" t="n"/>
      <c r="I180" s="37" t="n"/>
      <c r="J180" s="14" t="n"/>
    </row>
    <row r="181">
      <c r="A181" s="17" t="n"/>
      <c r="B181" s="14" t="n"/>
      <c r="C181" s="14" t="n"/>
      <c r="D181" s="14" t="n"/>
      <c r="E181" s="14" t="n"/>
      <c r="F181" s="15" t="n"/>
      <c r="G181" s="14" t="n"/>
      <c r="H181" s="17" t="n"/>
      <c r="I181" s="37" t="n"/>
      <c r="J181" s="14" t="n"/>
    </row>
    <row r="182">
      <c r="A182" s="17" t="n"/>
      <c r="B182" s="14" t="n"/>
      <c r="C182" s="14" t="n"/>
      <c r="D182" s="14" t="n"/>
      <c r="E182" s="14" t="n"/>
      <c r="F182" s="15" t="n"/>
      <c r="G182" s="14" t="n"/>
      <c r="H182" s="17" t="n"/>
      <c r="I182" s="37" t="n"/>
      <c r="J182" s="14" t="n"/>
    </row>
    <row r="183">
      <c r="A183" s="17" t="n"/>
      <c r="B183" s="14" t="n"/>
      <c r="C183" s="14" t="n"/>
      <c r="D183" s="14" t="n"/>
      <c r="E183" s="14" t="n"/>
      <c r="F183" s="15" t="n"/>
      <c r="G183" s="14" t="n"/>
      <c r="H183" s="17" t="n"/>
      <c r="I183" s="37" t="n"/>
      <c r="J183" s="14" t="n"/>
    </row>
    <row r="184">
      <c r="A184" s="17" t="n"/>
      <c r="B184" s="14" t="n"/>
      <c r="C184" s="14" t="n"/>
      <c r="D184" s="14" t="n"/>
      <c r="E184" s="14" t="n"/>
      <c r="F184" s="15" t="n"/>
      <c r="G184" s="14" t="n"/>
      <c r="H184" s="17" t="n"/>
      <c r="I184" s="37" t="n"/>
      <c r="J184" s="14" t="n"/>
    </row>
    <row r="185">
      <c r="A185" s="17" t="n"/>
      <c r="B185" s="14" t="n"/>
      <c r="C185" s="14" t="n"/>
      <c r="D185" s="14" t="n"/>
      <c r="E185" s="14" t="n"/>
      <c r="F185" s="15" t="n"/>
      <c r="G185" s="14" t="n"/>
      <c r="H185" s="17" t="n"/>
      <c r="I185" s="37" t="n"/>
      <c r="J185" s="14" t="n"/>
    </row>
    <row r="186">
      <c r="A186" s="17" t="n"/>
      <c r="B186" s="14" t="n"/>
      <c r="C186" s="14" t="n"/>
      <c r="D186" s="14" t="n"/>
      <c r="E186" s="14" t="n"/>
      <c r="F186" s="15" t="n"/>
      <c r="G186" s="14" t="n"/>
      <c r="H186" s="17" t="n"/>
      <c r="I186" s="37" t="n"/>
      <c r="J186" s="14" t="n"/>
    </row>
    <row r="187">
      <c r="A187" s="17" t="n"/>
      <c r="B187" s="14" t="n"/>
      <c r="C187" s="14" t="n"/>
      <c r="D187" s="14" t="n"/>
      <c r="E187" s="14" t="n"/>
      <c r="F187" s="15" t="n"/>
      <c r="G187" s="14" t="n"/>
      <c r="H187" s="17" t="n"/>
      <c r="I187" s="37" t="n"/>
      <c r="J187" s="14" t="n"/>
    </row>
    <row r="188">
      <c r="A188" s="17" t="n"/>
      <c r="B188" s="14" t="n"/>
      <c r="C188" s="14" t="n"/>
      <c r="D188" s="14" t="n"/>
      <c r="E188" s="14" t="n"/>
      <c r="F188" s="15" t="n"/>
      <c r="G188" s="14" t="n"/>
      <c r="H188" s="17" t="n"/>
      <c r="I188" s="37" t="n"/>
      <c r="J188" s="14" t="n"/>
    </row>
    <row r="189">
      <c r="A189" s="17" t="n"/>
      <c r="B189" s="14" t="n"/>
      <c r="C189" s="14" t="n"/>
      <c r="D189" s="14" t="n"/>
      <c r="E189" s="14" t="n"/>
      <c r="F189" s="15" t="n"/>
      <c r="G189" s="14" t="n"/>
      <c r="H189" s="17" t="n"/>
      <c r="I189" s="37" t="n"/>
      <c r="J189" s="14" t="n"/>
    </row>
    <row r="190">
      <c r="A190" s="17" t="n"/>
      <c r="B190" s="14" t="n"/>
      <c r="C190" s="14" t="n"/>
      <c r="D190" s="14" t="n"/>
      <c r="E190" s="14" t="n"/>
      <c r="F190" s="15" t="n"/>
      <c r="G190" s="14" t="n"/>
      <c r="H190" s="17" t="n"/>
      <c r="I190" s="37" t="n"/>
      <c r="J190" s="14" t="n"/>
    </row>
    <row r="191">
      <c r="A191" s="17" t="n"/>
      <c r="B191" s="14" t="n"/>
      <c r="C191" s="14" t="n"/>
      <c r="D191" s="14" t="n"/>
      <c r="E191" s="14" t="n"/>
      <c r="F191" s="15" t="n"/>
      <c r="G191" s="14" t="n"/>
      <c r="H191" s="17" t="n"/>
      <c r="I191" s="37" t="n"/>
      <c r="J191" s="14" t="n"/>
    </row>
    <row r="192">
      <c r="A192" s="17" t="n"/>
      <c r="B192" s="14" t="n"/>
      <c r="C192" s="14" t="n"/>
      <c r="D192" s="14" t="n"/>
      <c r="E192" s="14" t="n"/>
      <c r="F192" s="15" t="n"/>
      <c r="G192" s="14" t="n"/>
      <c r="H192" s="17" t="n"/>
      <c r="I192" s="37" t="n"/>
      <c r="J192" s="14" t="n"/>
    </row>
    <row r="193">
      <c r="A193" s="17" t="n"/>
      <c r="B193" s="14" t="n"/>
      <c r="C193" s="14" t="n"/>
      <c r="D193" s="14" t="n"/>
      <c r="E193" s="14" t="n"/>
      <c r="F193" s="15" t="n"/>
      <c r="G193" s="14" t="n"/>
      <c r="H193" s="17" t="n"/>
      <c r="I193" s="37" t="n"/>
      <c r="J193" s="14" t="n"/>
    </row>
    <row r="194">
      <c r="A194" s="17" t="n"/>
      <c r="B194" s="14" t="n"/>
      <c r="C194" s="14" t="n"/>
      <c r="D194" s="14" t="n"/>
      <c r="E194" s="14" t="n"/>
      <c r="F194" s="15" t="n"/>
      <c r="G194" s="14" t="n"/>
      <c r="H194" s="17" t="n"/>
      <c r="I194" s="37" t="n"/>
      <c r="J194" s="14" t="n"/>
    </row>
    <row r="195">
      <c r="A195" s="17" t="n"/>
      <c r="B195" s="14" t="n"/>
      <c r="C195" s="14" t="n"/>
      <c r="D195" s="14" t="n"/>
      <c r="E195" s="14" t="n"/>
      <c r="F195" s="15" t="n"/>
      <c r="G195" s="14" t="n"/>
      <c r="H195" s="17" t="n"/>
      <c r="I195" s="37" t="n"/>
      <c r="J195" s="14" t="n"/>
    </row>
    <row r="196">
      <c r="A196" s="17" t="n"/>
      <c r="B196" s="14" t="n"/>
      <c r="C196" s="14" t="n"/>
      <c r="D196" s="14" t="n"/>
      <c r="E196" s="14" t="n"/>
      <c r="F196" s="15" t="n"/>
      <c r="G196" s="14" t="n"/>
      <c r="H196" s="17" t="n"/>
      <c r="I196" s="37" t="n"/>
      <c r="J196" s="14" t="n"/>
    </row>
    <row r="197">
      <c r="A197" s="17" t="n"/>
      <c r="B197" s="14" t="n"/>
      <c r="C197" s="14" t="n"/>
      <c r="D197" s="14" t="n"/>
      <c r="E197" s="14" t="n"/>
      <c r="F197" s="15" t="n"/>
      <c r="G197" s="14" t="n"/>
      <c r="H197" s="17" t="n"/>
      <c r="I197" s="37" t="n"/>
      <c r="J197" s="14" t="n"/>
    </row>
    <row r="198">
      <c r="A198" s="17" t="n"/>
      <c r="B198" s="14" t="n"/>
      <c r="C198" s="14" t="n"/>
      <c r="D198" s="14" t="n"/>
      <c r="E198" s="14" t="n"/>
      <c r="F198" s="15" t="n"/>
      <c r="G198" s="14" t="n"/>
      <c r="H198" s="17" t="n"/>
      <c r="I198" s="37" t="n"/>
      <c r="J198" s="14" t="n"/>
    </row>
    <row r="199">
      <c r="A199" s="17" t="n"/>
      <c r="B199" s="14" t="n"/>
      <c r="C199" s="14" t="n"/>
      <c r="D199" s="14" t="n"/>
      <c r="E199" s="14" t="n"/>
      <c r="F199" s="15" t="n"/>
      <c r="G199" s="14" t="n"/>
      <c r="H199" s="17" t="n"/>
      <c r="I199" s="37" t="n"/>
      <c r="J199" s="14" t="n"/>
    </row>
    <row r="200">
      <c r="A200" s="17" t="n"/>
      <c r="B200" s="14" t="n"/>
      <c r="C200" s="14" t="n"/>
      <c r="D200" s="14" t="n"/>
      <c r="E200" s="14" t="n"/>
      <c r="F200" s="15" t="n"/>
      <c r="G200" s="14" t="n"/>
      <c r="H200" s="17" t="n"/>
      <c r="I200" s="37" t="n"/>
      <c r="J200" s="14" t="n"/>
    </row>
    <row r="201">
      <c r="A201" s="17" t="n"/>
      <c r="B201" s="14" t="n"/>
      <c r="C201" s="14" t="n"/>
      <c r="D201" s="14" t="n"/>
      <c r="E201" s="14" t="n"/>
      <c r="F201" s="15" t="n"/>
      <c r="G201" s="14" t="n"/>
      <c r="H201" s="17" t="n"/>
      <c r="I201" s="37" t="n"/>
      <c r="J201" s="14" t="n"/>
    </row>
    <row r="202">
      <c r="A202" s="17" t="n"/>
      <c r="B202" s="14" t="n"/>
      <c r="C202" s="14" t="n"/>
      <c r="D202" s="14" t="n"/>
      <c r="E202" s="14" t="n"/>
      <c r="F202" s="15" t="n"/>
      <c r="G202" s="14" t="n"/>
      <c r="H202" s="17" t="n"/>
      <c r="I202" s="37" t="n"/>
      <c r="J202" s="14" t="n"/>
    </row>
    <row r="203">
      <c r="A203" s="17" t="n"/>
      <c r="B203" s="14" t="n"/>
      <c r="C203" s="14" t="n"/>
      <c r="D203" s="14" t="n"/>
      <c r="E203" s="14" t="n"/>
      <c r="F203" s="15" t="n"/>
      <c r="G203" s="14" t="n"/>
      <c r="H203" s="17" t="n"/>
      <c r="I203" s="37" t="n"/>
      <c r="J203" s="14" t="n"/>
    </row>
    <row r="204">
      <c r="A204" s="17" t="n"/>
      <c r="B204" s="14" t="n"/>
      <c r="C204" s="14" t="n"/>
      <c r="D204" s="14" t="n"/>
      <c r="E204" s="14" t="n"/>
      <c r="F204" s="15" t="n"/>
      <c r="G204" s="14" t="n"/>
      <c r="H204" s="17" t="n"/>
      <c r="I204" s="37" t="n"/>
      <c r="J204" s="14" t="n"/>
    </row>
    <row r="205">
      <c r="A205" s="17" t="n"/>
      <c r="B205" s="14" t="n"/>
      <c r="C205" s="14" t="n"/>
      <c r="D205" s="14" t="n"/>
      <c r="E205" s="14" t="n"/>
      <c r="F205" s="15" t="n"/>
      <c r="G205" s="14" t="n"/>
      <c r="H205" s="17" t="n"/>
      <c r="I205" s="37" t="n"/>
      <c r="J205" s="14" t="n"/>
    </row>
    <row r="206">
      <c r="A206" s="17" t="n"/>
      <c r="B206" s="14" t="n"/>
      <c r="C206" s="14" t="n"/>
      <c r="D206" s="14" t="n"/>
      <c r="E206" s="14" t="n"/>
      <c r="F206" s="15" t="n"/>
      <c r="G206" s="14" t="n"/>
      <c r="H206" s="17" t="n"/>
      <c r="I206" s="37" t="n"/>
      <c r="J206" s="14" t="n"/>
    </row>
    <row r="207">
      <c r="A207" s="17" t="n"/>
      <c r="B207" s="14" t="n"/>
      <c r="C207" s="14" t="n"/>
      <c r="D207" s="14" t="n"/>
      <c r="E207" s="14" t="n"/>
      <c r="F207" s="15" t="n"/>
      <c r="G207" s="14" t="n"/>
      <c r="H207" s="17" t="n"/>
      <c r="I207" s="37" t="n"/>
      <c r="J207" s="14" t="n"/>
    </row>
    <row r="208">
      <c r="A208" s="17" t="n"/>
      <c r="B208" s="14" t="n"/>
      <c r="C208" s="14" t="n"/>
      <c r="D208" s="14" t="n"/>
      <c r="E208" s="14" t="n"/>
      <c r="F208" s="15" t="n"/>
      <c r="G208" s="14" t="n"/>
      <c r="H208" s="17" t="n"/>
      <c r="I208" s="37" t="n"/>
      <c r="J208" s="14" t="n"/>
    </row>
    <row r="209">
      <c r="A209" s="17" t="n"/>
      <c r="B209" s="14" t="n"/>
      <c r="C209" s="14" t="n"/>
      <c r="D209" s="14" t="n"/>
      <c r="E209" s="14" t="n"/>
      <c r="F209" s="15" t="n"/>
      <c r="G209" s="14" t="n"/>
      <c r="H209" s="17" t="n"/>
      <c r="I209" s="37" t="n"/>
      <c r="J209" s="14" t="n"/>
    </row>
    <row r="210">
      <c r="A210" s="17" t="n"/>
      <c r="B210" s="14" t="n"/>
      <c r="C210" s="14" t="n"/>
      <c r="D210" s="14" t="n"/>
      <c r="E210" s="14" t="n"/>
      <c r="F210" s="15" t="n"/>
      <c r="G210" s="14" t="n"/>
      <c r="H210" s="17" t="n"/>
      <c r="I210" s="37" t="n"/>
      <c r="J210" s="14" t="n"/>
    </row>
    <row r="211">
      <c r="A211" s="17" t="n"/>
      <c r="B211" s="14" t="n"/>
      <c r="C211" s="14" t="n"/>
      <c r="D211" s="14" t="n"/>
      <c r="E211" s="14" t="n"/>
      <c r="F211" s="15" t="n"/>
      <c r="G211" s="14" t="n"/>
      <c r="H211" s="17" t="n"/>
      <c r="I211" s="37" t="n"/>
      <c r="J211" s="14" t="n"/>
    </row>
    <row r="212">
      <c r="A212" s="17" t="n"/>
      <c r="B212" s="14" t="n"/>
      <c r="C212" s="14" t="n"/>
      <c r="D212" s="14" t="n"/>
      <c r="E212" s="14" t="n"/>
      <c r="F212" s="15" t="n"/>
      <c r="G212" s="14" t="n"/>
      <c r="H212" s="17" t="n"/>
      <c r="I212" s="37" t="n"/>
      <c r="J212" s="14" t="n"/>
    </row>
    <row r="213">
      <c r="A213" s="17" t="n"/>
      <c r="B213" s="14" t="n"/>
      <c r="C213" s="14" t="n"/>
      <c r="D213" s="14" t="n"/>
      <c r="E213" s="14" t="n"/>
      <c r="F213" s="15" t="n"/>
      <c r="G213" s="14" t="n"/>
      <c r="H213" s="17" t="n"/>
      <c r="I213" s="37" t="n"/>
      <c r="J213" s="14" t="n"/>
    </row>
    <row r="214">
      <c r="A214" s="17" t="n"/>
      <c r="B214" s="14" t="n"/>
      <c r="C214" s="14" t="n"/>
      <c r="D214" s="14" t="n"/>
      <c r="E214" s="14" t="n"/>
      <c r="F214" s="15" t="n"/>
      <c r="G214" s="14" t="n"/>
      <c r="H214" s="17" t="n"/>
      <c r="I214" s="37" t="n"/>
      <c r="J214" s="14" t="n"/>
    </row>
    <row r="215">
      <c r="A215" s="17" t="n"/>
      <c r="B215" s="14" t="n"/>
      <c r="C215" s="14" t="n"/>
      <c r="D215" s="14" t="n"/>
      <c r="E215" s="14" t="n"/>
      <c r="F215" s="15" t="n"/>
      <c r="G215" s="14" t="n"/>
      <c r="H215" s="17" t="n"/>
      <c r="I215" s="37" t="n"/>
      <c r="J215" s="14" t="n"/>
    </row>
    <row r="216">
      <c r="A216" s="17" t="n"/>
      <c r="B216" s="14" t="n"/>
      <c r="C216" s="14" t="n"/>
      <c r="D216" s="14" t="n"/>
      <c r="E216" s="14" t="n"/>
      <c r="F216" s="15" t="n"/>
      <c r="G216" s="14" t="n"/>
      <c r="H216" s="17" t="n"/>
      <c r="I216" s="37" t="n"/>
      <c r="J216" s="14" t="n"/>
    </row>
    <row r="217">
      <c r="A217" s="17" t="n"/>
      <c r="B217" s="14" t="n"/>
      <c r="C217" s="14" t="n"/>
      <c r="D217" s="14" t="n"/>
      <c r="E217" s="14" t="n"/>
      <c r="F217" s="15" t="n"/>
      <c r="G217" s="14" t="n"/>
      <c r="H217" s="17" t="n"/>
      <c r="I217" s="37" t="n"/>
      <c r="J217" s="14" t="n"/>
    </row>
    <row r="218">
      <c r="A218" s="17" t="n"/>
      <c r="B218" s="14" t="n"/>
      <c r="C218" s="14" t="n"/>
      <c r="D218" s="14" t="n"/>
      <c r="E218" s="14" t="n"/>
      <c r="F218" s="15" t="n"/>
      <c r="G218" s="14" t="n"/>
      <c r="H218" s="17" t="n"/>
      <c r="I218" s="37" t="n"/>
      <c r="J218" s="14" t="n"/>
    </row>
    <row r="219">
      <c r="A219" s="17" t="n"/>
      <c r="B219" s="14" t="n"/>
      <c r="C219" s="14" t="n"/>
      <c r="D219" s="14" t="n"/>
      <c r="E219" s="14" t="n"/>
      <c r="F219" s="15" t="n"/>
      <c r="G219" s="14" t="n"/>
      <c r="H219" s="17" t="n"/>
      <c r="I219" s="37" t="n"/>
      <c r="J219" s="14" t="n"/>
    </row>
    <row r="220">
      <c r="A220" s="17" t="n"/>
      <c r="B220" s="14" t="n"/>
      <c r="C220" s="14" t="n"/>
      <c r="D220" s="14" t="n"/>
      <c r="E220" s="14" t="n"/>
      <c r="F220" s="15" t="n"/>
      <c r="G220" s="14" t="n"/>
      <c r="H220" s="17" t="n"/>
      <c r="I220" s="37" t="n"/>
      <c r="J220" s="14" t="n"/>
    </row>
    <row r="221">
      <c r="A221" s="17" t="n"/>
      <c r="B221" s="14" t="n"/>
      <c r="C221" s="14" t="n"/>
      <c r="D221" s="14" t="n"/>
      <c r="E221" s="14" t="n"/>
      <c r="F221" s="15" t="n"/>
      <c r="G221" s="14" t="n"/>
      <c r="H221" s="17" t="n"/>
      <c r="I221" s="37" t="n"/>
      <c r="J221" s="14" t="n"/>
    </row>
    <row r="222">
      <c r="A222" s="17" t="n"/>
      <c r="B222" s="14" t="n"/>
      <c r="C222" s="14" t="n"/>
      <c r="D222" s="14" t="n"/>
      <c r="E222" s="14" t="n"/>
      <c r="F222" s="15" t="n"/>
      <c r="G222" s="14" t="n"/>
      <c r="H222" s="17" t="n"/>
      <c r="I222" s="37" t="n"/>
      <c r="J222" s="14" t="n"/>
    </row>
    <row r="223">
      <c r="A223" s="17" t="n"/>
      <c r="B223" s="14" t="n"/>
      <c r="C223" s="14" t="n"/>
      <c r="D223" s="14" t="n"/>
      <c r="E223" s="14" t="n"/>
      <c r="F223" s="15" t="n"/>
      <c r="G223" s="14" t="n"/>
      <c r="H223" s="17" t="n"/>
      <c r="I223" s="37" t="n"/>
      <c r="J223" s="14" t="n"/>
    </row>
  </sheetData>
  <autoFilter ref="A23:J223"/>
  <mergeCells count="2">
    <mergeCell ref="A1:J1"/>
    <mergeCell ref="A2:J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72"/>
  <sheetViews>
    <sheetView workbookViewId="0">
      <selection activeCell="A1" sqref="A1"/>
    </sheetView>
  </sheetViews>
  <sheetFormatPr baseColWidth="8" defaultRowHeight="15"/>
  <cols>
    <col width="14" customWidth="1" min="1" max="1"/>
    <col width="14" customWidth="1" min="2" max="2"/>
    <col width="36" customWidth="1" min="3" max="3"/>
    <col width="14" customWidth="1" min="4" max="4"/>
    <col width="34" customWidth="1" min="5" max="5"/>
    <col width="42" customWidth="1" min="6" max="6"/>
  </cols>
  <sheetData>
    <row r="1">
      <c r="A1" s="1" t="inlineStr">
        <is>
          <t>CIUDAD 1132 — Transferencias recibidas</t>
        </is>
      </c>
    </row>
    <row r="2">
      <c r="A2" s="30" t="inlineStr">
        <is>
          <t>Movimientos Mercado Pago «Transferencia recibida». No entra en el total de gastos de la hoja 2026.</t>
        </is>
      </c>
    </row>
    <row r="4">
      <c r="A4" s="31" t="inlineStr">
        <is>
          <t>Resumen por mes</t>
        </is>
      </c>
    </row>
    <row r="5">
      <c r="A5" s="34" t="inlineStr">
        <is>
          <t>Mes</t>
        </is>
      </c>
      <c r="B5" s="34" t="inlineStr">
        <is>
          <t>Total recibido</t>
        </is>
      </c>
    </row>
    <row r="6">
      <c r="A6" s="14" t="inlineStr">
        <is>
          <t>Enero</t>
        </is>
      </c>
      <c r="B6" s="15">
        <f>SUMIF($B$23:$B$500,A6,$D$23:$D$500)</f>
        <v/>
      </c>
    </row>
    <row r="7">
      <c r="A7" s="14" t="inlineStr">
        <is>
          <t>Febrero</t>
        </is>
      </c>
      <c r="B7" s="15">
        <f>SUMIF($B$23:$B$500,A7,$D$23:$D$500)</f>
        <v/>
      </c>
    </row>
    <row r="8">
      <c r="A8" s="14" t="inlineStr">
        <is>
          <t>Marzo</t>
        </is>
      </c>
      <c r="B8" s="15">
        <f>SUMIF($B$23:$B$500,A8,$D$23:$D$500)</f>
        <v/>
      </c>
    </row>
    <row r="9">
      <c r="A9" s="14" t="inlineStr">
        <is>
          <t>Abril</t>
        </is>
      </c>
      <c r="B9" s="15">
        <f>SUMIF($B$23:$B$500,A9,$D$23:$D$500)</f>
        <v/>
      </c>
    </row>
    <row r="10">
      <c r="A10" s="14" t="inlineStr">
        <is>
          <t>Mayo</t>
        </is>
      </c>
      <c r="B10" s="15">
        <f>SUMIF($B$23:$B$500,A10,$D$23:$D$500)</f>
        <v/>
      </c>
    </row>
    <row r="11">
      <c r="A11" s="14" t="inlineStr">
        <is>
          <t>Junio</t>
        </is>
      </c>
      <c r="B11" s="15">
        <f>SUMIF($B$23:$B$500,A11,$D$23:$D$500)</f>
        <v/>
      </c>
    </row>
    <row r="12">
      <c r="A12" s="14" t="inlineStr">
        <is>
          <t>Julio</t>
        </is>
      </c>
      <c r="B12" s="15">
        <f>SUMIF($B$23:$B$500,A12,$D$23:$D$500)</f>
        <v/>
      </c>
    </row>
    <row r="13">
      <c r="A13" s="14" t="inlineStr">
        <is>
          <t>Agosto</t>
        </is>
      </c>
      <c r="B13" s="15">
        <f>SUMIF($B$23:$B$500,A13,$D$23:$D$500)</f>
        <v/>
      </c>
    </row>
    <row r="14">
      <c r="A14" s="14" t="inlineStr">
        <is>
          <t>Septiembre</t>
        </is>
      </c>
      <c r="B14" s="15">
        <f>SUMIF($B$23:$B$500,A14,$D$23:$D$500)</f>
        <v/>
      </c>
    </row>
    <row r="15">
      <c r="A15" s="14" t="inlineStr">
        <is>
          <t>Octubre</t>
        </is>
      </c>
      <c r="B15" s="15">
        <f>SUMIF($B$23:$B$500,A15,$D$23:$D$500)</f>
        <v/>
      </c>
    </row>
    <row r="16">
      <c r="A16" s="14" t="inlineStr">
        <is>
          <t>Noviembre</t>
        </is>
      </c>
      <c r="B16" s="15">
        <f>SUMIF($B$23:$B$500,A16,$D$23:$D$500)</f>
        <v/>
      </c>
    </row>
    <row r="17">
      <c r="A17" s="14" t="inlineStr">
        <is>
          <t>Diciembre</t>
        </is>
      </c>
      <c r="B17" s="15">
        <f>SUMIF($B$23:$B$500,A17,$D$23:$D$500)</f>
        <v/>
      </c>
    </row>
    <row r="18">
      <c r="A18" s="38" t="inlineStr">
        <is>
          <t>TOTAL AÑO</t>
        </is>
      </c>
      <c r="B18" s="39">
        <f>SUM(B6:B17)</f>
        <v/>
      </c>
    </row>
    <row r="21">
      <c r="A21" s="31" t="inlineStr">
        <is>
          <t>Detalle</t>
        </is>
      </c>
    </row>
    <row r="22">
      <c r="A22" s="34" t="inlineStr">
        <is>
          <t>Fecha</t>
        </is>
      </c>
      <c r="B22" s="34" t="inlineStr">
        <is>
          <t>Mes</t>
        </is>
      </c>
      <c r="C22" s="34" t="inlineStr">
        <is>
          <t>Origen / concepto</t>
        </is>
      </c>
      <c r="D22" s="34" t="inlineStr">
        <is>
          <t>Monto</t>
        </is>
      </c>
      <c r="E22" s="34" t="inlineStr">
        <is>
          <t>Medio</t>
        </is>
      </c>
      <c r="F22" s="34" t="inlineStr">
        <is>
          <t>Comentario</t>
        </is>
      </c>
    </row>
    <row r="23">
      <c r="A23" s="43" t="n">
        <v>46030</v>
      </c>
      <c r="B23" s="14" t="inlineStr">
        <is>
          <t>Enero</t>
        </is>
      </c>
      <c r="C23" s="14" t="inlineStr">
        <is>
          <t>Maria Martinez</t>
        </is>
      </c>
      <c r="D23" s="15" t="n">
        <v>46300</v>
      </c>
      <c r="E23" s="14" t="inlineStr">
        <is>
          <t>Mercado Pago — Transferencia recibida</t>
        </is>
      </c>
      <c r="F23" s="14" t="inlineStr">
        <is>
          <t>settlement · ingreso recibido</t>
        </is>
      </c>
    </row>
    <row r="24">
      <c r="A24" s="43" t="n">
        <v>46030</v>
      </c>
      <c r="B24" s="14" t="inlineStr">
        <is>
          <t>Enero</t>
        </is>
      </c>
      <c r="C24" s="14" t="inlineStr">
        <is>
          <t>Florencia Ivana Risi</t>
        </is>
      </c>
      <c r="D24" s="15" t="n">
        <v>46300</v>
      </c>
      <c r="E24" s="14" t="inlineStr">
        <is>
          <t>Mercado Pago — Transferencia recibida</t>
        </is>
      </c>
      <c r="F24" s="14" t="inlineStr">
        <is>
          <t>settlement · ingreso recibido</t>
        </is>
      </c>
    </row>
    <row r="25">
      <c r="A25" s="43" t="n">
        <v>46030</v>
      </c>
      <c r="B25" s="14" t="inlineStr">
        <is>
          <t>Enero</t>
        </is>
      </c>
      <c r="C25" s="14" t="inlineStr">
        <is>
          <t>GR</t>
        </is>
      </c>
      <c r="D25" s="15" t="n">
        <v>46300</v>
      </c>
      <c r="E25" s="14" t="inlineStr">
        <is>
          <t>Mercado Pago — Transferencia recibida</t>
        </is>
      </c>
      <c r="F25" s="14" t="inlineStr">
        <is>
          <t>settlement · ingreso recibido</t>
        </is>
      </c>
    </row>
    <row r="26">
      <c r="A26" s="43" t="n">
        <v>46031</v>
      </c>
      <c r="B26" s="14" t="inlineStr">
        <is>
          <t>Enero</t>
        </is>
      </c>
      <c r="C26" s="14" t="inlineStr">
        <is>
          <t>Antonela</t>
        </is>
      </c>
      <c r="D26" s="15" t="n">
        <v>46300</v>
      </c>
      <c r="E26" s="14" t="inlineStr">
        <is>
          <t>Mercado Pago — Transferencia recibida</t>
        </is>
      </c>
      <c r="F26" s="14" t="inlineStr">
        <is>
          <t>settlement · ingreso recibido</t>
        </is>
      </c>
    </row>
    <row r="27">
      <c r="A27" s="43" t="n">
        <v>46031</v>
      </c>
      <c r="B27" s="14" t="inlineStr">
        <is>
          <t>Enero</t>
        </is>
      </c>
      <c r="C27" s="14" t="inlineStr">
        <is>
          <t>Lujan Paz</t>
        </is>
      </c>
      <c r="D27" s="15" t="n">
        <v>46300</v>
      </c>
      <c r="E27" s="14" t="inlineStr">
        <is>
          <t>Mercado Pago — Transferencia recibida</t>
        </is>
      </c>
      <c r="F27" s="14" t="inlineStr">
        <is>
          <t>settlement · ingreso recibido</t>
        </is>
      </c>
    </row>
    <row r="28">
      <c r="A28" s="43" t="n">
        <v>46108</v>
      </c>
      <c r="B28" s="14" t="inlineStr">
        <is>
          <t>Marzo</t>
        </is>
      </c>
      <c r="C28" s="14" t="inlineStr">
        <is>
          <t>Trade in mla   Prod</t>
        </is>
      </c>
      <c r="D28" s="15" t="n">
        <v>408100</v>
      </c>
      <c r="E28" s="14" t="inlineStr">
        <is>
          <t>Mercado Pago — Transferencia recibida</t>
        </is>
      </c>
      <c r="F28" s="14" t="inlineStr">
        <is>
          <t>settlement · ingreso recibido</t>
        </is>
      </c>
    </row>
    <row r="29">
      <c r="A29" s="43" t="n">
        <v>46130</v>
      </c>
      <c r="B29" s="14" t="inlineStr">
        <is>
          <t>Abril</t>
        </is>
      </c>
      <c r="C29" s="14" t="inlineStr">
        <is>
          <t>Lujan Paz</t>
        </is>
      </c>
      <c r="D29" s="15" t="n">
        <v>39000</v>
      </c>
      <c r="E29" s="14" t="inlineStr">
        <is>
          <t>Mercado Pago — Transferencia recibida</t>
        </is>
      </c>
      <c r="F29" s="14" t="inlineStr">
        <is>
          <t>settlement · ingreso recibido</t>
        </is>
      </c>
    </row>
    <row r="30">
      <c r="A30" s="43" t="n">
        <v>46130</v>
      </c>
      <c r="B30" s="14" t="inlineStr">
        <is>
          <t>Abril</t>
        </is>
      </c>
      <c r="C30" s="14" t="inlineStr">
        <is>
          <t>Ana</t>
        </is>
      </c>
      <c r="D30" s="15" t="n">
        <v>39000</v>
      </c>
      <c r="E30" s="14" t="inlineStr">
        <is>
          <t>Mercado Pago — Transferencia recibida</t>
        </is>
      </c>
      <c r="F30" s="14" t="inlineStr">
        <is>
          <t>settlement · ingreso recibido</t>
        </is>
      </c>
    </row>
    <row r="31">
      <c r="A31" s="43" t="n">
        <v>46130</v>
      </c>
      <c r="B31" s="14" t="inlineStr">
        <is>
          <t>Abril</t>
        </is>
      </c>
      <c r="C31" s="14" t="inlineStr">
        <is>
          <t>Antonela</t>
        </is>
      </c>
      <c r="D31" s="15" t="n">
        <v>39000</v>
      </c>
      <c r="E31" s="14" t="inlineStr">
        <is>
          <t>Mercado Pago — Transferencia recibida</t>
        </is>
      </c>
      <c r="F31" s="14" t="inlineStr">
        <is>
          <t>settlement · ingreso recibido</t>
        </is>
      </c>
    </row>
    <row r="32">
      <c r="A32" s="43" t="n">
        <v>46130</v>
      </c>
      <c r="B32" s="14" t="inlineStr">
        <is>
          <t>Abril</t>
        </is>
      </c>
      <c r="C32" s="14" t="inlineStr">
        <is>
          <t>Maria Martinez</t>
        </is>
      </c>
      <c r="D32" s="15" t="n">
        <v>39000</v>
      </c>
      <c r="E32" s="14" t="inlineStr">
        <is>
          <t>Mercado Pago — Transferencia recibida</t>
        </is>
      </c>
      <c r="F32" s="14" t="inlineStr">
        <is>
          <t>settlement · ingreso recibido</t>
        </is>
      </c>
    </row>
    <row r="33">
      <c r="A33" s="43" t="n">
        <v>46140</v>
      </c>
      <c r="B33" s="14" t="inlineStr">
        <is>
          <t>Abril</t>
        </is>
      </c>
      <c r="C33" s="14" t="inlineStr">
        <is>
          <t>Maria Florencia Colombo</t>
        </is>
      </c>
      <c r="D33" s="15" t="n">
        <v>34000</v>
      </c>
      <c r="E33" s="14" t="inlineStr">
        <is>
          <t>Mercado Pago — Transferencia recibida</t>
        </is>
      </c>
      <c r="F33" s="14" t="inlineStr">
        <is>
          <t>settlement · ingreso recibido</t>
        </is>
      </c>
    </row>
    <row r="34">
      <c r="A34" s="43" t="n">
        <v>46140</v>
      </c>
      <c r="B34" s="14" t="inlineStr">
        <is>
          <t>Abril</t>
        </is>
      </c>
      <c r="C34" s="14" t="inlineStr">
        <is>
          <t>Maria Martinez</t>
        </is>
      </c>
      <c r="D34" s="15" t="n">
        <v>34900</v>
      </c>
      <c r="E34" s="14" t="inlineStr">
        <is>
          <t>Mercado Pago — Transferencia recibida</t>
        </is>
      </c>
      <c r="F34" s="14" t="inlineStr">
        <is>
          <t>settlement · ingreso recibido</t>
        </is>
      </c>
    </row>
    <row r="35">
      <c r="A35" s="43" t="n">
        <v>46140</v>
      </c>
      <c r="B35" s="14" t="inlineStr">
        <is>
          <t>Abril</t>
        </is>
      </c>
      <c r="C35" s="14" t="inlineStr">
        <is>
          <t>Nico arias</t>
        </is>
      </c>
      <c r="D35" s="15" t="n">
        <v>34000</v>
      </c>
      <c r="E35" s="14" t="inlineStr">
        <is>
          <t>Mercado Pago — Transferencia recibida</t>
        </is>
      </c>
      <c r="F35" s="14" t="inlineStr">
        <is>
          <t>settlement · ingreso recibido</t>
        </is>
      </c>
    </row>
    <row r="36">
      <c r="A36" s="43" t="n">
        <v>46140</v>
      </c>
      <c r="B36" s="14" t="inlineStr">
        <is>
          <t>Abril</t>
        </is>
      </c>
      <c r="C36" s="14" t="inlineStr">
        <is>
          <t>Lucas Rial Antelo</t>
        </is>
      </c>
      <c r="D36" s="15" t="n">
        <v>34000</v>
      </c>
      <c r="E36" s="14" t="inlineStr">
        <is>
          <t>Mercado Pago — Transferencia recibida</t>
        </is>
      </c>
      <c r="F36" s="14" t="inlineStr">
        <is>
          <t>settlement · ingreso recibido</t>
        </is>
      </c>
    </row>
    <row r="37">
      <c r="A37" s="43" t="n">
        <v>46140</v>
      </c>
      <c r="B37" s="14" t="inlineStr">
        <is>
          <t>Abril</t>
        </is>
      </c>
      <c r="C37" s="14" t="inlineStr">
        <is>
          <t>Ferpoiman</t>
        </is>
      </c>
      <c r="D37" s="15" t="n">
        <v>34000</v>
      </c>
      <c r="E37" s="14" t="inlineStr">
        <is>
          <t>Mercado Pago — Transferencia recibida</t>
        </is>
      </c>
      <c r="F37" s="14" t="inlineStr">
        <is>
          <t>settlement · ingreso recibido</t>
        </is>
      </c>
    </row>
    <row r="38">
      <c r="A38" s="43" t="n">
        <v>46140</v>
      </c>
      <c r="B38" s="14" t="inlineStr">
        <is>
          <t>Abril</t>
        </is>
      </c>
      <c r="C38" s="14" t="inlineStr">
        <is>
          <t>MAXIMILIANO RAUL GONZALEZ</t>
        </is>
      </c>
      <c r="D38" s="15" t="n">
        <v>34000</v>
      </c>
      <c r="E38" s="14" t="inlineStr">
        <is>
          <t>Mercado Pago — Transferencia recibida</t>
        </is>
      </c>
      <c r="F38" s="14" t="inlineStr">
        <is>
          <t>settlement · ingreso recibido</t>
        </is>
      </c>
    </row>
    <row r="39">
      <c r="A39" s="43" t="n">
        <v>46144</v>
      </c>
      <c r="B39" s="14" t="inlineStr">
        <is>
          <t>Mayo</t>
        </is>
      </c>
      <c r="C39" s="14" t="inlineStr">
        <is>
          <t>Tamara Ginesin</t>
        </is>
      </c>
      <c r="D39" s="15" t="n">
        <v>3000</v>
      </c>
      <c r="E39" s="14" t="inlineStr">
        <is>
          <t>Mercado Pago — Transferencia recibida</t>
        </is>
      </c>
      <c r="F39" s="14" t="inlineStr">
        <is>
          <t>recibida · hoja Transferencias recibidas (no gasto)</t>
        </is>
      </c>
    </row>
    <row r="40">
      <c r="A40" s="43" t="n">
        <v>46150</v>
      </c>
      <c r="B40" s="14" t="inlineStr">
        <is>
          <t>Mayo</t>
        </is>
      </c>
      <c r="C40" s="14" t="inlineStr">
        <is>
          <t>Ana Magariños</t>
        </is>
      </c>
      <c r="D40" s="15" t="n">
        <v>5000</v>
      </c>
      <c r="E40" s="14" t="inlineStr">
        <is>
          <t>Mercado Pago — Transferencia recibida</t>
        </is>
      </c>
      <c r="F40" s="14" t="inlineStr">
        <is>
          <t>recibida · hoja Transferencias recibidas (no gasto)</t>
        </is>
      </c>
    </row>
    <row r="41">
      <c r="A41" s="43" t="n">
        <v>46153</v>
      </c>
      <c r="B41" s="14" t="inlineStr">
        <is>
          <t>Mayo</t>
        </is>
      </c>
      <c r="C41" s="14" t="inlineStr">
        <is>
          <t>Mercado Libre</t>
        </is>
      </c>
      <c r="D41" s="15" t="n">
        <v>4699990</v>
      </c>
      <c r="E41" s="14" t="inlineStr">
        <is>
          <t>Mercado Pago — Transferencia recibida</t>
        </is>
      </c>
      <c r="F41" s="14" t="inlineStr">
        <is>
          <t>reintegro ML · hoja Transferencias recibidas (no gasto)</t>
        </is>
      </c>
    </row>
    <row r="42">
      <c r="A42" s="43" t="n">
        <v>46200</v>
      </c>
      <c r="B42" s="14" t="inlineStr">
        <is>
          <t>Junio</t>
        </is>
      </c>
      <c r="C42" s="14" t="inlineStr">
        <is>
          <t>Carlos Farinella</t>
        </is>
      </c>
      <c r="D42" s="15" t="n">
        <v>110000</v>
      </c>
      <c r="E42" s="14" t="inlineStr">
        <is>
          <t>Mercado Pago — Transferencia recibida</t>
        </is>
      </c>
      <c r="F42" s="14" t="inlineStr">
        <is>
          <t>recibida · hoja Transferencias recibidas (no gasto)</t>
        </is>
      </c>
    </row>
    <row r="43">
      <c r="A43" s="43" t="n">
        <v>46212</v>
      </c>
      <c r="B43" s="14" t="inlineStr">
        <is>
          <t>Julio</t>
        </is>
      </c>
      <c r="C43" s="14" t="inlineStr">
        <is>
          <t>Carlos Farinella</t>
        </is>
      </c>
      <c r="D43" s="15" t="n">
        <v>80000</v>
      </c>
      <c r="E43" s="14" t="inlineStr">
        <is>
          <t>Mercado Pago — Transferencia recibida</t>
        </is>
      </c>
      <c r="F43" s="14" t="inlineStr">
        <is>
          <t>recibida · hoja Transferencias recibidas (no gasto)</t>
        </is>
      </c>
    </row>
    <row r="44">
      <c r="A44" s="17" t="n">
        <v>46266</v>
      </c>
      <c r="B44" s="14" t="inlineStr">
        <is>
          <t>Septiembre</t>
        </is>
      </c>
      <c r="C44" s="14" t="inlineStr">
        <is>
          <t>SANES MARIA SOLE</t>
        </is>
      </c>
      <c r="D44" s="15" t="n">
        <v>5000000</v>
      </c>
      <c r="E44" s="14" t="inlineStr">
        <is>
          <t>Mercado Pago — Transferencia recibida</t>
        </is>
      </c>
      <c r="F44" s="14" t="inlineStr">
        <is>
          <t>recibida · op 175714969965 · resumen oficial cuenta MP 1–30 sep 2026</t>
        </is>
      </c>
    </row>
    <row r="45">
      <c r="A45" s="17" t="n">
        <v>46272</v>
      </c>
      <c r="B45" s="14" t="inlineStr">
        <is>
          <t>Septiembre</t>
        </is>
      </c>
      <c r="C45" s="14" t="inlineStr">
        <is>
          <t>SANES MARIA SOLE</t>
        </is>
      </c>
      <c r="D45" s="15" t="n">
        <v>660048</v>
      </c>
      <c r="E45" s="14" t="inlineStr">
        <is>
          <t>Mercado Pago — Transferencia recibida</t>
        </is>
      </c>
      <c r="F45" s="14" t="inlineStr">
        <is>
          <t>recibida · op 177776988272 · resumen oficial cuenta MP 1–30 sep 2026</t>
        </is>
      </c>
    </row>
    <row r="46">
      <c r="A46" s="17" t="n">
        <v>46273</v>
      </c>
      <c r="B46" s="14" t="inlineStr">
        <is>
          <t>Septiembre</t>
        </is>
      </c>
      <c r="C46" s="14" t="inlineStr">
        <is>
          <t>FUNDACION UNIVERSIDAD DE PALERMO</t>
        </is>
      </c>
      <c r="D46" s="15" t="n">
        <v>3315000</v>
      </c>
      <c r="E46" s="14" t="inlineStr">
        <is>
          <t>Mercado Pago — Transferencia recibida</t>
        </is>
      </c>
      <c r="F46" s="14" t="inlineStr">
        <is>
          <t>recibida · op 176941515613 · resumen oficial cuenta MP 1–30 sep 2026</t>
        </is>
      </c>
    </row>
    <row r="47">
      <c r="A47" s="17" t="n">
        <v>46274</v>
      </c>
      <c r="B47" s="14" t="inlineStr">
        <is>
          <t>Septiembre</t>
        </is>
      </c>
      <c r="C47" s="14" t="inlineStr">
        <is>
          <t>PELESSON ALDO OSCAR</t>
        </is>
      </c>
      <c r="D47" s="15" t="n">
        <v>5350000</v>
      </c>
      <c r="E47" s="14" t="inlineStr">
        <is>
          <t>Mercado Pago — Transferencia recibida</t>
        </is>
      </c>
      <c r="F47" s="14" t="inlineStr">
        <is>
          <t>recibida · op 178174075270 · resumen oficial cuenta MP 1–30 sep 2026</t>
        </is>
      </c>
    </row>
    <row r="48">
      <c r="A48" s="17" t="n">
        <v>46276</v>
      </c>
      <c r="B48" s="14" t="inlineStr">
        <is>
          <t>Septiembre</t>
        </is>
      </c>
      <c r="C48" s="14" t="inlineStr">
        <is>
          <t>MarIa Sanes</t>
        </is>
      </c>
      <c r="D48" s="15" t="n">
        <v>1485129</v>
      </c>
      <c r="E48" s="14" t="inlineStr">
        <is>
          <t>Mercado Pago — Transferencia recibida</t>
        </is>
      </c>
      <c r="F48" s="14" t="inlineStr">
        <is>
          <t>recibida · op 178531142556 · resumen oficial cuenta MP 1–30 sep 2026</t>
        </is>
      </c>
    </row>
    <row r="49">
      <c r="A49" s="17" t="n">
        <v>46279</v>
      </c>
      <c r="B49" s="14" t="inlineStr">
        <is>
          <t>Septiembre</t>
        </is>
      </c>
      <c r="C49" s="14" t="inlineStr">
        <is>
          <t>ROLANDO PABLO JAVIER</t>
        </is>
      </c>
      <c r="D49" s="15" t="n">
        <v>24857</v>
      </c>
      <c r="E49" s="14" t="inlineStr">
        <is>
          <t>Mercado Pago — Transferencia recibida</t>
        </is>
      </c>
      <c r="F49" s="14" t="inlineStr">
        <is>
          <t>recibida · op 177983989539 · resumen oficial cuenta MP 1–30 sep 2026</t>
        </is>
      </c>
    </row>
    <row r="50">
      <c r="A50" s="17" t="n">
        <v>46280</v>
      </c>
      <c r="B50" s="14" t="inlineStr">
        <is>
          <t>Septiembre</t>
        </is>
      </c>
      <c r="C50" s="14" t="inlineStr">
        <is>
          <t>MarIa Sanes</t>
        </is>
      </c>
      <c r="D50" s="15" t="n">
        <v>1490352</v>
      </c>
      <c r="E50" s="14" t="inlineStr">
        <is>
          <t>Mercado Pago — Transferencia recibida</t>
        </is>
      </c>
      <c r="F50" s="14" t="inlineStr">
        <is>
          <t>recibida · op 179102139324 · resumen oficial cuenta MP 1–30 sep 2026</t>
        </is>
      </c>
    </row>
    <row r="51">
      <c r="A51" s="17" t="n"/>
      <c r="B51" s="14" t="n"/>
      <c r="C51" s="14" t="n"/>
      <c r="D51" s="15" t="n"/>
      <c r="E51" s="14" t="n"/>
      <c r="F51" s="14" t="n"/>
    </row>
    <row r="52">
      <c r="A52" s="17" t="n"/>
      <c r="B52" s="14" t="n"/>
      <c r="C52" s="14" t="n"/>
      <c r="D52" s="15" t="n"/>
      <c r="E52" s="14" t="n"/>
      <c r="F52" s="14" t="n"/>
    </row>
    <row r="53">
      <c r="A53" s="17" t="n"/>
      <c r="B53" s="14" t="n"/>
      <c r="C53" s="14" t="n"/>
      <c r="D53" s="15" t="n"/>
      <c r="E53" s="14" t="n"/>
      <c r="F53" s="14" t="n"/>
    </row>
    <row r="54">
      <c r="A54" s="17" t="n"/>
      <c r="B54" s="14" t="n"/>
      <c r="C54" s="14" t="n"/>
      <c r="D54" s="15" t="n"/>
      <c r="E54" s="14" t="n"/>
      <c r="F54" s="14" t="n"/>
    </row>
    <row r="55">
      <c r="A55" s="17" t="n"/>
      <c r="B55" s="14" t="n"/>
      <c r="C55" s="14" t="n"/>
      <c r="D55" s="15" t="n"/>
      <c r="E55" s="14" t="n"/>
      <c r="F55" s="14" t="n"/>
    </row>
    <row r="56">
      <c r="A56" s="17" t="n"/>
      <c r="B56" s="14" t="n"/>
      <c r="C56" s="14" t="n"/>
      <c r="D56" s="15" t="n"/>
      <c r="E56" s="14" t="n"/>
      <c r="F56" s="14" t="n"/>
    </row>
    <row r="57">
      <c r="A57" s="17" t="n"/>
      <c r="B57" s="14" t="n"/>
      <c r="C57" s="14" t="n"/>
      <c r="D57" s="15" t="n"/>
      <c r="E57" s="14" t="n"/>
      <c r="F57" s="14" t="n"/>
    </row>
    <row r="58">
      <c r="A58" s="17" t="n"/>
      <c r="B58" s="14" t="n"/>
      <c r="C58" s="14" t="n"/>
      <c r="D58" s="15" t="n"/>
      <c r="E58" s="14" t="n"/>
      <c r="F58" s="14" t="n"/>
    </row>
    <row r="59">
      <c r="A59" s="17" t="n"/>
      <c r="B59" s="14" t="n"/>
      <c r="C59" s="14" t="n"/>
      <c r="D59" s="15" t="n"/>
      <c r="E59" s="14" t="n"/>
      <c r="F59" s="14" t="n"/>
    </row>
    <row r="60">
      <c r="A60" s="17" t="n"/>
      <c r="B60" s="14" t="n"/>
      <c r="C60" s="14" t="n"/>
      <c r="D60" s="15" t="n"/>
      <c r="E60" s="14" t="n"/>
      <c r="F60" s="14" t="n"/>
    </row>
    <row r="61">
      <c r="A61" s="17" t="n"/>
      <c r="B61" s="14" t="n"/>
      <c r="C61" s="14" t="n"/>
      <c r="D61" s="15" t="n"/>
      <c r="E61" s="14" t="n"/>
      <c r="F61" s="14" t="n"/>
    </row>
    <row r="62">
      <c r="A62" s="17" t="n"/>
      <c r="B62" s="14" t="n"/>
      <c r="C62" s="14" t="n"/>
      <c r="D62" s="15" t="n"/>
      <c r="E62" s="14" t="n"/>
      <c r="F62" s="14" t="n"/>
    </row>
    <row r="63">
      <c r="A63" s="17" t="n"/>
      <c r="B63" s="14" t="n"/>
      <c r="C63" s="14" t="n"/>
      <c r="D63" s="15" t="n"/>
      <c r="E63" s="14" t="n"/>
      <c r="F63" s="14" t="n"/>
    </row>
    <row r="64">
      <c r="A64" s="17" t="n"/>
      <c r="B64" s="14" t="n"/>
      <c r="C64" s="14" t="n"/>
      <c r="D64" s="15" t="n"/>
      <c r="E64" s="14" t="n"/>
      <c r="F64" s="14" t="n"/>
    </row>
    <row r="65">
      <c r="A65" s="17" t="n"/>
      <c r="B65" s="14" t="n"/>
      <c r="C65" s="14" t="n"/>
      <c r="D65" s="15" t="n"/>
      <c r="E65" s="14" t="n"/>
      <c r="F65" s="14" t="n"/>
    </row>
    <row r="66">
      <c r="A66" s="17" t="n"/>
      <c r="B66" s="14" t="n"/>
      <c r="C66" s="14" t="n"/>
      <c r="D66" s="15" t="n"/>
      <c r="E66" s="14" t="n"/>
      <c r="F66" s="14" t="n"/>
    </row>
    <row r="67">
      <c r="A67" s="17" t="n"/>
      <c r="B67" s="14" t="n"/>
      <c r="C67" s="14" t="n"/>
      <c r="D67" s="15" t="n"/>
      <c r="E67" s="14" t="n"/>
      <c r="F67" s="14" t="n"/>
    </row>
    <row r="68">
      <c r="A68" s="17" t="n"/>
      <c r="B68" s="14" t="n"/>
      <c r="C68" s="14" t="n"/>
      <c r="D68" s="15" t="n"/>
      <c r="E68" s="14" t="n"/>
      <c r="F68" s="14" t="n"/>
    </row>
    <row r="69">
      <c r="A69" s="17" t="n"/>
      <c r="B69" s="14" t="n"/>
      <c r="C69" s="14" t="n"/>
      <c r="D69" s="15" t="n"/>
      <c r="E69" s="14" t="n"/>
      <c r="F69" s="14" t="n"/>
    </row>
    <row r="70">
      <c r="A70" s="17" t="n"/>
      <c r="B70" s="14" t="n"/>
      <c r="C70" s="14" t="n"/>
      <c r="D70" s="15" t="n"/>
      <c r="E70" s="14" t="n"/>
      <c r="F70" s="14" t="n"/>
    </row>
    <row r="71">
      <c r="A71" s="17" t="n"/>
      <c r="B71" s="14" t="n"/>
      <c r="C71" s="14" t="n"/>
      <c r="D71" s="15" t="n"/>
      <c r="E71" s="14" t="n"/>
      <c r="F71" s="14" t="n"/>
    </row>
    <row r="72">
      <c r="A72" s="17" t="n"/>
      <c r="B72" s="14" t="n"/>
      <c r="C72" s="14" t="n"/>
      <c r="D72" s="15" t="n"/>
      <c r="E72" s="14" t="n"/>
      <c r="F72" s="14" t="n"/>
    </row>
    <row r="73">
      <c r="A73" s="17" t="n"/>
      <c r="B73" s="14" t="n"/>
      <c r="C73" s="14" t="n"/>
      <c r="D73" s="15" t="n"/>
      <c r="E73" s="14" t="n"/>
      <c r="F73" s="14" t="n"/>
    </row>
    <row r="74">
      <c r="A74" s="17" t="n"/>
      <c r="B74" s="14" t="n"/>
      <c r="C74" s="14" t="n"/>
      <c r="D74" s="15" t="n"/>
      <c r="E74" s="14" t="n"/>
      <c r="F74" s="14" t="n"/>
    </row>
    <row r="75">
      <c r="A75" s="17" t="n"/>
      <c r="B75" s="14" t="n"/>
      <c r="C75" s="14" t="n"/>
      <c r="D75" s="15" t="n"/>
      <c r="E75" s="14" t="n"/>
      <c r="F75" s="14" t="n"/>
    </row>
    <row r="76">
      <c r="A76" s="17" t="n"/>
      <c r="B76" s="14" t="n"/>
      <c r="C76" s="14" t="n"/>
      <c r="D76" s="15" t="n"/>
      <c r="E76" s="14" t="n"/>
      <c r="F76" s="14" t="n"/>
    </row>
    <row r="77">
      <c r="A77" s="17" t="n"/>
      <c r="B77" s="14" t="n"/>
      <c r="C77" s="14" t="n"/>
      <c r="D77" s="15" t="n"/>
      <c r="E77" s="14" t="n"/>
      <c r="F77" s="14" t="n"/>
    </row>
    <row r="78">
      <c r="A78" s="17" t="n"/>
      <c r="B78" s="14" t="n"/>
      <c r="C78" s="14" t="n"/>
      <c r="D78" s="15" t="n"/>
      <c r="E78" s="14" t="n"/>
      <c r="F78" s="14" t="n"/>
    </row>
    <row r="79">
      <c r="A79" s="17" t="n"/>
      <c r="B79" s="14" t="n"/>
      <c r="C79" s="14" t="n"/>
      <c r="D79" s="15" t="n"/>
      <c r="E79" s="14" t="n"/>
      <c r="F79" s="14" t="n"/>
    </row>
    <row r="80">
      <c r="A80" s="17" t="n"/>
      <c r="B80" s="14" t="n"/>
      <c r="C80" s="14" t="n"/>
      <c r="D80" s="15" t="n"/>
      <c r="E80" s="14" t="n"/>
      <c r="F80" s="14" t="n"/>
    </row>
    <row r="81">
      <c r="A81" s="17" t="n"/>
      <c r="B81" s="14" t="n"/>
      <c r="C81" s="14" t="n"/>
      <c r="D81" s="15" t="n"/>
      <c r="E81" s="14" t="n"/>
      <c r="F81" s="14" t="n"/>
    </row>
    <row r="82">
      <c r="A82" s="17" t="n"/>
      <c r="B82" s="14" t="n"/>
      <c r="C82" s="14" t="n"/>
      <c r="D82" s="15" t="n"/>
      <c r="E82" s="14" t="n"/>
      <c r="F82" s="14" t="n"/>
    </row>
    <row r="83">
      <c r="A83" s="17" t="n"/>
      <c r="B83" s="14" t="n"/>
      <c r="C83" s="14" t="n"/>
      <c r="D83" s="15" t="n"/>
      <c r="E83" s="14" t="n"/>
      <c r="F83" s="14" t="n"/>
    </row>
    <row r="84">
      <c r="A84" s="17" t="n"/>
      <c r="B84" s="14" t="n"/>
      <c r="C84" s="14" t="n"/>
      <c r="D84" s="15" t="n"/>
      <c r="E84" s="14" t="n"/>
      <c r="F84" s="14" t="n"/>
    </row>
    <row r="85">
      <c r="A85" s="17" t="n"/>
      <c r="B85" s="14" t="n"/>
      <c r="C85" s="14" t="n"/>
      <c r="D85" s="15" t="n"/>
      <c r="E85" s="14" t="n"/>
      <c r="F85" s="14" t="n"/>
    </row>
    <row r="86">
      <c r="A86" s="17" t="n"/>
      <c r="B86" s="14" t="n"/>
      <c r="C86" s="14" t="n"/>
      <c r="D86" s="15" t="n"/>
      <c r="E86" s="14" t="n"/>
      <c r="F86" s="14" t="n"/>
    </row>
    <row r="87">
      <c r="A87" s="17" t="n"/>
      <c r="B87" s="14" t="n"/>
      <c r="C87" s="14" t="n"/>
      <c r="D87" s="15" t="n"/>
      <c r="E87" s="14" t="n"/>
      <c r="F87" s="14" t="n"/>
    </row>
    <row r="88">
      <c r="A88" s="17" t="n"/>
      <c r="B88" s="14" t="n"/>
      <c r="C88" s="14" t="n"/>
      <c r="D88" s="15" t="n"/>
      <c r="E88" s="14" t="n"/>
      <c r="F88" s="14" t="n"/>
    </row>
    <row r="89">
      <c r="A89" s="17" t="n"/>
      <c r="B89" s="14" t="n"/>
      <c r="C89" s="14" t="n"/>
      <c r="D89" s="15" t="n"/>
      <c r="E89" s="14" t="n"/>
      <c r="F89" s="14" t="n"/>
    </row>
    <row r="90">
      <c r="A90" s="17" t="n"/>
      <c r="B90" s="14" t="n"/>
      <c r="C90" s="14" t="n"/>
      <c r="D90" s="15" t="n"/>
      <c r="E90" s="14" t="n"/>
      <c r="F90" s="14" t="n"/>
    </row>
    <row r="91">
      <c r="A91" s="17" t="n"/>
      <c r="B91" s="14" t="n"/>
      <c r="C91" s="14" t="n"/>
      <c r="D91" s="15" t="n"/>
      <c r="E91" s="14" t="n"/>
      <c r="F91" s="14" t="n"/>
    </row>
    <row r="92">
      <c r="A92" s="17" t="n"/>
      <c r="B92" s="14" t="n"/>
      <c r="C92" s="14" t="n"/>
      <c r="D92" s="15" t="n"/>
      <c r="E92" s="14" t="n"/>
      <c r="F92" s="14" t="n"/>
    </row>
    <row r="93">
      <c r="A93" s="17" t="n"/>
      <c r="B93" s="14" t="n"/>
      <c r="C93" s="14" t="n"/>
      <c r="D93" s="15" t="n"/>
      <c r="E93" s="14" t="n"/>
      <c r="F93" s="14" t="n"/>
    </row>
    <row r="94">
      <c r="A94" s="17" t="n"/>
      <c r="B94" s="14" t="n"/>
      <c r="C94" s="14" t="n"/>
      <c r="D94" s="15" t="n"/>
      <c r="E94" s="14" t="n"/>
      <c r="F94" s="14" t="n"/>
    </row>
    <row r="95">
      <c r="A95" s="17" t="n"/>
      <c r="B95" s="14" t="n"/>
      <c r="C95" s="14" t="n"/>
      <c r="D95" s="15" t="n"/>
      <c r="E95" s="14" t="n"/>
      <c r="F95" s="14" t="n"/>
    </row>
    <row r="96">
      <c r="A96" s="17" t="n"/>
      <c r="B96" s="14" t="n"/>
      <c r="C96" s="14" t="n"/>
      <c r="D96" s="15" t="n"/>
      <c r="E96" s="14" t="n"/>
      <c r="F96" s="14" t="n"/>
    </row>
    <row r="97">
      <c r="A97" s="17" t="n"/>
      <c r="B97" s="14" t="n"/>
      <c r="C97" s="14" t="n"/>
      <c r="D97" s="15" t="n"/>
      <c r="E97" s="14" t="n"/>
      <c r="F97" s="14" t="n"/>
    </row>
    <row r="98">
      <c r="A98" s="17" t="n"/>
      <c r="B98" s="14" t="n"/>
      <c r="C98" s="14" t="n"/>
      <c r="D98" s="15" t="n"/>
      <c r="E98" s="14" t="n"/>
      <c r="F98" s="14" t="n"/>
    </row>
    <row r="99">
      <c r="A99" s="17" t="n"/>
      <c r="B99" s="14" t="n"/>
      <c r="C99" s="14" t="n"/>
      <c r="D99" s="15" t="n"/>
      <c r="E99" s="14" t="n"/>
      <c r="F99" s="14" t="n"/>
    </row>
    <row r="100">
      <c r="A100" s="17" t="n"/>
      <c r="B100" s="14" t="n"/>
      <c r="C100" s="14" t="n"/>
      <c r="D100" s="15" t="n"/>
      <c r="E100" s="14" t="n"/>
      <c r="F100" s="14" t="n"/>
    </row>
    <row r="101">
      <c r="A101" s="17" t="n"/>
      <c r="B101" s="14" t="n"/>
      <c r="C101" s="14" t="n"/>
      <c r="D101" s="15" t="n"/>
      <c r="E101" s="14" t="n"/>
      <c r="F101" s="14" t="n"/>
    </row>
    <row r="102">
      <c r="A102" s="17" t="n"/>
      <c r="B102" s="14" t="n"/>
      <c r="C102" s="14" t="n"/>
      <c r="D102" s="15" t="n"/>
      <c r="E102" s="14" t="n"/>
      <c r="F102" s="14" t="n"/>
    </row>
    <row r="103">
      <c r="A103" s="17" t="n"/>
      <c r="B103" s="14" t="n"/>
      <c r="C103" s="14" t="n"/>
      <c r="D103" s="15" t="n"/>
      <c r="E103" s="14" t="n"/>
      <c r="F103" s="14" t="n"/>
    </row>
    <row r="104">
      <c r="A104" s="17" t="n"/>
      <c r="B104" s="14" t="n"/>
      <c r="C104" s="14" t="n"/>
      <c r="D104" s="15" t="n"/>
      <c r="E104" s="14" t="n"/>
      <c r="F104" s="14" t="n"/>
    </row>
    <row r="105">
      <c r="A105" s="17" t="n"/>
      <c r="B105" s="14" t="n"/>
      <c r="C105" s="14" t="n"/>
      <c r="D105" s="15" t="n"/>
      <c r="E105" s="14" t="n"/>
      <c r="F105" s="14" t="n"/>
    </row>
    <row r="106">
      <c r="A106" s="17" t="n"/>
      <c r="B106" s="14" t="n"/>
      <c r="C106" s="14" t="n"/>
      <c r="D106" s="15" t="n"/>
      <c r="E106" s="14" t="n"/>
      <c r="F106" s="14" t="n"/>
    </row>
    <row r="107">
      <c r="A107" s="17" t="n"/>
      <c r="B107" s="14" t="n"/>
      <c r="C107" s="14" t="n"/>
      <c r="D107" s="15" t="n"/>
      <c r="E107" s="14" t="n"/>
      <c r="F107" s="14" t="n"/>
    </row>
    <row r="108">
      <c r="A108" s="17" t="n"/>
      <c r="B108" s="14" t="n"/>
      <c r="C108" s="14" t="n"/>
      <c r="D108" s="15" t="n"/>
      <c r="E108" s="14" t="n"/>
      <c r="F108" s="14" t="n"/>
    </row>
    <row r="109">
      <c r="A109" s="17" t="n"/>
      <c r="B109" s="14" t="n"/>
      <c r="C109" s="14" t="n"/>
      <c r="D109" s="15" t="n"/>
      <c r="E109" s="14" t="n"/>
      <c r="F109" s="14" t="n"/>
    </row>
    <row r="110">
      <c r="A110" s="17" t="n"/>
      <c r="B110" s="14" t="n"/>
      <c r="C110" s="14" t="n"/>
      <c r="D110" s="15" t="n"/>
      <c r="E110" s="14" t="n"/>
      <c r="F110" s="14" t="n"/>
    </row>
    <row r="111">
      <c r="A111" s="17" t="n"/>
      <c r="B111" s="14" t="n"/>
      <c r="C111" s="14" t="n"/>
      <c r="D111" s="15" t="n"/>
      <c r="E111" s="14" t="n"/>
      <c r="F111" s="14" t="n"/>
    </row>
    <row r="112">
      <c r="A112" s="17" t="n"/>
      <c r="B112" s="14" t="n"/>
      <c r="C112" s="14" t="n"/>
      <c r="D112" s="15" t="n"/>
      <c r="E112" s="14" t="n"/>
      <c r="F112" s="14" t="n"/>
    </row>
    <row r="113">
      <c r="A113" s="17" t="n"/>
      <c r="B113" s="14" t="n"/>
      <c r="C113" s="14" t="n"/>
      <c r="D113" s="15" t="n"/>
      <c r="E113" s="14" t="n"/>
      <c r="F113" s="14" t="n"/>
    </row>
    <row r="114">
      <c r="A114" s="17" t="n"/>
      <c r="B114" s="14" t="n"/>
      <c r="C114" s="14" t="n"/>
      <c r="D114" s="15" t="n"/>
      <c r="E114" s="14" t="n"/>
      <c r="F114" s="14" t="n"/>
    </row>
    <row r="115">
      <c r="A115" s="17" t="n"/>
      <c r="B115" s="14" t="n"/>
      <c r="C115" s="14" t="n"/>
      <c r="D115" s="15" t="n"/>
      <c r="E115" s="14" t="n"/>
      <c r="F115" s="14" t="n"/>
    </row>
    <row r="116">
      <c r="A116" s="17" t="n"/>
      <c r="B116" s="14" t="n"/>
      <c r="C116" s="14" t="n"/>
      <c r="D116" s="15" t="n"/>
      <c r="E116" s="14" t="n"/>
      <c r="F116" s="14" t="n"/>
    </row>
    <row r="117">
      <c r="A117" s="17" t="n"/>
      <c r="B117" s="14" t="n"/>
      <c r="C117" s="14" t="n"/>
      <c r="D117" s="15" t="n"/>
      <c r="E117" s="14" t="n"/>
      <c r="F117" s="14" t="n"/>
    </row>
    <row r="118">
      <c r="A118" s="17" t="n"/>
      <c r="B118" s="14" t="n"/>
      <c r="C118" s="14" t="n"/>
      <c r="D118" s="15" t="n"/>
      <c r="E118" s="14" t="n"/>
      <c r="F118" s="14" t="n"/>
    </row>
    <row r="119">
      <c r="A119" s="17" t="n"/>
      <c r="B119" s="14" t="n"/>
      <c r="C119" s="14" t="n"/>
      <c r="D119" s="15" t="n"/>
      <c r="E119" s="14" t="n"/>
      <c r="F119" s="14" t="n"/>
    </row>
    <row r="120">
      <c r="A120" s="17" t="n"/>
      <c r="B120" s="14" t="n"/>
      <c r="C120" s="14" t="n"/>
      <c r="D120" s="15" t="n"/>
      <c r="E120" s="14" t="n"/>
      <c r="F120" s="14" t="n"/>
    </row>
    <row r="121">
      <c r="A121" s="17" t="n"/>
      <c r="B121" s="14" t="n"/>
      <c r="C121" s="14" t="n"/>
      <c r="D121" s="15" t="n"/>
      <c r="E121" s="14" t="n"/>
      <c r="F121" s="14" t="n"/>
    </row>
    <row r="122">
      <c r="A122" s="17" t="n"/>
      <c r="B122" s="14" t="n"/>
      <c r="C122" s="14" t="n"/>
      <c r="D122" s="15" t="n"/>
      <c r="E122" s="14" t="n"/>
      <c r="F122" s="14" t="n"/>
    </row>
    <row r="123">
      <c r="A123" s="17" t="n"/>
      <c r="B123" s="14" t="n"/>
      <c r="C123" s="14" t="n"/>
      <c r="D123" s="15" t="n"/>
      <c r="E123" s="14" t="n"/>
      <c r="F123" s="14" t="n"/>
    </row>
    <row r="124">
      <c r="A124" s="17" t="n"/>
      <c r="B124" s="14" t="n"/>
      <c r="C124" s="14" t="n"/>
      <c r="D124" s="15" t="n"/>
      <c r="E124" s="14" t="n"/>
      <c r="F124" s="14" t="n"/>
    </row>
    <row r="125">
      <c r="A125" s="17" t="n"/>
      <c r="B125" s="14" t="n"/>
      <c r="C125" s="14" t="n"/>
      <c r="D125" s="15" t="n"/>
      <c r="E125" s="14" t="n"/>
      <c r="F125" s="14" t="n"/>
    </row>
    <row r="126">
      <c r="A126" s="17" t="n"/>
      <c r="B126" s="14" t="n"/>
      <c r="C126" s="14" t="n"/>
      <c r="D126" s="15" t="n"/>
      <c r="E126" s="14" t="n"/>
      <c r="F126" s="14" t="n"/>
    </row>
    <row r="127">
      <c r="A127" s="17" t="n"/>
      <c r="B127" s="14" t="n"/>
      <c r="C127" s="14" t="n"/>
      <c r="D127" s="15" t="n"/>
      <c r="E127" s="14" t="n"/>
      <c r="F127" s="14" t="n"/>
    </row>
    <row r="128">
      <c r="A128" s="17" t="n"/>
      <c r="B128" s="14" t="n"/>
      <c r="C128" s="14" t="n"/>
      <c r="D128" s="15" t="n"/>
      <c r="E128" s="14" t="n"/>
      <c r="F128" s="14" t="n"/>
    </row>
    <row r="129">
      <c r="A129" s="17" t="n"/>
      <c r="B129" s="14" t="n"/>
      <c r="C129" s="14" t="n"/>
      <c r="D129" s="15" t="n"/>
      <c r="E129" s="14" t="n"/>
      <c r="F129" s="14" t="n"/>
    </row>
    <row r="130">
      <c r="A130" s="17" t="n"/>
      <c r="B130" s="14" t="n"/>
      <c r="C130" s="14" t="n"/>
      <c r="D130" s="15" t="n"/>
      <c r="E130" s="14" t="n"/>
      <c r="F130" s="14" t="n"/>
    </row>
    <row r="131">
      <c r="A131" s="17" t="n"/>
      <c r="B131" s="14" t="n"/>
      <c r="C131" s="14" t="n"/>
      <c r="D131" s="15" t="n"/>
      <c r="E131" s="14" t="n"/>
      <c r="F131" s="14" t="n"/>
    </row>
    <row r="132">
      <c r="A132" s="17" t="n"/>
      <c r="B132" s="14" t="n"/>
      <c r="C132" s="14" t="n"/>
      <c r="D132" s="15" t="n"/>
      <c r="E132" s="14" t="n"/>
      <c r="F132" s="14" t="n"/>
    </row>
    <row r="133">
      <c r="A133" s="17" t="n"/>
      <c r="B133" s="14" t="n"/>
      <c r="C133" s="14" t="n"/>
      <c r="D133" s="15" t="n"/>
      <c r="E133" s="14" t="n"/>
      <c r="F133" s="14" t="n"/>
    </row>
    <row r="134">
      <c r="A134" s="17" t="n"/>
      <c r="B134" s="14" t="n"/>
      <c r="C134" s="14" t="n"/>
      <c r="D134" s="15" t="n"/>
      <c r="E134" s="14" t="n"/>
      <c r="F134" s="14" t="n"/>
    </row>
    <row r="135">
      <c r="A135" s="17" t="n"/>
      <c r="B135" s="14" t="n"/>
      <c r="C135" s="14" t="n"/>
      <c r="D135" s="15" t="n"/>
      <c r="E135" s="14" t="n"/>
      <c r="F135" s="14" t="n"/>
    </row>
    <row r="136">
      <c r="A136" s="17" t="n"/>
      <c r="B136" s="14" t="n"/>
      <c r="C136" s="14" t="n"/>
      <c r="D136" s="15" t="n"/>
      <c r="E136" s="14" t="n"/>
      <c r="F136" s="14" t="n"/>
    </row>
    <row r="137">
      <c r="A137" s="17" t="n"/>
      <c r="B137" s="14" t="n"/>
      <c r="C137" s="14" t="n"/>
      <c r="D137" s="15" t="n"/>
      <c r="E137" s="14" t="n"/>
      <c r="F137" s="14" t="n"/>
    </row>
    <row r="138">
      <c r="A138" s="17" t="n"/>
      <c r="B138" s="14" t="n"/>
      <c r="C138" s="14" t="n"/>
      <c r="D138" s="15" t="n"/>
      <c r="E138" s="14" t="n"/>
      <c r="F138" s="14" t="n"/>
    </row>
    <row r="139">
      <c r="A139" s="17" t="n"/>
      <c r="B139" s="14" t="n"/>
      <c r="C139" s="14" t="n"/>
      <c r="D139" s="15" t="n"/>
      <c r="E139" s="14" t="n"/>
      <c r="F139" s="14" t="n"/>
    </row>
    <row r="140">
      <c r="A140" s="17" t="n"/>
      <c r="B140" s="14" t="n"/>
      <c r="C140" s="14" t="n"/>
      <c r="D140" s="15" t="n"/>
      <c r="E140" s="14" t="n"/>
      <c r="F140" s="14" t="n"/>
    </row>
    <row r="141">
      <c r="A141" s="17" t="n"/>
      <c r="B141" s="14" t="n"/>
      <c r="C141" s="14" t="n"/>
      <c r="D141" s="15" t="n"/>
      <c r="E141" s="14" t="n"/>
      <c r="F141" s="14" t="n"/>
    </row>
    <row r="142">
      <c r="A142" s="17" t="n"/>
      <c r="B142" s="14" t="n"/>
      <c r="C142" s="14" t="n"/>
      <c r="D142" s="15" t="n"/>
      <c r="E142" s="14" t="n"/>
      <c r="F142" s="14" t="n"/>
    </row>
    <row r="143">
      <c r="A143" s="17" t="n"/>
      <c r="B143" s="14" t="n"/>
      <c r="C143" s="14" t="n"/>
      <c r="D143" s="15" t="n"/>
      <c r="E143" s="14" t="n"/>
      <c r="F143" s="14" t="n"/>
    </row>
    <row r="144">
      <c r="A144" s="17" t="n"/>
      <c r="B144" s="14" t="n"/>
      <c r="C144" s="14" t="n"/>
      <c r="D144" s="15" t="n"/>
      <c r="E144" s="14" t="n"/>
      <c r="F144" s="14" t="n"/>
    </row>
    <row r="145">
      <c r="A145" s="17" t="n"/>
      <c r="B145" s="14" t="n"/>
      <c r="C145" s="14" t="n"/>
      <c r="D145" s="15" t="n"/>
      <c r="E145" s="14" t="n"/>
      <c r="F145" s="14" t="n"/>
    </row>
    <row r="146">
      <c r="A146" s="17" t="n"/>
      <c r="B146" s="14" t="n"/>
      <c r="C146" s="14" t="n"/>
      <c r="D146" s="15" t="n"/>
      <c r="E146" s="14" t="n"/>
      <c r="F146" s="14" t="n"/>
    </row>
    <row r="147">
      <c r="A147" s="17" t="n"/>
      <c r="B147" s="14" t="n"/>
      <c r="C147" s="14" t="n"/>
      <c r="D147" s="15" t="n"/>
      <c r="E147" s="14" t="n"/>
      <c r="F147" s="14" t="n"/>
    </row>
    <row r="148">
      <c r="A148" s="17" t="n"/>
      <c r="B148" s="14" t="n"/>
      <c r="C148" s="14" t="n"/>
      <c r="D148" s="15" t="n"/>
      <c r="E148" s="14" t="n"/>
      <c r="F148" s="14" t="n"/>
    </row>
    <row r="149">
      <c r="A149" s="17" t="n"/>
      <c r="B149" s="14" t="n"/>
      <c r="C149" s="14" t="n"/>
      <c r="D149" s="15" t="n"/>
      <c r="E149" s="14" t="n"/>
      <c r="F149" s="14" t="n"/>
    </row>
    <row r="150">
      <c r="A150" s="17" t="n"/>
      <c r="B150" s="14" t="n"/>
      <c r="C150" s="14" t="n"/>
      <c r="D150" s="15" t="n"/>
      <c r="E150" s="14" t="n"/>
      <c r="F150" s="14" t="n"/>
    </row>
    <row r="151">
      <c r="A151" s="17" t="n"/>
      <c r="B151" s="14" t="n"/>
      <c r="C151" s="14" t="n"/>
      <c r="D151" s="15" t="n"/>
      <c r="E151" s="14" t="n"/>
      <c r="F151" s="14" t="n"/>
    </row>
    <row r="152">
      <c r="A152" s="17" t="n"/>
      <c r="B152" s="14" t="n"/>
      <c r="C152" s="14" t="n"/>
      <c r="D152" s="15" t="n"/>
      <c r="E152" s="14" t="n"/>
      <c r="F152" s="14" t="n"/>
    </row>
    <row r="153">
      <c r="A153" s="17" t="n"/>
      <c r="B153" s="14" t="n"/>
      <c r="C153" s="14" t="n"/>
      <c r="D153" s="15" t="n"/>
      <c r="E153" s="14" t="n"/>
      <c r="F153" s="14" t="n"/>
    </row>
    <row r="154">
      <c r="A154" s="17" t="n"/>
      <c r="B154" s="14" t="n"/>
      <c r="C154" s="14" t="n"/>
      <c r="D154" s="15" t="n"/>
      <c r="E154" s="14" t="n"/>
      <c r="F154" s="14" t="n"/>
    </row>
    <row r="155">
      <c r="A155" s="17" t="n"/>
      <c r="B155" s="14" t="n"/>
      <c r="C155" s="14" t="n"/>
      <c r="D155" s="15" t="n"/>
      <c r="E155" s="14" t="n"/>
      <c r="F155" s="14" t="n"/>
    </row>
    <row r="156">
      <c r="A156" s="17" t="n"/>
      <c r="B156" s="14" t="n"/>
      <c r="C156" s="14" t="n"/>
      <c r="D156" s="15" t="n"/>
      <c r="E156" s="14" t="n"/>
      <c r="F156" s="14" t="n"/>
    </row>
    <row r="157">
      <c r="A157" s="17" t="n"/>
      <c r="B157" s="14" t="n"/>
      <c r="C157" s="14" t="n"/>
      <c r="D157" s="15" t="n"/>
      <c r="E157" s="14" t="n"/>
      <c r="F157" s="14" t="n"/>
    </row>
    <row r="158">
      <c r="A158" s="17" t="n"/>
      <c r="B158" s="14" t="n"/>
      <c r="C158" s="14" t="n"/>
      <c r="D158" s="15" t="n"/>
      <c r="E158" s="14" t="n"/>
      <c r="F158" s="14" t="n"/>
    </row>
    <row r="159">
      <c r="A159" s="17" t="n"/>
      <c r="B159" s="14" t="n"/>
      <c r="C159" s="14" t="n"/>
      <c r="D159" s="15" t="n"/>
      <c r="E159" s="14" t="n"/>
      <c r="F159" s="14" t="n"/>
    </row>
    <row r="160">
      <c r="A160" s="17" t="n"/>
      <c r="B160" s="14" t="n"/>
      <c r="C160" s="14" t="n"/>
      <c r="D160" s="15" t="n"/>
      <c r="E160" s="14" t="n"/>
      <c r="F160" s="14" t="n"/>
    </row>
    <row r="161">
      <c r="A161" s="17" t="n"/>
      <c r="B161" s="14" t="n"/>
      <c r="C161" s="14" t="n"/>
      <c r="D161" s="15" t="n"/>
      <c r="E161" s="14" t="n"/>
      <c r="F161" s="14" t="n"/>
    </row>
    <row r="162">
      <c r="A162" s="17" t="n"/>
      <c r="B162" s="14" t="n"/>
      <c r="C162" s="14" t="n"/>
      <c r="D162" s="15" t="n"/>
      <c r="E162" s="14" t="n"/>
      <c r="F162" s="14" t="n"/>
    </row>
    <row r="163">
      <c r="A163" s="17" t="n"/>
      <c r="B163" s="14" t="n"/>
      <c r="C163" s="14" t="n"/>
      <c r="D163" s="15" t="n"/>
      <c r="E163" s="14" t="n"/>
      <c r="F163" s="14" t="n"/>
    </row>
    <row r="164">
      <c r="A164" s="17" t="n"/>
      <c r="B164" s="14" t="n"/>
      <c r="C164" s="14" t="n"/>
      <c r="D164" s="15" t="n"/>
      <c r="E164" s="14" t="n"/>
      <c r="F164" s="14" t="n"/>
    </row>
    <row r="165">
      <c r="A165" s="17" t="n"/>
      <c r="B165" s="14" t="n"/>
      <c r="C165" s="14" t="n"/>
      <c r="D165" s="15" t="n"/>
      <c r="E165" s="14" t="n"/>
      <c r="F165" s="14" t="n"/>
    </row>
    <row r="166">
      <c r="A166" s="17" t="n"/>
      <c r="B166" s="14" t="n"/>
      <c r="C166" s="14" t="n"/>
      <c r="D166" s="15" t="n"/>
      <c r="E166" s="14" t="n"/>
      <c r="F166" s="14" t="n"/>
    </row>
    <row r="167">
      <c r="A167" s="17" t="n"/>
      <c r="B167" s="14" t="n"/>
      <c r="C167" s="14" t="n"/>
      <c r="D167" s="15" t="n"/>
      <c r="E167" s="14" t="n"/>
      <c r="F167" s="14" t="n"/>
    </row>
    <row r="168">
      <c r="A168" s="17" t="n"/>
      <c r="B168" s="14" t="n"/>
      <c r="C168" s="14" t="n"/>
      <c r="D168" s="15" t="n"/>
      <c r="E168" s="14" t="n"/>
      <c r="F168" s="14" t="n"/>
    </row>
    <row r="169">
      <c r="A169" s="17" t="n"/>
      <c r="B169" s="14" t="n"/>
      <c r="C169" s="14" t="n"/>
      <c r="D169" s="15" t="n"/>
      <c r="E169" s="14" t="n"/>
      <c r="F169" s="14" t="n"/>
    </row>
    <row r="170">
      <c r="A170" s="17" t="n"/>
      <c r="B170" s="14" t="n"/>
      <c r="C170" s="14" t="n"/>
      <c r="D170" s="15" t="n"/>
      <c r="E170" s="14" t="n"/>
      <c r="F170" s="14" t="n"/>
    </row>
    <row r="171">
      <c r="A171" s="17" t="n"/>
      <c r="B171" s="14" t="n"/>
      <c r="C171" s="14" t="n"/>
      <c r="D171" s="15" t="n"/>
      <c r="E171" s="14" t="n"/>
      <c r="F171" s="14" t="n"/>
    </row>
    <row r="172">
      <c r="A172" s="17" t="n"/>
      <c r="B172" s="14" t="n"/>
      <c r="C172" s="14" t="n"/>
      <c r="D172" s="15" t="n"/>
      <c r="E172" s="14" t="n"/>
      <c r="F172" s="14" t="n"/>
    </row>
  </sheetData>
  <mergeCells count="2">
    <mergeCell ref="A2:F2"/>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sheetData>
    <row r="1">
      <c r="A1" s="1" t="inlineStr">
        <is>
          <t>CIUDAD 1132 — Pago de tarjetas</t>
        </is>
      </c>
    </row>
    <row r="2">
      <c r="A2" t="inlineStr">
        <is>
          <t>Pagos de resumen de tarjeta de crédito (no es gasto nuevo de la hoja 2026; registro de egreso MP).</t>
        </is>
      </c>
    </row>
    <row r="4">
      <c r="A4" s="11" t="inlineStr">
        <is>
          <t>Resumen por mes</t>
        </is>
      </c>
    </row>
    <row r="5">
      <c r="A5" s="40" t="inlineStr">
        <is>
          <t>Mes</t>
        </is>
      </c>
      <c r="B5" s="40" t="inlineStr">
        <is>
          <t>Total</t>
        </is>
      </c>
    </row>
    <row r="6">
      <c r="A6" t="inlineStr">
        <is>
          <t>Enero</t>
        </is>
      </c>
      <c r="B6" s="26">
        <f>SUMIF($B$23:$B$200,A6,$D$23:$D$200)</f>
        <v/>
      </c>
    </row>
    <row r="7">
      <c r="A7" t="inlineStr">
        <is>
          <t>Febrero</t>
        </is>
      </c>
      <c r="B7" s="26">
        <f>SUMIF($B$23:$B$200,A7,$D$23:$D$200)</f>
        <v/>
      </c>
    </row>
    <row r="8">
      <c r="A8" t="inlineStr">
        <is>
          <t>Marzo</t>
        </is>
      </c>
      <c r="B8" s="26">
        <f>SUMIF($B$23:$B$200,A8,$D$23:$D$200)</f>
        <v/>
      </c>
    </row>
    <row r="9">
      <c r="A9" t="inlineStr">
        <is>
          <t>Abril</t>
        </is>
      </c>
      <c r="B9" s="26">
        <f>SUMIF($B$23:$B$200,A9,$D$23:$D$200)</f>
        <v/>
      </c>
    </row>
    <row r="10">
      <c r="A10" t="inlineStr">
        <is>
          <t>Mayo</t>
        </is>
      </c>
      <c r="B10" s="26">
        <f>SUMIF($B$23:$B$200,A10,$D$23:$D$200)</f>
        <v/>
      </c>
    </row>
    <row r="11">
      <c r="A11" t="inlineStr">
        <is>
          <t>Junio</t>
        </is>
      </c>
      <c r="B11" s="26">
        <f>SUMIF($B$23:$B$200,A11,$D$23:$D$200)</f>
        <v/>
      </c>
    </row>
    <row r="12">
      <c r="A12" t="inlineStr">
        <is>
          <t>Julio</t>
        </is>
      </c>
      <c r="B12" s="26">
        <f>SUMIF($B$23:$B$200,A12,$D$23:$D$200)</f>
        <v/>
      </c>
    </row>
    <row r="13">
      <c r="A13" t="inlineStr">
        <is>
          <t>Agosto</t>
        </is>
      </c>
      <c r="B13" s="26">
        <f>SUMIF($B$23:$B$200,A13,$D$23:$D$200)</f>
        <v/>
      </c>
    </row>
    <row r="14">
      <c r="A14" t="inlineStr">
        <is>
          <t>Septiembre</t>
        </is>
      </c>
      <c r="B14" s="26">
        <f>SUMIF($B$23:$B$200,A14,$D$23:$D$200)</f>
        <v/>
      </c>
    </row>
    <row r="15">
      <c r="A15" t="inlineStr">
        <is>
          <t>Octubre</t>
        </is>
      </c>
      <c r="B15" s="26">
        <f>SUMIF($B$23:$B$200,A15,$D$23:$D$200)</f>
        <v/>
      </c>
    </row>
    <row r="16">
      <c r="A16" t="inlineStr">
        <is>
          <t>Noviembre</t>
        </is>
      </c>
      <c r="B16" s="26">
        <f>SUMIF($B$23:$B$200,A16,$D$23:$D$200)</f>
        <v/>
      </c>
    </row>
    <row r="17">
      <c r="A17" t="inlineStr">
        <is>
          <t>Diciembre</t>
        </is>
      </c>
      <c r="B17" s="26">
        <f>SUMIF($B$23:$B$200,A17,$D$23:$D$200)</f>
        <v/>
      </c>
    </row>
    <row r="18">
      <c r="A18" s="11" t="inlineStr">
        <is>
          <t>TOTAL AÑO</t>
        </is>
      </c>
      <c r="B18" s="26">
        <f>SUM(B6:B17)</f>
        <v/>
      </c>
    </row>
    <row r="21">
      <c r="A21" s="11" t="inlineStr">
        <is>
          <t>Detalle</t>
        </is>
      </c>
    </row>
    <row r="22">
      <c r="A22" s="12" t="inlineStr">
        <is>
          <t>Fecha</t>
        </is>
      </c>
      <c r="B22" s="12" t="inlineStr">
        <is>
          <t>Mes</t>
        </is>
      </c>
      <c r="C22" s="12" t="inlineStr">
        <is>
          <t>Concepto</t>
        </is>
      </c>
      <c r="D22" s="12" t="inlineStr">
        <is>
          <t>Monto</t>
        </is>
      </c>
      <c r="E22" s="12" t="inlineStr">
        <is>
          <t>Medio</t>
        </is>
      </c>
      <c r="F22" s="12" t="inlineStr">
        <is>
          <t>Comentario</t>
        </is>
      </c>
    </row>
    <row r="23">
      <c r="A23" s="44" t="n">
        <v>46031</v>
      </c>
      <c r="B23" t="inlineStr">
        <is>
          <t>Enero</t>
        </is>
      </c>
      <c r="C23" t="inlineStr">
        <is>
          <t>Tarjeta de crédito</t>
        </is>
      </c>
      <c r="D23" s="26" t="n">
        <v>164709</v>
      </c>
      <c r="E23" t="inlineStr">
        <is>
          <t>Mercado Pago</t>
        </is>
      </c>
      <c r="F23" t="inlineStr">
        <is>
          <t>pago resumen TC · hoja Pago de Tarjetas</t>
        </is>
      </c>
    </row>
    <row r="24">
      <c r="A24" s="44" t="n">
        <v>46034</v>
      </c>
      <c r="B24" t="inlineStr">
        <is>
          <t>Enero</t>
        </is>
      </c>
      <c r="C24" t="inlineStr">
        <is>
          <t>Tarjeta de crédito</t>
        </is>
      </c>
      <c r="D24" s="26" t="n">
        <v>200000</v>
      </c>
      <c r="E24" t="inlineStr">
        <is>
          <t>Mercado Pago</t>
        </is>
      </c>
      <c r="F24" t="inlineStr">
        <is>
          <t>pago resumen TC · hoja Pago de Tarjetas</t>
        </is>
      </c>
    </row>
    <row r="25">
      <c r="A25" s="44" t="n">
        <v>46035</v>
      </c>
      <c r="B25" t="inlineStr">
        <is>
          <t>Enero</t>
        </is>
      </c>
      <c r="C25" t="inlineStr">
        <is>
          <t>Tarjeta de crédito</t>
        </is>
      </c>
      <c r="D25" s="26" t="n">
        <v>1282375</v>
      </c>
      <c r="E25" t="inlineStr">
        <is>
          <t>Mercado Pago</t>
        </is>
      </c>
      <c r="F25" t="inlineStr">
        <is>
          <t>pago resumen TC · hoja Pago de Tarjetas</t>
        </is>
      </c>
    </row>
    <row r="26">
      <c r="A26" s="44" t="n">
        <v>46190</v>
      </c>
      <c r="B26" t="inlineStr">
        <is>
          <t>Junio</t>
        </is>
      </c>
      <c r="C26" t="inlineStr">
        <is>
          <t>Tarjeta de crédito</t>
        </is>
      </c>
      <c r="D26" s="26" t="n">
        <v>1501833</v>
      </c>
      <c r="E26" t="inlineStr">
        <is>
          <t>Mercado Pago</t>
        </is>
      </c>
      <c r="F26" t="inlineStr">
        <is>
          <t>pago resumen · hoja Pago de Tarjetas</t>
        </is>
      </c>
    </row>
    <row r="27">
      <c r="A27" s="52" t="n">
        <v>46218</v>
      </c>
      <c r="B27" t="inlineStr">
        <is>
          <t>Julio</t>
        </is>
      </c>
      <c r="C27" t="inlineStr">
        <is>
          <t>Tarjeta de crédito</t>
        </is>
      </c>
      <c r="D27" s="26" t="n">
        <v>576242</v>
      </c>
      <c r="E27" t="inlineStr">
        <is>
          <t>Mercado Pago</t>
        </is>
      </c>
      <c r="F27" t="inlineStr">
        <is>
          <t>Pago de resumen · ceil 576241.18 · hoja Pago de Tarjetas / MP No Gasto</t>
        </is>
      </c>
    </row>
    <row r="28">
      <c r="A28" s="52" t="n">
        <v>46253</v>
      </c>
      <c r="B28" t="inlineStr">
        <is>
          <t>Agosto</t>
        </is>
      </c>
      <c r="C28" t="inlineStr">
        <is>
          <t>Tarjeta de crédito</t>
        </is>
      </c>
      <c r="D28" t="n">
        <v>1200000</v>
      </c>
      <c r="E28" t="inlineStr">
        <is>
          <t>Mercado Pago</t>
        </is>
      </c>
      <c r="F28" t="inlineStr">
        <is>
          <t>Pago de resumen · $1.200.000 · composición resumen TC MP sep</t>
        </is>
      </c>
    </row>
    <row r="29">
      <c r="A29" s="52" t="n">
        <v>46253</v>
      </c>
      <c r="B29" t="inlineStr">
        <is>
          <t>Agosto</t>
        </is>
      </c>
      <c r="C29" t="inlineStr">
        <is>
          <t>Tarjeta de crédito</t>
        </is>
      </c>
      <c r="D29" t="n">
        <v>1225483</v>
      </c>
      <c r="E29" t="inlineStr">
        <is>
          <t>Mercado Pago</t>
        </is>
      </c>
      <c r="F29" t="inlineStr">
        <is>
          <t>Pago de resumen · $1.225.482,78 ceil · composición resumen TC MP sep</t>
        </is>
      </c>
    </row>
    <row r="30">
      <c r="A30" s="52" t="n">
        <v>46295</v>
      </c>
      <c r="B30" t="inlineStr">
        <is>
          <t>Septiembre</t>
        </is>
      </c>
      <c r="C30" t="inlineStr">
        <is>
          <t>Tarjeta de crédito</t>
        </is>
      </c>
      <c r="D30" t="n">
        <v>500000</v>
      </c>
      <c r="E30" t="inlineStr">
        <is>
          <t>Mercado Pago</t>
        </is>
      </c>
      <c r="F30" t="inlineStr">
        <is>
          <t>Pago de resumen · $500.000 · op 181614816434 · resumen oficial cuenta MP 1–30 sep 2026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48"/>
  <sheetViews>
    <sheetView workbookViewId="0">
      <selection activeCell="A1" sqref="A1"/>
    </sheetView>
  </sheetViews>
  <sheetFormatPr baseColWidth="8" defaultRowHeight="15"/>
  <cols>
    <col width="14" customWidth="1" min="1" max="1"/>
    <col width="12" customWidth="1" min="2" max="2"/>
    <col width="32" customWidth="1" min="3" max="3"/>
    <col width="16" customWidth="1" min="4" max="4"/>
    <col width="14" customWidth="1" min="5" max="5"/>
    <col width="28" customWidth="1" min="6" max="6"/>
    <col width="48" customWidth="1" min="7" max="7"/>
  </cols>
  <sheetData>
    <row r="1">
      <c r="A1" s="1" t="inlineStr">
        <is>
          <t>CIUDAD 1132 — Expensas Consorcios (Pago de Expensas)</t>
        </is>
      </c>
    </row>
    <row r="2">
      <c r="A2" s="30" t="inlineStr">
        <is>
          <t>Transferencias a consorcios. CIUDAD = Consorcio De Propietarios o destino Banco Patagonia CBU 0340116900116010765007 / CUIL 30714962473. No va a ALMACEN SOL.</t>
        </is>
      </c>
    </row>
    <row r="4">
      <c r="A4" s="31" t="inlineStr">
        <is>
          <t>Resumen por propiedad</t>
        </is>
      </c>
      <c r="D4" s="31" t="inlineStr">
        <is>
          <t>ID bancario CIUDAD</t>
        </is>
      </c>
    </row>
    <row r="5">
      <c r="A5" s="34" t="inlineStr">
        <is>
          <t>Propiedad</t>
        </is>
      </c>
      <c r="B5" s="34" t="inlineStr">
        <is>
          <t>Total</t>
        </is>
      </c>
      <c r="D5" t="inlineStr">
        <is>
          <t>Entidad</t>
        </is>
      </c>
      <c r="E5" t="inlineStr">
        <is>
          <t>Banco Patagonia</t>
        </is>
      </c>
    </row>
    <row r="6">
      <c r="A6" s="14" t="inlineStr">
        <is>
          <t>CIUDAD 1132</t>
        </is>
      </c>
      <c r="B6" s="15">
        <f>SUMIF($D$29:$D$200,A6,$E$29:$E$200)</f>
        <v/>
      </c>
      <c r="D6" t="inlineStr">
        <is>
          <t>CBU</t>
        </is>
      </c>
      <c r="E6" t="inlineStr">
        <is>
          <t>0340116900116010765007</t>
        </is>
      </c>
    </row>
    <row r="7">
      <c r="A7" s="14" t="inlineStr">
        <is>
          <t>BONORINO</t>
        </is>
      </c>
      <c r="B7" s="15">
        <f>SUMIF($D$29:$D$200,A7,$E$29:$E$200)</f>
        <v/>
      </c>
      <c r="D7" t="inlineStr">
        <is>
          <t>CUIL</t>
        </is>
      </c>
      <c r="E7" t="inlineStr">
        <is>
          <t>30714962473</t>
        </is>
      </c>
    </row>
    <row r="8">
      <c r="A8" s="14" t="inlineStr">
        <is>
          <t>AVA</t>
        </is>
      </c>
      <c r="B8" s="15">
        <f>SUMIF($D$29:$D$200,A8,$E$29:$E$200)</f>
        <v/>
      </c>
    </row>
    <row r="9">
      <c r="A9" s="14" t="inlineStr">
        <is>
          <t>OHIGGINS (ex A CONFIRMAR / Copropi)</t>
        </is>
      </c>
      <c r="B9" s="15">
        <f>SUMIF($D$29:$D$200,A9,$E$29:$E$200)</f>
        <v/>
      </c>
    </row>
    <row r="10">
      <c r="A10" s="31" t="inlineStr">
        <is>
          <t>Resumen por mes</t>
        </is>
      </c>
    </row>
    <row r="11">
      <c r="A11" s="34" t="inlineStr">
        <is>
          <t>Mes</t>
        </is>
      </c>
      <c r="B11" s="34" t="inlineStr">
        <is>
          <t>Total</t>
        </is>
      </c>
    </row>
    <row r="12">
      <c r="A12" s="14" t="inlineStr">
        <is>
          <t>Enero</t>
        </is>
      </c>
      <c r="B12" s="15">
        <f>SUMIF($B$29:$B$200,A12,$E$29:$E$200)</f>
        <v/>
      </c>
    </row>
    <row r="13">
      <c r="A13" s="14" t="inlineStr">
        <is>
          <t>Febrero</t>
        </is>
      </c>
      <c r="B13" s="15">
        <f>SUMIF($B$29:$B$200,A13,$E$29:$E$200)</f>
        <v/>
      </c>
    </row>
    <row r="14">
      <c r="A14" s="14" t="inlineStr">
        <is>
          <t>Marzo</t>
        </is>
      </c>
      <c r="B14" s="15">
        <f>SUMIF($B$29:$B$200,A14,$E$29:$E$200)</f>
        <v/>
      </c>
    </row>
    <row r="15">
      <c r="A15" s="14" t="inlineStr">
        <is>
          <t>Abril</t>
        </is>
      </c>
      <c r="B15" s="15">
        <f>SUMIF($B$29:$B$200,A15,$E$29:$E$200)</f>
        <v/>
      </c>
    </row>
    <row r="16">
      <c r="A16" s="14" t="inlineStr">
        <is>
          <t>Mayo</t>
        </is>
      </c>
      <c r="B16" s="15">
        <f>SUMIF($B$29:$B$200,A16,$E$29:$E$200)</f>
        <v/>
      </c>
    </row>
    <row r="17">
      <c r="A17" s="14" t="inlineStr">
        <is>
          <t>Junio</t>
        </is>
      </c>
      <c r="B17" s="15">
        <f>SUMIF($B$29:$B$200,A17,$E$29:$E$200)</f>
        <v/>
      </c>
    </row>
    <row r="18">
      <c r="A18" s="14" t="inlineStr">
        <is>
          <t>Julio</t>
        </is>
      </c>
      <c r="B18" s="15">
        <f>SUMIF($B$29:$B$200,A18,$E$29:$E$200)</f>
        <v/>
      </c>
    </row>
    <row r="19">
      <c r="A19" s="14" t="inlineStr">
        <is>
          <t>Agosto</t>
        </is>
      </c>
      <c r="B19" s="15">
        <f>SUMIF($B$29:$B$200,A19,$E$29:$E$200)</f>
        <v/>
      </c>
    </row>
    <row r="20">
      <c r="A20" s="14" t="inlineStr">
        <is>
          <t>Septiembre</t>
        </is>
      </c>
      <c r="B20" s="15">
        <f>SUMIF($B$29:$B$200,A20,$E$29:$E$200)</f>
        <v/>
      </c>
    </row>
    <row r="21">
      <c r="A21" s="14" t="inlineStr">
        <is>
          <t>Octubre</t>
        </is>
      </c>
      <c r="B21" s="15">
        <f>SUMIF($B$29:$B$200,A21,$E$29:$E$200)</f>
        <v/>
      </c>
    </row>
    <row r="22">
      <c r="A22" s="14" t="inlineStr">
        <is>
          <t>Noviembre</t>
        </is>
      </c>
      <c r="B22" s="15">
        <f>SUMIF($B$29:$B$200,A22,$E$29:$E$200)</f>
        <v/>
      </c>
    </row>
    <row r="23">
      <c r="A23" s="14" t="inlineStr">
        <is>
          <t>Diciembre</t>
        </is>
      </c>
      <c r="B23" s="15">
        <f>SUMIF($B$29:$B$200,A23,$E$29:$E$200)</f>
        <v/>
      </c>
    </row>
    <row r="24">
      <c r="A24" s="38" t="inlineStr">
        <is>
          <t>TOTAL AÑO</t>
        </is>
      </c>
      <c r="B24" s="39">
        <f>SUM(B12:B23)</f>
        <v/>
      </c>
    </row>
    <row r="27">
      <c r="A27" s="31" t="inlineStr">
        <is>
          <t>Detalle</t>
        </is>
      </c>
    </row>
    <row r="28">
      <c r="A28" s="34" t="inlineStr">
        <is>
          <t>Fecha</t>
        </is>
      </c>
      <c r="B28" s="34" t="inlineStr">
        <is>
          <t>Mes</t>
        </is>
      </c>
      <c r="C28" s="34" t="inlineStr">
        <is>
          <t>Consorcio</t>
        </is>
      </c>
      <c r="D28" s="34" t="inlineStr">
        <is>
          <t>Propiedad</t>
        </is>
      </c>
      <c r="E28" s="34" t="inlineStr">
        <is>
          <t>Monto</t>
        </is>
      </c>
      <c r="F28" s="34" t="inlineStr">
        <is>
          <t>Medio</t>
        </is>
      </c>
      <c r="G28" s="34" t="inlineStr">
        <is>
          <t>Comentario</t>
        </is>
      </c>
    </row>
    <row r="29">
      <c r="A29" s="17" t="n">
        <v>46029</v>
      </c>
      <c r="B29" s="14" t="inlineStr">
        <is>
          <t>Enero</t>
        </is>
      </c>
      <c r="C29" s="14" t="inlineStr">
        <is>
          <t>Consorcio De Propiet</t>
        </is>
      </c>
      <c r="D29" s="14" t="inlineStr">
        <is>
          <t>CIUDAD 1132</t>
        </is>
      </c>
      <c r="E29" s="15" t="n">
        <v>35260</v>
      </c>
      <c r="F29" s="14" t="inlineStr">
        <is>
          <t>Mercado Pago — Transferencia enviada</t>
        </is>
      </c>
      <c r="G29" s="14" t="inlineStr">
        <is>
          <t>Pago de Expensas · CIUDAD 1132 · Patagonia CBU 0340116900116010765007 / CUIL 30714962473</t>
        </is>
      </c>
    </row>
    <row r="30">
      <c r="A30" s="17" t="n">
        <v>46029</v>
      </c>
      <c r="B30" s="14" t="inlineStr">
        <is>
          <t>Enero</t>
        </is>
      </c>
      <c r="C30" s="14" t="inlineStr">
        <is>
          <t>Consorcio De Propiet</t>
        </is>
      </c>
      <c r="D30" s="14" t="inlineStr">
        <is>
          <t>CIUDAD 1132</t>
        </is>
      </c>
      <c r="E30" s="15" t="n">
        <v>238240</v>
      </c>
      <c r="F30" s="14" t="inlineStr">
        <is>
          <t>Mercado Pago — Transferencia enviada</t>
        </is>
      </c>
      <c r="G30" s="14" t="inlineStr">
        <is>
          <t>Pago de Expensas · CIUDAD 1132 · Patagonia CBU 0340116900116010765007 / CUIL 30714962473</t>
        </is>
      </c>
    </row>
    <row r="31">
      <c r="A31" s="17" t="n">
        <v>46031</v>
      </c>
      <c r="B31" s="14" t="inlineStr">
        <is>
          <t>Enero</t>
        </is>
      </c>
      <c r="C31" s="14" t="inlineStr">
        <is>
          <t>Consorcio De Copropi</t>
        </is>
      </c>
      <c r="D31" s="14" t="inlineStr">
        <is>
          <t>OHIGGINS</t>
        </is>
      </c>
      <c r="E31" s="15" t="n">
        <v>376564</v>
      </c>
      <c r="F31" s="14" t="inlineStr">
        <is>
          <t>Mercado Pago — Transferencia enviada</t>
        </is>
      </c>
      <c r="G31" s="14" t="inlineStr">
        <is>
          <t>Pago de Expensas · OHIGGINS 2219 piso 8 · Estudio Kalmus</t>
        </is>
      </c>
    </row>
    <row r="32">
      <c r="A32" s="17" t="n">
        <v>46059</v>
      </c>
      <c r="B32" s="14" t="inlineStr">
        <is>
          <t>Febrero</t>
        </is>
      </c>
      <c r="C32" s="14" t="inlineStr">
        <is>
          <t>Consorcio De Copropi</t>
        </is>
      </c>
      <c r="D32" s="14" t="inlineStr">
        <is>
          <t>OHIGGINS</t>
        </is>
      </c>
      <c r="E32" s="15" t="n">
        <v>395551</v>
      </c>
      <c r="F32" s="14" t="inlineStr">
        <is>
          <t>Mercado Pago — Transferencia enviada</t>
        </is>
      </c>
      <c r="G32" s="14" t="inlineStr">
        <is>
          <t>Pago de Expensas · OHIGGINS 2219 piso 8 · Estudio Kalmus</t>
        </is>
      </c>
    </row>
    <row r="33">
      <c r="A33" s="17" t="n">
        <v>46059</v>
      </c>
      <c r="B33" s="14" t="inlineStr">
        <is>
          <t>Febrero</t>
        </is>
      </c>
      <c r="C33" s="14" t="inlineStr">
        <is>
          <t>Consorcio De Propiet</t>
        </is>
      </c>
      <c r="D33" s="14" t="inlineStr">
        <is>
          <t>CIUDAD 1132</t>
        </is>
      </c>
      <c r="E33" s="15" t="n">
        <v>218800</v>
      </c>
      <c r="F33" s="14" t="inlineStr">
        <is>
          <t>Mercado Pago — Transferencia enviada</t>
        </is>
      </c>
      <c r="G33" s="14" t="inlineStr">
        <is>
          <t>Pago de Expensas · CIUDAD 1132 · Patagonia CBU 0340116900116010765007 / CUIL 30714962473</t>
        </is>
      </c>
    </row>
    <row r="34">
      <c r="A34" s="17" t="n">
        <v>46091</v>
      </c>
      <c r="B34" s="14" t="inlineStr">
        <is>
          <t>Marzo</t>
        </is>
      </c>
      <c r="C34" s="14" t="inlineStr">
        <is>
          <t>Consorcio De Copropi</t>
        </is>
      </c>
      <c r="D34" s="14" t="inlineStr">
        <is>
          <t>OHIGGINS</t>
        </is>
      </c>
      <c r="E34" s="15" t="n">
        <v>402934</v>
      </c>
      <c r="F34" s="14" t="inlineStr">
        <is>
          <t>Mercado Pago — Transferencia enviada</t>
        </is>
      </c>
      <c r="G34" s="14" t="inlineStr">
        <is>
          <t>Pago de Expensas · OHIGGINS 2219 piso 8 · Estudio Kalmus</t>
        </is>
      </c>
    </row>
    <row r="35">
      <c r="A35" s="17" t="n">
        <v>46091</v>
      </c>
      <c r="B35" s="14" t="inlineStr">
        <is>
          <t>Marzo</t>
        </is>
      </c>
      <c r="C35" s="14" t="inlineStr">
        <is>
          <t>Consorcio De Propiet</t>
        </is>
      </c>
      <c r="D35" s="14" t="inlineStr">
        <is>
          <t>CIUDAD 1132</t>
        </is>
      </c>
      <c r="E35" s="15" t="n">
        <v>218800</v>
      </c>
      <c r="F35" s="14" t="inlineStr">
        <is>
          <t>Mercado Pago — Transferencia enviada</t>
        </is>
      </c>
      <c r="G35" s="14" t="inlineStr">
        <is>
          <t>Pago de Expensas · CIUDAD 1132 · Patagonia CBU 0340116900116010765007 / CUIL 30714962473</t>
        </is>
      </c>
    </row>
    <row r="36">
      <c r="A36" s="17" t="n">
        <v>46154</v>
      </c>
      <c r="B36" s="14" t="inlineStr">
        <is>
          <t>Mayo</t>
        </is>
      </c>
      <c r="C36" s="14" t="inlineStr">
        <is>
          <t>Cons De Prop E Bonorino 82</t>
        </is>
      </c>
      <c r="D36" s="14" t="inlineStr">
        <is>
          <t>BONORINO</t>
        </is>
      </c>
      <c r="E36" s="15" t="n">
        <v>200340</v>
      </c>
      <c r="F36" s="14" t="inlineStr">
        <is>
          <t>Mercado Pago — Transferencia enviada</t>
        </is>
      </c>
      <c r="G36" s="14" t="inlineStr">
        <is>
          <t>Pago de Expensas · BONORINO</t>
        </is>
      </c>
    </row>
    <row r="37">
      <c r="A37" s="17" t="n">
        <v>46183</v>
      </c>
      <c r="B37" s="14" t="inlineStr">
        <is>
          <t>Junio</t>
        </is>
      </c>
      <c r="C37" s="14" t="inlineStr">
        <is>
          <t>Cons De Prop E Bonorino 82</t>
        </is>
      </c>
      <c r="D37" s="14" t="inlineStr">
        <is>
          <t>BONORINO</t>
        </is>
      </c>
      <c r="E37" s="15" t="n">
        <v>219145</v>
      </c>
      <c r="F37" s="14" t="inlineStr">
        <is>
          <t>Mercado Pago — Transferencia enviada</t>
        </is>
      </c>
      <c r="G37" s="14" t="inlineStr">
        <is>
          <t>Pago de Expensas · BONORINO</t>
        </is>
      </c>
    </row>
    <row r="38">
      <c r="A38" s="17" t="n">
        <v>46183</v>
      </c>
      <c r="B38" s="14" t="inlineStr">
        <is>
          <t>Mayo</t>
        </is>
      </c>
      <c r="C38" s="14" t="inlineStr">
        <is>
          <t>Consorcio De Copropi</t>
        </is>
      </c>
      <c r="D38" s="14" t="inlineStr">
        <is>
          <t>OHIGGINS</t>
        </is>
      </c>
      <c r="E38" s="15" t="n">
        <v>666347</v>
      </c>
      <c r="F38" s="14" t="inlineStr">
        <is>
          <t>Mercado Pago — Transferencia enviada</t>
        </is>
      </c>
      <c r="G38" s="14" t="inlineStr">
        <is>
          <t>Pago de Expensas · OHIGGINS 2219 piso 8 · Estudio Kalmus</t>
        </is>
      </c>
    </row>
    <row r="39">
      <c r="A39" s="17" t="n">
        <v>46183</v>
      </c>
      <c r="B39" s="14" t="inlineStr">
        <is>
          <t>Mayo</t>
        </is>
      </c>
      <c r="C39" s="14" t="inlineStr">
        <is>
          <t>Consorcio De Propiet</t>
        </is>
      </c>
      <c r="D39" s="14" t="inlineStr">
        <is>
          <t>CIUDAD 1132</t>
        </is>
      </c>
      <c r="E39" s="15" t="n">
        <v>246150</v>
      </c>
      <c r="F39" s="14" t="inlineStr">
        <is>
          <t>Mercado Pago — Transferencia enviada</t>
        </is>
      </c>
      <c r="G39" s="14" t="inlineStr">
        <is>
          <t>Pago de Expensas · CIUDAD 1132 · Patagonia CBU 0340116900116010765007 / CUIL 30714962473 · período mayo 2026 (Gmail Sent)</t>
        </is>
      </c>
    </row>
    <row r="40">
      <c r="A40" s="17" t="n">
        <v>46212</v>
      </c>
      <c r="B40" s="14" t="inlineStr">
        <is>
          <t>Julio</t>
        </is>
      </c>
      <c r="C40" s="14" t="inlineStr">
        <is>
          <t>Cons De Prop E Bonorino 82</t>
        </is>
      </c>
      <c r="D40" s="14" t="inlineStr">
        <is>
          <t>BONORINO</t>
        </is>
      </c>
      <c r="E40" s="15" t="n">
        <v>209393</v>
      </c>
      <c r="F40" s="14" t="inlineStr">
        <is>
          <t>Mercado Pago — Transferencia enviada</t>
        </is>
      </c>
      <c r="G40" s="14" t="inlineStr">
        <is>
          <t>Pago de Expensas · BONORINO</t>
        </is>
      </c>
    </row>
    <row r="41">
      <c r="A41" s="17" t="n">
        <v>46212</v>
      </c>
      <c r="B41" s="14" t="inlineStr">
        <is>
          <t>Junio</t>
        </is>
      </c>
      <c r="C41" s="14" t="inlineStr">
        <is>
          <t>Consorcio De Copropi</t>
        </is>
      </c>
      <c r="D41" s="14" t="inlineStr">
        <is>
          <t>OHIGGINS</t>
        </is>
      </c>
      <c r="E41" s="15" t="n">
        <v>829490</v>
      </c>
      <c r="F41" s="14" t="inlineStr">
        <is>
          <t>Mercado Pago — Transferencia enviada</t>
        </is>
      </c>
      <c r="G41" s="14" t="inlineStr">
        <is>
          <t>Pago de Expensas · OHIGGINS 2219 piso 8 · Estudio Kalmus</t>
        </is>
      </c>
    </row>
    <row r="42">
      <c r="A42" s="17" t="n">
        <v>46212</v>
      </c>
      <c r="B42" s="14" t="inlineStr">
        <is>
          <t>Junio</t>
        </is>
      </c>
      <c r="C42" s="14" t="inlineStr">
        <is>
          <t>Consorcio De Propiet</t>
        </is>
      </c>
      <c r="D42" s="14" t="inlineStr">
        <is>
          <t>CIUDAD 1132</t>
        </is>
      </c>
      <c r="E42" s="15" t="n">
        <v>273500</v>
      </c>
      <c r="F42" s="14" t="inlineStr">
        <is>
          <t>Mercado Pago — Transferencia enviada</t>
        </is>
      </c>
      <c r="G42" s="14" t="inlineStr">
        <is>
          <t>Pago de Expensas · CIUDAD 1132 · Patagonia CBU 0340116900116010765007 / CUIL 30714962473 · período junio 2026 (Gmail Sent)</t>
        </is>
      </c>
    </row>
    <row r="43">
      <c r="A43" s="17" t="n">
        <v>46119</v>
      </c>
      <c r="B43" s="14" t="inlineStr">
        <is>
          <t>Abril</t>
        </is>
      </c>
      <c r="C43" s="14" t="inlineStr">
        <is>
          <t>Consorcio De Propiet</t>
        </is>
      </c>
      <c r="D43" s="14" t="inlineStr">
        <is>
          <t>CIUDAD 1132</t>
        </is>
      </c>
      <c r="E43" s="15" t="n">
        <v>235210</v>
      </c>
      <c r="F43" s="14" t="inlineStr">
        <is>
          <t>Banco — Transferencia (cuenta PRINCIPAL)</t>
        </is>
      </c>
      <c r="G43" s="14" t="inlineStr">
        <is>
          <t>Pago de Expensas · CIUDAD 1132 · CBU Patagonia 0340116900116010765007 / CUIL 30714962473 · Gmail Sent 7-abr (comprobante)</t>
        </is>
      </c>
    </row>
    <row r="44">
      <c r="A44" s="17" t="n">
        <v>46275</v>
      </c>
      <c r="B44" s="14" t="inlineStr">
        <is>
          <t>Agosto</t>
        </is>
      </c>
      <c r="C44" s="14" t="inlineStr">
        <is>
          <t>Consorcio De Propiet</t>
        </is>
      </c>
      <c r="D44" s="14" t="inlineStr">
        <is>
          <t>CIUDAD 1132</t>
        </is>
      </c>
      <c r="E44" s="15" t="n">
        <v>300850</v>
      </c>
      <c r="F44" s="14" t="inlineStr">
        <is>
          <t>Transferencia (Gmail Sent)</t>
        </is>
      </c>
      <c r="G44" s="14" t="inlineStr">
        <is>
          <t>Pago de Expensas · CIUDAD 1132 · período agosto 2026 (Gmail Sent / De Filippo)</t>
        </is>
      </c>
    </row>
    <row r="45">
      <c r="A45" s="17" t="n">
        <v>46275</v>
      </c>
      <c r="B45" s="14" t="inlineStr">
        <is>
          <t>Agosto</t>
        </is>
      </c>
      <c r="C45" s="14" t="inlineStr">
        <is>
          <t>Consorcio De Copropi</t>
        </is>
      </c>
      <c r="D45" s="14" t="inlineStr">
        <is>
          <t>OHIGGINS</t>
        </is>
      </c>
      <c r="E45" s="15" t="n">
        <v>722979</v>
      </c>
      <c r="F45" s="14" t="inlineStr">
        <is>
          <t>Transferencia (Gmail Sent)</t>
        </is>
      </c>
      <c r="G45" s="14" t="inlineStr">
        <is>
          <t>Pago de Expensas · OHIGGINS 2219 piso 8 · período agosto 2026 (Gmail Sent / Estudio Kalmus) · recibo $722.978,08</t>
        </is>
      </c>
    </row>
    <row r="46">
      <c r="A46" s="17" t="n">
        <v>46266</v>
      </c>
      <c r="B46" s="14" t="inlineStr">
        <is>
          <t>Agosto</t>
        </is>
      </c>
      <c r="C46" s="14" t="inlineStr">
        <is>
          <t>Cons De Prop E Bonorino 82</t>
        </is>
      </c>
      <c r="D46" s="14" t="inlineStr">
        <is>
          <t>BONORINO</t>
        </is>
      </c>
      <c r="E46" s="15" t="n">
        <v>222825</v>
      </c>
      <c r="F46" s="14" t="inlineStr">
        <is>
          <t>Transferencia (Gmail Sent)</t>
        </is>
      </c>
      <c r="G46" s="14" t="inlineStr">
        <is>
          <t>Pago de Expensas · BONORINO · período agosto 2026 (liq 09/2026 · Gmail Sent)</t>
        </is>
      </c>
    </row>
    <row r="47">
      <c r="A47" s="17" t="n">
        <v>46272</v>
      </c>
      <c r="B47" s="14" t="inlineStr">
        <is>
          <t>Septiembre</t>
        </is>
      </c>
      <c r="C47" s="14" t="inlineStr">
        <is>
          <t>Fideicomiso Ava Palpa</t>
        </is>
      </c>
      <c r="D47" s="14" t="inlineStr">
        <is>
          <t>AVA</t>
        </is>
      </c>
      <c r="E47" s="15" t="n">
        <v>6269440</v>
      </c>
      <c r="F47" s="14" t="inlineStr">
        <is>
          <t>Mercado Pago — Transferencia enviada</t>
        </is>
      </c>
      <c r="G47" s="14" t="inlineStr">
        <is>
          <t>AVA cuota 10 · pagado 07/09 · total $6.269.440 · 50% Sol ya en GPS</t>
        </is>
      </c>
    </row>
    <row r="48">
      <c r="A48" s="17" t="n">
        <v>46244</v>
      </c>
      <c r="B48" s="14" t="inlineStr">
        <is>
          <t>Julio</t>
        </is>
      </c>
      <c r="C48" s="14" t="inlineStr">
        <is>
          <t>Consorcio De Propiet</t>
        </is>
      </c>
      <c r="D48" s="14" t="inlineStr">
        <is>
          <t>CIUDAD 1132</t>
        </is>
      </c>
      <c r="E48" s="15" t="n">
        <v>300850</v>
      </c>
      <c r="F48" s="14" t="inlineStr">
        <is>
          <t>Mercado Pago — Transferencia enviada</t>
        </is>
      </c>
      <c r="G48" s="14" t="inlineStr">
        <is>
          <t>Pago de Expensas · CIUDAD 1132 · Patagonia CBU 0340116900116010765007 / CUIL 30714962473 · período julio 2026 (Gmail Sent 10/08 · op 173005218278)</t>
        </is>
      </c>
    </row>
    <row r="49">
      <c r="A49" s="17" t="n"/>
      <c r="B49" s="14" t="n"/>
      <c r="C49" s="14" t="n"/>
      <c r="D49" s="14" t="n"/>
      <c r="E49" s="15" t="n"/>
      <c r="F49" s="14" t="n"/>
      <c r="G49" s="14" t="n"/>
    </row>
    <row r="50">
      <c r="A50" s="17" t="n"/>
      <c r="B50" s="14" t="n"/>
      <c r="C50" s="14" t="n"/>
      <c r="D50" s="14" t="n"/>
      <c r="E50" s="15" t="n"/>
      <c r="F50" s="14" t="n"/>
      <c r="G50" s="14" t="n"/>
    </row>
    <row r="51">
      <c r="A51" s="17" t="n"/>
      <c r="B51" s="14" t="n"/>
      <c r="C51" s="14" t="n"/>
      <c r="D51" s="14" t="n"/>
      <c r="E51" s="15" t="n"/>
      <c r="F51" s="14" t="n"/>
      <c r="G51" s="14" t="n"/>
    </row>
    <row r="52">
      <c r="A52" s="17" t="n"/>
      <c r="B52" s="14" t="n"/>
      <c r="C52" s="14" t="n"/>
      <c r="D52" s="14" t="n"/>
      <c r="E52" s="15" t="n"/>
      <c r="F52" s="14" t="n"/>
      <c r="G52" s="14" t="n"/>
    </row>
    <row r="53">
      <c r="A53" s="17" t="n"/>
      <c r="B53" s="14" t="n"/>
      <c r="C53" s="14" t="n"/>
      <c r="D53" s="14" t="n"/>
      <c r="E53" s="15" t="n"/>
      <c r="F53" s="14" t="n"/>
      <c r="G53" s="14" t="n"/>
    </row>
    <row r="54">
      <c r="A54" s="17" t="n"/>
      <c r="B54" s="14" t="n"/>
      <c r="C54" s="14" t="n"/>
      <c r="D54" s="14" t="n"/>
      <c r="E54" s="15" t="n"/>
      <c r="F54" s="14" t="n"/>
      <c r="G54" s="14" t="n"/>
    </row>
    <row r="55">
      <c r="A55" s="17" t="n"/>
      <c r="B55" s="14" t="n"/>
      <c r="C55" s="14" t="n"/>
      <c r="D55" s="14" t="n"/>
      <c r="E55" s="15" t="n"/>
      <c r="F55" s="14" t="n"/>
      <c r="G55" s="14" t="n"/>
    </row>
    <row r="56">
      <c r="A56" s="17" t="n"/>
      <c r="B56" s="14" t="n"/>
      <c r="C56" s="14" t="n"/>
      <c r="D56" s="14" t="n"/>
      <c r="E56" s="15" t="n"/>
      <c r="F56" s="14" t="n"/>
      <c r="G56" s="14" t="n"/>
    </row>
    <row r="57">
      <c r="A57" s="17" t="n"/>
      <c r="B57" s="14" t="n"/>
      <c r="C57" s="14" t="n"/>
      <c r="D57" s="14" t="n"/>
      <c r="E57" s="15" t="n"/>
      <c r="F57" s="14" t="n"/>
      <c r="G57" s="14" t="n"/>
    </row>
    <row r="58">
      <c r="A58" s="17" t="n"/>
      <c r="B58" s="14" t="n"/>
      <c r="C58" s="14" t="n"/>
      <c r="D58" s="14" t="n"/>
      <c r="E58" s="15" t="n"/>
      <c r="F58" s="14" t="n"/>
      <c r="G58" s="14" t="n"/>
    </row>
    <row r="59">
      <c r="A59" s="17" t="n"/>
      <c r="B59" s="14" t="n"/>
      <c r="C59" s="14" t="n"/>
      <c r="D59" s="14" t="n"/>
      <c r="E59" s="15" t="n"/>
      <c r="F59" s="14" t="n"/>
      <c r="G59" s="14" t="n"/>
    </row>
    <row r="60">
      <c r="A60" s="17" t="n"/>
      <c r="B60" s="14" t="n"/>
      <c r="C60" s="14" t="n"/>
      <c r="D60" s="14" t="n"/>
      <c r="E60" s="15" t="n"/>
      <c r="F60" s="14" t="n"/>
      <c r="G60" s="14" t="n"/>
    </row>
    <row r="61">
      <c r="A61" s="17" t="n"/>
      <c r="B61" s="14" t="n"/>
      <c r="C61" s="14" t="n"/>
      <c r="D61" s="14" t="n"/>
      <c r="E61" s="15" t="n"/>
      <c r="F61" s="14" t="n"/>
      <c r="G61" s="14" t="n"/>
    </row>
    <row r="62">
      <c r="A62" s="17" t="n"/>
      <c r="B62" s="14" t="n"/>
      <c r="C62" s="14" t="n"/>
      <c r="D62" s="14" t="n"/>
      <c r="E62" s="15" t="n"/>
      <c r="F62" s="14" t="n"/>
      <c r="G62" s="14" t="n"/>
    </row>
    <row r="63">
      <c r="A63" s="17" t="n"/>
      <c r="B63" s="14" t="n"/>
      <c r="C63" s="14" t="n"/>
      <c r="D63" s="14" t="n"/>
      <c r="E63" s="15" t="n"/>
      <c r="F63" s="14" t="n"/>
      <c r="G63" s="14" t="n"/>
    </row>
    <row r="64">
      <c r="A64" s="17" t="n"/>
      <c r="B64" s="14" t="n"/>
      <c r="C64" s="14" t="n"/>
      <c r="D64" s="14" t="n"/>
      <c r="E64" s="15" t="n"/>
      <c r="F64" s="14" t="n"/>
      <c r="G64" s="14" t="n"/>
    </row>
    <row r="65">
      <c r="A65" s="17" t="n"/>
      <c r="B65" s="14" t="n"/>
      <c r="C65" s="14" t="n"/>
      <c r="D65" s="14" t="n"/>
      <c r="E65" s="15" t="n"/>
      <c r="F65" s="14" t="n"/>
      <c r="G65" s="14" t="n"/>
    </row>
    <row r="66">
      <c r="A66" s="17" t="n"/>
      <c r="B66" s="14" t="n"/>
      <c r="C66" s="14" t="n"/>
      <c r="D66" s="14" t="n"/>
      <c r="E66" s="15" t="n"/>
      <c r="F66" s="14" t="n"/>
      <c r="G66" s="14" t="n"/>
    </row>
    <row r="67">
      <c r="A67" s="17" t="n"/>
      <c r="B67" s="14" t="n"/>
      <c r="C67" s="14" t="n"/>
      <c r="D67" s="14" t="n"/>
      <c r="E67" s="15" t="n"/>
      <c r="F67" s="14" t="n"/>
      <c r="G67" s="14" t="n"/>
    </row>
    <row r="68">
      <c r="A68" s="17" t="n"/>
      <c r="B68" s="14" t="n"/>
      <c r="C68" s="14" t="n"/>
      <c r="D68" s="14" t="n"/>
      <c r="E68" s="15" t="n"/>
      <c r="F68" s="14" t="n"/>
      <c r="G68" s="14" t="n"/>
    </row>
    <row r="69">
      <c r="A69" s="17" t="n"/>
      <c r="B69" s="14" t="n"/>
      <c r="C69" s="14" t="n"/>
      <c r="D69" s="14" t="n"/>
      <c r="E69" s="15" t="n"/>
      <c r="F69" s="14" t="n"/>
      <c r="G69" s="14" t="n"/>
    </row>
    <row r="70">
      <c r="A70" s="17" t="n"/>
      <c r="B70" s="14" t="n"/>
      <c r="C70" s="14" t="n"/>
      <c r="D70" s="14" t="n"/>
      <c r="E70" s="15" t="n"/>
      <c r="F70" s="14" t="n"/>
      <c r="G70" s="14" t="n"/>
    </row>
    <row r="71">
      <c r="A71" s="17" t="n"/>
      <c r="B71" s="14" t="n"/>
      <c r="C71" s="14" t="n"/>
      <c r="D71" s="14" t="n"/>
      <c r="E71" s="15" t="n"/>
      <c r="F71" s="14" t="n"/>
      <c r="G71" s="14" t="n"/>
    </row>
    <row r="72">
      <c r="A72" s="17" t="n"/>
      <c r="B72" s="14" t="n"/>
      <c r="C72" s="14" t="n"/>
      <c r="D72" s="14" t="n"/>
      <c r="E72" s="15" t="n"/>
      <c r="F72" s="14" t="n"/>
      <c r="G72" s="14" t="n"/>
    </row>
    <row r="73">
      <c r="A73" s="17" t="n"/>
      <c r="B73" s="14" t="n"/>
      <c r="C73" s="14" t="n"/>
      <c r="D73" s="14" t="n"/>
      <c r="E73" s="15" t="n"/>
      <c r="F73" s="14" t="n"/>
      <c r="G73" s="14" t="n"/>
    </row>
    <row r="74">
      <c r="A74" s="17" t="n"/>
      <c r="B74" s="14" t="n"/>
      <c r="C74" s="14" t="n"/>
      <c r="D74" s="14" t="n"/>
      <c r="E74" s="15" t="n"/>
      <c r="F74" s="14" t="n"/>
      <c r="G74" s="14" t="n"/>
    </row>
    <row r="75">
      <c r="A75" s="17" t="n"/>
      <c r="B75" s="14" t="n"/>
      <c r="C75" s="14" t="n"/>
      <c r="D75" s="14" t="n"/>
      <c r="E75" s="15" t="n"/>
      <c r="F75" s="14" t="n"/>
      <c r="G75" s="14" t="n"/>
    </row>
    <row r="76">
      <c r="A76" s="17" t="n"/>
      <c r="B76" s="14" t="n"/>
      <c r="C76" s="14" t="n"/>
      <c r="D76" s="14" t="n"/>
      <c r="E76" s="15" t="n"/>
      <c r="F76" s="14" t="n"/>
      <c r="G76" s="14" t="n"/>
    </row>
    <row r="77">
      <c r="A77" s="17" t="n"/>
      <c r="B77" s="14" t="n"/>
      <c r="C77" s="14" t="n"/>
      <c r="D77" s="14" t="n"/>
      <c r="E77" s="15" t="n"/>
      <c r="F77" s="14" t="n"/>
      <c r="G77" s="14" t="n"/>
    </row>
    <row r="78">
      <c r="A78" s="17" t="n"/>
      <c r="B78" s="14" t="n"/>
      <c r="C78" s="14" t="n"/>
      <c r="D78" s="14" t="n"/>
      <c r="E78" s="15" t="n"/>
      <c r="F78" s="14" t="n"/>
      <c r="G78" s="14" t="n"/>
    </row>
    <row r="79">
      <c r="A79" s="17" t="n"/>
      <c r="B79" s="14" t="n"/>
      <c r="C79" s="14" t="n"/>
      <c r="D79" s="14" t="n"/>
      <c r="E79" s="15" t="n"/>
      <c r="F79" s="14" t="n"/>
      <c r="G79" s="14" t="n"/>
    </row>
    <row r="80">
      <c r="A80" s="17" t="n"/>
      <c r="B80" s="14" t="n"/>
      <c r="C80" s="14" t="n"/>
      <c r="D80" s="14" t="n"/>
      <c r="E80" s="15" t="n"/>
      <c r="F80" s="14" t="n"/>
      <c r="G80" s="14" t="n"/>
    </row>
    <row r="81">
      <c r="A81" s="17" t="n"/>
      <c r="B81" s="14" t="n"/>
      <c r="C81" s="14" t="n"/>
      <c r="D81" s="14" t="n"/>
      <c r="E81" s="15" t="n"/>
      <c r="F81" s="14" t="n"/>
      <c r="G81" s="14" t="n"/>
    </row>
    <row r="82">
      <c r="A82" s="17" t="n"/>
      <c r="B82" s="14" t="n"/>
      <c r="C82" s="14" t="n"/>
      <c r="D82" s="14" t="n"/>
      <c r="E82" s="15" t="n"/>
      <c r="F82" s="14" t="n"/>
      <c r="G82" s="14" t="n"/>
    </row>
    <row r="83">
      <c r="A83" s="17" t="n"/>
      <c r="B83" s="14" t="n"/>
      <c r="C83" s="14" t="n"/>
      <c r="D83" s="14" t="n"/>
      <c r="E83" s="15" t="n"/>
      <c r="F83" s="14" t="n"/>
      <c r="G83" s="14" t="n"/>
    </row>
    <row r="84">
      <c r="A84" s="17" t="n"/>
      <c r="B84" s="14" t="n"/>
      <c r="C84" s="14" t="n"/>
      <c r="D84" s="14" t="n"/>
      <c r="E84" s="15" t="n"/>
      <c r="F84" s="14" t="n"/>
      <c r="G84" s="14" t="n"/>
    </row>
    <row r="85">
      <c r="A85" s="17" t="n"/>
      <c r="B85" s="14" t="n"/>
      <c r="C85" s="14" t="n"/>
      <c r="D85" s="14" t="n"/>
      <c r="E85" s="15" t="n"/>
      <c r="F85" s="14" t="n"/>
      <c r="G85" s="14" t="n"/>
    </row>
    <row r="86">
      <c r="A86" s="17" t="n"/>
      <c r="B86" s="14" t="n"/>
      <c r="C86" s="14" t="n"/>
      <c r="D86" s="14" t="n"/>
      <c r="E86" s="15" t="n"/>
      <c r="F86" s="14" t="n"/>
      <c r="G86" s="14" t="n"/>
    </row>
    <row r="87">
      <c r="A87" s="17" t="n"/>
      <c r="B87" s="14" t="n"/>
      <c r="C87" s="14" t="n"/>
      <c r="D87" s="14" t="n"/>
      <c r="E87" s="15" t="n"/>
      <c r="F87" s="14" t="n"/>
      <c r="G87" s="14" t="n"/>
    </row>
    <row r="88">
      <c r="A88" s="17" t="n"/>
      <c r="B88" s="14" t="n"/>
      <c r="C88" s="14" t="n"/>
      <c r="D88" s="14" t="n"/>
      <c r="E88" s="15" t="n"/>
      <c r="F88" s="14" t="n"/>
      <c r="G88" s="14" t="n"/>
    </row>
    <row r="89">
      <c r="A89" s="17" t="n"/>
      <c r="B89" s="14" t="n"/>
      <c r="C89" s="14" t="n"/>
      <c r="D89" s="14" t="n"/>
      <c r="E89" s="15" t="n"/>
      <c r="F89" s="14" t="n"/>
      <c r="G89" s="14" t="n"/>
    </row>
    <row r="90">
      <c r="A90" s="17" t="n"/>
      <c r="B90" s="14" t="n"/>
      <c r="C90" s="14" t="n"/>
      <c r="D90" s="14" t="n"/>
      <c r="E90" s="15" t="n"/>
      <c r="F90" s="14" t="n"/>
      <c r="G90" s="14" t="n"/>
    </row>
    <row r="91">
      <c r="A91" s="17" t="n"/>
      <c r="B91" s="14" t="n"/>
      <c r="C91" s="14" t="n"/>
      <c r="D91" s="14" t="n"/>
      <c r="E91" s="15" t="n"/>
      <c r="F91" s="14" t="n"/>
      <c r="G91" s="14" t="n"/>
    </row>
    <row r="92">
      <c r="A92" s="17" t="n"/>
      <c r="B92" s="14" t="n"/>
      <c r="C92" s="14" t="n"/>
      <c r="D92" s="14" t="n"/>
      <c r="E92" s="15" t="n"/>
      <c r="F92" s="14" t="n"/>
      <c r="G92" s="14" t="n"/>
    </row>
    <row r="93">
      <c r="A93" s="17" t="n"/>
      <c r="B93" s="14" t="n"/>
      <c r="C93" s="14" t="n"/>
      <c r="D93" s="14" t="n"/>
      <c r="E93" s="15" t="n"/>
      <c r="F93" s="14" t="n"/>
      <c r="G93" s="14" t="n"/>
    </row>
    <row r="94">
      <c r="A94" s="17" t="n"/>
      <c r="B94" s="14" t="n"/>
      <c r="C94" s="14" t="n"/>
      <c r="D94" s="14" t="n"/>
      <c r="E94" s="15" t="n"/>
      <c r="F94" s="14" t="n"/>
      <c r="G94" s="14" t="n"/>
    </row>
    <row r="95">
      <c r="A95" s="17" t="n"/>
      <c r="B95" s="14" t="n"/>
      <c r="C95" s="14" t="n"/>
      <c r="D95" s="14" t="n"/>
      <c r="E95" s="15" t="n"/>
      <c r="F95" s="14" t="n"/>
      <c r="G95" s="14" t="n"/>
    </row>
    <row r="96">
      <c r="A96" s="17" t="n"/>
      <c r="B96" s="14" t="n"/>
      <c r="C96" s="14" t="n"/>
      <c r="D96" s="14" t="n"/>
      <c r="E96" s="15" t="n"/>
      <c r="F96" s="14" t="n"/>
      <c r="G96" s="14" t="n"/>
    </row>
    <row r="97">
      <c r="A97" s="17" t="n"/>
      <c r="B97" s="14" t="n"/>
      <c r="C97" s="14" t="n"/>
      <c r="D97" s="14" t="n"/>
      <c r="E97" s="15" t="n"/>
      <c r="F97" s="14" t="n"/>
      <c r="G97" s="14" t="n"/>
    </row>
    <row r="98">
      <c r="A98" s="17" t="n"/>
      <c r="B98" s="14" t="n"/>
      <c r="C98" s="14" t="n"/>
      <c r="D98" s="14" t="n"/>
      <c r="E98" s="15" t="n"/>
      <c r="F98" s="14" t="n"/>
      <c r="G98" s="14" t="n"/>
    </row>
    <row r="99">
      <c r="A99" s="17" t="n"/>
      <c r="B99" s="14" t="n"/>
      <c r="C99" s="14" t="n"/>
      <c r="D99" s="14" t="n"/>
      <c r="E99" s="15" t="n"/>
      <c r="F99" s="14" t="n"/>
      <c r="G99" s="14" t="n"/>
    </row>
    <row r="100">
      <c r="A100" s="17" t="n"/>
      <c r="B100" s="14" t="n"/>
      <c r="C100" s="14" t="n"/>
      <c r="D100" s="14" t="n"/>
      <c r="E100" s="15" t="n"/>
      <c r="F100" s="14" t="n"/>
      <c r="G100" s="14" t="n"/>
    </row>
    <row r="101">
      <c r="A101" s="17" t="n"/>
      <c r="B101" s="14" t="n"/>
      <c r="C101" s="14" t="n"/>
      <c r="D101" s="14" t="n"/>
      <c r="E101" s="15" t="n"/>
      <c r="F101" s="14" t="n"/>
      <c r="G101" s="14" t="n"/>
    </row>
    <row r="102">
      <c r="A102" s="17" t="n"/>
      <c r="B102" s="14" t="n"/>
      <c r="C102" s="14" t="n"/>
      <c r="D102" s="14" t="n"/>
      <c r="E102" s="15" t="n"/>
      <c r="F102" s="14" t="n"/>
      <c r="G102" s="14" t="n"/>
    </row>
    <row r="103">
      <c r="A103" s="17" t="n"/>
      <c r="B103" s="14" t="n"/>
      <c r="C103" s="14" t="n"/>
      <c r="D103" s="14" t="n"/>
      <c r="E103" s="15" t="n"/>
      <c r="F103" s="14" t="n"/>
      <c r="G103" s="14" t="n"/>
    </row>
    <row r="104">
      <c r="A104" s="17" t="n"/>
      <c r="B104" s="14" t="n"/>
      <c r="C104" s="14" t="n"/>
      <c r="D104" s="14" t="n"/>
      <c r="E104" s="15" t="n"/>
      <c r="F104" s="14" t="n"/>
      <c r="G104" s="14" t="n"/>
    </row>
    <row r="105">
      <c r="A105" s="17" t="n"/>
      <c r="B105" s="14" t="n"/>
      <c r="C105" s="14" t="n"/>
      <c r="D105" s="14" t="n"/>
      <c r="E105" s="15" t="n"/>
      <c r="F105" s="14" t="n"/>
      <c r="G105" s="14" t="n"/>
    </row>
    <row r="106">
      <c r="A106" s="17" t="n"/>
      <c r="B106" s="14" t="n"/>
      <c r="C106" s="14" t="n"/>
      <c r="D106" s="14" t="n"/>
      <c r="E106" s="15" t="n"/>
      <c r="F106" s="14" t="n"/>
      <c r="G106" s="14" t="n"/>
    </row>
    <row r="107">
      <c r="A107" s="17" t="n"/>
      <c r="B107" s="14" t="n"/>
      <c r="C107" s="14" t="n"/>
      <c r="D107" s="14" t="n"/>
      <c r="E107" s="15" t="n"/>
      <c r="F107" s="14" t="n"/>
      <c r="G107" s="14" t="n"/>
    </row>
    <row r="108">
      <c r="A108" s="17" t="n"/>
      <c r="B108" s="14" t="n"/>
      <c r="C108" s="14" t="n"/>
      <c r="D108" s="14" t="n"/>
      <c r="E108" s="15" t="n"/>
      <c r="F108" s="14" t="n"/>
      <c r="G108" s="14" t="n"/>
    </row>
    <row r="109">
      <c r="A109" s="17" t="n"/>
      <c r="B109" s="14" t="n"/>
      <c r="C109" s="14" t="n"/>
      <c r="D109" s="14" t="n"/>
      <c r="E109" s="15" t="n"/>
      <c r="F109" s="14" t="n"/>
      <c r="G109" s="14" t="n"/>
    </row>
    <row r="110">
      <c r="A110" s="17" t="n"/>
      <c r="B110" s="14" t="n"/>
      <c r="C110" s="14" t="n"/>
      <c r="D110" s="14" t="n"/>
      <c r="E110" s="15" t="n"/>
      <c r="F110" s="14" t="n"/>
      <c r="G110" s="14" t="n"/>
    </row>
    <row r="111">
      <c r="A111" s="17" t="n"/>
      <c r="B111" s="14" t="n"/>
      <c r="C111" s="14" t="n"/>
      <c r="D111" s="14" t="n"/>
      <c r="E111" s="15" t="n"/>
      <c r="F111" s="14" t="n"/>
      <c r="G111" s="14" t="n"/>
    </row>
    <row r="112">
      <c r="A112" s="17" t="n"/>
      <c r="B112" s="14" t="n"/>
      <c r="C112" s="14" t="n"/>
      <c r="D112" s="14" t="n"/>
      <c r="E112" s="15" t="n"/>
      <c r="F112" s="14" t="n"/>
      <c r="G112" s="14" t="n"/>
    </row>
    <row r="113">
      <c r="A113" s="17" t="n"/>
      <c r="B113" s="14" t="n"/>
      <c r="C113" s="14" t="n"/>
      <c r="D113" s="14" t="n"/>
      <c r="E113" s="15" t="n"/>
      <c r="F113" s="14" t="n"/>
      <c r="G113" s="14" t="n"/>
    </row>
    <row r="114">
      <c r="A114" s="17" t="n"/>
      <c r="B114" s="14" t="n"/>
      <c r="C114" s="14" t="n"/>
      <c r="D114" s="14" t="n"/>
      <c r="E114" s="15" t="n"/>
      <c r="F114" s="14" t="n"/>
      <c r="G114" s="14" t="n"/>
    </row>
    <row r="115">
      <c r="A115" s="17" t="n"/>
      <c r="B115" s="14" t="n"/>
      <c r="C115" s="14" t="n"/>
      <c r="D115" s="14" t="n"/>
      <c r="E115" s="15" t="n"/>
      <c r="F115" s="14" t="n"/>
      <c r="G115" s="14" t="n"/>
    </row>
    <row r="116">
      <c r="A116" s="17" t="n"/>
      <c r="B116" s="14" t="n"/>
      <c r="C116" s="14" t="n"/>
      <c r="D116" s="14" t="n"/>
      <c r="E116" s="15" t="n"/>
      <c r="F116" s="14" t="n"/>
      <c r="G116" s="14" t="n"/>
    </row>
    <row r="117">
      <c r="A117" s="17" t="n"/>
      <c r="B117" s="14" t="n"/>
      <c r="C117" s="14" t="n"/>
      <c r="D117" s="14" t="n"/>
      <c r="E117" s="15" t="n"/>
      <c r="F117" s="14" t="n"/>
      <c r="G117" s="14" t="n"/>
    </row>
    <row r="118">
      <c r="A118" s="17" t="n"/>
      <c r="B118" s="14" t="n"/>
      <c r="C118" s="14" t="n"/>
      <c r="D118" s="14" t="n"/>
      <c r="E118" s="15" t="n"/>
      <c r="F118" s="14" t="n"/>
      <c r="G118" s="14" t="n"/>
    </row>
    <row r="119">
      <c r="A119" s="17" t="n"/>
      <c r="B119" s="14" t="n"/>
      <c r="C119" s="14" t="n"/>
      <c r="D119" s="14" t="n"/>
      <c r="E119" s="15" t="n"/>
      <c r="F119" s="14" t="n"/>
      <c r="G119" s="14" t="n"/>
    </row>
    <row r="120">
      <c r="A120" s="17" t="n"/>
      <c r="B120" s="14" t="n"/>
      <c r="C120" s="14" t="n"/>
      <c r="D120" s="14" t="n"/>
      <c r="E120" s="15" t="n"/>
      <c r="F120" s="14" t="n"/>
      <c r="G120" s="14" t="n"/>
    </row>
    <row r="121">
      <c r="A121" s="17" t="n"/>
      <c r="B121" s="14" t="n"/>
      <c r="C121" s="14" t="n"/>
      <c r="D121" s="14" t="n"/>
      <c r="E121" s="15" t="n"/>
      <c r="F121" s="14" t="n"/>
      <c r="G121" s="14" t="n"/>
    </row>
    <row r="122">
      <c r="A122" s="17" t="n"/>
      <c r="B122" s="14" t="n"/>
      <c r="C122" s="14" t="n"/>
      <c r="D122" s="14" t="n"/>
      <c r="E122" s="15" t="n"/>
      <c r="F122" s="14" t="n"/>
      <c r="G122" s="14" t="n"/>
    </row>
    <row r="123">
      <c r="A123" s="17" t="n"/>
      <c r="B123" s="14" t="n"/>
      <c r="C123" s="14" t="n"/>
      <c r="D123" s="14" t="n"/>
      <c r="E123" s="15" t="n"/>
      <c r="F123" s="14" t="n"/>
      <c r="G123" s="14" t="n"/>
    </row>
    <row r="124">
      <c r="A124" s="17" t="n"/>
      <c r="B124" s="14" t="n"/>
      <c r="C124" s="14" t="n"/>
      <c r="D124" s="14" t="n"/>
      <c r="E124" s="15" t="n"/>
      <c r="F124" s="14" t="n"/>
      <c r="G124" s="14" t="n"/>
    </row>
    <row r="125">
      <c r="A125" s="17" t="n"/>
      <c r="B125" s="14" t="n"/>
      <c r="C125" s="14" t="n"/>
      <c r="D125" s="14" t="n"/>
      <c r="E125" s="15" t="n"/>
      <c r="F125" s="14" t="n"/>
      <c r="G125" s="14" t="n"/>
    </row>
    <row r="126">
      <c r="A126" s="17" t="n"/>
      <c r="B126" s="14" t="n"/>
      <c r="C126" s="14" t="n"/>
      <c r="D126" s="14" t="n"/>
      <c r="E126" s="15" t="n"/>
      <c r="F126" s="14" t="n"/>
      <c r="G126" s="14" t="n"/>
    </row>
    <row r="127">
      <c r="A127" s="17" t="n"/>
      <c r="B127" s="14" t="n"/>
      <c r="C127" s="14" t="n"/>
      <c r="D127" s="14" t="n"/>
      <c r="E127" s="15" t="n"/>
      <c r="F127" s="14" t="n"/>
      <c r="G127" s="14" t="n"/>
    </row>
    <row r="128">
      <c r="A128" s="17" t="n"/>
      <c r="B128" s="14" t="n"/>
      <c r="C128" s="14" t="n"/>
      <c r="D128" s="14" t="n"/>
      <c r="E128" s="15" t="n"/>
      <c r="F128" s="14" t="n"/>
      <c r="G128" s="14" t="n"/>
    </row>
    <row r="129">
      <c r="A129" s="17" t="n"/>
      <c r="B129" s="14" t="n"/>
      <c r="C129" s="14" t="n"/>
      <c r="D129" s="14" t="n"/>
      <c r="E129" s="15" t="n"/>
      <c r="F129" s="14" t="n"/>
      <c r="G129" s="14" t="n"/>
    </row>
    <row r="130">
      <c r="A130" s="17" t="n"/>
      <c r="B130" s="14" t="n"/>
      <c r="C130" s="14" t="n"/>
      <c r="D130" s="14" t="n"/>
      <c r="E130" s="15" t="n"/>
      <c r="F130" s="14" t="n"/>
      <c r="G130" s="14" t="n"/>
    </row>
    <row r="131">
      <c r="A131" s="17" t="n"/>
      <c r="B131" s="14" t="n"/>
      <c r="C131" s="14" t="n"/>
      <c r="D131" s="14" t="n"/>
      <c r="E131" s="15" t="n"/>
      <c r="F131" s="14" t="n"/>
      <c r="G131" s="14" t="n"/>
    </row>
    <row r="132">
      <c r="A132" s="17" t="n"/>
      <c r="B132" s="14" t="n"/>
      <c r="C132" s="14" t="n"/>
      <c r="D132" s="14" t="n"/>
      <c r="E132" s="15" t="n"/>
      <c r="F132" s="14" t="n"/>
      <c r="G132" s="14" t="n"/>
    </row>
    <row r="133">
      <c r="A133" s="17" t="n"/>
      <c r="B133" s="14" t="n"/>
      <c r="C133" s="14" t="n"/>
      <c r="D133" s="14" t="n"/>
      <c r="E133" s="15" t="n"/>
      <c r="F133" s="14" t="n"/>
      <c r="G133" s="14" t="n"/>
    </row>
    <row r="134">
      <c r="A134" s="17" t="n"/>
      <c r="B134" s="14" t="n"/>
      <c r="C134" s="14" t="n"/>
      <c r="D134" s="14" t="n"/>
      <c r="E134" s="15" t="n"/>
      <c r="F134" s="14" t="n"/>
      <c r="G134" s="14" t="n"/>
    </row>
    <row r="135">
      <c r="A135" s="17" t="n"/>
      <c r="B135" s="14" t="n"/>
      <c r="C135" s="14" t="n"/>
      <c r="D135" s="14" t="n"/>
      <c r="E135" s="15" t="n"/>
      <c r="F135" s="14" t="n"/>
      <c r="G135" s="14" t="n"/>
    </row>
    <row r="136">
      <c r="A136" s="17" t="n"/>
      <c r="B136" s="14" t="n"/>
      <c r="C136" s="14" t="n"/>
      <c r="D136" s="14" t="n"/>
      <c r="E136" s="15" t="n"/>
      <c r="F136" s="14" t="n"/>
      <c r="G136" s="14" t="n"/>
    </row>
    <row r="137">
      <c r="A137" s="17" t="n"/>
      <c r="B137" s="14" t="n"/>
      <c r="C137" s="14" t="n"/>
      <c r="D137" s="14" t="n"/>
      <c r="E137" s="15" t="n"/>
      <c r="F137" s="14" t="n"/>
      <c r="G137" s="14" t="n"/>
    </row>
    <row r="138">
      <c r="A138" s="17" t="n"/>
      <c r="B138" s="14" t="n"/>
      <c r="C138" s="14" t="n"/>
      <c r="D138" s="14" t="n"/>
      <c r="E138" s="15" t="n"/>
      <c r="F138" s="14" t="n"/>
      <c r="G138" s="14" t="n"/>
    </row>
    <row r="139">
      <c r="A139" s="17" t="n"/>
      <c r="B139" s="14" t="n"/>
      <c r="C139" s="14" t="n"/>
      <c r="D139" s="14" t="n"/>
      <c r="E139" s="15" t="n"/>
      <c r="F139" s="14" t="n"/>
      <c r="G139" s="14" t="n"/>
    </row>
    <row r="140">
      <c r="A140" s="17" t="n"/>
      <c r="B140" s="14" t="n"/>
      <c r="C140" s="14" t="n"/>
      <c r="D140" s="14" t="n"/>
      <c r="E140" s="15" t="n"/>
      <c r="F140" s="14" t="n"/>
      <c r="G140" s="14" t="n"/>
    </row>
    <row r="141">
      <c r="A141" s="17" t="n"/>
      <c r="B141" s="14" t="n"/>
      <c r="C141" s="14" t="n"/>
      <c r="D141" s="14" t="n"/>
      <c r="E141" s="15" t="n"/>
      <c r="F141" s="14" t="n"/>
      <c r="G141" s="14" t="n"/>
    </row>
    <row r="142">
      <c r="A142" s="17" t="n"/>
      <c r="B142" s="14" t="n"/>
      <c r="C142" s="14" t="n"/>
      <c r="D142" s="14" t="n"/>
      <c r="E142" s="15" t="n"/>
      <c r="F142" s="14" t="n"/>
      <c r="G142" s="14" t="n"/>
    </row>
    <row r="143">
      <c r="A143" s="17" t="n"/>
      <c r="B143" s="14" t="n"/>
      <c r="C143" s="14" t="n"/>
      <c r="D143" s="14" t="n"/>
      <c r="E143" s="15" t="n"/>
      <c r="F143" s="14" t="n"/>
      <c r="G143" s="14" t="n"/>
    </row>
    <row r="144">
      <c r="A144" s="17" t="n"/>
      <c r="B144" s="14" t="n"/>
      <c r="C144" s="14" t="n"/>
      <c r="D144" s="14" t="n"/>
      <c r="E144" s="15" t="n"/>
      <c r="F144" s="14" t="n"/>
      <c r="G144" s="14" t="n"/>
    </row>
    <row r="145">
      <c r="A145" s="17" t="n"/>
      <c r="B145" s="14" t="n"/>
      <c r="C145" s="14" t="n"/>
      <c r="D145" s="14" t="n"/>
      <c r="E145" s="15" t="n"/>
      <c r="F145" s="14" t="n"/>
      <c r="G145" s="14" t="n"/>
    </row>
    <row r="146">
      <c r="A146" s="17" t="n"/>
      <c r="B146" s="14" t="n"/>
      <c r="C146" s="14" t="n"/>
      <c r="D146" s="14" t="n"/>
      <c r="E146" s="15" t="n"/>
      <c r="F146" s="14" t="n"/>
      <c r="G146" s="14" t="n"/>
    </row>
    <row r="147">
      <c r="A147" s="17" t="n"/>
      <c r="B147" s="14" t="n"/>
      <c r="C147" s="14" t="n"/>
      <c r="D147" s="14" t="n"/>
      <c r="E147" s="15" t="n"/>
      <c r="F147" s="14" t="n"/>
      <c r="G147" s="14" t="n"/>
    </row>
    <row r="148">
      <c r="A148" s="17" t="n"/>
      <c r="B148" s="14" t="n"/>
      <c r="C148" s="14" t="n"/>
      <c r="D148" s="14" t="n"/>
      <c r="E148" s="15" t="n"/>
      <c r="F148" s="14" t="n"/>
      <c r="G148" s="14" t="n"/>
    </row>
  </sheetData>
  <mergeCells count="2">
    <mergeCell ref="A2:G2"/>
    <mergeCell ref="A1:G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943"/>
  <sheetViews>
    <sheetView workbookViewId="0">
      <selection activeCell="A1" sqref="A1"/>
    </sheetView>
  </sheetViews>
  <sheetFormatPr baseColWidth="8" defaultRowHeight="15"/>
  <cols>
    <col width="14" customWidth="1" min="1" max="1"/>
    <col width="12" customWidth="1" min="2" max="2"/>
    <col width="28" customWidth="1" min="3" max="3"/>
    <col width="14" customWidth="1" min="4" max="4"/>
    <col width="28" customWidth="1" min="5" max="5"/>
    <col width="36" customWidth="1" min="6" max="6"/>
  </cols>
  <sheetData>
    <row r="1">
      <c r="A1" s="1" t="inlineStr">
        <is>
          <t>CIUDAD 1132 — Gasto personal Sol</t>
        </is>
      </c>
    </row>
    <row r="2">
      <c r="A2" s="30" t="inlineStr">
        <is>
          <t>Gastos personales de Sol. Incluye cuotas BBVA proyectadas (PROYECTADO). Ver hoja "Cashflow Cuotas BBVA". NO es ALMACEN SOL. No suma al total de la hoja 2026. Incluye PERCEPCIÓN USD (RG 5617 / IVA RG 4240 / IIBB CABA) de resúmenes BBVA. Incluye consumos y PERCEPCIÓN USD de Tarjeta de crédito Mercado Pago (RESUMEN TC MP).</t>
        </is>
      </c>
    </row>
    <row r="4">
      <c r="A4" s="31" t="inlineStr">
        <is>
          <t>Resumen por mes</t>
        </is>
      </c>
    </row>
    <row r="5">
      <c r="A5" s="34" t="inlineStr">
        <is>
          <t>Mes</t>
        </is>
      </c>
      <c r="B5" s="34" t="inlineStr">
        <is>
          <t>Total</t>
        </is>
      </c>
    </row>
    <row r="6">
      <c r="A6" s="14" t="inlineStr">
        <is>
          <t>Enero</t>
        </is>
      </c>
      <c r="B6" s="15">
        <f>SUMIF($B$26:$B$5000,A6,$D$26:$D$5000)</f>
        <v/>
      </c>
    </row>
    <row r="7">
      <c r="A7" s="14" t="inlineStr">
        <is>
          <t>Febrero</t>
        </is>
      </c>
      <c r="B7" s="15">
        <f>SUMIF($B$26:$B$5000,A7,$D$26:$D$5000)</f>
        <v/>
      </c>
    </row>
    <row r="8">
      <c r="A8" s="14" t="inlineStr">
        <is>
          <t>Marzo</t>
        </is>
      </c>
      <c r="B8" s="15">
        <f>SUMIF($B$26:$B$5000,A8,$D$26:$D$5000)</f>
        <v/>
      </c>
    </row>
    <row r="9">
      <c r="A9" s="14" t="inlineStr">
        <is>
          <t>Abril</t>
        </is>
      </c>
      <c r="B9" s="15">
        <f>SUMIF($B$26:$B$5000,A9,$D$26:$D$5000)</f>
        <v/>
      </c>
    </row>
    <row r="10">
      <c r="A10" s="14" t="inlineStr">
        <is>
          <t>Mayo</t>
        </is>
      </c>
      <c r="B10" s="15">
        <f>SUMIF($B$26:$B$5000,A10,$D$26:$D$5000)</f>
        <v/>
      </c>
    </row>
    <row r="11">
      <c r="A11" s="14" t="inlineStr">
        <is>
          <t>Junio</t>
        </is>
      </c>
      <c r="B11" s="15">
        <f>SUMIF($B$26:$B$5000,A11,$D$26:$D$5000)</f>
        <v/>
      </c>
    </row>
    <row r="12">
      <c r="A12" s="14" t="inlineStr">
        <is>
          <t>Julio</t>
        </is>
      </c>
      <c r="B12" s="15">
        <f>SUMIF($B$26:$B$5000,A12,$D$26:$D$5000)</f>
        <v/>
      </c>
    </row>
    <row r="13">
      <c r="A13" s="14" t="inlineStr">
        <is>
          <t>Agosto</t>
        </is>
      </c>
      <c r="B13" s="15">
        <f>SUMIF($B$26:$B$5000,A13,$D$26:$D$5000)</f>
        <v/>
      </c>
    </row>
    <row r="14">
      <c r="A14" s="14" t="inlineStr">
        <is>
          <t>Septiembre</t>
        </is>
      </c>
      <c r="B14" s="15">
        <f>SUMIF($B$26:$B$5000,A14,$D$26:$D$5000)</f>
        <v/>
      </c>
    </row>
    <row r="15">
      <c r="A15" s="14" t="inlineStr">
        <is>
          <t>Octubre</t>
        </is>
      </c>
      <c r="B15" s="15">
        <f>SUMIF($B$26:$B$5000,A15,$D$26:$D$5000)</f>
        <v/>
      </c>
    </row>
    <row r="16">
      <c r="A16" s="14" t="inlineStr">
        <is>
          <t>Noviembre</t>
        </is>
      </c>
      <c r="B16" s="15">
        <f>SUMIF($B$26:$B$5000,A16,$D$26:$D$5000)</f>
        <v/>
      </c>
    </row>
    <row r="17">
      <c r="A17" s="14" t="inlineStr">
        <is>
          <t>Diciembre</t>
        </is>
      </c>
      <c r="B17" s="15">
        <f>SUMIF($B$26:$B$5000,A17,$D$26:$D$5000)</f>
        <v/>
      </c>
    </row>
    <row r="18">
      <c r="A18" s="38" t="inlineStr">
        <is>
          <t>TOTAL AÑO</t>
        </is>
      </c>
      <c r="B18" s="39">
        <f>SUM(B6:B17)</f>
        <v/>
      </c>
    </row>
    <row r="19">
      <c r="A19" s="11" t="inlineStr">
        <is>
          <t>Resumen cuotas proyectadas 2027+ (Mes con año en detalle)</t>
        </is>
      </c>
    </row>
    <row r="20">
      <c r="A20" t="inlineStr">
        <is>
          <t>Enero 2027</t>
        </is>
      </c>
      <c r="B20">
        <f>SUMIF($B$26:$B$5000,A20,$D$26:$D$5000)</f>
        <v/>
      </c>
    </row>
    <row r="21">
      <c r="A21" s="31" t="inlineStr">
        <is>
          <t>Febrero 2027</t>
        </is>
      </c>
      <c r="B21">
        <f>SUMIF($B$26:$B$5000,A21,$D$26:$D$5000)</f>
        <v/>
      </c>
    </row>
    <row r="22">
      <c r="A22" s="34" t="inlineStr">
        <is>
          <t>Marzo 2027</t>
        </is>
      </c>
      <c r="B22" s="34">
        <f>SUMIF($B$26:$B$5000,A22,$D$26:$D$5000)</f>
        <v/>
      </c>
      <c r="C22" s="34" t="n"/>
      <c r="D22" s="34" t="n"/>
      <c r="E22" s="34" t="n"/>
      <c r="F22" s="34" t="n"/>
    </row>
    <row r="23">
      <c r="A23" s="53" t="inlineStr">
        <is>
          <t>Abril 2027</t>
        </is>
      </c>
      <c r="B23" s="14">
        <f>SUMIF($B$26:$B$5000,A23,$D$26:$D$5000)</f>
        <v/>
      </c>
      <c r="C23" s="14" t="n"/>
      <c r="D23" s="15" t="n"/>
      <c r="E23" s="14" t="n"/>
      <c r="F23" s="14" t="n"/>
    </row>
    <row r="24">
      <c r="A24" s="57" t="inlineStr">
        <is>
          <t>TOTAL PROYECTADO 2027+</t>
        </is>
      </c>
      <c r="B24" s="14">
        <f>SUM(B20:B23)</f>
        <v/>
      </c>
      <c r="C24" s="14" t="n"/>
      <c r="D24" s="15" t="n"/>
      <c r="E24" s="14" t="n"/>
      <c r="F24" s="14" t="n"/>
    </row>
    <row r="25">
      <c r="A25" s="14" t="inlineStr">
        <is>
          <t>Fecha</t>
        </is>
      </c>
      <c r="B25" s="14" t="inlineStr">
        <is>
          <t>Mes</t>
        </is>
      </c>
      <c r="C25" s="14" t="inlineStr">
        <is>
          <t>Concepto</t>
        </is>
      </c>
      <c r="D25" s="14" t="inlineStr">
        <is>
          <t>Monto</t>
        </is>
      </c>
      <c r="E25" s="14" t="inlineStr">
        <is>
          <t>Medio</t>
        </is>
      </c>
      <c r="F25" s="14" t="inlineStr">
        <is>
          <t>Comentario</t>
        </is>
      </c>
    </row>
    <row r="26">
      <c r="A26" s="53" t="n">
        <v>46024</v>
      </c>
      <c r="B26" s="14" t="inlineStr">
        <is>
          <t>Enero</t>
        </is>
      </c>
      <c r="C26" s="14" t="inlineStr">
        <is>
          <t>MERCADO LIBRE</t>
        </is>
      </c>
      <c r="D26" s="15" t="n">
        <v>50523</v>
      </c>
      <c r="E26" s="14" t="inlineStr">
        <is>
          <t>Mercado Pago</t>
        </is>
      </c>
      <c r="F26" s="14" t="inlineStr">
        <is>
          <t>MERCADO LIBRE · gasto personal Sol</t>
        </is>
      </c>
    </row>
    <row r="27">
      <c r="A27" s="53" t="n">
        <v>46026</v>
      </c>
      <c r="B27" s="14" t="inlineStr">
        <is>
          <t>Enero</t>
        </is>
      </c>
      <c r="C27" s="14" t="inlineStr">
        <is>
          <t>VESTIMENTA</t>
        </is>
      </c>
      <c r="D27" s="15" t="n">
        <v>530000</v>
      </c>
      <c r="E27" s="14" t="inlineStr">
        <is>
          <t>Mercado Pago</t>
        </is>
      </c>
      <c r="F27" s="14" t="inlineStr">
        <is>
          <t>ROPA · Ceferina · hoja Gasto Personal Sol</t>
        </is>
      </c>
    </row>
    <row r="28">
      <c r="A28" s="53" t="n">
        <v>46026</v>
      </c>
      <c r="B28" s="14" t="inlineStr">
        <is>
          <t>Enero</t>
        </is>
      </c>
      <c r="C28" s="14" t="inlineStr">
        <is>
          <t>TRANSFERENCIAS</t>
        </is>
      </c>
      <c r="D28" s="15" t="n">
        <v>4850</v>
      </c>
      <c r="E28" s="14" t="inlineStr">
        <is>
          <t>Mercado Pago</t>
        </is>
      </c>
      <c r="F28" s="14" t="inlineStr">
        <is>
          <t>tienda física · gasto personal Sol (ex-PENDIENTE) · ex `Gusmar Hnos Srl`</t>
        </is>
      </c>
    </row>
    <row r="29">
      <c r="A29" s="53" t="n">
        <v>46026</v>
      </c>
      <c r="B29" s="14" t="inlineStr">
        <is>
          <t>Enero</t>
        </is>
      </c>
      <c r="C29" s="14" t="inlineStr">
        <is>
          <t>COMPRAS</t>
        </is>
      </c>
      <c r="D29" s="15" t="n">
        <v>382500</v>
      </c>
      <c r="E29" s="14" t="inlineStr">
        <is>
          <t>Mercado Pago</t>
        </is>
      </c>
      <c r="F29" s="14" t="inlineStr">
        <is>
          <t>COMPRAS · Tiempo Latino · compra TC · gasto personal Sol (ex-PENDIENTE)</t>
        </is>
      </c>
    </row>
    <row r="30">
      <c r="A30" s="53" t="n">
        <v>46028</v>
      </c>
      <c r="B30" s="14" t="inlineStr">
        <is>
          <t>Enero</t>
        </is>
      </c>
      <c r="C30" s="14" t="inlineStr">
        <is>
          <t>MERCADO LIBRE</t>
        </is>
      </c>
      <c r="D30" s="15" t="n">
        <v>43389</v>
      </c>
      <c r="E30" s="14" t="inlineStr">
        <is>
          <t>Mercado Pago</t>
        </is>
      </c>
      <c r="F30" s="14" t="inlineStr">
        <is>
          <t>MERCADO LIBRE · gasto personal Sol</t>
        </is>
      </c>
    </row>
    <row r="31">
      <c r="A31" s="53" t="n">
        <v>46030</v>
      </c>
      <c r="B31" s="14" t="inlineStr">
        <is>
          <t>Enero</t>
        </is>
      </c>
      <c r="C31" s="14" t="inlineStr">
        <is>
          <t>TRANSFERENCIAS</t>
        </is>
      </c>
      <c r="D31" s="15" t="n">
        <v>12426</v>
      </c>
      <c r="E31" s="14" t="inlineStr">
        <is>
          <t>Mercado Pago</t>
        </is>
      </c>
      <c r="F31" s="14" t="inlineStr">
        <is>
          <t>compra · gasto personal Sol (ex-PENDIENTE) · ex `Andres Javier Di Pasqua`</t>
        </is>
      </c>
    </row>
    <row r="32">
      <c r="A32" s="53" t="n">
        <v>46030</v>
      </c>
      <c r="B32" s="14" t="inlineStr">
        <is>
          <t>Enero</t>
        </is>
      </c>
      <c r="C32" s="14" t="inlineStr">
        <is>
          <t>VESTIMENTA</t>
        </is>
      </c>
      <c r="D32" s="15" t="n">
        <v>395000</v>
      </c>
      <c r="E32" s="14" t="inlineStr">
        <is>
          <t>Mercado Pago</t>
        </is>
      </c>
      <c r="F32" s="14" t="inlineStr">
        <is>
          <t>ROPA · Ceferina · hoja Gasto Personal Sol</t>
        </is>
      </c>
    </row>
    <row r="33">
      <c r="A33" s="53" t="n">
        <v>46030</v>
      </c>
      <c r="B33" s="14" t="inlineStr">
        <is>
          <t>Enero</t>
        </is>
      </c>
      <c r="C33" s="14" t="inlineStr">
        <is>
          <t>SALUD · Vitaminas</t>
        </is>
      </c>
      <c r="D33" s="15" t="n">
        <v>350000</v>
      </c>
      <c r="E33" s="14" t="inlineStr">
        <is>
          <t>Mercado Pago</t>
        </is>
      </c>
      <c r="F33" s="14" t="inlineStr">
        <is>
          <t>SALUD · Vitaminas · Promarine · gasto personal Sol</t>
        </is>
      </c>
    </row>
    <row r="34">
      <c r="A34" s="53" t="n">
        <v>46031</v>
      </c>
      <c r="B34" s="14" t="inlineStr">
        <is>
          <t>Enero</t>
        </is>
      </c>
      <c r="C34" s="14" t="inlineStr">
        <is>
          <t>COMPRAS</t>
        </is>
      </c>
      <c r="D34" s="15" t="n">
        <v>44000</v>
      </c>
      <c r="E34" s="14" t="inlineStr">
        <is>
          <t>Mercado Pago</t>
        </is>
      </c>
      <c r="F34" s="14" t="inlineStr">
        <is>
          <t>COMPRAS · Catore · transferencia · gasto personal Sol (ex-PENDIENTE)</t>
        </is>
      </c>
    </row>
    <row r="35">
      <c r="A35" s="53" t="n">
        <v>46107</v>
      </c>
      <c r="B35" s="14" t="inlineStr">
        <is>
          <t>Marzo</t>
        </is>
      </c>
      <c r="C35" s="14" t="inlineStr">
        <is>
          <t>PELUQUERÍA</t>
        </is>
      </c>
      <c r="D35" s="15" t="n">
        <v>75000</v>
      </c>
      <c r="E35" s="14" t="inlineStr">
        <is>
          <t>Mercado Pago</t>
        </is>
      </c>
      <c r="F35" s="14" t="inlineStr">
        <is>
          <t>PELUQUERÍA · Agustina Vissani (ex AGUS/PSA · ex CASA matriz 2026)</t>
        </is>
      </c>
    </row>
    <row r="36">
      <c r="A36" s="53" t="n">
        <v>46129</v>
      </c>
      <c r="B36" s="14" t="inlineStr">
        <is>
          <t>Abril</t>
        </is>
      </c>
      <c r="C36" s="14" t="inlineStr">
        <is>
          <t>PELUQUERÍA</t>
        </is>
      </c>
      <c r="D36" s="15" t="n">
        <v>155000</v>
      </c>
      <c r="E36" s="14" t="inlineStr">
        <is>
          <t>Mercado Pago</t>
        </is>
      </c>
      <c r="F36" s="14" t="inlineStr">
        <is>
          <t>PELUQUERÍA · Agustina Vissani (ex AGUS/PSA · ex CASA matriz 2026)</t>
        </is>
      </c>
    </row>
    <row r="37">
      <c r="A37" s="53" t="n">
        <v>46157</v>
      </c>
      <c r="B37" s="14" t="inlineStr">
        <is>
          <t>Mayo</t>
        </is>
      </c>
      <c r="C37" s="14" t="inlineStr">
        <is>
          <t>PELUQUERÍA</t>
        </is>
      </c>
      <c r="D37" s="15" t="n">
        <v>125000</v>
      </c>
      <c r="E37" s="14" t="inlineStr">
        <is>
          <t>Mercado Pago</t>
        </is>
      </c>
      <c r="F37" s="14" t="inlineStr">
        <is>
          <t>PELUQUERÍA · Agustina Vissani (ex AGUS/PSA · ex CASA matriz 2026)</t>
        </is>
      </c>
    </row>
    <row r="38">
      <c r="A38" s="53" t="n">
        <v>46185</v>
      </c>
      <c r="B38" s="14" t="inlineStr">
        <is>
          <t>Junio</t>
        </is>
      </c>
      <c r="C38" s="14" t="inlineStr">
        <is>
          <t>PELUQUERÍA</t>
        </is>
      </c>
      <c r="D38" s="15" t="n">
        <v>135000</v>
      </c>
      <c r="E38" s="14" t="inlineStr">
        <is>
          <t>Mercado Pago</t>
        </is>
      </c>
      <c r="F38" s="14" t="inlineStr">
        <is>
          <t>PELUQUERÍA · Agustina Vissani (ex AGUS/PSA · ex CASA matriz 2026)</t>
        </is>
      </c>
    </row>
    <row r="39">
      <c r="A39" s="53" t="n">
        <v>46037</v>
      </c>
      <c r="B39" s="14" t="inlineStr">
        <is>
          <t>Enero</t>
        </is>
      </c>
      <c r="C39" s="14" t="inlineStr">
        <is>
          <t>MERCADO LIBRE</t>
        </is>
      </c>
      <c r="D39" s="15" t="n">
        <v>95930</v>
      </c>
      <c r="E39" s="14" t="inlineStr">
        <is>
          <t>Mercado Pago</t>
        </is>
      </c>
      <c r="F39" s="14" t="inlineStr">
        <is>
          <t>MERCADO LIBRE · gasto personal Sol</t>
        </is>
      </c>
    </row>
    <row r="40">
      <c r="A40" s="53" t="n">
        <v>46039</v>
      </c>
      <c r="B40" s="14" t="inlineStr">
        <is>
          <t>Enero</t>
        </is>
      </c>
      <c r="C40" s="14" t="inlineStr">
        <is>
          <t>TRANSFERENCIAS</t>
        </is>
      </c>
      <c r="D40" s="15" t="n">
        <v>22000</v>
      </c>
      <c r="E40" s="14" t="inlineStr">
        <is>
          <t>Mercado Pago</t>
        </is>
      </c>
      <c r="F40" s="14" t="inlineStr">
        <is>
          <t>transferencia · gasto personal Sol (ex-PENDIENTE) · ex `Veronica Alejandra Mendez`</t>
        </is>
      </c>
    </row>
    <row r="41">
      <c r="A41" s="53" t="n">
        <v>46042</v>
      </c>
      <c r="B41" s="14" t="inlineStr">
        <is>
          <t>Enero</t>
        </is>
      </c>
      <c r="C41" s="14" t="inlineStr">
        <is>
          <t>TRANSFERENCIAS</t>
        </is>
      </c>
      <c r="D41" s="15" t="n">
        <v>6605</v>
      </c>
      <c r="E41" s="14" t="inlineStr">
        <is>
          <t>Mercado Pago</t>
        </is>
      </c>
      <c r="F41" s="14" t="inlineStr">
        <is>
          <t>transferencia · gasto personal Sol (ex-PENDIENTE) · ex `Yenny Paola Calisaya Cquispe`</t>
        </is>
      </c>
    </row>
    <row r="42">
      <c r="A42" s="53" t="n">
        <v>46044</v>
      </c>
      <c r="B42" s="14" t="inlineStr">
        <is>
          <t>Enero</t>
        </is>
      </c>
      <c r="C42" s="14" t="inlineStr">
        <is>
          <t>TRANSFERENCIAS</t>
        </is>
      </c>
      <c r="D42" s="15" t="n">
        <v>17000</v>
      </c>
      <c r="E42" s="14" t="inlineStr">
        <is>
          <t>Mercado Pago</t>
        </is>
      </c>
      <c r="F42" s="14" t="inlineStr">
        <is>
          <t>transferencia · gasto personal Sol (ex-PENDIENTE) · ex `Mercurio Furchi`</t>
        </is>
      </c>
    </row>
    <row r="43">
      <c r="A43" s="53" t="n">
        <v>46046</v>
      </c>
      <c r="B43" s="14" t="inlineStr">
        <is>
          <t>Enero</t>
        </is>
      </c>
      <c r="C43" s="14" t="inlineStr">
        <is>
          <t>TRANSFERENCIAS</t>
        </is>
      </c>
      <c r="D43" s="15" t="n">
        <v>58000</v>
      </c>
      <c r="E43" s="14" t="inlineStr">
        <is>
          <t>Mercado Pago</t>
        </is>
      </c>
      <c r="F43" s="14" t="inlineStr">
        <is>
          <t>transferencia · gasto personal Sol (ex-PENDIENTE) · ex `Gabriel Anibal Fradkin`</t>
        </is>
      </c>
    </row>
    <row r="44">
      <c r="A44" s="53" t="n">
        <v>46046</v>
      </c>
      <c r="B44" s="14" t="inlineStr">
        <is>
          <t>Enero</t>
        </is>
      </c>
      <c r="C44" s="14" t="inlineStr">
        <is>
          <t>MERCADO LIBRE</t>
        </is>
      </c>
      <c r="D44" s="15" t="n">
        <v>243997</v>
      </c>
      <c r="E44" s="14" t="inlineStr">
        <is>
          <t>Mercado Pago</t>
        </is>
      </c>
      <c r="F44" s="14" t="inlineStr">
        <is>
          <t>MERCADO LIBRE · gasto personal Sol</t>
        </is>
      </c>
    </row>
    <row r="45">
      <c r="A45" s="53" t="n"/>
      <c r="B45" s="14" t="n"/>
      <c r="C45" s="14" t="n"/>
      <c r="D45" s="15" t="n"/>
      <c r="E45" s="14" t="n"/>
      <c r="F45" s="14" t="n"/>
    </row>
    <row r="46">
      <c r="A46" s="53" t="n">
        <v>46047</v>
      </c>
      <c r="B46" s="14" t="inlineStr">
        <is>
          <t>Enero</t>
        </is>
      </c>
      <c r="C46" s="14" t="inlineStr">
        <is>
          <t>MERCADO LIBRE</t>
        </is>
      </c>
      <c r="D46" s="15" t="n">
        <v>63647</v>
      </c>
      <c r="E46" s="14" t="inlineStr">
        <is>
          <t>Mercado Pago</t>
        </is>
      </c>
      <c r="F46" s="14" t="inlineStr">
        <is>
          <t>MERCADO LIBRE · gasto personal Sol</t>
        </is>
      </c>
    </row>
    <row r="47">
      <c r="A47" s="53" t="n">
        <v>46047</v>
      </c>
      <c r="B47" s="14" t="inlineStr">
        <is>
          <t>Enero</t>
        </is>
      </c>
      <c r="C47" s="14" t="inlineStr">
        <is>
          <t>MERCADO LIBRE</t>
        </is>
      </c>
      <c r="D47" s="15" t="n">
        <v>43300</v>
      </c>
      <c r="E47" s="14" t="inlineStr">
        <is>
          <t>Mercado Pago</t>
        </is>
      </c>
      <c r="F47" s="14" t="inlineStr">
        <is>
          <t>MERCADO LIBRE · gasto personal Sol</t>
        </is>
      </c>
    </row>
    <row r="48">
      <c r="A48" s="53" t="n">
        <v>46047</v>
      </c>
      <c r="B48" s="14" t="inlineStr">
        <is>
          <t>Enero</t>
        </is>
      </c>
      <c r="C48" s="14" t="inlineStr">
        <is>
          <t>MERCADO LIBRE</t>
        </is>
      </c>
      <c r="D48" s="15" t="n">
        <v>113472</v>
      </c>
      <c r="E48" s="14" t="inlineStr">
        <is>
          <t>Mercado Pago</t>
        </is>
      </c>
      <c r="F48" s="14" t="inlineStr">
        <is>
          <t>MERCADO LIBRE · gasto personal Sol</t>
        </is>
      </c>
    </row>
    <row r="49">
      <c r="A49" s="53" t="n">
        <v>46047</v>
      </c>
      <c r="B49" s="14" t="inlineStr">
        <is>
          <t>Enero</t>
        </is>
      </c>
      <c r="C49" s="14" t="inlineStr">
        <is>
          <t>MERCADO LIBRE</t>
        </is>
      </c>
      <c r="D49" s="15" t="n">
        <v>24562</v>
      </c>
      <c r="E49" s="14" t="inlineStr">
        <is>
          <t>Mercado Pago</t>
        </is>
      </c>
      <c r="F49" s="14" t="inlineStr">
        <is>
          <t>MERCADO LIBRE · gasto personal Sol</t>
        </is>
      </c>
    </row>
    <row r="50">
      <c r="A50" s="53" t="n">
        <v>46050</v>
      </c>
      <c r="B50" s="14" t="inlineStr">
        <is>
          <t>Enero</t>
        </is>
      </c>
      <c r="C50" s="14" t="inlineStr">
        <is>
          <t>TRANSFERENCIAS</t>
        </is>
      </c>
      <c r="D50" s="15" t="n">
        <v>45000</v>
      </c>
      <c r="E50" s="14" t="inlineStr">
        <is>
          <t>Mercado Pago</t>
        </is>
      </c>
      <c r="F50" s="14" t="inlineStr">
        <is>
          <t>transferencia · gasto personal Sol (ex-PENDIENTE) · ex `Luna Maria Laur`</t>
        </is>
      </c>
    </row>
    <row r="51">
      <c r="A51" s="53" t="n"/>
      <c r="B51" s="14" t="n"/>
      <c r="C51" s="14" t="n"/>
      <c r="D51" s="15" t="n"/>
      <c r="E51" s="14" t="n"/>
      <c r="F51" s="14" t="n"/>
    </row>
    <row r="52">
      <c r="A52" s="53" t="n">
        <v>46052</v>
      </c>
      <c r="B52" s="14" t="inlineStr">
        <is>
          <t>Enero</t>
        </is>
      </c>
      <c r="C52" s="14" t="inlineStr">
        <is>
          <t>TRANSFERENCIAS</t>
        </is>
      </c>
      <c r="D52" s="15" t="n">
        <v>4600</v>
      </c>
      <c r="E52" s="14" t="inlineStr">
        <is>
          <t>Mercado Pago</t>
        </is>
      </c>
      <c r="F52" s="14" t="inlineStr">
        <is>
          <t>transferencia · gasto personal Sol (ex-PENDIENTE) · ex `Gabriela Reggio`</t>
        </is>
      </c>
    </row>
    <row r="53">
      <c r="A53" s="53" t="n">
        <v>46052</v>
      </c>
      <c r="B53" s="14" t="inlineStr">
        <is>
          <t>Enero</t>
        </is>
      </c>
      <c r="C53" s="14" t="inlineStr">
        <is>
          <t>AUTO</t>
        </is>
      </c>
      <c r="D53" s="15" t="n">
        <v>47740</v>
      </c>
      <c r="E53" s="14" t="inlineStr">
        <is>
          <t>Mercado Pago</t>
        </is>
      </c>
      <c r="F53" s="14" t="inlineStr">
        <is>
          <t>Mercedes · AUTO/ACA · gasto personal Sol · ex `Mercedes Srl`</t>
        </is>
      </c>
    </row>
    <row r="54">
      <c r="A54" s="53" t="n">
        <v>46054</v>
      </c>
      <c r="B54" s="14" t="inlineStr">
        <is>
          <t>Febrero</t>
        </is>
      </c>
      <c r="C54" s="14" t="inlineStr">
        <is>
          <t>SUSCRIPCIONES · Apple</t>
        </is>
      </c>
      <c r="D54" s="15" t="n">
        <v>45711</v>
      </c>
      <c r="E54" s="14" t="inlineStr">
        <is>
          <t>Mercado Pago</t>
        </is>
      </c>
      <c r="F54" s="14" t="inlineStr">
        <is>
          <t>SUSCRIPCIONES · Apple · gasto personal Sol</t>
        </is>
      </c>
    </row>
    <row r="55">
      <c r="A55" s="53" t="n">
        <v>46055</v>
      </c>
      <c r="B55" s="14" t="inlineStr">
        <is>
          <t>Febrero</t>
        </is>
      </c>
      <c r="C55" s="14" t="inlineStr">
        <is>
          <t>SUSCRIPCIONES · Apple</t>
        </is>
      </c>
      <c r="D55" s="15" t="n">
        <v>5553</v>
      </c>
      <c r="E55" s="14" t="inlineStr">
        <is>
          <t>Mercado Pago</t>
        </is>
      </c>
      <c r="F55" s="14" t="inlineStr">
        <is>
          <t>SUSCRIPCIONES · Apple · gasto personal Sol</t>
        </is>
      </c>
    </row>
    <row r="56">
      <c r="A56" s="53" t="n">
        <v>46055</v>
      </c>
      <c r="B56" s="14" t="inlineStr">
        <is>
          <t>Febrero</t>
        </is>
      </c>
      <c r="C56" s="14" t="inlineStr">
        <is>
          <t>MERCADO LIBRE</t>
        </is>
      </c>
      <c r="D56" s="15" t="n">
        <v>19652</v>
      </c>
      <c r="E56" s="14" t="inlineStr">
        <is>
          <t>Mercado Pago</t>
        </is>
      </c>
      <c r="F56" s="14" t="inlineStr">
        <is>
          <t>MERCADO LIBRE · gasto personal Sol</t>
        </is>
      </c>
    </row>
    <row r="57">
      <c r="A57" s="53" t="n">
        <v>46059</v>
      </c>
      <c r="B57" s="14" t="inlineStr">
        <is>
          <t>Febrero</t>
        </is>
      </c>
      <c r="C57" s="14" t="inlineStr">
        <is>
          <t>TRANSFERENCIAS</t>
        </is>
      </c>
      <c r="D57" s="15" t="n">
        <v>24852</v>
      </c>
      <c r="E57" s="14" t="inlineStr">
        <is>
          <t>Mercado Pago</t>
        </is>
      </c>
      <c r="F57" s="14" t="inlineStr">
        <is>
          <t>compra · gasto personal Sol (ex-PENDIENTE) · ex `Andres Javier Di Pasqua`</t>
        </is>
      </c>
    </row>
    <row r="58">
      <c r="A58" s="53" t="n">
        <v>46061</v>
      </c>
      <c r="B58" s="14" t="inlineStr">
        <is>
          <t>Febrero</t>
        </is>
      </c>
      <c r="C58" s="14" t="inlineStr">
        <is>
          <t>TRANSFERENCIAS</t>
        </is>
      </c>
      <c r="D58" s="15" t="n">
        <v>70000</v>
      </c>
      <c r="E58" s="14" t="inlineStr">
        <is>
          <t>Mercado Pago</t>
        </is>
      </c>
      <c r="F58" s="14" t="inlineStr">
        <is>
          <t>transferencia · gasto personal Sol (ex-PENDIENTE) · ex `Carlos Leonardo Farinella`</t>
        </is>
      </c>
    </row>
    <row r="59">
      <c r="A59" s="53" t="n">
        <v>46061</v>
      </c>
      <c r="B59" s="14" t="inlineStr">
        <is>
          <t>Febrero</t>
        </is>
      </c>
      <c r="C59" s="14" t="inlineStr">
        <is>
          <t>Servicio - Telefonía</t>
        </is>
      </c>
      <c r="D59" s="15" t="n">
        <v>14700</v>
      </c>
      <c r="E59" s="14" t="inlineStr">
        <is>
          <t>Mercado Pago</t>
        </is>
      </c>
      <c r="F59" s="14" t="inlineStr">
        <is>
          <t>Tuenti · gasto personal Sol · hoja Gasto Personal Sol</t>
        </is>
      </c>
    </row>
    <row r="60">
      <c r="A60" s="53" t="n"/>
      <c r="B60" s="14" t="n"/>
      <c r="C60" s="14" t="n"/>
      <c r="D60" s="15" t="n"/>
      <c r="E60" s="14" t="n"/>
      <c r="F60" s="14" t="n"/>
    </row>
    <row r="61">
      <c r="A61" s="53" t="n"/>
      <c r="B61" s="14" t="n"/>
      <c r="C61" s="14" t="n"/>
      <c r="D61" s="15" t="n"/>
      <c r="E61" s="14" t="n"/>
      <c r="F61" s="14" t="n"/>
    </row>
    <row r="62">
      <c r="A62" s="53" t="n">
        <v>46066</v>
      </c>
      <c r="B62" s="14" t="inlineStr">
        <is>
          <t>Febrero</t>
        </is>
      </c>
      <c r="C62" s="14" t="inlineStr">
        <is>
          <t>TRANSFERENCIAS</t>
        </is>
      </c>
      <c r="D62" s="15" t="n">
        <v>60000</v>
      </c>
      <c r="E62" s="14" t="inlineStr">
        <is>
          <t>Mercado Pago</t>
        </is>
      </c>
      <c r="F62" s="14" t="inlineStr">
        <is>
          <t>transferencia · gasto personal Sol (ex-PENDIENTE) · ex `Pablo Ezequiel Alderetes`</t>
        </is>
      </c>
    </row>
    <row r="63">
      <c r="A63" s="53" t="n">
        <v>46067</v>
      </c>
      <c r="B63" s="14" t="inlineStr">
        <is>
          <t>Febrero</t>
        </is>
      </c>
      <c r="C63" s="14" t="inlineStr">
        <is>
          <t>LIBRERÍA</t>
        </is>
      </c>
      <c r="D63" s="15" t="n">
        <v>43100</v>
      </c>
      <c r="E63" s="14" t="inlineStr">
        <is>
          <t>Mercado Pago</t>
        </is>
      </c>
      <c r="F63" s="14" t="inlineStr">
        <is>
          <t>librería/papelera · gasto personal Sol</t>
        </is>
      </c>
    </row>
    <row r="64">
      <c r="A64" s="53" t="n">
        <v>46067</v>
      </c>
      <c r="B64" s="14" t="inlineStr">
        <is>
          <t>Febrero</t>
        </is>
      </c>
      <c r="C64" s="14" t="inlineStr">
        <is>
          <t>TRANSFERENCIAS</t>
        </is>
      </c>
      <c r="D64" s="15" t="n">
        <v>3500</v>
      </c>
      <c r="E64" s="14" t="inlineStr">
        <is>
          <t>Mercado Pago</t>
        </is>
      </c>
      <c r="F64" s="14" t="inlineStr">
        <is>
          <t>transferencia · gasto personal Sol (ex-PENDIENTE) · ex `Veronica Alejandra Mendez`</t>
        </is>
      </c>
    </row>
    <row r="65">
      <c r="A65" s="53" t="n">
        <v>46067</v>
      </c>
      <c r="B65" s="14" t="inlineStr">
        <is>
          <t>Febrero</t>
        </is>
      </c>
      <c r="C65" s="14" t="inlineStr">
        <is>
          <t>TRANSFERENCIAS</t>
        </is>
      </c>
      <c r="D65" s="15" t="n">
        <v>9500</v>
      </c>
      <c r="E65" s="14" t="inlineStr">
        <is>
          <t>Mercado Pago</t>
        </is>
      </c>
      <c r="F65" s="14" t="inlineStr">
        <is>
          <t>transferencia · gasto personal Sol (ex-PENDIENTE) · ex `Veronica Alejandra Mendez`</t>
        </is>
      </c>
    </row>
    <row r="66">
      <c r="A66" s="53" t="n">
        <v>46070</v>
      </c>
      <c r="B66" s="14" t="inlineStr">
        <is>
          <t>Febrero</t>
        </is>
      </c>
      <c r="C66" s="14" t="inlineStr">
        <is>
          <t>TRANSFERENCIAS</t>
        </is>
      </c>
      <c r="D66" s="15" t="n">
        <v>30000</v>
      </c>
      <c r="E66" s="14" t="inlineStr">
        <is>
          <t>Mercado Pago</t>
        </is>
      </c>
      <c r="F66" s="14" t="inlineStr">
        <is>
          <t>transferencia · gasto personal Sol (ex-PENDIENTE) · ex `Alberto Roque Sachetti`</t>
        </is>
      </c>
    </row>
    <row r="67">
      <c r="A67" s="53" t="n">
        <v>46072</v>
      </c>
      <c r="B67" s="14" t="inlineStr">
        <is>
          <t>Febrero</t>
        </is>
      </c>
      <c r="C67" s="14" t="inlineStr">
        <is>
          <t>TRANSFERENCIAS</t>
        </is>
      </c>
      <c r="D67" s="15" t="n">
        <v>6500</v>
      </c>
      <c r="E67" s="14" t="inlineStr">
        <is>
          <t>Mercado Pago</t>
        </is>
      </c>
      <c r="F67" s="14" t="inlineStr">
        <is>
          <t>transferencia · gasto personal Sol (ex-PENDIENTE) · ex `Marcelo Fabian Ronzano`</t>
        </is>
      </c>
    </row>
    <row r="68">
      <c r="A68" s="53" t="n">
        <v>46072</v>
      </c>
      <c r="B68" s="14" t="inlineStr">
        <is>
          <t>Febrero</t>
        </is>
      </c>
      <c r="C68" s="14" t="inlineStr">
        <is>
          <t>TRANSFERENCIAS</t>
        </is>
      </c>
      <c r="D68" s="15" t="n">
        <v>30000</v>
      </c>
      <c r="E68" s="14" t="inlineStr">
        <is>
          <t>Mercado Pago</t>
        </is>
      </c>
      <c r="F68" s="14" t="inlineStr">
        <is>
          <t>transferencia · gasto personal Sol (ex-PENDIENTE) · ex `Quiche Sibulka Marcelo Gaston`</t>
        </is>
      </c>
    </row>
    <row r="69">
      <c r="A69" s="53" t="n">
        <v>46073</v>
      </c>
      <c r="B69" s="14" t="inlineStr">
        <is>
          <t>Febrero</t>
        </is>
      </c>
      <c r="C69" s="14" t="inlineStr">
        <is>
          <t>TRANSFERENCIAS</t>
        </is>
      </c>
      <c r="D69" s="15" t="n">
        <v>18500</v>
      </c>
      <c r="E69" s="14" t="inlineStr">
        <is>
          <t>Mercado Pago</t>
        </is>
      </c>
      <c r="F69" s="14" t="inlineStr">
        <is>
          <t>transferencia · gasto personal Sol (ex-PENDIENTE) · ex `Lourdes Elizabeth Tadeo Salvador`</t>
        </is>
      </c>
    </row>
    <row r="70">
      <c r="A70" s="53" t="n">
        <v>46074</v>
      </c>
      <c r="B70" s="14" t="inlineStr">
        <is>
          <t>Febrero</t>
        </is>
      </c>
      <c r="C70" s="14" t="inlineStr">
        <is>
          <t>SALUD</t>
        </is>
      </c>
      <c r="D70" s="15" t="n">
        <v>40000</v>
      </c>
      <c r="E70" s="14" t="inlineStr">
        <is>
          <t>Mercado Pago</t>
        </is>
      </c>
      <c r="F70" s="14" t="inlineStr">
        <is>
          <t>salud · gasto personal Sol</t>
        </is>
      </c>
    </row>
    <row r="71">
      <c r="A71" s="53" t="n">
        <v>46076</v>
      </c>
      <c r="B71" s="14" t="inlineStr">
        <is>
          <t>Febrero</t>
        </is>
      </c>
      <c r="C71" s="14" t="inlineStr">
        <is>
          <t>SUSCRIPCIONES · Apple</t>
        </is>
      </c>
      <c r="D71" s="15" t="n">
        <v>17631</v>
      </c>
      <c r="E71" s="14" t="inlineStr">
        <is>
          <t>Mercado Pago</t>
        </is>
      </c>
      <c r="F71" s="14" t="inlineStr">
        <is>
          <t>SUSCRIPCIONES · Apple · gasto personal Sol</t>
        </is>
      </c>
    </row>
    <row r="72">
      <c r="A72" s="53" t="n"/>
      <c r="B72" s="14" t="n"/>
      <c r="C72" s="14" t="n"/>
      <c r="D72" s="15" t="n"/>
      <c r="E72" s="14" t="n"/>
      <c r="F72" s="14" t="n"/>
    </row>
    <row r="73">
      <c r="A73" s="53" t="n">
        <v>46077</v>
      </c>
      <c r="B73" s="14" t="inlineStr">
        <is>
          <t>Febrero</t>
        </is>
      </c>
      <c r="C73" s="14" t="inlineStr">
        <is>
          <t>Servicio - Telefonía</t>
        </is>
      </c>
      <c r="D73" s="15" t="n">
        <v>4000</v>
      </c>
      <c r="E73" s="14" t="inlineStr">
        <is>
          <t>Mercado Pago</t>
        </is>
      </c>
      <c r="F73" s="14" t="inlineStr">
        <is>
          <t>Tuenti · gasto personal Sol · hoja Gasto Personal Sol</t>
        </is>
      </c>
    </row>
    <row r="74">
      <c r="A74" s="53" t="n">
        <v>46080</v>
      </c>
      <c r="B74" s="14" t="inlineStr">
        <is>
          <t>Febrero</t>
        </is>
      </c>
      <c r="C74" s="14" t="inlineStr">
        <is>
          <t>TRANSFERENCIAS</t>
        </is>
      </c>
      <c r="D74" s="15" t="n">
        <v>310000</v>
      </c>
      <c r="E74" s="14" t="inlineStr">
        <is>
          <t>Mercado Pago</t>
        </is>
      </c>
      <c r="F74" s="14" t="inlineStr">
        <is>
          <t>transferencia · gasto personal Sol (ex-PENDIENTE) · ex `Cesar David Ledesma`</t>
        </is>
      </c>
    </row>
    <row r="75">
      <c r="A75" s="53" t="n">
        <v>46080</v>
      </c>
      <c r="B75" s="14" t="inlineStr">
        <is>
          <t>Febrero</t>
        </is>
      </c>
      <c r="C75" s="14" t="inlineStr">
        <is>
          <t>Servicio - Telefonía</t>
        </is>
      </c>
      <c r="D75" s="15" t="n">
        <v>4000</v>
      </c>
      <c r="E75" s="14" t="inlineStr">
        <is>
          <t>Mercado Pago</t>
        </is>
      </c>
      <c r="F75" s="14" t="inlineStr">
        <is>
          <t>Tuenti · gasto personal Sol · hoja Gasto Personal Sol</t>
        </is>
      </c>
    </row>
    <row r="76">
      <c r="A76" s="53" t="n">
        <v>46082</v>
      </c>
      <c r="B76" s="14" t="inlineStr">
        <is>
          <t>Marzo</t>
        </is>
      </c>
      <c r="C76" s="14" t="inlineStr">
        <is>
          <t>TRANSFERENCIAS</t>
        </is>
      </c>
      <c r="D76" s="15" t="n">
        <v>120000</v>
      </c>
      <c r="E76" s="14" t="inlineStr">
        <is>
          <t>Mercado Pago</t>
        </is>
      </c>
      <c r="F76" s="14" t="inlineStr">
        <is>
          <t>transferencia · gasto personal Sol (ex-PENDIENTE) · ex `Christian Pablo Ventura`</t>
        </is>
      </c>
    </row>
    <row r="77">
      <c r="A77" s="53" t="n">
        <v>46082</v>
      </c>
      <c r="B77" s="14" t="inlineStr">
        <is>
          <t>Marzo</t>
        </is>
      </c>
      <c r="C77" s="14" t="inlineStr">
        <is>
          <t>TRANSFERENCIAS</t>
        </is>
      </c>
      <c r="D77" s="15" t="n">
        <v>2000</v>
      </c>
      <c r="E77" s="14" t="inlineStr">
        <is>
          <t>Mercado Pago</t>
        </is>
      </c>
      <c r="F77" s="14" t="inlineStr">
        <is>
          <t>transferencia · gasto personal Sol (ex-PENDIENTE) · ex `Evelyn Rosana Tolaba`</t>
        </is>
      </c>
    </row>
    <row r="78">
      <c r="A78" s="53" t="n">
        <v>46082</v>
      </c>
      <c r="B78" s="14" t="inlineStr">
        <is>
          <t>Marzo</t>
        </is>
      </c>
      <c r="C78" s="14" t="inlineStr">
        <is>
          <t>COMPRAS</t>
        </is>
      </c>
      <c r="D78" s="15" t="n">
        <v>25000</v>
      </c>
      <c r="E78" s="14" t="inlineStr">
        <is>
          <t>Mercado Pago</t>
        </is>
      </c>
      <c r="F78" s="14" t="inlineStr">
        <is>
          <t>tienda física · gasto personal Sol (ex-PENDIENTE) · ex `Ricardo Rodriguez`</t>
        </is>
      </c>
    </row>
    <row r="79">
      <c r="A79" s="53" t="n">
        <v>46083</v>
      </c>
      <c r="B79" s="14" t="inlineStr">
        <is>
          <t>Marzo</t>
        </is>
      </c>
      <c r="C79" s="14" t="inlineStr">
        <is>
          <t>SUSCRIPCIONES · Apple</t>
        </is>
      </c>
      <c r="D79" s="15" t="n">
        <v>5453</v>
      </c>
      <c r="E79" s="14" t="inlineStr">
        <is>
          <t>Mercado Pago</t>
        </is>
      </c>
      <c r="F79" s="14" t="inlineStr">
        <is>
          <t>SUSCRIPCIONES · Apple · gasto personal Sol</t>
        </is>
      </c>
    </row>
    <row r="80">
      <c r="A80" s="53" t="n">
        <v>46083</v>
      </c>
      <c r="B80" s="14" t="inlineStr">
        <is>
          <t>Marzo</t>
        </is>
      </c>
      <c r="C80" s="14" t="inlineStr">
        <is>
          <t>TRANSFERENCIAS</t>
        </is>
      </c>
      <c r="D80" s="15" t="n">
        <v>400</v>
      </c>
      <c r="E80" s="14" t="inlineStr">
        <is>
          <t>Mercado Pago</t>
        </is>
      </c>
      <c r="F80" s="14" t="inlineStr">
        <is>
          <t>transferencia · gasto personal Sol (ex-PENDIENTE) · ex `Lourdes Elizabeth Tadeo Salvador`</t>
        </is>
      </c>
    </row>
    <row r="81">
      <c r="A81" s="53" t="n">
        <v>46085</v>
      </c>
      <c r="B81" s="14" t="inlineStr">
        <is>
          <t>Marzo</t>
        </is>
      </c>
      <c r="C81" s="14" t="inlineStr">
        <is>
          <t>FUNERAL</t>
        </is>
      </c>
      <c r="D81" s="15" t="n">
        <v>4000000</v>
      </c>
      <c r="E81" s="14" t="inlineStr">
        <is>
          <t>Mercado Pago</t>
        </is>
      </c>
      <c r="F81" s="14" t="inlineStr">
        <is>
          <t>FUNERAL · Jardin Del Pilar · Mercado Pago · gasto personal Sol</t>
        </is>
      </c>
    </row>
    <row r="82">
      <c r="A82" s="53" t="n"/>
      <c r="B82" s="14" t="n"/>
      <c r="C82" s="14" t="n"/>
      <c r="D82" s="15" t="n"/>
      <c r="E82" s="14" t="n"/>
      <c r="F82" s="14" t="n"/>
    </row>
    <row r="83">
      <c r="A83" s="53" t="n">
        <v>46087</v>
      </c>
      <c r="B83" s="14" t="inlineStr">
        <is>
          <t>Marzo</t>
        </is>
      </c>
      <c r="C83" s="14" t="inlineStr">
        <is>
          <t>Servicio - Telefonía</t>
        </is>
      </c>
      <c r="D83" s="15" t="n">
        <v>4000</v>
      </c>
      <c r="E83" s="14" t="inlineStr">
        <is>
          <t>Mercado Pago</t>
        </is>
      </c>
      <c r="F83" s="14" t="inlineStr">
        <is>
          <t>Tuenti · gasto personal Sol · hoja Gasto Personal Sol</t>
        </is>
      </c>
    </row>
    <row r="84">
      <c r="A84" s="53" t="n">
        <v>46091</v>
      </c>
      <c r="B84" s="14" t="inlineStr">
        <is>
          <t>Marzo</t>
        </is>
      </c>
      <c r="C84" s="14" t="inlineStr">
        <is>
          <t>Servicio - Telefonía</t>
        </is>
      </c>
      <c r="D84" s="15" t="n">
        <v>16000</v>
      </c>
      <c r="E84" s="14" t="inlineStr">
        <is>
          <t>Mercado Pago</t>
        </is>
      </c>
      <c r="F84" s="14" t="inlineStr">
        <is>
          <t>Tuenti · gasto personal Sol · hoja Gasto Personal Sol</t>
        </is>
      </c>
    </row>
    <row r="85">
      <c r="A85" s="53" t="n">
        <v>46094</v>
      </c>
      <c r="B85" s="14" t="inlineStr">
        <is>
          <t>Marzo</t>
        </is>
      </c>
      <c r="C85" s="14" t="inlineStr">
        <is>
          <t>TRANSFERENCIAS</t>
        </is>
      </c>
      <c r="D85" s="15" t="n">
        <v>40000</v>
      </c>
      <c r="E85" s="14" t="inlineStr">
        <is>
          <t>Mercado Pago</t>
        </is>
      </c>
      <c r="F85" s="14" t="inlineStr">
        <is>
          <t>transferencia · gasto personal Sol (ex-PENDIENTE) · ex `Fernando Paredes Aguilar`</t>
        </is>
      </c>
    </row>
    <row r="86">
      <c r="A86" s="53" t="n">
        <v>46094</v>
      </c>
      <c r="B86" s="14" t="inlineStr">
        <is>
          <t>Marzo</t>
        </is>
      </c>
      <c r="C86" s="14" t="inlineStr">
        <is>
          <t>TRANSFERENCIAS</t>
        </is>
      </c>
      <c r="D86" s="15" t="n">
        <v>27500</v>
      </c>
      <c r="E86" s="14" t="inlineStr">
        <is>
          <t>Mercado Pago</t>
        </is>
      </c>
      <c r="F86" s="14" t="inlineStr">
        <is>
          <t>transferencia · gasto personal Sol (ex-PENDIENTE) · ex `Maria Soledad Martinez`</t>
        </is>
      </c>
    </row>
    <row r="87">
      <c r="A87" s="53" t="n">
        <v>46094</v>
      </c>
      <c r="B87" s="14" t="inlineStr">
        <is>
          <t>Marzo</t>
        </is>
      </c>
      <c r="C87" s="14" t="inlineStr">
        <is>
          <t>COMPRAS</t>
        </is>
      </c>
      <c r="D87" s="15" t="n">
        <v>14000</v>
      </c>
      <c r="E87" s="14" t="inlineStr">
        <is>
          <t>Mercado Pago</t>
        </is>
      </c>
      <c r="F87" s="14" t="inlineStr">
        <is>
          <t>COMPRAS · Ronda · tienda física ¿qué es? · gasto personal Sol (ex-PENDIENTE)</t>
        </is>
      </c>
    </row>
    <row r="88">
      <c r="A88" s="53" t="n">
        <v>46096</v>
      </c>
      <c r="B88" s="14" t="inlineStr">
        <is>
          <t>Marzo</t>
        </is>
      </c>
      <c r="C88" s="14" t="inlineStr">
        <is>
          <t>TRANSFERENCIAS</t>
        </is>
      </c>
      <c r="D88" s="15" t="n">
        <v>100000</v>
      </c>
      <c r="E88" s="14" t="inlineStr">
        <is>
          <t>Mercado Pago</t>
        </is>
      </c>
      <c r="F88" s="14" t="inlineStr">
        <is>
          <t>transferencia · gasto personal Sol (ex-PENDIENTE) · ex `Jorge Celso Doben`</t>
        </is>
      </c>
    </row>
    <row r="89">
      <c r="A89" s="53" t="n">
        <v>46096</v>
      </c>
      <c r="B89" s="14" t="inlineStr">
        <is>
          <t>Marzo</t>
        </is>
      </c>
      <c r="C89" s="14" t="inlineStr">
        <is>
          <t>SALUD</t>
        </is>
      </c>
      <c r="D89" s="15" t="n">
        <v>26489</v>
      </c>
      <c r="E89" s="14" t="inlineStr">
        <is>
          <t>Mercado Pago</t>
        </is>
      </c>
      <c r="F89" s="14" t="inlineStr">
        <is>
          <t>fitness · gasto personal Sol</t>
        </is>
      </c>
    </row>
    <row r="90">
      <c r="A90" s="53" t="n">
        <v>46097</v>
      </c>
      <c r="B90" s="14" t="inlineStr">
        <is>
          <t>Marzo</t>
        </is>
      </c>
      <c r="C90" s="14" t="inlineStr">
        <is>
          <t>AUTO</t>
        </is>
      </c>
      <c r="D90" s="15" t="n">
        <v>661</v>
      </c>
      <c r="E90" s="14" t="inlineStr">
        <is>
          <t>Mercado Pago</t>
        </is>
      </c>
      <c r="F90" s="14" t="inlineStr">
        <is>
          <t>ACA · AUTO/ACA · gasto personal Sol</t>
        </is>
      </c>
    </row>
    <row r="91">
      <c r="A91" s="53" t="n">
        <v>46097</v>
      </c>
      <c r="B91" s="14" t="inlineStr">
        <is>
          <t>Marzo</t>
        </is>
      </c>
      <c r="C91" s="14" t="inlineStr">
        <is>
          <t>TRANSFERENCIAS</t>
        </is>
      </c>
      <c r="D91" s="15" t="n">
        <v>50000</v>
      </c>
      <c r="E91" s="14" t="inlineStr">
        <is>
          <t>Mercado Pago</t>
        </is>
      </c>
      <c r="F91" s="14" t="inlineStr">
        <is>
          <t>transferencia · gasto personal Sol (ex-PENDIENTE) · ex `Andrea Palacios`</t>
        </is>
      </c>
    </row>
    <row r="92">
      <c r="A92" s="53" t="n">
        <v>46097</v>
      </c>
      <c r="B92" s="14" t="inlineStr">
        <is>
          <t>Marzo</t>
        </is>
      </c>
      <c r="C92" s="14" t="inlineStr">
        <is>
          <t>HOGAR</t>
        </is>
      </c>
      <c r="D92" s="15" t="n">
        <v>40000</v>
      </c>
      <c r="E92" s="14" t="inlineStr">
        <is>
          <t>Mercado Pago</t>
        </is>
      </c>
      <c r="F92" s="14" t="inlineStr">
        <is>
          <t>plantas · gasto personal Sol · ex `Locky Plantas`</t>
        </is>
      </c>
    </row>
    <row r="93">
      <c r="A93" s="53" t="n">
        <v>46097</v>
      </c>
      <c r="B93" s="14" t="inlineStr">
        <is>
          <t>Marzo</t>
        </is>
      </c>
      <c r="C93" s="14" t="inlineStr">
        <is>
          <t>TRANSFERENCIAS</t>
        </is>
      </c>
      <c r="D93" s="15" t="n">
        <v>10000</v>
      </c>
      <c r="E93" s="14" t="inlineStr">
        <is>
          <t>Mercado Pago</t>
        </is>
      </c>
      <c r="F93" s="14" t="inlineStr">
        <is>
          <t>transferencia · gasto personal Sol (ex-PENDIENTE) · ex `Mesarina Castro Kimberly Juliet`</t>
        </is>
      </c>
    </row>
    <row r="94">
      <c r="A94" s="53" t="n">
        <v>46097</v>
      </c>
      <c r="B94" s="14" t="inlineStr">
        <is>
          <t>Marzo</t>
        </is>
      </c>
      <c r="C94" s="14" t="inlineStr">
        <is>
          <t>AUTO</t>
        </is>
      </c>
      <c r="D94" s="15" t="n">
        <v>8700</v>
      </c>
      <c r="E94" s="14" t="inlineStr">
        <is>
          <t>Mercado Pago</t>
        </is>
      </c>
      <c r="F94" s="14" t="inlineStr">
        <is>
          <t>peaje · AUTO/ACA · gasto personal Sol · ex `Telepase`</t>
        </is>
      </c>
    </row>
    <row r="95">
      <c r="A95" s="53" t="n">
        <v>46098</v>
      </c>
      <c r="B95" s="14" t="inlineStr">
        <is>
          <t>Marzo</t>
        </is>
      </c>
      <c r="C95" s="14" t="inlineStr">
        <is>
          <t>TRANSFERENCIAS</t>
        </is>
      </c>
      <c r="D95" s="15" t="n">
        <v>8900</v>
      </c>
      <c r="E95" s="14" t="inlineStr">
        <is>
          <t>Mercado Pago</t>
        </is>
      </c>
      <c r="F95" s="14" t="inlineStr">
        <is>
          <t>transferencia · gasto personal Sol (ex-PENDIENTE) · ex `Bin Chen`</t>
        </is>
      </c>
    </row>
    <row r="96">
      <c r="A96" s="53" t="n">
        <v>46099</v>
      </c>
      <c r="B96" s="14" t="inlineStr">
        <is>
          <t>Marzo</t>
        </is>
      </c>
      <c r="C96" s="14" t="inlineStr">
        <is>
          <t>TRANSFERENCIAS</t>
        </is>
      </c>
      <c r="D96" s="15" t="n">
        <v>89261</v>
      </c>
      <c r="E96" s="14" t="inlineStr">
        <is>
          <t>Mercado Pago</t>
        </is>
      </c>
      <c r="F96" s="14" t="inlineStr">
        <is>
          <t>transferencia · gasto personal Sol (ex-PENDIENTE) · ex `Cecilia Pons`</t>
        </is>
      </c>
    </row>
    <row r="97">
      <c r="A97" s="53" t="n">
        <v>46099</v>
      </c>
      <c r="B97" s="14" t="inlineStr">
        <is>
          <t>Marzo</t>
        </is>
      </c>
      <c r="C97" s="14" t="inlineStr">
        <is>
          <t>TRANSFERENCIAS</t>
        </is>
      </c>
      <c r="D97" s="15" t="n">
        <v>528698</v>
      </c>
      <c r="E97" s="14" t="inlineStr">
        <is>
          <t>Mercado Pago</t>
        </is>
      </c>
      <c r="F97" s="14" t="inlineStr">
        <is>
          <t>compra · gasto personal Sol (ex-PENDIENTE) · ex `Sofía Entivero`</t>
        </is>
      </c>
    </row>
    <row r="98">
      <c r="A98" s="53" t="n">
        <v>46103</v>
      </c>
      <c r="B98" s="14" t="inlineStr">
        <is>
          <t>Marzo</t>
        </is>
      </c>
      <c r="C98" s="14" t="inlineStr">
        <is>
          <t>ROPA</t>
        </is>
      </c>
      <c r="D98" s="15" t="n">
        <v>137998</v>
      </c>
      <c r="E98" s="14" t="inlineStr">
        <is>
          <t>Mercado Pago</t>
        </is>
      </c>
      <c r="F98" s="14" t="inlineStr">
        <is>
          <t>ropa · gasto personal Sol</t>
        </is>
      </c>
    </row>
    <row r="99">
      <c r="A99" s="53" t="n">
        <v>46103</v>
      </c>
      <c r="B99" s="14" t="inlineStr">
        <is>
          <t>Marzo</t>
        </is>
      </c>
      <c r="C99" s="14" t="inlineStr">
        <is>
          <t>SUSCRIPCIONES · Apple</t>
        </is>
      </c>
      <c r="D99" s="15" t="n">
        <v>29810</v>
      </c>
      <c r="E99" s="14" t="inlineStr">
        <is>
          <t>Mercado Pago</t>
        </is>
      </c>
      <c r="F99" s="14" t="inlineStr">
        <is>
          <t>SUSCRIPCIONES · Apple · gasto personal Sol</t>
        </is>
      </c>
    </row>
    <row r="100">
      <c r="A100" s="53" t="n">
        <v>46104</v>
      </c>
      <c r="B100" s="14" t="inlineStr">
        <is>
          <t>Marzo</t>
        </is>
      </c>
      <c r="C100" s="14" t="inlineStr">
        <is>
          <t>ROPA</t>
        </is>
      </c>
      <c r="D100" s="15" t="n">
        <v>604001</v>
      </c>
      <c r="E100" s="14" t="inlineStr">
        <is>
          <t>Mercado Pago</t>
        </is>
      </c>
      <c r="F100" s="14" t="inlineStr">
        <is>
          <t>ropa · gasto personal Sol · ex `Awada`</t>
        </is>
      </c>
    </row>
    <row r="101">
      <c r="A101" s="53" t="n">
        <v>46104</v>
      </c>
      <c r="B101" s="14" t="inlineStr">
        <is>
          <t>Marzo</t>
        </is>
      </c>
      <c r="C101" s="14" t="inlineStr">
        <is>
          <t>TECNOLOGÍA</t>
        </is>
      </c>
      <c r="D101" s="15" t="n">
        <v>9900</v>
      </c>
      <c r="E101" s="14" t="inlineStr">
        <is>
          <t>Mercado Pago</t>
        </is>
      </c>
      <c r="F101" s="14" t="inlineStr">
        <is>
          <t>accesorio · gasto personal Sol · ex `Carcasa`</t>
        </is>
      </c>
    </row>
    <row r="102">
      <c r="A102" s="53" t="n">
        <v>46105</v>
      </c>
      <c r="B102" s="14" t="inlineStr">
        <is>
          <t>Marzo</t>
        </is>
      </c>
      <c r="C102" s="14" t="inlineStr">
        <is>
          <t>MERCADO LIBRE</t>
        </is>
      </c>
      <c r="D102" s="15" t="n">
        <v>60193</v>
      </c>
      <c r="E102" s="14" t="inlineStr">
        <is>
          <t>Mercado Pago</t>
        </is>
      </c>
      <c r="F102" s="14" t="inlineStr">
        <is>
          <t>MERCADO LIBRE · gasto personal Sol</t>
        </is>
      </c>
    </row>
    <row r="103">
      <c r="A103" s="53" t="n">
        <v>46105</v>
      </c>
      <c r="B103" s="14" t="inlineStr">
        <is>
          <t>Marzo</t>
        </is>
      </c>
      <c r="C103" s="14" t="inlineStr">
        <is>
          <t>MERCADO LIBRE</t>
        </is>
      </c>
      <c r="D103" s="15" t="n">
        <v>377337</v>
      </c>
      <c r="E103" s="14" t="inlineStr">
        <is>
          <t>Mercado Pago</t>
        </is>
      </c>
      <c r="F103" s="14" t="inlineStr">
        <is>
          <t>MERCADO LIBRE · gasto personal Sol</t>
        </is>
      </c>
    </row>
    <row r="104">
      <c r="A104" s="53" t="n">
        <v>46105</v>
      </c>
      <c r="B104" s="14" t="inlineStr">
        <is>
          <t>Marzo</t>
        </is>
      </c>
      <c r="C104" s="14" t="inlineStr">
        <is>
          <t>MERCADO LIBRE</t>
        </is>
      </c>
      <c r="D104" s="15" t="n">
        <v>101899</v>
      </c>
      <c r="E104" s="14" t="inlineStr">
        <is>
          <t>Mercado Pago</t>
        </is>
      </c>
      <c r="F104" s="14" t="inlineStr">
        <is>
          <t>MERCADO LIBRE · gasto personal Sol</t>
        </is>
      </c>
    </row>
    <row r="105">
      <c r="A105" s="53" t="n"/>
      <c r="B105" s="14" t="n"/>
      <c r="C105" s="14" t="n"/>
      <c r="D105" s="15" t="n"/>
      <c r="E105" s="14" t="n"/>
      <c r="F105" s="14" t="n"/>
    </row>
    <row r="106">
      <c r="A106" s="53" t="n">
        <v>46108</v>
      </c>
      <c r="B106" s="14" t="inlineStr">
        <is>
          <t>Marzo</t>
        </is>
      </c>
      <c r="C106" s="14" t="inlineStr">
        <is>
          <t>Servicio - Telefonía</t>
        </is>
      </c>
      <c r="D106" s="15" t="n">
        <v>4000</v>
      </c>
      <c r="E106" s="14" t="inlineStr">
        <is>
          <t>Mercado Pago</t>
        </is>
      </c>
      <c r="F106" s="14" t="inlineStr">
        <is>
          <t>Tuenti · gasto personal Sol · hoja Gasto Personal Sol</t>
        </is>
      </c>
    </row>
    <row r="107">
      <c r="A107" s="53" t="n">
        <v>46111</v>
      </c>
      <c r="B107" s="14" t="inlineStr">
        <is>
          <t>Marzo</t>
        </is>
      </c>
      <c r="C107" s="14" t="inlineStr">
        <is>
          <t>Eventos deportivos - River</t>
        </is>
      </c>
      <c r="D107" s="15" t="n">
        <v>30560</v>
      </c>
      <c r="E107" s="14" t="inlineStr">
        <is>
          <t>Mercado Pago</t>
        </is>
      </c>
      <c r="F107" s="14" t="inlineStr">
        <is>
          <t>Eventos deportivos - River · Tu Lugar en el Monumental / cuota social CARP · Mercado Pago</t>
        </is>
      </c>
    </row>
    <row r="108">
      <c r="A108" s="53" t="n">
        <v>46111</v>
      </c>
      <c r="B108" s="14" t="inlineStr">
        <is>
          <t>Marzo</t>
        </is>
      </c>
      <c r="C108" s="14" t="inlineStr">
        <is>
          <t>MERCADO LIBRE</t>
        </is>
      </c>
      <c r="D108" s="15" t="n">
        <v>248070</v>
      </c>
      <c r="E108" s="14" t="inlineStr">
        <is>
          <t>Mercado Pago</t>
        </is>
      </c>
      <c r="F108" s="14" t="inlineStr">
        <is>
          <t>MERCADO LIBRE · gasto personal Sol</t>
        </is>
      </c>
    </row>
    <row r="109">
      <c r="A109" s="53" t="n">
        <v>46113</v>
      </c>
      <c r="B109" s="14" t="inlineStr">
        <is>
          <t>Abril</t>
        </is>
      </c>
      <c r="C109" s="14" t="inlineStr">
        <is>
          <t>LIBRERÍA</t>
        </is>
      </c>
      <c r="D109" s="15" t="n">
        <v>1500</v>
      </c>
      <c r="E109" s="14" t="inlineStr">
        <is>
          <t>Mercado Pago</t>
        </is>
      </c>
      <c r="F109" s="14" t="inlineStr">
        <is>
          <t>librería · gasto personal Sol</t>
        </is>
      </c>
    </row>
    <row r="110">
      <c r="A110" s="53" t="n">
        <v>46113</v>
      </c>
      <c r="B110" s="14" t="inlineStr">
        <is>
          <t>Abril</t>
        </is>
      </c>
      <c r="C110" s="14" t="inlineStr">
        <is>
          <t>MERCADO LIBRE</t>
        </is>
      </c>
      <c r="D110" s="15" t="n">
        <v>427718</v>
      </c>
      <c r="E110" s="14" t="inlineStr">
        <is>
          <t>Mercado Pago</t>
        </is>
      </c>
      <c r="F110" s="14" t="inlineStr">
        <is>
          <t>MERCADO LIBRE · gasto personal Sol</t>
        </is>
      </c>
    </row>
    <row r="111">
      <c r="A111" s="53" t="n">
        <v>46114</v>
      </c>
      <c r="B111" s="14" t="inlineStr">
        <is>
          <t>Abril</t>
        </is>
      </c>
      <c r="C111" s="14" t="inlineStr">
        <is>
          <t>SUSCRIPCIONES · Apple</t>
        </is>
      </c>
      <c r="D111" s="15" t="n">
        <v>5448</v>
      </c>
      <c r="E111" s="14" t="inlineStr">
        <is>
          <t>Mercado Pago</t>
        </is>
      </c>
      <c r="F111" s="14" t="inlineStr">
        <is>
          <t>SUSCRIPCIONES · Apple · gasto personal Sol</t>
        </is>
      </c>
    </row>
    <row r="112">
      <c r="A112" s="53" t="n">
        <v>46115</v>
      </c>
      <c r="B112" s="14" t="inlineStr">
        <is>
          <t>Abril</t>
        </is>
      </c>
      <c r="C112" s="14" t="inlineStr">
        <is>
          <t>AUTO</t>
        </is>
      </c>
      <c r="D112" s="15" t="n">
        <v>881</v>
      </c>
      <c r="E112" s="14" t="inlineStr">
        <is>
          <t>Mercado Pago</t>
        </is>
      </c>
      <c r="F112" s="14" t="inlineStr">
        <is>
          <t>ACA · AUTO/ACA · gasto personal Sol</t>
        </is>
      </c>
    </row>
    <row r="113">
      <c r="A113" s="53" t="n">
        <v>46116</v>
      </c>
      <c r="B113" s="14" t="inlineStr">
        <is>
          <t>Abril</t>
        </is>
      </c>
      <c r="C113" s="14" t="inlineStr">
        <is>
          <t>TRANSFERENCIAS</t>
        </is>
      </c>
      <c r="D113" s="15" t="n">
        <v>519441</v>
      </c>
      <c r="E113" s="14" t="inlineStr">
        <is>
          <t>Mercado Pago</t>
        </is>
      </c>
      <c r="F113" s="14" t="inlineStr">
        <is>
          <t>compra · gasto personal Sol (ex-PENDIENTE) · ex `Sofía Entivero`</t>
        </is>
      </c>
    </row>
    <row r="114">
      <c r="A114" s="53" t="n">
        <v>46117</v>
      </c>
      <c r="B114" s="14" t="inlineStr">
        <is>
          <t>Abril</t>
        </is>
      </c>
      <c r="C114" s="14" t="inlineStr">
        <is>
          <t>TRANSFERENCIAS</t>
        </is>
      </c>
      <c r="D114" s="15" t="n">
        <v>7000</v>
      </c>
      <c r="E114" s="14" t="inlineStr">
        <is>
          <t>Mercado Pago</t>
        </is>
      </c>
      <c r="F114" s="14" t="inlineStr">
        <is>
          <t>transferencia · gasto personal Sol (ex-PENDIENTE) · ex `Ema Maldonado`</t>
        </is>
      </c>
    </row>
    <row r="115">
      <c r="A115" s="53" t="n">
        <v>46119</v>
      </c>
      <c r="B115" s="14" t="inlineStr">
        <is>
          <t>Abril</t>
        </is>
      </c>
      <c r="C115" s="14" t="inlineStr">
        <is>
          <t>TRANSFERENCIAS</t>
        </is>
      </c>
      <c r="D115" s="15" t="n">
        <v>79000</v>
      </c>
      <c r="E115" s="14" t="inlineStr">
        <is>
          <t>Mercado Pago</t>
        </is>
      </c>
      <c r="F115" s="14" t="inlineStr">
        <is>
          <t>transferencia · gasto personal Sol (ex-PENDIENTE) · ex `Ana Silvia Castillo`</t>
        </is>
      </c>
    </row>
    <row r="116">
      <c r="A116" s="53" t="n">
        <v>46119</v>
      </c>
      <c r="B116" s="14" t="inlineStr">
        <is>
          <t>Abril</t>
        </is>
      </c>
      <c r="C116" s="14" t="inlineStr">
        <is>
          <t>TRANSFERENCIAS</t>
        </is>
      </c>
      <c r="D116" s="15" t="n">
        <v>110000</v>
      </c>
      <c r="E116" s="14" t="inlineStr">
        <is>
          <t>Mercado Pago</t>
        </is>
      </c>
      <c r="F116" s="14" t="inlineStr">
        <is>
          <t>transferencia · gasto personal Sol (ex-PENDIENTE) · ex `Gabriel Fradkin`</t>
        </is>
      </c>
    </row>
    <row r="117">
      <c r="A117" s="53" t="n">
        <v>46119</v>
      </c>
      <c r="B117" s="14" t="inlineStr">
        <is>
          <t>Abril</t>
        </is>
      </c>
      <c r="C117" s="14" t="inlineStr">
        <is>
          <t>MERCADO LIBRE</t>
        </is>
      </c>
      <c r="D117" s="15" t="n">
        <v>29725</v>
      </c>
      <c r="E117" s="14" t="inlineStr">
        <is>
          <t>Mercado Pago</t>
        </is>
      </c>
      <c r="F117" s="14" t="inlineStr">
        <is>
          <t>MERCADO LIBRE · gasto personal Sol</t>
        </is>
      </c>
    </row>
    <row r="118">
      <c r="A118" s="53" t="n">
        <v>46119</v>
      </c>
      <c r="B118" s="14" t="inlineStr">
        <is>
          <t>Abril</t>
        </is>
      </c>
      <c r="C118" s="14" t="inlineStr">
        <is>
          <t>TECNOLOGÍA</t>
        </is>
      </c>
      <c r="D118" s="15" t="n">
        <v>16500</v>
      </c>
      <c r="E118" s="14" t="inlineStr">
        <is>
          <t>Mercado Pago</t>
        </is>
      </c>
      <c r="F118" s="14" t="inlineStr">
        <is>
          <t>TECNOLOGÍA · Smartcell · celular tienda · celular · gasto personal Sol</t>
        </is>
      </c>
    </row>
    <row r="119">
      <c r="A119" s="53" t="n">
        <v>46120</v>
      </c>
      <c r="B119" s="14" t="inlineStr">
        <is>
          <t>Abril</t>
        </is>
      </c>
      <c r="C119" s="14" t="inlineStr">
        <is>
          <t>TRANSFERENCIAS</t>
        </is>
      </c>
      <c r="D119" s="15" t="n">
        <v>15120</v>
      </c>
      <c r="E119" s="14" t="inlineStr">
        <is>
          <t>Mercado Pago</t>
        </is>
      </c>
      <c r="F119" s="14" t="inlineStr">
        <is>
          <t>transferencia · gasto personal Sol (ex-PENDIENTE) · ex `Yenny Paola Calisaya`</t>
        </is>
      </c>
    </row>
    <row r="120">
      <c r="A120" s="53" t="n">
        <v>46121</v>
      </c>
      <c r="B120" s="14" t="inlineStr">
        <is>
          <t>Abril</t>
        </is>
      </c>
      <c r="C120" s="14" t="inlineStr">
        <is>
          <t>Servicio - Telefonía</t>
        </is>
      </c>
      <c r="D120" s="15" t="n">
        <v>16650</v>
      </c>
      <c r="E120" s="14" t="inlineStr">
        <is>
          <t>Mercado Pago</t>
        </is>
      </c>
      <c r="F120" s="14" t="inlineStr">
        <is>
          <t>Tuenti · gasto personal Sol · hoja Gasto Personal Sol</t>
        </is>
      </c>
    </row>
    <row r="121">
      <c r="A121" s="53" t="n">
        <v>46122</v>
      </c>
      <c r="B121" s="14" t="inlineStr">
        <is>
          <t>Abril</t>
        </is>
      </c>
      <c r="C121" s="14" t="inlineStr">
        <is>
          <t>SUSCRIPCIONES · Apple</t>
        </is>
      </c>
      <c r="D121" s="15" t="n">
        <v>359951</v>
      </c>
      <c r="E121" s="14" t="inlineStr">
        <is>
          <t>Mercado Pago</t>
        </is>
      </c>
      <c r="F121" s="14" t="inlineStr">
        <is>
          <t>SUSCRIPCIONES · Apple · gasto personal Sol</t>
        </is>
      </c>
    </row>
    <row r="122">
      <c r="A122" s="53" t="n">
        <v>46122</v>
      </c>
      <c r="B122" s="14" t="inlineStr">
        <is>
          <t>Abril</t>
        </is>
      </c>
      <c r="C122" s="14" t="inlineStr">
        <is>
          <t>MERCADO LIBRE</t>
        </is>
      </c>
      <c r="D122" s="15" t="n">
        <v>17041</v>
      </c>
      <c r="E122" s="14" t="inlineStr">
        <is>
          <t>Mercado Pago</t>
        </is>
      </c>
      <c r="F122" s="14" t="inlineStr">
        <is>
          <t>MERCADO LIBRE · gasto personal Sol</t>
        </is>
      </c>
    </row>
    <row r="123">
      <c r="A123" s="53" t="n">
        <v>46122</v>
      </c>
      <c r="B123" s="14" t="inlineStr">
        <is>
          <t>Abril</t>
        </is>
      </c>
      <c r="C123" s="14" t="inlineStr">
        <is>
          <t>MERCADO LIBRE</t>
        </is>
      </c>
      <c r="D123" s="15" t="n">
        <v>126540</v>
      </c>
      <c r="E123" s="14" t="inlineStr">
        <is>
          <t>Mercado Pago</t>
        </is>
      </c>
      <c r="F123" s="14" t="inlineStr">
        <is>
          <t>MERCADO LIBRE · gasto personal Sol</t>
        </is>
      </c>
    </row>
    <row r="124">
      <c r="A124" s="53" t="n">
        <v>46122</v>
      </c>
      <c r="B124" s="14" t="inlineStr">
        <is>
          <t>Abril</t>
        </is>
      </c>
      <c r="C124" s="14" t="inlineStr">
        <is>
          <t>MERCADO LIBRE</t>
        </is>
      </c>
      <c r="D124" s="15" t="n">
        <v>129200</v>
      </c>
      <c r="E124" s="14" t="inlineStr">
        <is>
          <t>Mercado Pago</t>
        </is>
      </c>
      <c r="F124" s="14" t="inlineStr">
        <is>
          <t>MERCADO LIBRE · gasto personal Sol</t>
        </is>
      </c>
    </row>
    <row r="125">
      <c r="A125" s="53" t="n"/>
      <c r="B125" s="14" t="n"/>
      <c r="C125" s="14" t="n"/>
      <c r="D125" s="15" t="n"/>
      <c r="E125" s="14" t="n"/>
      <c r="F125" s="14" t="n"/>
    </row>
    <row r="126">
      <c r="A126" s="53" t="n">
        <v>46124</v>
      </c>
      <c r="B126" s="14" t="inlineStr">
        <is>
          <t>Abril</t>
        </is>
      </c>
      <c r="C126" s="14" t="inlineStr">
        <is>
          <t>SUSCRIPCIONES · Apple</t>
        </is>
      </c>
      <c r="D126" s="15" t="n">
        <v>14520</v>
      </c>
      <c r="E126" s="14" t="inlineStr">
        <is>
          <t>Mercado Pago</t>
        </is>
      </c>
      <c r="F126" s="14" t="inlineStr">
        <is>
          <t>SUSCRIPCIONES · Apple · gasto personal Sol</t>
        </is>
      </c>
    </row>
    <row r="127">
      <c r="A127" s="53" t="n">
        <v>46125</v>
      </c>
      <c r="B127" s="14" t="inlineStr">
        <is>
          <t>Abril</t>
        </is>
      </c>
      <c r="C127" s="14" t="inlineStr">
        <is>
          <t>MERCADO LIBRE</t>
        </is>
      </c>
      <c r="D127" s="15" t="n">
        <v>13989</v>
      </c>
      <c r="E127" s="14" t="inlineStr">
        <is>
          <t>Mercado Pago</t>
        </is>
      </c>
      <c r="F127" s="14" t="inlineStr">
        <is>
          <t>MERCADO LIBRE · gasto personal Sol</t>
        </is>
      </c>
    </row>
    <row r="128">
      <c r="A128" s="53" t="n">
        <v>46126</v>
      </c>
      <c r="B128" s="14" t="inlineStr">
        <is>
          <t>Abril</t>
        </is>
      </c>
      <c r="C128" s="14" t="inlineStr">
        <is>
          <t>MERCADO LIBRE</t>
        </is>
      </c>
      <c r="D128" s="15" t="n">
        <v>119000</v>
      </c>
      <c r="E128" s="14" t="inlineStr">
        <is>
          <t>Mercado Pago</t>
        </is>
      </c>
      <c r="F128" s="14" t="inlineStr">
        <is>
          <t>MERCADO LIBRE · gasto personal Sol</t>
        </is>
      </c>
    </row>
    <row r="129">
      <c r="A129" s="53" t="n">
        <v>46127</v>
      </c>
      <c r="B129" s="14" t="inlineStr">
        <is>
          <t>Abril</t>
        </is>
      </c>
      <c r="C129" s="14" t="inlineStr">
        <is>
          <t>DONACIONES</t>
        </is>
      </c>
      <c r="D129" s="15" t="n">
        <v>100000</v>
      </c>
      <c r="E129" s="14" t="inlineStr">
        <is>
          <t>Mercado Pago</t>
        </is>
      </c>
      <c r="F129" s="14" t="inlineStr">
        <is>
          <t>donación · gasto personal Sol · ex `Fundacion Soplo De Vida`</t>
        </is>
      </c>
    </row>
    <row r="130">
      <c r="A130" s="53" t="n"/>
      <c r="B130" s="14" t="n"/>
      <c r="C130" s="14" t="n"/>
      <c r="D130" s="15" t="n"/>
      <c r="E130" s="14" t="n"/>
      <c r="F130" s="14" t="n"/>
    </row>
    <row r="131">
      <c r="A131" s="53" t="n"/>
      <c r="B131" s="14" t="n"/>
      <c r="C131" s="14" t="n"/>
      <c r="D131" s="15" t="n"/>
      <c r="E131" s="14" t="n"/>
      <c r="F131" s="14" t="n"/>
    </row>
    <row r="132">
      <c r="A132" s="53" t="n">
        <v>46131</v>
      </c>
      <c r="B132" s="14" t="inlineStr">
        <is>
          <t>Abril</t>
        </is>
      </c>
      <c r="C132" s="14" t="inlineStr">
        <is>
          <t>TRANSFERENCIAS</t>
        </is>
      </c>
      <c r="D132" s="15" t="n">
        <v>50000</v>
      </c>
      <c r="E132" s="14" t="inlineStr">
        <is>
          <t>Mercado Pago</t>
        </is>
      </c>
      <c r="F132" s="14" t="inlineStr">
        <is>
          <t>transferencia · gasto personal Sol (ex-PENDIENTE) · ex `Negri Telma`</t>
        </is>
      </c>
    </row>
    <row r="133">
      <c r="A133" s="53" t="n">
        <v>46131</v>
      </c>
      <c r="B133" s="14" t="inlineStr">
        <is>
          <t>Abril</t>
        </is>
      </c>
      <c r="C133" s="14" t="inlineStr">
        <is>
          <t>TRANSPORTE · Emova</t>
        </is>
      </c>
      <c r="D133" s="15" t="n">
        <v>795</v>
      </c>
      <c r="E133" s="14" t="inlineStr">
        <is>
          <t>Mercado Pago</t>
        </is>
      </c>
      <c r="F133" s="14" t="inlineStr">
        <is>
          <t>transporte SUBE · gasto personal Sol</t>
        </is>
      </c>
    </row>
    <row r="134">
      <c r="A134" s="53" t="n">
        <v>46132</v>
      </c>
      <c r="B134" s="14" t="inlineStr">
        <is>
          <t>Abril</t>
        </is>
      </c>
      <c r="C134" s="14" t="inlineStr">
        <is>
          <t>MERCADO LIBRE</t>
        </is>
      </c>
      <c r="D134" s="15" t="n">
        <v>156237</v>
      </c>
      <c r="E134" s="14" t="inlineStr">
        <is>
          <t>Mercado Pago</t>
        </is>
      </c>
      <c r="F134" s="14" t="inlineStr">
        <is>
          <t>MERCADO LIBRE · gasto personal Sol</t>
        </is>
      </c>
    </row>
    <row r="135">
      <c r="A135" s="53" t="n">
        <v>46132</v>
      </c>
      <c r="B135" s="14" t="inlineStr">
        <is>
          <t>Abril</t>
        </is>
      </c>
      <c r="C135" s="14" t="inlineStr">
        <is>
          <t>MERCADO LIBRE</t>
        </is>
      </c>
      <c r="D135" s="15" t="n">
        <v>185340</v>
      </c>
      <c r="E135" s="14" t="inlineStr">
        <is>
          <t>Mercado Pago</t>
        </is>
      </c>
      <c r="F135" s="14" t="inlineStr">
        <is>
          <t>MERCADO LIBRE · gasto personal Sol</t>
        </is>
      </c>
    </row>
    <row r="136">
      <c r="A136" s="53" t="n">
        <v>46133</v>
      </c>
      <c r="B136" s="14" t="inlineStr">
        <is>
          <t>Abril</t>
        </is>
      </c>
      <c r="C136" s="14" t="inlineStr">
        <is>
          <t>TRANSFERENCIAS</t>
        </is>
      </c>
      <c r="D136" s="15" t="n">
        <v>200000</v>
      </c>
      <c r="E136" s="14" t="inlineStr">
        <is>
          <t>Mercado Pago</t>
        </is>
      </c>
      <c r="F136" s="14" t="inlineStr">
        <is>
          <t>transferencia · gasto personal Sol (ex-PENDIENTE) · ex `Negri Telma`</t>
        </is>
      </c>
    </row>
    <row r="137">
      <c r="A137" s="53" t="n">
        <v>46134</v>
      </c>
      <c r="B137" s="14" t="inlineStr">
        <is>
          <t>Abril</t>
        </is>
      </c>
      <c r="C137" s="14" t="inlineStr">
        <is>
          <t>TRANSFERENCIAS</t>
        </is>
      </c>
      <c r="D137" s="15" t="n">
        <v>153480</v>
      </c>
      <c r="E137" s="14" t="inlineStr">
        <is>
          <t>Mercado Pago</t>
        </is>
      </c>
      <c r="F137" s="14" t="inlineStr">
        <is>
          <t>compra · gasto personal Sol (ex-PENDIENTE) · ex `Martina Chippano`</t>
        </is>
      </c>
    </row>
    <row r="138">
      <c r="A138" s="53" t="n">
        <v>46136</v>
      </c>
      <c r="B138" s="14" t="inlineStr">
        <is>
          <t>Abril</t>
        </is>
      </c>
      <c r="C138" s="14" t="inlineStr">
        <is>
          <t>DONACIONES</t>
        </is>
      </c>
      <c r="D138" s="15" t="n">
        <v>40000</v>
      </c>
      <c r="E138" s="14" t="inlineStr">
        <is>
          <t>Mercado Pago</t>
        </is>
      </c>
      <c r="F138" s="14" t="inlineStr">
        <is>
          <t>donación · gasto personal Sol · ex `Fundacion Soplo De Vida`</t>
        </is>
      </c>
    </row>
    <row r="139">
      <c r="A139" s="53" t="n">
        <v>46137</v>
      </c>
      <c r="B139" s="14" t="inlineStr">
        <is>
          <t>Abril</t>
        </is>
      </c>
      <c r="C139" s="14" t="inlineStr">
        <is>
          <t>Servicio - Telefonía</t>
        </is>
      </c>
      <c r="D139" s="15" t="n">
        <v>4200</v>
      </c>
      <c r="E139" s="14" t="inlineStr">
        <is>
          <t>Mercado Pago</t>
        </is>
      </c>
      <c r="F139" s="14" t="inlineStr">
        <is>
          <t>Tuenti · gasto personal Sol · hoja Gasto Personal Sol</t>
        </is>
      </c>
    </row>
    <row r="140">
      <c r="A140" s="53" t="n">
        <v>46138</v>
      </c>
      <c r="B140" s="14" t="inlineStr">
        <is>
          <t>Abril</t>
        </is>
      </c>
      <c r="C140" s="14" t="inlineStr">
        <is>
          <t>TRANSFERENCIAS</t>
        </is>
      </c>
      <c r="D140" s="15" t="n">
        <v>2100</v>
      </c>
      <c r="E140" s="14" t="inlineStr">
        <is>
          <t>Mercado Pago</t>
        </is>
      </c>
      <c r="F140" s="14" t="inlineStr">
        <is>
          <t>transferencia · gasto personal Sol (ex-PENDIENTE) · ex `Mauro Ascunce`</t>
        </is>
      </c>
    </row>
    <row r="141">
      <c r="A141" s="53" t="n"/>
      <c r="B141" s="14" t="n"/>
      <c r="C141" s="14" t="n"/>
      <c r="D141" s="15" t="n"/>
      <c r="E141" s="14" t="n"/>
      <c r="F141" s="14" t="n"/>
    </row>
    <row r="142">
      <c r="A142" s="54" t="n"/>
      <c r="D142" s="26" t="n"/>
    </row>
    <row r="143">
      <c r="A143" s="54" t="n">
        <v>46144</v>
      </c>
      <c r="B143" t="inlineStr">
        <is>
          <t>Mayo</t>
        </is>
      </c>
      <c r="C143" t="inlineStr">
        <is>
          <t>AUTO</t>
        </is>
      </c>
      <c r="D143" s="26" t="n">
        <v>751</v>
      </c>
      <c r="E143" t="inlineStr">
        <is>
          <t>Mercado Pago</t>
        </is>
      </c>
      <c r="F143" t="inlineStr">
        <is>
          <t>ACA · AUTO/ACA · gasto personal Sol</t>
        </is>
      </c>
    </row>
    <row r="144">
      <c r="A144" s="54" t="n"/>
      <c r="D144" s="26" t="n"/>
    </row>
    <row r="145">
      <c r="A145" s="54" t="n">
        <v>46144</v>
      </c>
      <c r="B145" t="inlineStr">
        <is>
          <t>Mayo</t>
        </is>
      </c>
      <c r="C145" t="inlineStr">
        <is>
          <t>SALUD</t>
        </is>
      </c>
      <c r="D145" s="26" t="n">
        <v>72249</v>
      </c>
      <c r="E145" t="inlineStr">
        <is>
          <t>Mercado Pago</t>
        </is>
      </c>
      <c r="F145" t="inlineStr">
        <is>
          <t>¿farmacia? · gasto personal Sol</t>
        </is>
      </c>
    </row>
    <row r="146">
      <c r="A146" s="54" t="n">
        <v>46144</v>
      </c>
      <c r="B146" t="inlineStr">
        <is>
          <t>Mayo</t>
        </is>
      </c>
      <c r="C146" t="inlineStr">
        <is>
          <t>Servicio - Telefonía</t>
        </is>
      </c>
      <c r="D146" s="26" t="n">
        <v>4200</v>
      </c>
      <c r="E146" t="inlineStr">
        <is>
          <t>Mercado Pago</t>
        </is>
      </c>
      <c r="F146" t="inlineStr">
        <is>
          <t>Tuenti · gasto personal Sol · hoja Gasto Personal Sol</t>
        </is>
      </c>
    </row>
    <row r="147">
      <c r="A147" s="54" t="n">
        <v>46146</v>
      </c>
      <c r="B147" t="inlineStr">
        <is>
          <t>Mayo</t>
        </is>
      </c>
      <c r="C147" t="inlineStr">
        <is>
          <t>SALUD</t>
        </is>
      </c>
      <c r="D147" s="26" t="n">
        <v>40000</v>
      </c>
      <c r="E147" t="inlineStr">
        <is>
          <t>Mercado Pago</t>
        </is>
      </c>
      <c r="F147" t="inlineStr">
        <is>
          <t>salud · gasto personal Sol</t>
        </is>
      </c>
    </row>
    <row r="148">
      <c r="A148" s="54" t="n">
        <v>46147</v>
      </c>
      <c r="B148" t="inlineStr">
        <is>
          <t>Mayo</t>
        </is>
      </c>
      <c r="C148" t="inlineStr">
        <is>
          <t>ROPA</t>
        </is>
      </c>
      <c r="D148" s="26" t="n">
        <v>95000</v>
      </c>
      <c r="E148" t="inlineStr">
        <is>
          <t>Mercado Pago</t>
        </is>
      </c>
      <c r="F148" t="inlineStr">
        <is>
          <t>ROPA · Zara · transferencia · gasto personal Sol (ex-PENDIENTE)</t>
        </is>
      </c>
    </row>
    <row r="149">
      <c r="A149" s="54" t="n">
        <v>46149</v>
      </c>
      <c r="B149" t="inlineStr">
        <is>
          <t>Mayo</t>
        </is>
      </c>
      <c r="C149" t="inlineStr">
        <is>
          <t>Servicio - Telefonía</t>
        </is>
      </c>
      <c r="D149" s="26" t="n">
        <v>16650</v>
      </c>
      <c r="E149" t="inlineStr">
        <is>
          <t>Mercado Pago</t>
        </is>
      </c>
      <c r="F149" t="inlineStr">
        <is>
          <t>Tuenti · gasto personal Sol · hoja Gasto Personal Sol</t>
        </is>
      </c>
    </row>
    <row r="150">
      <c r="A150" s="54" t="n">
        <v>46150</v>
      </c>
      <c r="B150" t="inlineStr">
        <is>
          <t>Mayo</t>
        </is>
      </c>
      <c r="C150" t="inlineStr">
        <is>
          <t>TRANSFERENCIAS</t>
        </is>
      </c>
      <c r="D150" s="26" t="n">
        <v>60900</v>
      </c>
      <c r="E150" t="inlineStr">
        <is>
          <t>Mercado Pago</t>
        </is>
      </c>
      <c r="F150" t="inlineStr">
        <is>
          <t>transferencia · gasto personal Sol (ex-PENDIENTE) · ex `Florencia Risi`</t>
        </is>
      </c>
    </row>
    <row r="151">
      <c r="A151" s="54" t="n">
        <v>46150</v>
      </c>
      <c r="B151" t="inlineStr">
        <is>
          <t>Mayo</t>
        </is>
      </c>
      <c r="C151" t="inlineStr">
        <is>
          <t>TRANSFERENCIAS</t>
        </is>
      </c>
      <c r="D151" s="26" t="n">
        <v>266443</v>
      </c>
      <c r="E151" t="inlineStr">
        <is>
          <t>Mercado Pago</t>
        </is>
      </c>
      <c r="F151" t="inlineStr">
        <is>
          <t>compra · gasto personal Sol (ex-PENDIENTE) · ex `Ruth Calvetti`</t>
        </is>
      </c>
    </row>
    <row r="152">
      <c r="A152" s="54" t="n">
        <v>46151</v>
      </c>
      <c r="B152" t="inlineStr">
        <is>
          <t>Mayo</t>
        </is>
      </c>
      <c r="C152" t="inlineStr">
        <is>
          <t>MERCADO LIBRE</t>
        </is>
      </c>
      <c r="D152" s="26" t="n">
        <v>38637</v>
      </c>
      <c r="E152" t="inlineStr">
        <is>
          <t>Mercado Pago</t>
        </is>
      </c>
      <c r="F152" t="inlineStr">
        <is>
          <t>MERCADO LIBRE · gasto personal Sol</t>
        </is>
      </c>
    </row>
    <row r="153">
      <c r="A153" s="54" t="n">
        <v>46151</v>
      </c>
      <c r="B153" t="inlineStr">
        <is>
          <t>Mayo</t>
        </is>
      </c>
      <c r="C153" t="inlineStr">
        <is>
          <t>Servicio - Telefonía</t>
        </is>
      </c>
      <c r="D153" s="26" t="n">
        <v>16650</v>
      </c>
      <c r="E153" t="inlineStr">
        <is>
          <t>Mercado Pago</t>
        </is>
      </c>
      <c r="F153" t="inlineStr">
        <is>
          <t>Tuenti · gasto personal Sol · hoja Gasto Personal Sol</t>
        </is>
      </c>
    </row>
    <row r="154">
      <c r="A154" s="54" t="n">
        <v>46152</v>
      </c>
      <c r="B154" t="inlineStr">
        <is>
          <t>Mayo</t>
        </is>
      </c>
      <c r="C154" t="inlineStr">
        <is>
          <t>ENTRETENIMIENTO · Eventos</t>
        </is>
      </c>
      <c r="D154" s="26" t="n">
        <v>117000</v>
      </c>
      <c r="E154" t="inlineStr">
        <is>
          <t>Mercado Pago</t>
        </is>
      </c>
      <c r="F154" t="inlineStr">
        <is>
          <t>salida/evento · gasto personal Sol</t>
        </is>
      </c>
    </row>
    <row r="155">
      <c r="A155" s="54" t="n">
        <v>46153</v>
      </c>
      <c r="B155" t="inlineStr">
        <is>
          <t>Mayo</t>
        </is>
      </c>
      <c r="C155" t="inlineStr">
        <is>
          <t>TRANSFERENCIAS</t>
        </is>
      </c>
      <c r="D155" s="26" t="n">
        <v>24852</v>
      </c>
      <c r="E155" t="inlineStr">
        <is>
          <t>Mercado Pago</t>
        </is>
      </c>
      <c r="F155" t="inlineStr">
        <is>
          <t>compra · gasto personal Sol (ex-PENDIENTE) · ex `Andres Di Pasqua`</t>
        </is>
      </c>
    </row>
    <row r="156">
      <c r="A156" s="54" t="n"/>
      <c r="D156" s="26" t="n"/>
    </row>
    <row r="157">
      <c r="A157" s="54" t="n">
        <v>46154</v>
      </c>
      <c r="B157" t="inlineStr">
        <is>
          <t>Mayo</t>
        </is>
      </c>
      <c r="C157" t="inlineStr">
        <is>
          <t>SUSCRIPCIONES · Apple</t>
        </is>
      </c>
      <c r="D157" s="26" t="n">
        <v>18353</v>
      </c>
      <c r="E157" t="inlineStr">
        <is>
          <t>Mercado Pago</t>
        </is>
      </c>
      <c r="F157" t="inlineStr">
        <is>
          <t>SUSCRIPCIONES · Apple · gasto personal Sol</t>
        </is>
      </c>
    </row>
    <row r="158">
      <c r="A158" s="54" t="n">
        <v>46155</v>
      </c>
      <c r="B158" t="inlineStr">
        <is>
          <t>Mayo</t>
        </is>
      </c>
      <c r="C158" t="inlineStr">
        <is>
          <t>TRANSFERENCIAS</t>
        </is>
      </c>
      <c r="D158" s="26" t="n">
        <v>3100</v>
      </c>
      <c r="E158" t="inlineStr">
        <is>
          <t>Mercado Pago</t>
        </is>
      </c>
      <c r="F158" t="inlineStr">
        <is>
          <t>transferencia · gasto personal Sol (ex-PENDIENTE) · ex `Daniela Lopez`</t>
        </is>
      </c>
    </row>
    <row r="159">
      <c r="A159" s="54" t="n">
        <v>46155</v>
      </c>
      <c r="B159" t="inlineStr">
        <is>
          <t>Mayo</t>
        </is>
      </c>
      <c r="C159" t="inlineStr">
        <is>
          <t>MERCADO LIBRE</t>
        </is>
      </c>
      <c r="D159" s="26" t="n">
        <v>132299</v>
      </c>
      <c r="E159" t="inlineStr">
        <is>
          <t>Mercado Pago</t>
        </is>
      </c>
      <c r="F159" t="inlineStr">
        <is>
          <t>MERCADO LIBRE · gasto personal Sol</t>
        </is>
      </c>
    </row>
    <row r="160">
      <c r="A160" s="54" t="n"/>
      <c r="D160" s="26" t="n"/>
    </row>
    <row r="161">
      <c r="A161" s="54" t="n">
        <v>46157</v>
      </c>
      <c r="B161" t="inlineStr">
        <is>
          <t>Mayo</t>
        </is>
      </c>
      <c r="C161" t="inlineStr">
        <is>
          <t>TRANSFERENCIAS</t>
        </is>
      </c>
      <c r="D161" s="26" t="n">
        <v>2496700</v>
      </c>
      <c r="E161" t="inlineStr">
        <is>
          <t>Mercado Pago</t>
        </is>
      </c>
      <c r="F161" t="inlineStr">
        <is>
          <t>cobranza · gasto personal Sol (ex-PENDIENTE) · ex `General Collect`</t>
        </is>
      </c>
    </row>
    <row r="162">
      <c r="A162" s="54" t="n"/>
      <c r="D162" s="26" t="n"/>
    </row>
    <row r="163">
      <c r="A163" s="54" t="n"/>
      <c r="D163" s="26" t="n"/>
    </row>
    <row r="164">
      <c r="A164" s="54" t="n">
        <v>46163</v>
      </c>
      <c r="B164" t="inlineStr">
        <is>
          <t>Mayo</t>
        </is>
      </c>
      <c r="C164" t="inlineStr">
        <is>
          <t>TRANSFERENCIAS</t>
        </is>
      </c>
      <c r="D164" s="26" t="n">
        <v>755800</v>
      </c>
      <c r="E164" t="inlineStr">
        <is>
          <t>Mercado Pago</t>
        </is>
      </c>
      <c r="F164" t="inlineStr">
        <is>
          <t>transferencia · gasto personal Sol (ex-PENDIENTE) · ex `Federico Cabral`</t>
        </is>
      </c>
    </row>
    <row r="165">
      <c r="A165" s="54" t="n">
        <v>46165</v>
      </c>
      <c r="B165" t="inlineStr">
        <is>
          <t>Mayo</t>
        </is>
      </c>
      <c r="C165" t="inlineStr">
        <is>
          <t>ROPA</t>
        </is>
      </c>
      <c r="D165" s="26" t="n">
        <v>748000</v>
      </c>
      <c r="E165" t="inlineStr">
        <is>
          <t>Mercado Pago</t>
        </is>
      </c>
      <c r="F165" t="inlineStr">
        <is>
          <t>ROPA · Bimbaylola · ropa · gasto personal Sol</t>
        </is>
      </c>
    </row>
    <row r="166">
      <c r="A166" s="54" t="n">
        <v>46165</v>
      </c>
      <c r="B166" t="inlineStr">
        <is>
          <t>Mayo</t>
        </is>
      </c>
      <c r="C166" t="inlineStr">
        <is>
          <t>TRANSFERENCIAS</t>
        </is>
      </c>
      <c r="D166" s="26" t="n">
        <v>300000</v>
      </c>
      <c r="E166" t="inlineStr">
        <is>
          <t>Mercado Pago</t>
        </is>
      </c>
      <c r="F166" t="inlineStr">
        <is>
          <t>transferencia · gasto personal Sol (ex-PENDIENTE) · ex `Christian Ventura`</t>
        </is>
      </c>
    </row>
    <row r="167">
      <c r="A167" s="54" t="n">
        <v>46165</v>
      </c>
      <c r="B167" t="inlineStr">
        <is>
          <t>Mayo</t>
        </is>
      </c>
      <c r="C167" t="inlineStr">
        <is>
          <t>MERCADO LIBRE</t>
        </is>
      </c>
      <c r="D167" s="26" t="n">
        <v>35544</v>
      </c>
      <c r="E167" t="inlineStr">
        <is>
          <t>Mercado Pago</t>
        </is>
      </c>
      <c r="F167" t="inlineStr">
        <is>
          <t>MERCADO LIBRE · gasto personal Sol</t>
        </is>
      </c>
    </row>
    <row r="168">
      <c r="A168" s="54" t="n"/>
      <c r="D168" s="26" t="n"/>
    </row>
    <row r="169">
      <c r="A169" s="54" t="n">
        <v>46169</v>
      </c>
      <c r="B169" t="inlineStr">
        <is>
          <t>Mayo</t>
        </is>
      </c>
      <c r="C169" t="inlineStr">
        <is>
          <t>ENTRETENIMIENTO · Comidas</t>
        </is>
      </c>
      <c r="D169" s="26" t="n">
        <v>5790</v>
      </c>
      <c r="E169" t="inlineStr">
        <is>
          <t>Mercado Pago</t>
        </is>
      </c>
      <c r="F169" t="inlineStr">
        <is>
          <t>ENTRETENIMIENTO · Comidas · Magic Dragon</t>
        </is>
      </c>
    </row>
    <row r="170">
      <c r="A170" s="54" t="n"/>
      <c r="D170" s="26" t="n"/>
    </row>
    <row r="171">
      <c r="A171" s="54" t="n">
        <v>46170</v>
      </c>
      <c r="B171" t="inlineStr">
        <is>
          <t>Mayo</t>
        </is>
      </c>
      <c r="C171" t="inlineStr">
        <is>
          <t>COMPRAS</t>
        </is>
      </c>
      <c r="D171" s="26" t="n">
        <v>25971</v>
      </c>
      <c r="E171" t="inlineStr">
        <is>
          <t>Mercado Pago</t>
        </is>
      </c>
      <c r="F171" t="inlineStr">
        <is>
          <t>COMPRAS · Zilver SA · personal · gasto personal Sol</t>
        </is>
      </c>
    </row>
    <row r="172">
      <c r="A172" s="54" t="n">
        <v>46171</v>
      </c>
      <c r="B172" t="inlineStr">
        <is>
          <t>Mayo</t>
        </is>
      </c>
      <c r="C172" t="inlineStr">
        <is>
          <t>TRAÍDO DE MIAMI</t>
        </is>
      </c>
      <c r="D172" s="26" t="n">
        <v>630000</v>
      </c>
      <c r="E172" t="inlineStr">
        <is>
          <t>Mercado Pago</t>
        </is>
      </c>
      <c r="F172" t="inlineStr">
        <is>
          <t>TRAÍDO DE MIAMI · Servicios de Pagos Virtuales SA · Mercado Pago · importadora · gasto personal Sol</t>
        </is>
      </c>
    </row>
    <row r="173">
      <c r="A173" s="54" t="n">
        <v>46175</v>
      </c>
      <c r="B173" t="inlineStr">
        <is>
          <t>Junio</t>
        </is>
      </c>
      <c r="C173" t="inlineStr">
        <is>
          <t>TRANSFERENCIAS</t>
        </is>
      </c>
      <c r="D173" s="26" t="n">
        <v>32046</v>
      </c>
      <c r="E173" t="inlineStr">
        <is>
          <t>Mercado Pago</t>
        </is>
      </c>
      <c r="F173" t="inlineStr">
        <is>
          <t>compra · gasto personal Sol (ex-PENDIENTE) · ex `Andres Di Pasqua`</t>
        </is>
      </c>
    </row>
    <row r="174">
      <c r="A174" s="54" t="n">
        <v>46175</v>
      </c>
      <c r="B174" t="inlineStr">
        <is>
          <t>Junio</t>
        </is>
      </c>
      <c r="C174" t="inlineStr">
        <is>
          <t>ENVÍOS</t>
        </is>
      </c>
      <c r="D174" s="26" t="n">
        <v>22500</v>
      </c>
      <c r="E174" t="inlineStr">
        <is>
          <t>Mercado Pago</t>
        </is>
      </c>
      <c r="F174" t="inlineStr">
        <is>
          <t>envíos · gasto personal Sol</t>
        </is>
      </c>
    </row>
    <row r="175">
      <c r="A175" s="54" t="n">
        <v>46179</v>
      </c>
      <c r="B175" t="inlineStr">
        <is>
          <t>Junio</t>
        </is>
      </c>
      <c r="C175" t="inlineStr">
        <is>
          <t>DONACIONES</t>
        </is>
      </c>
      <c r="D175" s="26" t="n">
        <v>100000</v>
      </c>
      <c r="E175" t="inlineStr">
        <is>
          <t>Mercado Pago</t>
        </is>
      </c>
      <c r="F175" t="inlineStr">
        <is>
          <t>donación · gasto personal Sol · ex `Fundacion Soplo De Vida`</t>
        </is>
      </c>
    </row>
    <row r="176">
      <c r="A176" s="54" t="n">
        <v>46179</v>
      </c>
      <c r="B176" t="inlineStr">
        <is>
          <t>Junio</t>
        </is>
      </c>
      <c r="C176" t="inlineStr">
        <is>
          <t>TRANSFERENCIAS</t>
        </is>
      </c>
      <c r="D176" s="26" t="n">
        <v>14500</v>
      </c>
      <c r="E176" t="inlineStr">
        <is>
          <t>Mercado Pago</t>
        </is>
      </c>
      <c r="F176" t="inlineStr">
        <is>
          <t>transferencia · gasto personal Sol (ex-PENDIENTE) · ex `Guillermo Galarraga`</t>
        </is>
      </c>
    </row>
    <row r="177">
      <c r="A177" s="54" t="n">
        <v>46180</v>
      </c>
      <c r="B177" t="inlineStr">
        <is>
          <t>Junio</t>
        </is>
      </c>
      <c r="C177" t="inlineStr">
        <is>
          <t>AUTO</t>
        </is>
      </c>
      <c r="D177" s="26" t="n">
        <v>711</v>
      </c>
      <c r="E177" t="inlineStr">
        <is>
          <t>Mercado Pago</t>
        </is>
      </c>
      <c r="F177" t="inlineStr">
        <is>
          <t>ACA · AUTO/ACA · gasto personal Sol</t>
        </is>
      </c>
    </row>
    <row r="178">
      <c r="A178" s="54" t="n">
        <v>46181</v>
      </c>
      <c r="B178" t="inlineStr">
        <is>
          <t>Junio</t>
        </is>
      </c>
      <c r="C178" t="inlineStr">
        <is>
          <t>Servicio - Telefonía</t>
        </is>
      </c>
      <c r="D178" s="26" t="n">
        <v>17400</v>
      </c>
      <c r="E178" t="inlineStr">
        <is>
          <t>Mercado Pago</t>
        </is>
      </c>
      <c r="F178" t="inlineStr">
        <is>
          <t>Tuenti · gasto personal Sol · hoja Gasto Personal Sol</t>
        </is>
      </c>
    </row>
    <row r="179">
      <c r="A179" s="54" t="n">
        <v>46183</v>
      </c>
      <c r="B179" t="inlineStr">
        <is>
          <t>Junio</t>
        </is>
      </c>
      <c r="C179" t="inlineStr">
        <is>
          <t>TRANSFERENCIAS</t>
        </is>
      </c>
      <c r="D179" s="26" t="n">
        <v>806000</v>
      </c>
      <c r="E179" t="inlineStr">
        <is>
          <t>Mercado Pago</t>
        </is>
      </c>
      <c r="F179" t="inlineStr">
        <is>
          <t>¿obra/casa? · gasto personal Sol (ex-PENDIENTE) · ex `Casa Godoy`</t>
        </is>
      </c>
    </row>
    <row r="180">
      <c r="A180" s="54" t="n">
        <v>46183</v>
      </c>
      <c r="B180" t="inlineStr">
        <is>
          <t>Junio</t>
        </is>
      </c>
      <c r="C180" t="inlineStr">
        <is>
          <t>TRANSFERENCIAS</t>
        </is>
      </c>
      <c r="D180" s="26" t="n">
        <v>8293</v>
      </c>
      <c r="E180" t="inlineStr">
        <is>
          <t>Mercado Pago</t>
        </is>
      </c>
      <c r="F180" t="inlineStr">
        <is>
          <t>transferencia · gasto personal Sol (ex-PENDIENTE) · ex `Karina Venturo`</t>
        </is>
      </c>
    </row>
    <row r="181">
      <c r="A181" s="54" t="n">
        <v>46184</v>
      </c>
      <c r="B181" t="inlineStr">
        <is>
          <t>Junio</t>
        </is>
      </c>
      <c r="C181" t="inlineStr">
        <is>
          <t>SUSCRIPCIONES · Apple</t>
        </is>
      </c>
      <c r="D181" s="26" t="n">
        <v>331291</v>
      </c>
      <c r="E181" t="inlineStr">
        <is>
          <t>Mercado Pago</t>
        </is>
      </c>
      <c r="F181" t="inlineStr">
        <is>
          <t>SUSCRIPCIONES · Apple · gasto personal Sol</t>
        </is>
      </c>
    </row>
    <row r="182">
      <c r="A182" s="54" t="n">
        <v>46185</v>
      </c>
      <c r="B182" t="inlineStr">
        <is>
          <t>Junio</t>
        </is>
      </c>
      <c r="C182" t="inlineStr">
        <is>
          <t>ENVÍOS</t>
        </is>
      </c>
      <c r="D182" s="26" t="n">
        <v>48000</v>
      </c>
      <c r="E182" t="inlineStr">
        <is>
          <t>Mercado Pago</t>
        </is>
      </c>
      <c r="F182" t="inlineStr">
        <is>
          <t>envíos · gasto personal Sol</t>
        </is>
      </c>
    </row>
    <row r="183">
      <c r="A183" s="54" t="n">
        <v>46186</v>
      </c>
      <c r="B183" t="inlineStr">
        <is>
          <t>Junio</t>
        </is>
      </c>
      <c r="C183" t="inlineStr">
        <is>
          <t>SUSCRIPCIONES · Apple</t>
        </is>
      </c>
      <c r="D183" s="26" t="n">
        <v>18558</v>
      </c>
      <c r="E183" t="inlineStr">
        <is>
          <t>Mercado Pago</t>
        </is>
      </c>
      <c r="F183" t="inlineStr">
        <is>
          <t>SUSCRIPCIONES · Apple · gasto personal Sol</t>
        </is>
      </c>
    </row>
    <row r="184">
      <c r="A184" s="54" t="n">
        <v>46186</v>
      </c>
      <c r="B184" t="inlineStr">
        <is>
          <t>Junio</t>
        </is>
      </c>
      <c r="C184" t="inlineStr">
        <is>
          <t>HOGAR</t>
        </is>
      </c>
      <c r="D184" s="26" t="n">
        <v>79900</v>
      </c>
      <c r="E184" t="inlineStr">
        <is>
          <t>Mercado Pago</t>
        </is>
      </c>
      <c r="F184" t="inlineStr">
        <is>
          <t>¿hogar? · gasto personal Sol (ex-PENDIENTE)</t>
        </is>
      </c>
    </row>
    <row r="185">
      <c r="A185" s="54" t="n">
        <v>46188</v>
      </c>
      <c r="B185" t="inlineStr">
        <is>
          <t>Junio</t>
        </is>
      </c>
      <c r="C185" t="inlineStr">
        <is>
          <t>SALUD</t>
        </is>
      </c>
      <c r="D185" s="26" t="n">
        <v>99727</v>
      </c>
      <c r="E185" t="inlineStr">
        <is>
          <t>Mercado Pago</t>
        </is>
      </c>
      <c r="F185" t="inlineStr">
        <is>
          <t>fitness · gasto personal Sol</t>
        </is>
      </c>
    </row>
    <row r="186">
      <c r="A186" s="54" t="n">
        <v>46189</v>
      </c>
      <c r="B186" t="inlineStr">
        <is>
          <t>Junio</t>
        </is>
      </c>
      <c r="C186" t="inlineStr">
        <is>
          <t>TRANSFERENCIAS</t>
        </is>
      </c>
      <c r="D186" s="26" t="n">
        <v>2542970</v>
      </c>
      <c r="E186" t="inlineStr">
        <is>
          <t>Mercado Pago</t>
        </is>
      </c>
      <c r="F186" t="inlineStr">
        <is>
          <t>compra grande · gasto personal Sol (ex-PENDIENTE) · ex `Damaris Oliveira`</t>
        </is>
      </c>
    </row>
    <row r="187">
      <c r="A187" s="54" t="n">
        <v>46189</v>
      </c>
      <c r="B187" t="inlineStr">
        <is>
          <t>Junio</t>
        </is>
      </c>
      <c r="C187" t="inlineStr">
        <is>
          <t>SALUD</t>
        </is>
      </c>
      <c r="D187" s="26" t="n">
        <v>150000</v>
      </c>
      <c r="E187" t="inlineStr">
        <is>
          <t>Mercado Pago</t>
        </is>
      </c>
      <c r="F187" t="inlineStr">
        <is>
          <t>estética · gasto personal Sol · ex `Dermacycle`</t>
        </is>
      </c>
    </row>
    <row r="188">
      <c r="A188" s="54" t="n">
        <v>46191</v>
      </c>
      <c r="B188" t="inlineStr">
        <is>
          <t>Junio</t>
        </is>
      </c>
      <c r="C188" t="inlineStr">
        <is>
          <t>MERCADO LIBRE</t>
        </is>
      </c>
      <c r="D188" s="26" t="n">
        <v>67000</v>
      </c>
      <c r="E188" t="inlineStr">
        <is>
          <t>Mercado Pago</t>
        </is>
      </c>
      <c r="F188" t="inlineStr">
        <is>
          <t>MERCADO LIBRE · gasto personal Sol</t>
        </is>
      </c>
    </row>
    <row r="189">
      <c r="A189" s="54" t="n">
        <v>46193</v>
      </c>
      <c r="B189" t="inlineStr">
        <is>
          <t>Junio</t>
        </is>
      </c>
      <c r="C189" t="inlineStr">
        <is>
          <t>TRANSFERENCIAS</t>
        </is>
      </c>
      <c r="D189" s="26" t="n">
        <v>20000</v>
      </c>
      <c r="E189" t="inlineStr">
        <is>
          <t>Mercado Pago</t>
        </is>
      </c>
      <c r="F189" t="inlineStr">
        <is>
          <t>transferencia · gasto personal Sol (ex-PENDIENTE) · ex `Christian Ventura`</t>
        </is>
      </c>
    </row>
    <row r="190">
      <c r="A190" s="54" t="n">
        <v>46196</v>
      </c>
      <c r="B190" t="inlineStr">
        <is>
          <t>Junio</t>
        </is>
      </c>
      <c r="C190" t="inlineStr">
        <is>
          <t>TRANSFERENCIAS</t>
        </is>
      </c>
      <c r="D190" s="26" t="n">
        <v>150000</v>
      </c>
      <c r="E190" t="inlineStr">
        <is>
          <t>Mercado Pago</t>
        </is>
      </c>
      <c r="F190" t="inlineStr">
        <is>
          <t>transferencia · gasto personal Sol (ex-PENDIENTE) · ex `Christian Ventura`</t>
        </is>
      </c>
    </row>
    <row r="191">
      <c r="A191" s="54" t="n">
        <v>46196</v>
      </c>
      <c r="B191" t="inlineStr">
        <is>
          <t>Junio</t>
        </is>
      </c>
      <c r="C191" t="inlineStr">
        <is>
          <t>TRANSFERENCIAS</t>
        </is>
      </c>
      <c r="D191" s="26" t="n">
        <v>6030</v>
      </c>
      <c r="E191" t="inlineStr">
        <is>
          <t>Mercado Pago</t>
        </is>
      </c>
      <c r="F191" t="inlineStr">
        <is>
          <t>transferencia · gasto personal Sol (ex-PENDIENTE) · ex `Karina Venturo`</t>
        </is>
      </c>
    </row>
    <row r="192">
      <c r="A192" s="54" t="n">
        <v>46196</v>
      </c>
      <c r="B192" t="inlineStr">
        <is>
          <t>Junio</t>
        </is>
      </c>
      <c r="C192" t="inlineStr">
        <is>
          <t>TRANSFERENCIAS</t>
        </is>
      </c>
      <c r="D192" s="26" t="n">
        <v>6400</v>
      </c>
      <c r="E192" t="inlineStr">
        <is>
          <t>Mercado Pago</t>
        </is>
      </c>
      <c r="F192" t="inlineStr">
        <is>
          <t>transferencia · gasto personal Sol (ex-PENDIENTE) · ex `Mazzeo Jose`</t>
        </is>
      </c>
    </row>
    <row r="193">
      <c r="A193" s="54" t="n">
        <v>46196</v>
      </c>
      <c r="B193" t="inlineStr">
        <is>
          <t>Junio</t>
        </is>
      </c>
      <c r="C193" t="inlineStr">
        <is>
          <t>TRANSFERENCIAS</t>
        </is>
      </c>
      <c r="D193" s="26" t="n">
        <v>7000</v>
      </c>
      <c r="E193" t="inlineStr">
        <is>
          <t>Mercado Pago</t>
        </is>
      </c>
      <c r="F193" t="inlineStr">
        <is>
          <t>transferencia · gasto personal Sol (ex-PENDIENTE) · ex `Omar Pastran`</t>
        </is>
      </c>
    </row>
    <row r="194">
      <c r="A194" s="54" t="n">
        <v>46197</v>
      </c>
      <c r="B194" t="inlineStr">
        <is>
          <t>Junio</t>
        </is>
      </c>
      <c r="C194" t="inlineStr">
        <is>
          <t>VESTIMENTA</t>
        </is>
      </c>
      <c r="D194" s="26" t="n">
        <v>350000</v>
      </c>
      <c r="E194" t="inlineStr">
        <is>
          <t>Mercado Pago</t>
        </is>
      </c>
      <c r="F194" t="inlineStr">
        <is>
          <t>VESTIMENTA · Aylen Difeo · Mercado Pago · gasto personal Sol</t>
        </is>
      </c>
    </row>
    <row r="195">
      <c r="A195" s="54" t="n">
        <v>46197</v>
      </c>
      <c r="B195" t="inlineStr">
        <is>
          <t>Junio</t>
        </is>
      </c>
      <c r="C195" t="inlineStr">
        <is>
          <t>MERCADO LIBRE</t>
        </is>
      </c>
      <c r="D195" s="26" t="n">
        <v>175000</v>
      </c>
      <c r="E195" t="inlineStr">
        <is>
          <t>Mercado Pago</t>
        </is>
      </c>
      <c r="F195" t="inlineStr">
        <is>
          <t>MERCADO LIBRE · gasto personal Sol</t>
        </is>
      </c>
    </row>
    <row r="196">
      <c r="A196" s="54" t="n">
        <v>46198</v>
      </c>
      <c r="B196" t="inlineStr">
        <is>
          <t>Junio</t>
        </is>
      </c>
      <c r="C196" t="inlineStr">
        <is>
          <t>DONACIONES</t>
        </is>
      </c>
      <c r="D196" s="26" t="n">
        <v>243000</v>
      </c>
      <c r="E196" t="inlineStr">
        <is>
          <t>Mercado Pago</t>
        </is>
      </c>
      <c r="F196" t="inlineStr">
        <is>
          <t>donación · gasto personal Sol · ex `Fundacion Soplo De Vida`</t>
        </is>
      </c>
    </row>
    <row r="197">
      <c r="A197" s="54" t="n"/>
      <c r="D197" s="26" t="n"/>
    </row>
    <row r="198">
      <c r="A198" s="54" t="n">
        <v>46200</v>
      </c>
      <c r="B198" t="inlineStr">
        <is>
          <t>Junio</t>
        </is>
      </c>
      <c r="C198" t="inlineStr">
        <is>
          <t>TRANSFERENCIAS</t>
        </is>
      </c>
      <c r="D198" s="26" t="n">
        <v>20000</v>
      </c>
      <c r="E198" t="inlineStr">
        <is>
          <t>Mercado Pago</t>
        </is>
      </c>
      <c r="F198" t="inlineStr">
        <is>
          <t>transferencia · gasto personal Sol (ex-PENDIENTE) · ex `Florencia De La Torre`</t>
        </is>
      </c>
    </row>
    <row r="199">
      <c r="A199" s="54" t="n">
        <v>46203</v>
      </c>
      <c r="B199" t="inlineStr">
        <is>
          <t>Junio</t>
        </is>
      </c>
      <c r="C199" t="inlineStr">
        <is>
          <t>AUTO</t>
        </is>
      </c>
      <c r="D199" s="26" t="n">
        <v>330</v>
      </c>
      <c r="E199" t="inlineStr">
        <is>
          <t>Mercado Pago</t>
        </is>
      </c>
      <c r="F199" t="inlineStr">
        <is>
          <t>ACA · AUTO/ACA · gasto personal Sol</t>
        </is>
      </c>
    </row>
    <row r="200">
      <c r="A200" s="54" t="n"/>
      <c r="D200" s="26" t="n"/>
    </row>
    <row r="201">
      <c r="A201" s="54" t="n">
        <v>46208</v>
      </c>
      <c r="B201" t="inlineStr">
        <is>
          <t>Julio</t>
        </is>
      </c>
      <c r="C201" t="inlineStr">
        <is>
          <t>VESTIMENTA</t>
        </is>
      </c>
      <c r="D201" s="26" t="n">
        <v>49000</v>
      </c>
      <c r="E201" t="inlineStr">
        <is>
          <t>Mercado Pago</t>
        </is>
      </c>
      <c r="F201" t="inlineStr">
        <is>
          <t>VESTIMENTA · Analia Roay · Mercado Pago · gasto personal Sol</t>
        </is>
      </c>
    </row>
    <row r="202">
      <c r="A202" s="54" t="n">
        <v>46208</v>
      </c>
      <c r="B202" t="inlineStr">
        <is>
          <t>Julio</t>
        </is>
      </c>
      <c r="C202" t="inlineStr">
        <is>
          <t>TRANSFERENCIAS</t>
        </is>
      </c>
      <c r="D202" s="26" t="n">
        <v>38700</v>
      </c>
      <c r="E202" t="inlineStr">
        <is>
          <t>Mercado Pago</t>
        </is>
      </c>
      <c r="F202" t="inlineStr">
        <is>
          <t>transferencia · gasto personal Sol (ex-PENDIENTE) · ex `Antonela Guidobono`</t>
        </is>
      </c>
    </row>
    <row r="203">
      <c r="A203" s="54" t="n">
        <v>46209</v>
      </c>
      <c r="B203" t="inlineStr">
        <is>
          <t>Julio</t>
        </is>
      </c>
      <c r="C203" t="inlineStr">
        <is>
          <t>VESTIMENTA</t>
        </is>
      </c>
      <c r="D203" s="26" t="n">
        <v>8002</v>
      </c>
      <c r="E203" t="inlineStr">
        <is>
          <t>Mercado Pago</t>
        </is>
      </c>
      <c r="F203" t="inlineStr">
        <is>
          <t>VESTIMENTA · Analia Roay · Mercado Pago · gasto personal Sol</t>
        </is>
      </c>
    </row>
    <row r="204">
      <c r="A204" s="54" t="n">
        <v>46209</v>
      </c>
      <c r="B204" t="inlineStr">
        <is>
          <t>Julio</t>
        </is>
      </c>
      <c r="C204" t="inlineStr">
        <is>
          <t>USA BOX</t>
        </is>
      </c>
      <c r="D204" s="26" t="n">
        <v>572005</v>
      </c>
      <c r="E204" t="inlineStr">
        <is>
          <t>Mercado Pago</t>
        </is>
      </c>
      <c r="F204" t="inlineStr">
        <is>
          <t>USA BOX · Federico Martinez Escariz · Mercado Pago · importadora · gasto personal Sol</t>
        </is>
      </c>
    </row>
    <row r="205">
      <c r="A205" s="54" t="n">
        <v>46209</v>
      </c>
      <c r="B205" t="inlineStr">
        <is>
          <t>Julio</t>
        </is>
      </c>
      <c r="C205" t="inlineStr">
        <is>
          <t>TRANSFERENCIAS</t>
        </is>
      </c>
      <c r="D205" s="26" t="n">
        <v>2500</v>
      </c>
      <c r="E205" t="inlineStr">
        <is>
          <t>Mercado Pago</t>
        </is>
      </c>
      <c r="F205" t="inlineStr">
        <is>
          <t>transferencia · gasto personal Sol (ex-PENDIENTE) · ex `Jose Cristian Montaño`</t>
        </is>
      </c>
    </row>
    <row r="206">
      <c r="A206" s="54" t="n">
        <v>46211</v>
      </c>
      <c r="B206" t="inlineStr">
        <is>
          <t>Julio</t>
        </is>
      </c>
      <c r="C206" t="inlineStr">
        <is>
          <t>SALUD</t>
        </is>
      </c>
      <c r="D206" s="26" t="n">
        <v>159000</v>
      </c>
      <c r="E206" t="inlineStr">
        <is>
          <t>Mercado Pago</t>
        </is>
      </c>
      <c r="F206" t="inlineStr">
        <is>
          <t>personal · gasto personal Sol · ex `Mara Sikorski`</t>
        </is>
      </c>
    </row>
    <row r="207">
      <c r="A207" s="54" t="n">
        <v>46211</v>
      </c>
      <c r="B207" t="inlineStr">
        <is>
          <t>Julio</t>
        </is>
      </c>
      <c r="C207" t="inlineStr">
        <is>
          <t>Servicio - Telefonía</t>
        </is>
      </c>
      <c r="D207" s="26" t="n">
        <v>18000</v>
      </c>
      <c r="E207" t="inlineStr">
        <is>
          <t>Mercado Pago</t>
        </is>
      </c>
      <c r="F207" t="inlineStr">
        <is>
          <t>Tuenti · gasto personal Sol · hoja Gasto Personal Sol</t>
        </is>
      </c>
    </row>
    <row r="208">
      <c r="A208" s="54" t="n">
        <v>46213</v>
      </c>
      <c r="B208" t="inlineStr">
        <is>
          <t>Julio</t>
        </is>
      </c>
      <c r="C208" t="inlineStr">
        <is>
          <t>TRANSFERENCIAS</t>
        </is>
      </c>
      <c r="D208" s="26" t="n">
        <v>5000</v>
      </c>
      <c r="E208" t="inlineStr">
        <is>
          <t>Mercado Pago</t>
        </is>
      </c>
      <c r="F208" t="inlineStr">
        <is>
          <t>transferencia · gasto personal Sol (ex-PENDIENTE) · ex `Sikorski Mara`</t>
        </is>
      </c>
    </row>
    <row r="209">
      <c r="A209" s="54" t="n">
        <v>46214</v>
      </c>
      <c r="B209" t="inlineStr">
        <is>
          <t>Julio</t>
        </is>
      </c>
      <c r="C209" t="inlineStr">
        <is>
          <t>TRANSFERENCIAS</t>
        </is>
      </c>
      <c r="D209" s="26" t="n">
        <v>18300</v>
      </c>
      <c r="E209" t="inlineStr">
        <is>
          <t>Mercado Pago</t>
        </is>
      </c>
      <c r="F209" t="inlineStr">
        <is>
          <t>tienda física · gasto personal Sol (ex-PENDIENTE) · ex `Comercio`</t>
        </is>
      </c>
    </row>
    <row r="210">
      <c r="A210" s="54" t="n">
        <v>46214</v>
      </c>
      <c r="B210" t="inlineStr">
        <is>
          <t>Julio</t>
        </is>
      </c>
      <c r="C210" t="inlineStr">
        <is>
          <t>TRANSFERENCIAS</t>
        </is>
      </c>
      <c r="D210" s="26" t="n">
        <v>1500</v>
      </c>
      <c r="E210" t="inlineStr">
        <is>
          <t>Mercado Pago</t>
        </is>
      </c>
      <c r="F210" t="inlineStr">
        <is>
          <t>transferencia · gasto personal Sol (ex-PENDIENTE) · ex `Franco Yonatan Britez`</t>
        </is>
      </c>
    </row>
    <row r="211">
      <c r="A211" s="54" t="n">
        <v>46215</v>
      </c>
      <c r="B211" t="inlineStr">
        <is>
          <t>Julio</t>
        </is>
      </c>
      <c r="C211" t="inlineStr">
        <is>
          <t>SUSCRIPCIONES · Apple</t>
        </is>
      </c>
      <c r="D211" s="26" t="n">
        <v>19481</v>
      </c>
      <c r="E211" t="inlineStr">
        <is>
          <t>Mercado Pago</t>
        </is>
      </c>
      <c r="F211" t="inlineStr">
        <is>
          <t>SUSCRIPCIONES · Apple · gasto personal Sol</t>
        </is>
      </c>
    </row>
    <row r="212">
      <c r="A212" s="54" t="n">
        <v>46215</v>
      </c>
      <c r="B212" t="inlineStr">
        <is>
          <t>Julio</t>
        </is>
      </c>
      <c r="C212" t="inlineStr">
        <is>
          <t>TRANSFERENCIAS</t>
        </is>
      </c>
      <c r="D212" s="26" t="n">
        <v>27000</v>
      </c>
      <c r="E212" t="inlineStr">
        <is>
          <t>Mercado Pago</t>
        </is>
      </c>
      <c r="F212" t="inlineStr">
        <is>
          <t>compra · gasto personal Sol (ex-PENDIENTE) · ex `Klash Pro`</t>
        </is>
      </c>
    </row>
    <row r="213">
      <c r="A213" s="54" t="n">
        <v>46215</v>
      </c>
      <c r="B213" t="inlineStr">
        <is>
          <t>Julio</t>
        </is>
      </c>
      <c r="C213" t="inlineStr">
        <is>
          <t>MERCADO LIBRE</t>
        </is>
      </c>
      <c r="D213" s="26" t="n">
        <v>24499</v>
      </c>
      <c r="E213" t="inlineStr">
        <is>
          <t>Mercado Pago</t>
        </is>
      </c>
      <c r="F213" t="inlineStr">
        <is>
          <t>MERCADO LIBRE · gasto personal Sol</t>
        </is>
      </c>
    </row>
    <row r="214">
      <c r="A214" s="54" t="n">
        <v>46217</v>
      </c>
      <c r="B214" t="inlineStr">
        <is>
          <t>Julio</t>
        </is>
      </c>
      <c r="C214" t="inlineStr">
        <is>
          <t>USA BOX</t>
        </is>
      </c>
      <c r="D214" s="26" t="n">
        <v>398240</v>
      </c>
      <c r="E214" t="inlineStr">
        <is>
          <t>Mercado Pago</t>
        </is>
      </c>
      <c r="F214" t="inlineStr">
        <is>
          <t>USA BOX · Carenzo Santiago P · Mercado Pago · importadora · gasto personal Sol</t>
        </is>
      </c>
    </row>
    <row r="215">
      <c r="A215" s="54" t="n">
        <v>46218</v>
      </c>
      <c r="B215" t="inlineStr">
        <is>
          <t>Julio</t>
        </is>
      </c>
      <c r="C215" t="inlineStr">
        <is>
          <t>MERCADO LIBRE</t>
        </is>
      </c>
      <c r="D215" s="26" t="n">
        <v>30318</v>
      </c>
      <c r="E215" t="inlineStr">
        <is>
          <t>Mercado Pago</t>
        </is>
      </c>
      <c r="F215" t="inlineStr">
        <is>
          <t>MERCADO LIBRE · gasto personal Sol</t>
        </is>
      </c>
    </row>
    <row r="216">
      <c r="A216" s="54" t="n">
        <v>46218</v>
      </c>
      <c r="B216" t="inlineStr">
        <is>
          <t>Julio</t>
        </is>
      </c>
      <c r="C216" t="inlineStr">
        <is>
          <t>MERCADO LIBRE</t>
        </is>
      </c>
      <c r="D216" s="26" t="n">
        <v>18525</v>
      </c>
      <c r="E216" t="inlineStr">
        <is>
          <t>Mercado Pago</t>
        </is>
      </c>
      <c r="F216" t="inlineStr">
        <is>
          <t>MERCADO LIBRE · gasto personal Sol</t>
        </is>
      </c>
    </row>
    <row r="217">
      <c r="A217" s="54" t="n">
        <v>46219</v>
      </c>
      <c r="B217" t="inlineStr">
        <is>
          <t>Julio</t>
        </is>
      </c>
      <c r="C217" t="inlineStr">
        <is>
          <t>MERCADO LIBRE</t>
        </is>
      </c>
      <c r="D217" s="26" t="n">
        <v>62900</v>
      </c>
      <c r="E217" t="inlineStr">
        <is>
          <t>Mercado Pago</t>
        </is>
      </c>
      <c r="F217" t="inlineStr">
        <is>
          <t>MERCADO LIBRE · gasto personal Sol</t>
        </is>
      </c>
    </row>
    <row r="218">
      <c r="A218" s="54" t="n">
        <v>46220</v>
      </c>
      <c r="B218" t="inlineStr">
        <is>
          <t>Julio</t>
        </is>
      </c>
      <c r="C218" t="inlineStr">
        <is>
          <t>MERCADO LIBRE</t>
        </is>
      </c>
      <c r="D218" s="26" t="n">
        <v>11747</v>
      </c>
      <c r="E218" t="inlineStr">
        <is>
          <t>Mercado Pago</t>
        </is>
      </c>
      <c r="F218" t="inlineStr">
        <is>
          <t>MERCADO LIBRE · gasto personal Sol</t>
        </is>
      </c>
    </row>
    <row r="219">
      <c r="A219" s="54" t="n">
        <v>46220</v>
      </c>
      <c r="B219" t="inlineStr">
        <is>
          <t>Julio</t>
        </is>
      </c>
      <c r="C219" t="inlineStr">
        <is>
          <t>MERCADO LIBRE</t>
        </is>
      </c>
      <c r="D219" s="26" t="n">
        <v>26311</v>
      </c>
      <c r="E219" t="inlineStr">
        <is>
          <t>Mercado Pago</t>
        </is>
      </c>
      <c r="F219" t="inlineStr">
        <is>
          <t>MERCADO LIBRE · gasto personal Sol</t>
        </is>
      </c>
    </row>
    <row r="220">
      <c r="A220" s="54" t="n">
        <v>46204</v>
      </c>
      <c r="B220" t="inlineStr">
        <is>
          <t>Julio</t>
        </is>
      </c>
      <c r="C220" t="inlineStr">
        <is>
          <t>HOGAR</t>
        </is>
      </c>
      <c r="D220" s="26" t="n">
        <v>20000</v>
      </c>
      <c r="E220" t="inlineStr">
        <is>
          <t>Manual (no MP)</t>
        </is>
      </c>
      <c r="F220" t="inlineStr">
        <is>
          <t>Repuesto sifón cocina · sacado de Almacen Detalle (no es comida/súper) · ex `CASA / reposición`</t>
        </is>
      </c>
    </row>
    <row r="221">
      <c r="A221" s="54" t="n">
        <v>46222</v>
      </c>
      <c r="B221" t="inlineStr">
        <is>
          <t>Julio</t>
        </is>
      </c>
      <c r="C221" t="inlineStr">
        <is>
          <t>TRANSFERENCIAS</t>
        </is>
      </c>
      <c r="D221" s="26" t="n">
        <v>15000</v>
      </c>
      <c r="E221" t="inlineStr">
        <is>
          <t>Mercado Pago</t>
        </is>
      </c>
      <c r="F221" t="inlineStr">
        <is>
          <t>transferencia enviada · gasto personal Sol · ex `Matias Leonel Aranda`</t>
        </is>
      </c>
    </row>
    <row r="222">
      <c r="A222" s="54" t="n">
        <v>46221</v>
      </c>
      <c r="B222" t="inlineStr">
        <is>
          <t>Julio</t>
        </is>
      </c>
      <c r="C222" t="inlineStr">
        <is>
          <t>VESTIMENTA</t>
        </is>
      </c>
      <c r="D222" s="26" t="n">
        <v>593000</v>
      </c>
      <c r="E222" t="inlineStr">
        <is>
          <t>Mercado Pago</t>
        </is>
      </c>
      <c r="F222" t="inlineStr">
        <is>
          <t>VESTIMENTA · Analia Roay · Mercado Pago · gasto personal Sol</t>
        </is>
      </c>
    </row>
    <row r="223">
      <c r="A223" s="54" t="n">
        <v>46218</v>
      </c>
      <c r="B223" t="inlineStr">
        <is>
          <t>Julio</t>
        </is>
      </c>
      <c r="C223" t="inlineStr">
        <is>
          <t>COMPRAS</t>
        </is>
      </c>
      <c r="D223" s="26" t="n">
        <v>21600</v>
      </c>
      <c r="E223" t="inlineStr">
        <is>
          <t>Mercado Pago</t>
        </is>
      </c>
      <c r="F223" t="inlineStr">
        <is>
          <t>COMPRAS · Dodoche · pago · gasto personal Sol</t>
        </is>
      </c>
    </row>
    <row r="224">
      <c r="A224" s="54" t="n">
        <v>45953</v>
      </c>
      <c r="B224" t="inlineStr">
        <is>
          <t>Octubre</t>
        </is>
      </c>
      <c r="C224" t="inlineStr">
        <is>
          <t>MERCADO LIBRE</t>
        </is>
      </c>
      <c r="D224" s="26" t="n">
        <v>7367</v>
      </c>
      <c r="E224" t="inlineStr">
        <is>
          <t>BBVA VISA</t>
        </is>
      </c>
      <c r="F224" t="inlineStr">
        <is>
          <t>MP vía TC · MERPAGO*2PRODUCTOS C.09/09 812668</t>
        </is>
      </c>
    </row>
    <row r="225">
      <c r="A225" s="54" t="n">
        <v>46138</v>
      </c>
      <c r="B225" t="inlineStr">
        <is>
          <t>Abril</t>
        </is>
      </c>
      <c r="C225" t="inlineStr">
        <is>
          <t>SALUD · Vitaminas</t>
        </is>
      </c>
      <c r="D225" t="n">
        <v>87900</v>
      </c>
      <c r="E225" t="inlineStr">
        <is>
          <t>BBVA Visa</t>
        </is>
      </c>
      <c r="F225" t="inlineStr">
        <is>
          <t>SALUD · Vitaminas · Promarine · BBVA · C.01/06 · gasto personal Sol</t>
        </is>
      </c>
    </row>
    <row r="226">
      <c r="A226" s="54" t="n">
        <v>46148</v>
      </c>
      <c r="B226" t="inlineStr">
        <is>
          <t>Mayo</t>
        </is>
      </c>
      <c r="C226" t="inlineStr">
        <is>
          <t>ROPA</t>
        </is>
      </c>
      <c r="D226" t="n">
        <v>60917</v>
      </c>
      <c r="E226" t="inlineStr">
        <is>
          <t>BBVA VISA</t>
        </is>
      </c>
      <c r="F226" t="inlineStr">
        <is>
          <t>MERPAGO*ZADIG C.02/12 039423</t>
        </is>
      </c>
    </row>
    <row r="227">
      <c r="A227" s="54" t="n">
        <v>46151</v>
      </c>
      <c r="B227" t="inlineStr">
        <is>
          <t>Mayo</t>
        </is>
      </c>
      <c r="C227" t="inlineStr">
        <is>
          <t>ROPA</t>
        </is>
      </c>
      <c r="D227" t="n">
        <v>69750</v>
      </c>
      <c r="E227" t="inlineStr">
        <is>
          <t>BBVA VISA</t>
        </is>
      </c>
      <c r="F227" t="inlineStr">
        <is>
          <t>MERPAGO*ZADIG C.02/12 223597</t>
        </is>
      </c>
    </row>
    <row r="228">
      <c r="A228" s="54" t="n">
        <v>46151</v>
      </c>
      <c r="B228" t="inlineStr">
        <is>
          <t>Mayo</t>
        </is>
      </c>
      <c r="C228" t="inlineStr">
        <is>
          <t>COMPRAS</t>
        </is>
      </c>
      <c r="D228" t="n">
        <v>329986</v>
      </c>
      <c r="E228" t="inlineStr">
        <is>
          <t>BBVA VISA</t>
        </is>
      </c>
      <c r="F228" t="inlineStr">
        <is>
          <t>MERPAGO*CAMBIODEAIRES C.02/03 239415</t>
        </is>
      </c>
    </row>
    <row r="229">
      <c r="A229" s="54" t="n">
        <v>46158</v>
      </c>
      <c r="B229" t="inlineStr">
        <is>
          <t>Mayo</t>
        </is>
      </c>
      <c r="C229" t="inlineStr">
        <is>
          <t>VESTIMENTA</t>
        </is>
      </c>
      <c r="D229" t="n">
        <v>98334</v>
      </c>
      <c r="E229" t="inlineStr">
        <is>
          <t>BBVA VISA</t>
        </is>
      </c>
      <c r="F229" t="inlineStr">
        <is>
          <t>MERPAGO*BOKENVORENO C.02/06 483639</t>
        </is>
      </c>
    </row>
    <row r="230">
      <c r="A230" s="54" t="n">
        <v>46166</v>
      </c>
      <c r="B230" t="inlineStr">
        <is>
          <t>Mayo</t>
        </is>
      </c>
      <c r="C230" t="inlineStr">
        <is>
          <t>ROPA</t>
        </is>
      </c>
      <c r="D230" t="n">
        <v>124667</v>
      </c>
      <c r="E230" t="inlineStr">
        <is>
          <t>BBVA VISA</t>
        </is>
      </c>
      <c r="F230" t="inlineStr">
        <is>
          <t>MERPAGO*BIMBAYLOLA C.02/06 192628</t>
        </is>
      </c>
    </row>
    <row r="231">
      <c r="A231" s="54" t="n">
        <v>46171</v>
      </c>
      <c r="B231" t="inlineStr">
        <is>
          <t>Mayo</t>
        </is>
      </c>
      <c r="C231" t="inlineStr">
        <is>
          <t>Eventos deportivos - River</t>
        </is>
      </c>
      <c r="D231" t="n">
        <v>33350</v>
      </c>
      <c r="E231" t="inlineStr">
        <is>
          <t>BBVA VISA</t>
        </is>
      </c>
      <c r="F231" t="inlineStr">
        <is>
          <t>Eventos deportivos - River · Tu Lugar en el Monumental / cuota social CARP · BBVA VISA</t>
        </is>
      </c>
    </row>
    <row r="232">
      <c r="A232" s="54" t="n">
        <v>46172</v>
      </c>
      <c r="B232" t="inlineStr">
        <is>
          <t>Mayo</t>
        </is>
      </c>
      <c r="C232" t="inlineStr">
        <is>
          <t>COMPRAS</t>
        </is>
      </c>
      <c r="D232" t="n">
        <v>50600</v>
      </c>
      <c r="E232" t="inlineStr">
        <is>
          <t>BBVA VISA</t>
        </is>
      </c>
      <c r="F232" t="inlineStr">
        <is>
          <t>CPCECABA DEP-WEB 003844</t>
        </is>
      </c>
    </row>
    <row r="233">
      <c r="A233" s="54" t="n">
        <v>46188</v>
      </c>
      <c r="B233" t="inlineStr">
        <is>
          <t>Junio</t>
        </is>
      </c>
      <c r="C233" t="inlineStr">
        <is>
          <t>COMPRAS</t>
        </is>
      </c>
      <c r="D233" t="n">
        <v>4297</v>
      </c>
      <c r="E233" t="inlineStr">
        <is>
          <t>BBVA VISA</t>
        </is>
      </c>
      <c r="F233" t="inlineStr">
        <is>
          <t>MP vía TC · MERPAGO*FLYMORFI 830196</t>
        </is>
      </c>
    </row>
    <row r="234">
      <c r="A234" s="54" t="n">
        <v>46189</v>
      </c>
      <c r="B234" t="inlineStr">
        <is>
          <t>Junio</t>
        </is>
      </c>
      <c r="C234" t="inlineStr">
        <is>
          <t>EDUCACIÓN</t>
        </is>
      </c>
      <c r="D234" t="n">
        <v>29999</v>
      </c>
      <c r="E234" t="inlineStr">
        <is>
          <t>BBVA VISA</t>
        </is>
      </c>
      <c r="F234" t="inlineStr">
        <is>
          <t>MERPAGO*AIBCURSOS 354954</t>
        </is>
      </c>
    </row>
    <row r="235">
      <c r="A235" s="54" t="n">
        <v>46198</v>
      </c>
      <c r="B235" t="inlineStr">
        <is>
          <t>Junio</t>
        </is>
      </c>
      <c r="C235" t="inlineStr">
        <is>
          <t>COMPRAS</t>
        </is>
      </c>
      <c r="D235" t="n">
        <v>374369</v>
      </c>
      <c r="E235" t="inlineStr">
        <is>
          <t>BBVA VISA</t>
        </is>
      </c>
      <c r="F235" t="inlineStr">
        <is>
          <t>Mercado Libre · ex `MERCADOLIBRE 444718`</t>
        </is>
      </c>
    </row>
    <row r="236">
      <c r="A236" s="54" t="n">
        <v>46198</v>
      </c>
      <c r="B236" t="inlineStr">
        <is>
          <t>Junio</t>
        </is>
      </c>
      <c r="C236" t="inlineStr">
        <is>
          <t>COMPRAS</t>
        </is>
      </c>
      <c r="D236" t="n">
        <v>12084</v>
      </c>
      <c r="E236" t="inlineStr">
        <is>
          <t>BBVA VISA</t>
        </is>
      </c>
      <c r="F236" t="inlineStr">
        <is>
          <t>Mercado Libre · ex `MERCADOLIBRE C.01/06 532077`</t>
        </is>
      </c>
    </row>
    <row r="237">
      <c r="A237" s="54" t="n">
        <v>46198</v>
      </c>
      <c r="B237" t="inlineStr">
        <is>
          <t>Junio</t>
        </is>
      </c>
      <c r="C237" t="inlineStr">
        <is>
          <t>SEGUROS · Retiro</t>
        </is>
      </c>
      <c r="D237" t="n">
        <v>343237</v>
      </c>
      <c r="E237" t="inlineStr">
        <is>
          <t>BBVA Visa</t>
        </is>
      </c>
      <c r="F237" t="inlineStr">
        <is>
          <t>SEGUROS · Retiro · Zurich · Seguro de retiro Zurich · gasto personal Sol</t>
        </is>
      </c>
    </row>
    <row r="238">
      <c r="A238" s="54" t="n">
        <v>46198</v>
      </c>
      <c r="B238" t="inlineStr">
        <is>
          <t>Junio</t>
        </is>
      </c>
      <c r="C238" t="inlineStr">
        <is>
          <t>Eventos deportivos - River</t>
        </is>
      </c>
      <c r="D238" t="n">
        <v>169667</v>
      </c>
      <c r="E238" t="inlineStr">
        <is>
          <t>BBVA VISA</t>
        </is>
      </c>
      <c r="F238" t="inlineStr">
        <is>
          <t>TLM CARP C.01/06 003369 · Eventos deportivos - River</t>
        </is>
      </c>
    </row>
    <row r="239">
      <c r="A239" s="54" t="n">
        <v>46200</v>
      </c>
      <c r="B239" t="inlineStr">
        <is>
          <t>Junio</t>
        </is>
      </c>
      <c r="C239" t="inlineStr">
        <is>
          <t>SUSCRIPCIONES · IA</t>
        </is>
      </c>
      <c r="D239" t="n">
        <v>200</v>
      </c>
      <c r="E239" t="inlineStr">
        <is>
          <t>BBVA VISA</t>
        </is>
      </c>
      <c r="F239" t="inlineStr">
        <is>
          <t>SUSCRIPCIONES · IA · Cursor · gasto personal Sol · Suscripción · CURSOR, AI POWER in1TmtbGBUSD  610302</t>
        </is>
      </c>
    </row>
    <row r="240">
      <c r="A240" s="54" t="n">
        <v>46201</v>
      </c>
      <c r="B240" t="inlineStr">
        <is>
          <t>Junio</t>
        </is>
      </c>
      <c r="C240" t="inlineStr">
        <is>
          <t>ROPA</t>
        </is>
      </c>
      <c r="D240" t="n">
        <v>31700</v>
      </c>
      <c r="E240" t="inlineStr">
        <is>
          <t>BBVA VISA</t>
        </is>
      </c>
      <c r="F240" t="inlineStr">
        <is>
          <t>MERPAGO*FRIVILLI C.01/03 325477</t>
        </is>
      </c>
    </row>
    <row r="241">
      <c r="A241" s="54" t="n">
        <v>46021</v>
      </c>
      <c r="B241" t="inlineStr">
        <is>
          <t>Diciembre</t>
        </is>
      </c>
      <c r="C241" t="inlineStr">
        <is>
          <t>VESTIMENTA</t>
        </is>
      </c>
      <c r="D241" t="n">
        <v>63750</v>
      </c>
      <c r="E241" t="inlineStr">
        <is>
          <t>BBVA MASTERCARD</t>
        </is>
      </c>
      <c r="F241" t="inlineStr">
        <is>
          <t>VESTIMENTA · Longchamp · BBVA · C.06/06 · gasto personal Sol</t>
        </is>
      </c>
    </row>
    <row r="242">
      <c r="A242" s="54" t="n">
        <v>46069</v>
      </c>
      <c r="B242" t="inlineStr">
        <is>
          <t>Febrero</t>
        </is>
      </c>
      <c r="C242" t="inlineStr">
        <is>
          <t>COMPRAS</t>
        </is>
      </c>
      <c r="D242" t="n">
        <v>17360</v>
      </c>
      <c r="E242" t="inlineStr">
        <is>
          <t>BBVA MASTERCARD</t>
        </is>
      </c>
      <c r="F242" t="inlineStr">
        <is>
          <t>Mercado Libre · ex `MERCADOLIBRE C.05/09 536000`</t>
        </is>
      </c>
    </row>
    <row r="243">
      <c r="A243" s="54" t="n">
        <v>46077</v>
      </c>
      <c r="B243" t="inlineStr">
        <is>
          <t>Febrero</t>
        </is>
      </c>
      <c r="C243" t="inlineStr">
        <is>
          <t>COMPRAS</t>
        </is>
      </c>
      <c r="D243" t="n">
        <v>16950</v>
      </c>
      <c r="E243" t="inlineStr">
        <is>
          <t>BBVA MASTERCARD</t>
        </is>
      </c>
      <c r="F243" t="inlineStr">
        <is>
          <t>Mercado Libre · ex `MERCADOLIBRE C.04/09 538284`</t>
        </is>
      </c>
    </row>
    <row r="244">
      <c r="A244" s="54" t="n">
        <v>46094</v>
      </c>
      <c r="B244" t="inlineStr">
        <is>
          <t>Marzo</t>
        </is>
      </c>
      <c r="C244" t="inlineStr">
        <is>
          <t>COMPRAS</t>
        </is>
      </c>
      <c r="D244" t="n">
        <v>275000</v>
      </c>
      <c r="E244" t="inlineStr">
        <is>
          <t>BBVA MASTERCARD</t>
        </is>
      </c>
      <c r="F244" t="inlineStr">
        <is>
          <t>Mercado Libre · ex `MERCADOLIBRE C.04/12 289170`</t>
        </is>
      </c>
    </row>
    <row r="245">
      <c r="A245" s="54" t="n">
        <v>46125</v>
      </c>
      <c r="B245" t="inlineStr">
        <is>
          <t>Abril</t>
        </is>
      </c>
      <c r="C245" t="inlineStr">
        <is>
          <t>ROPA</t>
        </is>
      </c>
      <c r="D245" t="n">
        <v>95984</v>
      </c>
      <c r="E245" t="inlineStr">
        <is>
          <t>BBVA MASTERCARD</t>
        </is>
      </c>
      <c r="F245" t="inlineStr">
        <is>
          <t>MERPAGO*MONOFUK C.03/06 914462</t>
        </is>
      </c>
    </row>
    <row r="246">
      <c r="A246" s="54" t="n">
        <v>46132</v>
      </c>
      <c r="B246" t="inlineStr">
        <is>
          <t>Abril</t>
        </is>
      </c>
      <c r="C246" t="inlineStr">
        <is>
          <t>SALUD</t>
        </is>
      </c>
      <c r="D246" t="n">
        <v>54033</v>
      </c>
      <c r="E246" t="inlineStr">
        <is>
          <t>BBVA MASTERCARD</t>
        </is>
      </c>
      <c r="F246" t="inlineStr">
        <is>
          <t>MERPAGO*LABORATORIOBE C.03/06 817086</t>
        </is>
      </c>
    </row>
    <row r="247">
      <c r="A247" s="54" t="n">
        <v>46134</v>
      </c>
      <c r="B247" t="inlineStr">
        <is>
          <t>Abril</t>
        </is>
      </c>
      <c r="C247" t="inlineStr">
        <is>
          <t>HOGAR</t>
        </is>
      </c>
      <c r="D247" t="n">
        <v>18334</v>
      </c>
      <c r="E247" t="inlineStr">
        <is>
          <t>BBVA MASTERCARD</t>
        </is>
      </c>
      <c r="F247" t="inlineStr">
        <is>
          <t>MERPAGO*STANLEYARGENT C.03/06 249663</t>
        </is>
      </c>
    </row>
    <row r="248">
      <c r="A248" s="54" t="n">
        <v>46144</v>
      </c>
      <c r="B248" t="inlineStr">
        <is>
          <t>Mayo</t>
        </is>
      </c>
      <c r="C248" t="inlineStr">
        <is>
          <t>ROPA</t>
        </is>
      </c>
      <c r="D248" t="n">
        <v>36667</v>
      </c>
      <c r="E248" t="inlineStr">
        <is>
          <t>BBVA MASTERCARD</t>
        </is>
      </c>
      <c r="F248" t="inlineStr">
        <is>
          <t>SPORTING C.02/06 004150</t>
        </is>
      </c>
    </row>
    <row r="249">
      <c r="A249" s="54" t="n">
        <v>46151</v>
      </c>
      <c r="B249" t="inlineStr">
        <is>
          <t>Mayo</t>
        </is>
      </c>
      <c r="C249" t="inlineStr">
        <is>
          <t>ROPA</t>
        </is>
      </c>
      <c r="D249" t="n">
        <v>80834</v>
      </c>
      <c r="E249" t="inlineStr">
        <is>
          <t>BBVA MASTERCARD</t>
        </is>
      </c>
      <c r="F249" t="inlineStr">
        <is>
          <t>JUSTA OSADIA C.02/06 001218</t>
        </is>
      </c>
    </row>
    <row r="250">
      <c r="A250" s="54" t="n">
        <v>46152</v>
      </c>
      <c r="B250" t="inlineStr">
        <is>
          <t>Mayo</t>
        </is>
      </c>
      <c r="C250" t="inlineStr">
        <is>
          <t>ROPA</t>
        </is>
      </c>
      <c r="D250" t="n">
        <v>84216</v>
      </c>
      <c r="E250" t="inlineStr">
        <is>
          <t>BBVA MASTERCARD</t>
        </is>
      </c>
      <c r="F250" t="inlineStr">
        <is>
          <t>MERPAGO*TIENDARIVER C.02/03 688750</t>
        </is>
      </c>
    </row>
    <row r="251">
      <c r="A251" s="54" t="n">
        <v>46159</v>
      </c>
      <c r="B251" t="inlineStr">
        <is>
          <t>Mayo</t>
        </is>
      </c>
      <c r="C251" t="inlineStr">
        <is>
          <t>ROPA</t>
        </is>
      </c>
      <c r="D251" t="n">
        <v>40004</v>
      </c>
      <c r="E251" t="inlineStr">
        <is>
          <t>BBVA Mastercard</t>
        </is>
      </c>
      <c r="F251" t="inlineStr">
        <is>
          <t>ROPA · Zara · cuota 01/03 · gasto personal Sol</t>
        </is>
      </c>
    </row>
    <row r="252">
      <c r="A252" s="54" t="n">
        <v>46143</v>
      </c>
      <c r="B252" t="inlineStr">
        <is>
          <t>Mayo</t>
        </is>
      </c>
      <c r="C252" t="inlineStr">
        <is>
          <t>SUSCRIPCIONES · IA</t>
        </is>
      </c>
      <c r="D252" t="n">
        <v>20</v>
      </c>
      <c r="E252" t="inlineStr">
        <is>
          <t>BBVA VISA</t>
        </is>
      </c>
      <c r="F252" t="inlineStr">
        <is>
          <t>SUSCRIPCIONES · IA · Vercel · gasto personal Sol · Suscripción · VERCEL INC. in1TSPl7GUSD  055058</t>
        </is>
      </c>
    </row>
    <row r="253">
      <c r="A253" s="54" t="n"/>
    </row>
    <row r="254">
      <c r="A254" s="54" t="n"/>
    </row>
    <row r="255">
      <c r="A255" s="54" t="n">
        <v>46145</v>
      </c>
      <c r="B255" t="inlineStr">
        <is>
          <t>Mayo</t>
        </is>
      </c>
      <c r="C255" t="inlineStr">
        <is>
          <t>Eventos deportivos - River</t>
        </is>
      </c>
      <c r="D255" t="n">
        <v>32500</v>
      </c>
      <c r="E255" t="inlineStr">
        <is>
          <t>BBVA VISA</t>
        </is>
      </c>
      <c r="F255" t="inlineStr">
        <is>
          <t>Eventos deportivos - River · Tu Lugar en el Monumental / cuota social CARP · BBVA VISA</t>
        </is>
      </c>
    </row>
    <row r="256">
      <c r="A256" s="54" t="n">
        <v>46151</v>
      </c>
      <c r="B256" t="inlineStr">
        <is>
          <t>Mayo</t>
        </is>
      </c>
      <c r="C256" t="inlineStr">
        <is>
          <t>SUSCRIPCIONES · IA</t>
        </is>
      </c>
      <c r="D256" t="n">
        <v>60</v>
      </c>
      <c r="E256" t="inlineStr">
        <is>
          <t>BBVA VISA</t>
        </is>
      </c>
      <c r="F256" t="inlineStr">
        <is>
          <t>SUSCRIPCIONES · IA · Cursor · gasto personal Sol · Suscripción · CURSOR, AI POWER in1TVBmDBUSD  953034</t>
        </is>
      </c>
    </row>
    <row r="257">
      <c r="A257" s="54" t="n">
        <v>46152</v>
      </c>
      <c r="B257" t="inlineStr">
        <is>
          <t>Mayo</t>
        </is>
      </c>
      <c r="C257" t="inlineStr">
        <is>
          <t>VESTIMENTA</t>
        </is>
      </c>
      <c r="D257" t="n">
        <v>880000</v>
      </c>
      <c r="E257" t="inlineStr">
        <is>
          <t>BBVA VISA</t>
        </is>
      </c>
      <c r="F257" t="inlineStr">
        <is>
          <t>VESTIMENTA · Jazmin Chebar · BBVA VISA · gasto personal Sol</t>
        </is>
      </c>
    </row>
    <row r="258">
      <c r="A258" s="54" t="n">
        <v>46156</v>
      </c>
      <c r="B258" t="inlineStr">
        <is>
          <t>Mayo</t>
        </is>
      </c>
      <c r="C258" t="inlineStr">
        <is>
          <t>COMPRAS</t>
        </is>
      </c>
      <c r="D258" t="n">
        <v>431184</v>
      </c>
      <c r="E258" t="inlineStr">
        <is>
          <t>BBVA VISA</t>
        </is>
      </c>
      <c r="F258" t="inlineStr">
        <is>
          <t>MP vía TC · MERPAGO*CONFECTIONERY 549734</t>
        </is>
      </c>
    </row>
    <row r="259">
      <c r="A259" s="54" t="n">
        <v>46161</v>
      </c>
      <c r="B259" t="inlineStr">
        <is>
          <t>Mayo</t>
        </is>
      </c>
      <c r="C259" t="inlineStr">
        <is>
          <t>COMPRAS</t>
        </is>
      </c>
      <c r="D259" t="n">
        <v>35700</v>
      </c>
      <c r="E259" t="inlineStr">
        <is>
          <t>BBVA VISA</t>
        </is>
      </c>
      <c r="F259" t="inlineStr">
        <is>
          <t>COMPRAS · Dodoche · Dodoche</t>
        </is>
      </c>
    </row>
    <row r="260">
      <c r="A260" s="54" t="n">
        <v>46163</v>
      </c>
      <c r="B260" t="inlineStr">
        <is>
          <t>Mayo</t>
        </is>
      </c>
      <c r="C260" t="inlineStr">
        <is>
          <t>SEGUROS · Retiro</t>
        </is>
      </c>
      <c r="D260" t="n">
        <v>343237</v>
      </c>
      <c r="E260" t="inlineStr">
        <is>
          <t>BBVA Visa</t>
        </is>
      </c>
      <c r="F260" t="inlineStr">
        <is>
          <t>SEGUROS · Retiro · Zurich · Seguro de retiro Zurich · gasto personal Sol</t>
        </is>
      </c>
    </row>
    <row r="261">
      <c r="A261" s="54" t="n">
        <v>46169</v>
      </c>
      <c r="B261" t="inlineStr">
        <is>
          <t>Mayo</t>
        </is>
      </c>
      <c r="C261" t="inlineStr">
        <is>
          <t>SUSCRIPCIONES · IA</t>
        </is>
      </c>
      <c r="D261" t="n">
        <v>200</v>
      </c>
      <c r="E261" t="inlineStr">
        <is>
          <t>BBVA VISA</t>
        </is>
      </c>
      <c r="F261" t="inlineStr">
        <is>
          <t>SUSCRIPCIONES · IA · Cursor · gasto personal Sol · Suscripción · CURSOR, AI POWER in1TbeoWBUSD  204262</t>
        </is>
      </c>
    </row>
    <row r="262">
      <c r="A262" s="54" t="n">
        <v>45865</v>
      </c>
      <c r="B262" t="inlineStr">
        <is>
          <t>Julio</t>
        </is>
      </c>
      <c r="C262" t="inlineStr">
        <is>
          <t>MERCADO LIBRE</t>
        </is>
      </c>
      <c r="D262" t="n">
        <v>5445</v>
      </c>
      <c r="E262" t="inlineStr">
        <is>
          <t>BBVA VISA</t>
        </is>
      </c>
      <c r="F262" t="inlineStr">
        <is>
          <t>MP vía TC · MERPAGO*3PRODUCTOS C.09/09 607560</t>
        </is>
      </c>
    </row>
    <row r="263">
      <c r="A263" s="54" t="n">
        <v>46119</v>
      </c>
      <c r="B263" t="inlineStr">
        <is>
          <t>Abril</t>
        </is>
      </c>
      <c r="C263" t="inlineStr">
        <is>
          <t>COMPRAS</t>
        </is>
      </c>
      <c r="D263" t="n">
        <v>3490</v>
      </c>
      <c r="E263" t="inlineStr">
        <is>
          <t>BBVA VISA</t>
        </is>
      </c>
      <c r="F263" t="inlineStr">
        <is>
          <t>MP vía TC · MERPAGO*MELI 683987</t>
        </is>
      </c>
    </row>
    <row r="264">
      <c r="A264" s="54" t="n">
        <v>46135</v>
      </c>
      <c r="B264" t="inlineStr">
        <is>
          <t>Abril</t>
        </is>
      </c>
      <c r="C264" t="inlineStr">
        <is>
          <t>SEGUROS · Retiro</t>
        </is>
      </c>
      <c r="D264" t="n">
        <v>343237</v>
      </c>
      <c r="E264" t="inlineStr">
        <is>
          <t>BBVA Visa</t>
        </is>
      </c>
      <c r="F264" t="inlineStr">
        <is>
          <t>SEGUROS · Retiro · Zurich · Seguro de retiro Zurich · gasto personal Sol</t>
        </is>
      </c>
    </row>
    <row r="265">
      <c r="A265" s="54" t="n">
        <v>46135</v>
      </c>
      <c r="B265" t="inlineStr">
        <is>
          <t>Abril</t>
        </is>
      </c>
      <c r="C265" t="inlineStr">
        <is>
          <t>ENVÍOS</t>
        </is>
      </c>
      <c r="D265" t="n">
        <v>26593</v>
      </c>
      <c r="E265" t="inlineStr">
        <is>
          <t>BBVA VISA</t>
        </is>
      </c>
      <c r="F265" t="inlineStr">
        <is>
          <t>ENVÍOS · DHL Express · similar USA BOX / TRAÍDO DE MIAMI · MP vía TC · MERPAGO*DHLEXPRESSARGE 248841</t>
        </is>
      </c>
    </row>
    <row r="266">
      <c r="A266" s="54" t="n">
        <v>46137</v>
      </c>
      <c r="B266" t="inlineStr">
        <is>
          <t>Abril</t>
        </is>
      </c>
      <c r="C266" t="inlineStr">
        <is>
          <t>Eventos deportivos - River</t>
        </is>
      </c>
      <c r="D266" t="n">
        <v>31450</v>
      </c>
      <c r="E266" t="inlineStr">
        <is>
          <t>BBVA VISA</t>
        </is>
      </c>
      <c r="F266" t="inlineStr">
        <is>
          <t>Eventos deportivos - River · Tu Lugar en el Monumental / cuota social CARP · BBVA VISA</t>
        </is>
      </c>
    </row>
    <row r="267">
      <c r="A267" s="54" t="n">
        <v>46139</v>
      </c>
      <c r="B267" t="inlineStr">
        <is>
          <t>Abril</t>
        </is>
      </c>
      <c r="C267" t="inlineStr">
        <is>
          <t>MERCADO LIBRE</t>
        </is>
      </c>
      <c r="D267" t="n">
        <v>45000</v>
      </c>
      <c r="E267" t="inlineStr">
        <is>
          <t>BBVA VISA</t>
        </is>
      </c>
      <c r="F267" t="inlineStr">
        <is>
          <t>MP vía TC · MERPAGO*MARTINA19 130592</t>
        </is>
      </c>
    </row>
    <row r="268">
      <c r="A268" s="54" t="n">
        <v>46140</v>
      </c>
      <c r="B268" t="inlineStr">
        <is>
          <t>Abril</t>
        </is>
      </c>
      <c r="C268" t="inlineStr">
        <is>
          <t>SUSCRIPCIONES · IA</t>
        </is>
      </c>
      <c r="D268" t="n">
        <v>192</v>
      </c>
      <c r="E268" t="inlineStr">
        <is>
          <t>BBVA VISA</t>
        </is>
      </c>
      <c r="F268" t="inlineStr">
        <is>
          <t>SUSCRIPCIONES · IA · Cursor · gasto personal Sol · Suscripción · CURSOR, AI POWER in1TRJqfBUSD  714395</t>
        </is>
      </c>
    </row>
    <row r="269">
      <c r="A269" s="54" t="n">
        <v>46082</v>
      </c>
      <c r="B269" t="inlineStr">
        <is>
          <t>Marzo</t>
        </is>
      </c>
      <c r="C269" t="inlineStr">
        <is>
          <t>FARMACIA SALUD</t>
        </is>
      </c>
      <c r="D269" t="n">
        <v>25259</v>
      </c>
      <c r="E269" t="inlineStr">
        <is>
          <t>BBVA VISA</t>
        </is>
      </c>
      <c r="F269" t="inlineStr">
        <is>
          <t>MP vía TC · MERPAGO*SELMAMARTINEZ C.06/06 411560 · FARMACIA SALUD · Farmacia Selma</t>
        </is>
      </c>
    </row>
    <row r="270">
      <c r="A270" s="54" t="n">
        <v>46032</v>
      </c>
      <c r="B270" t="inlineStr">
        <is>
          <t>Enero</t>
        </is>
      </c>
      <c r="C270" t="inlineStr">
        <is>
          <t>COMPRAS</t>
        </is>
      </c>
      <c r="D270" t="n">
        <v>40334</v>
      </c>
      <c r="E270" t="inlineStr">
        <is>
          <t>BBVA VISA</t>
        </is>
      </c>
      <c r="F270" t="inlineStr">
        <is>
          <t>DLO*SANBRAS C.03/03 005390</t>
        </is>
      </c>
    </row>
    <row r="271">
      <c r="A271" s="54" t="n">
        <v>46089</v>
      </c>
      <c r="B271" t="inlineStr">
        <is>
          <t>Marzo</t>
        </is>
      </c>
      <c r="C271" t="inlineStr">
        <is>
          <t>COMPRAS</t>
        </is>
      </c>
      <c r="D271" t="n">
        <v>3490</v>
      </c>
      <c r="E271" t="inlineStr">
        <is>
          <t>BBVA VISA</t>
        </is>
      </c>
      <c r="F271" t="inlineStr">
        <is>
          <t>MP vía TC · MERPAGO*MELI 534382</t>
        </is>
      </c>
    </row>
    <row r="272">
      <c r="A272" s="54" t="n">
        <v>46096</v>
      </c>
      <c r="B272" t="inlineStr">
        <is>
          <t>Marzo</t>
        </is>
      </c>
      <c r="C272" t="inlineStr">
        <is>
          <t>COMPRAS</t>
        </is>
      </c>
      <c r="D272" t="n">
        <v>23000</v>
      </c>
      <c r="E272" t="inlineStr">
        <is>
          <t>BBVA VISA</t>
        </is>
      </c>
      <c r="F272" t="inlineStr">
        <is>
          <t>CPCECABA DEP-DAU 000000000129060 000001</t>
        </is>
      </c>
    </row>
    <row r="273">
      <c r="A273" s="54" t="n">
        <v>46100</v>
      </c>
      <c r="B273" t="inlineStr">
        <is>
          <t>Marzo</t>
        </is>
      </c>
      <c r="C273" t="inlineStr">
        <is>
          <t>SEGUROS · Retiro</t>
        </is>
      </c>
      <c r="D273" t="n">
        <v>343237</v>
      </c>
      <c r="E273" t="inlineStr">
        <is>
          <t>BBVA Visa</t>
        </is>
      </c>
      <c r="F273" t="inlineStr">
        <is>
          <t>SEGUROS · Retiro · Zurich · Seguro de retiro Zurich · gasto personal Sol</t>
        </is>
      </c>
    </row>
    <row r="274">
      <c r="A274" s="54" t="n">
        <v>45827</v>
      </c>
      <c r="B274" t="inlineStr">
        <is>
          <t>Junio</t>
        </is>
      </c>
      <c r="C274" t="inlineStr">
        <is>
          <t>COMPRAS</t>
        </is>
      </c>
      <c r="D274" t="n">
        <v>15054</v>
      </c>
      <c r="E274" t="inlineStr">
        <is>
          <t>BBVA VISA</t>
        </is>
      </c>
      <c r="F274" t="inlineStr">
        <is>
          <t>MP vía TC · MERPAGO*ELCACOSMETICOSINC C.09/09 853403</t>
        </is>
      </c>
    </row>
    <row r="275">
      <c r="A275" s="54" t="n">
        <v>45912</v>
      </c>
      <c r="B275" t="inlineStr">
        <is>
          <t>Septiembre</t>
        </is>
      </c>
      <c r="C275" t="inlineStr">
        <is>
          <t>MERCADO LIBRE</t>
        </is>
      </c>
      <c r="D275" t="n">
        <v>13735</v>
      </c>
      <c r="E275" t="inlineStr">
        <is>
          <t>BBVA VISA</t>
        </is>
      </c>
      <c r="F275" t="inlineStr">
        <is>
          <t>MP vía TC · MERPAGO*4PRODUCTOS C.06/06 147900</t>
        </is>
      </c>
    </row>
    <row r="276">
      <c r="A276" s="54" t="n">
        <v>45918</v>
      </c>
      <c r="B276" t="inlineStr">
        <is>
          <t>Septiembre</t>
        </is>
      </c>
      <c r="C276" t="inlineStr">
        <is>
          <t>COMPRAS</t>
        </is>
      </c>
      <c r="D276" t="n">
        <v>299834</v>
      </c>
      <c r="E276" t="inlineStr">
        <is>
          <t>BBVA VISA</t>
        </is>
      </c>
      <c r="F276" t="inlineStr">
        <is>
          <t>MP vía TC · MERPAGO*BOSSRECOVERY C.06/06 329767</t>
        </is>
      </c>
    </row>
    <row r="277">
      <c r="A277" s="54" t="n">
        <v>46059</v>
      </c>
      <c r="B277" t="inlineStr">
        <is>
          <t>Febrero</t>
        </is>
      </c>
      <c r="C277" t="inlineStr">
        <is>
          <t>COMPRAS</t>
        </is>
      </c>
      <c r="D277" t="n">
        <v>3490</v>
      </c>
      <c r="E277" t="inlineStr">
        <is>
          <t>BBVA VISA</t>
        </is>
      </c>
      <c r="F277" t="inlineStr">
        <is>
          <t>MP vía TC · MERPAGO*MELI 986662</t>
        </is>
      </c>
    </row>
    <row r="278">
      <c r="A278" s="54" t="n">
        <v>46073</v>
      </c>
      <c r="B278" t="inlineStr">
        <is>
          <t>Febrero</t>
        </is>
      </c>
      <c r="C278" t="inlineStr">
        <is>
          <t>SEGUROS · Retiro</t>
        </is>
      </c>
      <c r="D278" t="n">
        <v>343237</v>
      </c>
      <c r="E278" t="inlineStr">
        <is>
          <t>BBVA Visa</t>
        </is>
      </c>
      <c r="F278" t="inlineStr">
        <is>
          <t>SEGUROS · Retiro · Zurich · Seguro de retiro Zurich · gasto personal Sol</t>
        </is>
      </c>
    </row>
    <row r="279">
      <c r="A279" s="54" t="n">
        <v>45789</v>
      </c>
      <c r="B279" t="inlineStr">
        <is>
          <t>Mayo</t>
        </is>
      </c>
      <c r="C279" t="inlineStr">
        <is>
          <t>COMPRAS</t>
        </is>
      </c>
      <c r="D279" t="n">
        <v>84906</v>
      </c>
      <c r="E279" t="inlineStr">
        <is>
          <t>BBVA VISA</t>
        </is>
      </c>
      <c r="F279" t="inlineStr">
        <is>
          <t>MP vía TC · MERPAGO*DIEGOJULIANKOZ C.09/09 918043</t>
        </is>
      </c>
    </row>
    <row r="280">
      <c r="A280" s="54" t="n">
        <v>45890</v>
      </c>
      <c r="B280" t="inlineStr">
        <is>
          <t>Agosto</t>
        </is>
      </c>
      <c r="C280" t="inlineStr">
        <is>
          <t>VESTIMENTA</t>
        </is>
      </c>
      <c r="D280" t="n">
        <v>10970</v>
      </c>
      <c r="E280" t="inlineStr">
        <is>
          <t>BBVA VISA</t>
        </is>
      </c>
      <c r="F280" t="inlineStr">
        <is>
          <t>VESTIMENTA · Jackie Smith · MP vía TC · MERPAGO*JACKIESMITH C.06/06 924137</t>
        </is>
      </c>
    </row>
    <row r="281">
      <c r="A281" s="54" t="n">
        <v>45895</v>
      </c>
      <c r="B281" t="inlineStr">
        <is>
          <t>Agosto</t>
        </is>
      </c>
      <c r="C281" t="inlineStr">
        <is>
          <t>COMPRAS</t>
        </is>
      </c>
      <c r="D281" t="n">
        <v>22460</v>
      </c>
      <c r="E281" t="inlineStr">
        <is>
          <t>BBVA VISA</t>
        </is>
      </c>
      <c r="F281" t="inlineStr">
        <is>
          <t>Mercado Libre · ex `MERCADOLIBRE C.06/06 045618`</t>
        </is>
      </c>
    </row>
    <row r="282">
      <c r="A282" s="54" t="n">
        <v>46026</v>
      </c>
      <c r="B282" t="inlineStr">
        <is>
          <t>Enero</t>
        </is>
      </c>
      <c r="C282" t="inlineStr">
        <is>
          <t>EDUCACIÓN</t>
        </is>
      </c>
      <c r="D282" t="n">
        <v>160652</v>
      </c>
      <c r="E282" t="inlineStr">
        <is>
          <t>BBVA VISA</t>
        </is>
      </c>
      <c r="F282" t="inlineStr">
        <is>
          <t>Educación · UNIVE FASTA · ex `UNIVE FASTA DEBI 000000000032261 000001`</t>
        </is>
      </c>
    </row>
    <row r="283">
      <c r="A283" s="54" t="n">
        <v>46031</v>
      </c>
      <c r="B283" t="inlineStr">
        <is>
          <t>Enero</t>
        </is>
      </c>
      <c r="C283" t="inlineStr">
        <is>
          <t>COMPRAS</t>
        </is>
      </c>
      <c r="D283" t="n">
        <v>3490</v>
      </c>
      <c r="E283" t="inlineStr">
        <is>
          <t>BBVA VISA</t>
        </is>
      </c>
      <c r="F283" t="inlineStr">
        <is>
          <t>MP vía TC · MERPAGO*MELI 674711</t>
        </is>
      </c>
    </row>
    <row r="284">
      <c r="A284" s="54" t="n">
        <v>46044</v>
      </c>
      <c r="B284" t="inlineStr">
        <is>
          <t>Enero</t>
        </is>
      </c>
      <c r="C284" t="inlineStr">
        <is>
          <t>SEGUROS · Retiro</t>
        </is>
      </c>
      <c r="D284" t="n">
        <v>343237</v>
      </c>
      <c r="E284" t="inlineStr">
        <is>
          <t>BBVA Visa</t>
        </is>
      </c>
      <c r="F284" t="inlineStr">
        <is>
          <t>SEGUROS · Retiro · Zurich · Seguro de retiro Zurich · gasto personal Sol</t>
        </is>
      </c>
    </row>
    <row r="285">
      <c r="A285" s="54" t="n">
        <v>46145</v>
      </c>
      <c r="B285" t="inlineStr">
        <is>
          <t>Mayo</t>
        </is>
      </c>
      <c r="C285" t="inlineStr">
        <is>
          <t>ROPA</t>
        </is>
      </c>
      <c r="D285" t="n">
        <v>73333</v>
      </c>
      <c r="E285" t="inlineStr">
        <is>
          <t>BBVA MASTERCARD</t>
        </is>
      </c>
      <c r="F285" t="inlineStr">
        <is>
          <t>ROPA · Adidas · Adidas · ROPA</t>
        </is>
      </c>
    </row>
    <row r="286">
      <c r="A286" s="54" t="n">
        <v>46148</v>
      </c>
      <c r="B286" t="inlineStr">
        <is>
          <t>Mayo</t>
        </is>
      </c>
      <c r="C286" t="inlineStr">
        <is>
          <t>COMPRAS</t>
        </is>
      </c>
      <c r="D286" t="n">
        <v>129190</v>
      </c>
      <c r="E286" t="inlineStr">
        <is>
          <t>BBVA MASTERCARD</t>
        </is>
      </c>
      <c r="F286" t="inlineStr">
        <is>
          <t>GRECIA TEAM-TIENDANUBE 048177</t>
        </is>
      </c>
    </row>
    <row r="287">
      <c r="A287" s="54" t="n">
        <v>46156</v>
      </c>
      <c r="B287" t="inlineStr">
        <is>
          <t>Mayo</t>
        </is>
      </c>
      <c r="C287" t="inlineStr">
        <is>
          <t>COMPRAS</t>
        </is>
      </c>
      <c r="D287" t="n">
        <v>231666</v>
      </c>
      <c r="E287" t="inlineStr">
        <is>
          <t>BBVA MASTERCARD</t>
        </is>
      </c>
      <c r="F287" t="inlineStr">
        <is>
          <t>MOD*AVENIDA MAIPU 001405</t>
        </is>
      </c>
    </row>
    <row r="288">
      <c r="A288" s="54" t="n"/>
    </row>
    <row r="289">
      <c r="A289" s="54" t="n"/>
    </row>
    <row r="290">
      <c r="A290" s="54" t="n">
        <v>46061</v>
      </c>
      <c r="B290" t="inlineStr">
        <is>
          <t>Febrero</t>
        </is>
      </c>
      <c r="C290" t="inlineStr">
        <is>
          <t>VESTIMENTA</t>
        </is>
      </c>
      <c r="D290" t="n">
        <v>74667</v>
      </c>
      <c r="E290" t="inlineStr">
        <is>
          <t>BBVA MASTERCARD</t>
        </is>
      </c>
      <c r="F290" t="inlineStr">
        <is>
          <t>VESTIMENTA · Levis · MP vía TC · MERPAGO*LEVIS C.03/03 096550</t>
        </is>
      </c>
    </row>
    <row r="291">
      <c r="A291" s="54" t="n">
        <v>46069</v>
      </c>
      <c r="B291" t="inlineStr">
        <is>
          <t>Febrero</t>
        </is>
      </c>
      <c r="C291" t="inlineStr">
        <is>
          <t>COMPRAS</t>
        </is>
      </c>
      <c r="D291" t="n">
        <v>104260</v>
      </c>
      <c r="E291" t="inlineStr">
        <is>
          <t>BBVA MASTERCARD</t>
        </is>
      </c>
      <c r="F291" t="inlineStr">
        <is>
          <t>MP vía TC · MERPAGO*HENRYCOLOMERA C.03/03 572277</t>
        </is>
      </c>
    </row>
    <row r="292">
      <c r="A292" s="54" t="n">
        <v>46033</v>
      </c>
      <c r="B292" t="inlineStr">
        <is>
          <t>Enero</t>
        </is>
      </c>
      <c r="C292" t="inlineStr">
        <is>
          <t>HOGAR</t>
        </is>
      </c>
      <c r="D292" t="n">
        <v>24800</v>
      </c>
      <c r="E292" t="inlineStr">
        <is>
          <t>BBVA MASTERCARD</t>
        </is>
      </c>
      <c r="F292" t="inlineStr">
        <is>
          <t>MP vía TC · MERPAGO*ARTEREGAL C.03/03 432527</t>
        </is>
      </c>
    </row>
    <row r="293">
      <c r="A293" s="54" t="n">
        <v>46079</v>
      </c>
      <c r="B293" t="inlineStr">
        <is>
          <t>Febrero</t>
        </is>
      </c>
      <c r="C293" t="inlineStr">
        <is>
          <t>ROPA</t>
        </is>
      </c>
      <c r="D293" t="n">
        <v>11050</v>
      </c>
      <c r="E293" t="inlineStr">
        <is>
          <t>BBVA MASTERCARD</t>
        </is>
      </c>
      <c r="F293" t="inlineStr">
        <is>
          <t>MP vía TC · MERPAGO*POLO 475668</t>
        </is>
      </c>
    </row>
    <row r="294">
      <c r="A294" s="54" t="n">
        <v>46079</v>
      </c>
      <c r="B294" t="inlineStr">
        <is>
          <t>Febrero</t>
        </is>
      </c>
      <c r="C294" t="inlineStr">
        <is>
          <t>Eventos deportivos - River</t>
        </is>
      </c>
      <c r="D294" t="n">
        <v>29700</v>
      </c>
      <c r="E294" t="inlineStr">
        <is>
          <t>BBVA MASTERCARD</t>
        </is>
      </c>
      <c r="F294" t="inlineStr">
        <is>
          <t>Eventos deportivos - River · Tu Lugar en el Monumental / cuota social CARP · BBVA MASTERCARD</t>
        </is>
      </c>
    </row>
    <row r="295">
      <c r="A295" s="54" t="n"/>
    </row>
    <row r="296">
      <c r="A296" s="54" t="n">
        <v>46092</v>
      </c>
      <c r="B296" t="inlineStr">
        <is>
          <t>Marzo</t>
        </is>
      </c>
      <c r="C296" t="inlineStr">
        <is>
          <t>MERCADO LIBRE</t>
        </is>
      </c>
      <c r="D296" t="n">
        <v>10946</v>
      </c>
      <c r="E296" t="inlineStr">
        <is>
          <t>BBVA MASTERCARD</t>
        </is>
      </c>
      <c r="F296" t="inlineStr">
        <is>
          <t>MP vía TC · MERPAGO*NOELIASOLEDAD 911046</t>
        </is>
      </c>
    </row>
    <row r="297">
      <c r="A297" s="54" t="n">
        <v>46097</v>
      </c>
      <c r="B297" t="inlineStr">
        <is>
          <t>Marzo</t>
        </is>
      </c>
      <c r="C297" t="inlineStr">
        <is>
          <t>COMPRAS</t>
        </is>
      </c>
      <c r="D297" t="n">
        <v>30600</v>
      </c>
      <c r="E297" t="inlineStr">
        <is>
          <t>BBVA MASTERCARD</t>
        </is>
      </c>
      <c r="F297" t="inlineStr">
        <is>
          <t>MP vía TC · MERPAGO*BITGENIA 323061</t>
        </is>
      </c>
    </row>
    <row r="298">
      <c r="A298" s="54" t="n">
        <v>46099</v>
      </c>
      <c r="B298" t="inlineStr">
        <is>
          <t>Marzo</t>
        </is>
      </c>
      <c r="C298" t="inlineStr">
        <is>
          <t>COMPRAS</t>
        </is>
      </c>
      <c r="D298" t="n">
        <v>28400</v>
      </c>
      <c r="E298" t="inlineStr">
        <is>
          <t>BBVA MASTERCARD</t>
        </is>
      </c>
      <c r="F298" t="inlineStr">
        <is>
          <t>CASA REGGIA SRL 003512</t>
        </is>
      </c>
    </row>
    <row r="299">
      <c r="A299" s="54" t="n">
        <v>45815</v>
      </c>
      <c r="B299" t="inlineStr">
        <is>
          <t>Junio</t>
        </is>
      </c>
      <c r="C299" t="inlineStr">
        <is>
          <t>MERCADO LIBRE</t>
        </is>
      </c>
      <c r="D299" t="n">
        <v>6665</v>
      </c>
      <c r="E299" t="inlineStr">
        <is>
          <t>BBVA MASTERCARD</t>
        </is>
      </c>
      <c r="F299" t="inlineStr">
        <is>
          <t>MP vía TC · MERPAGO*MONSERVO C.09/09 475847</t>
        </is>
      </c>
    </row>
    <row r="300">
      <c r="A300" s="54" t="n">
        <v>46046</v>
      </c>
      <c r="B300" t="inlineStr">
        <is>
          <t>Enero</t>
        </is>
      </c>
      <c r="C300" t="inlineStr">
        <is>
          <t>TECNOLOGÍA</t>
        </is>
      </c>
      <c r="D300" t="n">
        <v>28999</v>
      </c>
      <c r="E300" t="inlineStr">
        <is>
          <t>BBVA MASTERCARD</t>
        </is>
      </c>
      <c r="F300" t="inlineStr">
        <is>
          <t>MP vía TC · MERPAGO*TODOVISION C.02/02 554518</t>
        </is>
      </c>
    </row>
    <row r="301">
      <c r="A301" s="54" t="n">
        <v>46061</v>
      </c>
      <c r="B301" t="inlineStr">
        <is>
          <t>Febrero</t>
        </is>
      </c>
      <c r="C301" t="inlineStr">
        <is>
          <t>MERCADO LIBRE</t>
        </is>
      </c>
      <c r="D301" t="n">
        <v>24035</v>
      </c>
      <c r="E301" t="inlineStr">
        <is>
          <t>BBVA MASTERCARD</t>
        </is>
      </c>
      <c r="F301" t="inlineStr">
        <is>
          <t>MP vía TC · MERPAGO*ADRIANAMONICA 734684</t>
        </is>
      </c>
    </row>
    <row r="302">
      <c r="A302" s="54" t="n">
        <v>46061</v>
      </c>
      <c r="B302" t="inlineStr">
        <is>
          <t>Febrero</t>
        </is>
      </c>
      <c r="C302" t="inlineStr">
        <is>
          <t>MERCADO LIBRE</t>
        </is>
      </c>
      <c r="D302" t="n">
        <v>38000</v>
      </c>
      <c r="E302" t="inlineStr">
        <is>
          <t>BBVA MASTERCARD</t>
        </is>
      </c>
      <c r="F302" t="inlineStr">
        <is>
          <t>MP vía TC · MERPAGO*SCOMBRO 802663</t>
        </is>
      </c>
    </row>
    <row r="303">
      <c r="A303" s="54" t="n">
        <v>46063</v>
      </c>
      <c r="B303" t="inlineStr">
        <is>
          <t>Febrero</t>
        </is>
      </c>
      <c r="C303" t="inlineStr">
        <is>
          <t>MERCADO LIBRE</t>
        </is>
      </c>
      <c r="D303" t="n">
        <v>84075</v>
      </c>
      <c r="E303" t="inlineStr">
        <is>
          <t>BBVA MASTERCARD</t>
        </is>
      </c>
      <c r="F303" t="inlineStr">
        <is>
          <t>ADRIAN CUDLY-ECOMMERCE 044999</t>
        </is>
      </c>
    </row>
    <row r="304">
      <c r="A304" s="54" t="n">
        <v>46063</v>
      </c>
      <c r="B304" t="inlineStr">
        <is>
          <t>Febrero</t>
        </is>
      </c>
      <c r="C304" t="inlineStr">
        <is>
          <t>ROPA</t>
        </is>
      </c>
      <c r="D304" t="n">
        <v>62397</v>
      </c>
      <c r="E304" t="inlineStr">
        <is>
          <t>BBVA MASTERCARD</t>
        </is>
      </c>
      <c r="F304" t="inlineStr">
        <is>
          <t>OPENPAY*TIENDA NOV 004173 · neto (bonif 11003) · resumen BBVA</t>
        </is>
      </c>
    </row>
    <row r="305">
      <c r="A305" s="54" t="n">
        <v>46069</v>
      </c>
      <c r="B305" t="inlineStr">
        <is>
          <t>Febrero</t>
        </is>
      </c>
      <c r="C305" t="inlineStr">
        <is>
          <t>COMPRAS</t>
        </is>
      </c>
      <c r="D305" t="n">
        <v>177503</v>
      </c>
      <c r="E305" t="inlineStr">
        <is>
          <t>BBVA MASTERCARD</t>
        </is>
      </c>
      <c r="F305" t="inlineStr">
        <is>
          <t>Mercado Libre · ex `MERCADOLIBRE 504929`</t>
        </is>
      </c>
    </row>
    <row r="306">
      <c r="A306" s="54" t="n">
        <v>46069</v>
      </c>
      <c r="B306" t="inlineStr">
        <is>
          <t>Febrero</t>
        </is>
      </c>
      <c r="C306" t="inlineStr">
        <is>
          <t>AUTO</t>
        </is>
      </c>
      <c r="D306" t="n">
        <v>721</v>
      </c>
      <c r="E306" t="inlineStr">
        <is>
          <t>BBVA MASTERCARD</t>
        </is>
      </c>
      <c r="F306" t="inlineStr">
        <is>
          <t>MP vía TC · MERPAGO*ACA 719195</t>
        </is>
      </c>
    </row>
    <row r="307">
      <c r="A307" s="54" t="n">
        <v>46072</v>
      </c>
      <c r="B307" t="inlineStr">
        <is>
          <t>Febrero</t>
        </is>
      </c>
      <c r="C307" t="inlineStr">
        <is>
          <t>COMPRAS</t>
        </is>
      </c>
      <c r="D307" t="n">
        <v>1796</v>
      </c>
      <c r="E307" t="inlineStr">
        <is>
          <t>BBVA MASTERCARD</t>
        </is>
      </c>
      <c r="F307" t="inlineStr">
        <is>
          <t>COMERCIAL CARP 000036</t>
        </is>
      </c>
    </row>
    <row r="308">
      <c r="A308" s="54" t="n">
        <v>46074</v>
      </c>
      <c r="B308" t="inlineStr">
        <is>
          <t>Febrero</t>
        </is>
      </c>
      <c r="C308" t="inlineStr">
        <is>
          <t>SALUD</t>
        </is>
      </c>
      <c r="D308" t="n">
        <v>421783</v>
      </c>
      <c r="E308" t="inlineStr">
        <is>
          <t>BBVA MASTERCARD</t>
        </is>
      </c>
      <c r="F308" t="inlineStr">
        <is>
          <t>SALUD · Hospital Italiano · Salud · Hospital Italiano</t>
        </is>
      </c>
    </row>
    <row r="309">
      <c r="A309" s="54" t="n">
        <v>46074</v>
      </c>
      <c r="B309" t="inlineStr">
        <is>
          <t>Febrero</t>
        </is>
      </c>
      <c r="C309" t="inlineStr">
        <is>
          <t>PELUQUERÍA</t>
        </is>
      </c>
      <c r="D309" t="n">
        <v>116640</v>
      </c>
      <c r="E309" t="inlineStr">
        <is>
          <t>BBVA MASTERCARD</t>
        </is>
      </c>
      <c r="F309" t="inlineStr">
        <is>
          <t>PELUQUERÍA · Newplamier · BBVA MASTERCARD · gasto personal Sol</t>
        </is>
      </c>
    </row>
    <row r="310">
      <c r="A310" s="54" t="n">
        <v>46075</v>
      </c>
      <c r="B310" t="inlineStr">
        <is>
          <t>Febrero</t>
        </is>
      </c>
      <c r="C310" t="inlineStr">
        <is>
          <t>MERCADO LIBRE</t>
        </is>
      </c>
      <c r="D310" t="n">
        <v>54390</v>
      </c>
      <c r="E310" t="inlineStr">
        <is>
          <t>BBVA MASTERCARD</t>
        </is>
      </c>
      <c r="F310" t="inlineStr">
        <is>
          <t>MP vía TC · MERPAGO*PETROLEO 011164</t>
        </is>
      </c>
    </row>
    <row r="311">
      <c r="A311" s="54" t="n">
        <v>46076</v>
      </c>
      <c r="B311" t="inlineStr">
        <is>
          <t>Febrero</t>
        </is>
      </c>
      <c r="C311" t="inlineStr">
        <is>
          <t>COMPRAS</t>
        </is>
      </c>
      <c r="D311" t="n">
        <v>76529</v>
      </c>
      <c r="E311" t="inlineStr">
        <is>
          <t>BBVA MASTERCARD</t>
        </is>
      </c>
      <c r="F311" t="inlineStr">
        <is>
          <t>Mercado Libre · ex `MERCADOLIBRE 859953`</t>
        </is>
      </c>
    </row>
    <row r="312">
      <c r="A312" s="54" t="n">
        <v>46077</v>
      </c>
      <c r="B312" t="inlineStr">
        <is>
          <t>Febrero</t>
        </is>
      </c>
      <c r="C312" t="inlineStr">
        <is>
          <t>COMPRAS</t>
        </is>
      </c>
      <c r="D312" t="n">
        <v>96094</v>
      </c>
      <c r="E312" t="inlineStr">
        <is>
          <t>BBVA MASTERCARD</t>
        </is>
      </c>
      <c r="F312" t="inlineStr">
        <is>
          <t>Mercado Libre · ex `MERCADOLIBRE 196966`</t>
        </is>
      </c>
    </row>
    <row r="313">
      <c r="A313" s="54" t="n">
        <v>46077</v>
      </c>
      <c r="B313" t="inlineStr">
        <is>
          <t>Febrero</t>
        </is>
      </c>
      <c r="C313" t="inlineStr">
        <is>
          <t>HOGAR</t>
        </is>
      </c>
      <c r="D313" t="n">
        <v>36800</v>
      </c>
      <c r="E313" t="inlineStr">
        <is>
          <t>BBVA MASTERCARD</t>
        </is>
      </c>
      <c r="F313" t="inlineStr">
        <is>
          <t>PANALERA PANOLINO-PANA 035244</t>
        </is>
      </c>
    </row>
    <row r="314">
      <c r="A314" s="54" t="n">
        <v>46078</v>
      </c>
      <c r="B314" t="inlineStr">
        <is>
          <t>Febrero</t>
        </is>
      </c>
      <c r="C314" t="inlineStr">
        <is>
          <t>PELUQUERÍA</t>
        </is>
      </c>
      <c r="D314" t="n">
        <v>107650</v>
      </c>
      <c r="E314" t="inlineStr">
        <is>
          <t>BBVA MASTERCARD</t>
        </is>
      </c>
      <c r="F314" t="inlineStr">
        <is>
          <t>PELUQUERÍA · Newplamier · BBVA MASTERCARD · gasto personal Sol</t>
        </is>
      </c>
    </row>
    <row r="315">
      <c r="A315" s="54" t="n">
        <v>46078</v>
      </c>
      <c r="B315" t="inlineStr">
        <is>
          <t>Febrero</t>
        </is>
      </c>
      <c r="C315" t="inlineStr">
        <is>
          <t>PELUQUERÍA</t>
        </is>
      </c>
      <c r="D315" t="n">
        <v>116640</v>
      </c>
      <c r="E315" t="inlineStr">
        <is>
          <t>BBVA MASTERCARD</t>
        </is>
      </c>
      <c r="F315" t="inlineStr">
        <is>
          <t>PELUQUERÍA · Newplamier · MERPAGO*NEWPLAMIER 738243 · BBVA · gasto personal Sol</t>
        </is>
      </c>
    </row>
    <row r="316">
      <c r="A316" s="54" t="n">
        <v>45970</v>
      </c>
      <c r="B316" t="inlineStr">
        <is>
          <t>Noviembre</t>
        </is>
      </c>
      <c r="C316" t="inlineStr">
        <is>
          <t>HOGAR</t>
        </is>
      </c>
      <c r="D316" t="n">
        <v>71230</v>
      </c>
      <c r="E316" t="inlineStr">
        <is>
          <t>BBVA MASTERCARD</t>
        </is>
      </c>
      <c r="F316" t="inlineStr">
        <is>
          <t>MP vía TC · MERPAGO*THECANDLESHOP C.03/03 835022</t>
        </is>
      </c>
    </row>
    <row r="317">
      <c r="A317" s="54" t="n">
        <v>46016</v>
      </c>
      <c r="B317" t="inlineStr">
        <is>
          <t>Diciembre</t>
        </is>
      </c>
      <c r="C317" t="inlineStr">
        <is>
          <t>HOGAR</t>
        </is>
      </c>
      <c r="D317" t="n">
        <v>16335</v>
      </c>
      <c r="E317" t="inlineStr">
        <is>
          <t>BBVA MASTERCARD</t>
        </is>
      </c>
      <c r="F317" t="inlineStr">
        <is>
          <t>MP vía TC · MERPAGO*PANALESENOFER C.02/02 978757</t>
        </is>
      </c>
    </row>
    <row r="318">
      <c r="A318" s="54" t="n">
        <v>46024</v>
      </c>
      <c r="B318" t="inlineStr">
        <is>
          <t>Enero</t>
        </is>
      </c>
      <c r="C318" t="inlineStr">
        <is>
          <t>Eventos deportivos - River</t>
        </is>
      </c>
      <c r="D318" t="n">
        <v>28890</v>
      </c>
      <c r="E318" t="inlineStr">
        <is>
          <t>BBVA MASTERCARD</t>
        </is>
      </c>
      <c r="F318" t="inlineStr">
        <is>
          <t>Eventos deportivos - River · Tu Lugar en el Monumental / cuota social CARP · BBVA MASTERCARD</t>
        </is>
      </c>
    </row>
    <row r="319">
      <c r="A319" s="54" t="n">
        <v>46036</v>
      </c>
      <c r="B319" t="inlineStr">
        <is>
          <t>Enero</t>
        </is>
      </c>
      <c r="C319" t="inlineStr">
        <is>
          <t>COMPRAS</t>
        </is>
      </c>
      <c r="D319" t="n">
        <v>56161</v>
      </c>
      <c r="E319" t="inlineStr">
        <is>
          <t>BBVA MASTERCARD</t>
        </is>
      </c>
      <c r="F319" t="inlineStr">
        <is>
          <t>Mascotas · Felix y Fido · ex `MBX*FELIXYFIDO SA 003170`</t>
        </is>
      </c>
    </row>
    <row r="320">
      <c r="A320" s="54" t="n">
        <v>46037</v>
      </c>
      <c r="B320" t="inlineStr">
        <is>
          <t>Enero</t>
        </is>
      </c>
      <c r="C320" t="inlineStr">
        <is>
          <t>SALUD</t>
        </is>
      </c>
      <c r="D320" t="n">
        <v>16245</v>
      </c>
      <c r="E320" t="inlineStr">
        <is>
          <t>BBVA MASTERCARD</t>
        </is>
      </c>
      <c r="F320" t="inlineStr">
        <is>
          <t>SALUD · Hospital Italiano · Salud · Hospital Italiano</t>
        </is>
      </c>
    </row>
    <row r="321">
      <c r="A321" s="54" t="n">
        <v>46042</v>
      </c>
      <c r="B321" t="inlineStr">
        <is>
          <t>Enero</t>
        </is>
      </c>
      <c r="C321" t="inlineStr">
        <is>
          <t>VESTIMENTA</t>
        </is>
      </c>
      <c r="D321" t="n">
        <v>249990</v>
      </c>
      <c r="E321" t="inlineStr">
        <is>
          <t>BBVA MASTERCARD</t>
        </is>
      </c>
      <c r="F321" t="inlineStr">
        <is>
          <t>VESTIMENTA · Itsclassic · BBVA MASTERCARD · gasto personal Sol</t>
        </is>
      </c>
    </row>
    <row r="322">
      <c r="A322" s="54" t="n"/>
    </row>
    <row r="323">
      <c r="A323" s="54" t="n"/>
    </row>
    <row r="324">
      <c r="A324" s="54" t="n">
        <v>46045</v>
      </c>
      <c r="B324" t="inlineStr">
        <is>
          <t>Enero</t>
        </is>
      </c>
      <c r="C324" t="inlineStr">
        <is>
          <t>SALUD</t>
        </is>
      </c>
      <c r="D324" t="n">
        <v>409880</v>
      </c>
      <c r="E324" t="inlineStr">
        <is>
          <t>BBVA MASTERCARD</t>
        </is>
      </c>
      <c r="F324" t="inlineStr">
        <is>
          <t>SALUD · Hospital Italiano · Salud · Hospital Italiano</t>
        </is>
      </c>
    </row>
    <row r="325">
      <c r="A325" s="54" t="n">
        <v>46122</v>
      </c>
      <c r="B325" t="inlineStr">
        <is>
          <t>Abril</t>
        </is>
      </c>
      <c r="C325" t="inlineStr">
        <is>
          <t>REVISAR</t>
        </is>
      </c>
      <c r="D325" t="n">
        <v>3153</v>
      </c>
      <c r="E325" t="inlineStr">
        <is>
          <t>BBVA MASTERCARD</t>
        </is>
      </c>
      <c r="F325" t="inlineStr">
        <is>
          <t>REVISAR · comercio ilegible · comercio ilegible en resumen</t>
        </is>
      </c>
    </row>
    <row r="326">
      <c r="A326" s="54" t="n">
        <v>45965</v>
      </c>
      <c r="B326" t="inlineStr">
        <is>
          <t>Noviembre</t>
        </is>
      </c>
      <c r="C326" t="inlineStr">
        <is>
          <t>AVA FIDEICOMISO</t>
        </is>
      </c>
      <c r="D326" t="n">
        <v>2535535</v>
      </c>
      <c r="E326" t="inlineStr">
        <is>
          <t>Mercado Pago / TC MEP</t>
        </is>
      </c>
      <c r="F326" t="inlineStr">
        <is>
          <t>50% Sol de $5,071,069 · AVA Palpa (Chris el otro 50%) · ex `AVA Fideicomiso · cuota 1 · noviembre 2025`</t>
        </is>
      </c>
    </row>
    <row r="327">
      <c r="A327" s="54" t="n">
        <v>45996</v>
      </c>
      <c r="B327" t="inlineStr">
        <is>
          <t>Diciembre</t>
        </is>
      </c>
      <c r="C327" t="inlineStr">
        <is>
          <t>AVA FIDEICOMISO</t>
        </is>
      </c>
      <c r="D327" t="n">
        <v>2594051</v>
      </c>
      <c r="E327" t="inlineStr">
        <is>
          <t>Mercado Pago / TC MEP</t>
        </is>
      </c>
      <c r="F327" t="inlineStr">
        <is>
          <t>50% Sol de $5,188,102 · AVA Palpa (Chris el otro 50%) · ex `AVA Fideicomiso · cuota 2 · diciembre 2025`</t>
        </is>
      </c>
    </row>
    <row r="328">
      <c r="A328" s="54" t="n">
        <v>46027</v>
      </c>
      <c r="B328" t="inlineStr">
        <is>
          <t>Enero</t>
        </is>
      </c>
      <c r="C328" t="inlineStr">
        <is>
          <t>AVA FIDEICOMISO</t>
        </is>
      </c>
      <c r="D328" t="n">
        <v>2645797</v>
      </c>
      <c r="E328" t="inlineStr">
        <is>
          <t>Mercado Pago / TC MEP</t>
        </is>
      </c>
      <c r="F328" t="inlineStr">
        <is>
          <t>50% Sol de $5,291,593 · AVA Palpa (Chris el otro 50%) · ex `AVA Fideicomiso · cuota 3 · enero 2026`</t>
        </is>
      </c>
    </row>
    <row r="329">
      <c r="A329" s="54" t="n">
        <v>46057</v>
      </c>
      <c r="B329" t="inlineStr">
        <is>
          <t>Febrero</t>
        </is>
      </c>
      <c r="C329" t="inlineStr">
        <is>
          <t>AVA FIDEICOMISO</t>
        </is>
      </c>
      <c r="D329" t="n">
        <v>2680133</v>
      </c>
      <c r="E329" t="inlineStr">
        <is>
          <t>Mercado Pago / TC MEP</t>
        </is>
      </c>
      <c r="F329" t="inlineStr">
        <is>
          <t>50% Sol de $5,360,265 · AVA Palpa (Chris el otro 50%) · ex `AVA Fideicomiso · cuota 4 · febrero 2026`</t>
        </is>
      </c>
    </row>
    <row r="330">
      <c r="A330" s="54" t="n">
        <v>46085</v>
      </c>
      <c r="B330" t="inlineStr">
        <is>
          <t>Marzo</t>
        </is>
      </c>
      <c r="C330" t="inlineStr">
        <is>
          <t>AVA FIDEICOMISO</t>
        </is>
      </c>
      <c r="D330" t="n">
        <v>2742034</v>
      </c>
      <c r="E330" t="inlineStr">
        <is>
          <t>Mercado Pago / TC MEP</t>
        </is>
      </c>
      <c r="F330" t="inlineStr">
        <is>
          <t>50% Sol de $5,484,067 · AVA Palpa (Chris el otro 50%) · ex `AVA Fideicomiso · cuota 5 · marzo 2026`</t>
        </is>
      </c>
    </row>
    <row r="331">
      <c r="A331" s="54" t="n">
        <v>46118</v>
      </c>
      <c r="B331" t="inlineStr">
        <is>
          <t>Abril</t>
        </is>
      </c>
      <c r="C331" t="inlineStr">
        <is>
          <t>AVA FIDEICOMISO</t>
        </is>
      </c>
      <c r="D331" t="n">
        <v>2776853</v>
      </c>
      <c r="E331" t="inlineStr">
        <is>
          <t>Mercado Pago / TC MEP</t>
        </is>
      </c>
      <c r="F331" t="inlineStr">
        <is>
          <t>50% Sol de $5,553,706 · AVA Palpa (Chris el otro 50%) · ex `AVA Fideicomiso · cuota 6 · abril 2026`</t>
        </is>
      </c>
    </row>
    <row r="332">
      <c r="A332" s="54" t="n">
        <v>46148</v>
      </c>
      <c r="B332" t="inlineStr">
        <is>
          <t>Mayo</t>
        </is>
      </c>
      <c r="C332" t="inlineStr">
        <is>
          <t>AVA FIDEICOMISO</t>
        </is>
      </c>
      <c r="D332" t="n">
        <v>2822312</v>
      </c>
      <c r="E332" t="inlineStr">
        <is>
          <t>Mercado Pago / TC MEP</t>
        </is>
      </c>
      <c r="F332" t="inlineStr">
        <is>
          <t>50% Sol de $5,644,624 · AVA Palpa (Chris el otro 50%) · ex `AVA Fideicomiso · cuota 7 · mayo 2026`</t>
        </is>
      </c>
    </row>
    <row r="333">
      <c r="A333" s="54" t="n">
        <v>46178</v>
      </c>
      <c r="B333" t="inlineStr">
        <is>
          <t>Junio</t>
        </is>
      </c>
      <c r="C333" t="inlineStr">
        <is>
          <t>AVA FIDEICOMISO</t>
        </is>
      </c>
      <c r="D333" t="n">
        <v>2925320</v>
      </c>
      <c r="E333" t="inlineStr">
        <is>
          <t>Mercado Pago / TC MEP</t>
        </is>
      </c>
      <c r="F333" t="inlineStr">
        <is>
          <t>50% Sol de $5,850,639 · AVA Palpa (Chris el otro 50%) · ex `AVA Fideicomiso · cuota 8 · junio 2026`</t>
        </is>
      </c>
    </row>
    <row r="334">
      <c r="A334" s="54" t="n">
        <v>46209</v>
      </c>
      <c r="B334" t="inlineStr">
        <is>
          <t>Julio</t>
        </is>
      </c>
      <c r="C334" t="inlineStr">
        <is>
          <t>AVA FIDEICOMISO</t>
        </is>
      </c>
      <c r="D334" t="n">
        <v>3002696</v>
      </c>
      <c r="E334" t="inlineStr">
        <is>
          <t>Mercado Pago / TC MEP</t>
        </is>
      </c>
      <c r="F334" t="inlineStr">
        <is>
          <t>50% Sol de $6,005,392 · AVA Palpa (Chris el otro 50%) · ex `AVA Fideicomiso · cuota 9 · julio 2026`</t>
        </is>
      </c>
    </row>
    <row r="335">
      <c r="A335" s="54" t="n">
        <v>46174</v>
      </c>
      <c r="B335" t="inlineStr">
        <is>
          <t>Junio</t>
        </is>
      </c>
      <c r="C335" t="inlineStr">
        <is>
          <t>ROPA</t>
        </is>
      </c>
      <c r="D335" t="n">
        <v>73600</v>
      </c>
      <c r="E335" t="inlineStr">
        <is>
          <t>BBVA Mastercard</t>
        </is>
      </c>
      <c r="F335" t="inlineStr">
        <is>
          <t>ROPA / joyas · cuota 01/06 · gasto personal Sol</t>
        </is>
      </c>
    </row>
    <row r="336">
      <c r="A336" s="54" t="n">
        <v>46176</v>
      </c>
      <c r="B336" t="inlineStr">
        <is>
          <t>Junio</t>
        </is>
      </c>
      <c r="C336" t="inlineStr">
        <is>
          <t>ROPA</t>
        </is>
      </c>
      <c r="D336" t="n">
        <v>284794</v>
      </c>
      <c r="E336" t="inlineStr">
        <is>
          <t>BBVA Visa</t>
        </is>
      </c>
      <c r="F336" t="inlineStr">
        <is>
          <t>ROPA · Pandora · ROPA / joyas · MERPAGO*PANDORA C.01/06 · gasto personal Sol</t>
        </is>
      </c>
    </row>
    <row r="337">
      <c r="A337" s="54" t="n">
        <v>46183</v>
      </c>
      <c r="B337" t="inlineStr">
        <is>
          <t>Junio</t>
        </is>
      </c>
      <c r="C337" t="inlineStr">
        <is>
          <t>ROPA</t>
        </is>
      </c>
      <c r="E337" t="inlineStr">
        <is>
          <t>BBVA Mastercard · USD 3.807,01 (EUR 3.250)</t>
        </is>
      </c>
      <c r="F337" t="inlineStr">
        <is>
          <t>ROPA · gasto personal Sol · monto en USD (no convertido a ARS) · NO ES GASTO · consumo/compra USD BBVA Mastercard · ver hoja Sol Dollar Mdp</t>
        </is>
      </c>
    </row>
    <row r="338">
      <c r="A338" s="54" t="n">
        <v>46140</v>
      </c>
      <c r="B338" t="inlineStr">
        <is>
          <t>Abril</t>
        </is>
      </c>
      <c r="C338" t="inlineStr">
        <is>
          <t>SUSCRIPCIONES · IA</t>
        </is>
      </c>
      <c r="D338" t="n">
        <v>275336</v>
      </c>
      <c r="E338" t="inlineStr">
        <is>
          <t>BBVA Visa · USD</t>
        </is>
      </c>
      <c r="F338" t="inlineStr">
        <is>
          <t>SUSCRIPCIONES · IA · Cursor · gasto personal Sol · USD 192.00 × TC MEP 1434.04 · suscripción · gasto personal Sol</t>
        </is>
      </c>
    </row>
    <row r="339">
      <c r="A339" s="54" t="n">
        <v>46143</v>
      </c>
      <c r="B339" t="inlineStr">
        <is>
          <t>Mayo</t>
        </is>
      </c>
      <c r="C339" t="inlineStr">
        <is>
          <t>SUSCRIPCIONES · IA</t>
        </is>
      </c>
      <c r="D339" t="n">
        <v>28593</v>
      </c>
      <c r="E339" t="inlineStr">
        <is>
          <t>BBVA Visa · USD</t>
        </is>
      </c>
      <c r="F339" t="inlineStr">
        <is>
          <t>SUSCRIPCIONES · IA · Vercel · gasto personal Sol · USD 20.00 × TC MEP 1429.65 · suscripción · gasto personal Sol</t>
        </is>
      </c>
    </row>
    <row r="340">
      <c r="A340" s="54" t="n">
        <v>46151</v>
      </c>
      <c r="B340" t="inlineStr">
        <is>
          <t>Mayo</t>
        </is>
      </c>
      <c r="C340" t="inlineStr">
        <is>
          <t>SUSCRIPCIONES · IA</t>
        </is>
      </c>
      <c r="D340" t="n">
        <v>85779</v>
      </c>
      <c r="E340" t="inlineStr">
        <is>
          <t>BBVA Visa · USD</t>
        </is>
      </c>
      <c r="F340" t="inlineStr">
        <is>
          <t>SUSCRIPCIONES · IA · Cursor · gasto personal Sol · USD 60.00 × TC MEP 1429.65 · suscripción · gasto personal Sol</t>
        </is>
      </c>
    </row>
    <row r="341">
      <c r="A341" s="54" t="n">
        <v>46151</v>
      </c>
      <c r="B341" t="inlineStr">
        <is>
          <t>Mayo</t>
        </is>
      </c>
      <c r="C341" t="inlineStr">
        <is>
          <t>SUSCRIPCIONES · IA</t>
        </is>
      </c>
      <c r="D341" t="n">
        <v>-266473</v>
      </c>
      <c r="E341" t="inlineStr">
        <is>
          <t>BBVA Visa · USD</t>
        </is>
      </c>
      <c r="F341" t="inlineStr">
        <is>
          <t>SUSCRIPCIONES · IA · Cursor · gasto personal Sol · crédito USD 186.39 × TC MEP 1429.65 · suscripción · gasto personal Sol</t>
        </is>
      </c>
    </row>
    <row r="342">
      <c r="A342" s="54" t="n">
        <v>46163</v>
      </c>
      <c r="B342" t="inlineStr">
        <is>
          <t>Mayo</t>
        </is>
      </c>
      <c r="C342" t="inlineStr">
        <is>
          <t>SUSCRIPCIONES · IA</t>
        </is>
      </c>
      <c r="E342" t="inlineStr">
        <is>
          <t>BBVA Mastercard · USD</t>
        </is>
      </c>
      <c r="F342" t="inlineStr">
        <is>
          <t>SUSCRIPCIONES · IA · Vercel · gasto personal Sol · USD 20.00 × TC MEP 1429.65 · suscripción · gasto personal Sol · NO ES GASTO · consumo/compra USD BBVA Mastercard · ver hoja Sol Dollar Mdp</t>
        </is>
      </c>
    </row>
    <row r="343">
      <c r="A343" s="54" t="n">
        <v>46163</v>
      </c>
      <c r="B343" t="inlineStr">
        <is>
          <t>Mayo</t>
        </is>
      </c>
      <c r="C343" t="inlineStr">
        <is>
          <t>SUSCRIPCIONES · IA</t>
        </is>
      </c>
      <c r="E343" t="inlineStr">
        <is>
          <t>BBVA Mastercard · USD</t>
        </is>
      </c>
      <c r="F343" t="inlineStr">
        <is>
          <t>SUSCRIPCIONES · IA · Vercel · gasto personal Sol · USD 30.00 × TC MEP 1429.65 · suscripción · gasto personal Sol · NO ES GASTO · consumo/compra USD BBVA Mastercard · ver hoja Sol Dollar Mdp</t>
        </is>
      </c>
    </row>
    <row r="344">
      <c r="A344" s="54" t="n">
        <v>46164</v>
      </c>
      <c r="B344" t="inlineStr">
        <is>
          <t>Mayo</t>
        </is>
      </c>
      <c r="C344" t="inlineStr">
        <is>
          <t>SUSCRIPCIONES · IA</t>
        </is>
      </c>
      <c r="D344" t="n">
        <v>42890</v>
      </c>
      <c r="E344" t="inlineStr">
        <is>
          <t>BBVA Visa · USD</t>
        </is>
      </c>
      <c r="F344" t="inlineStr">
        <is>
          <t>SUSCRIPCIONES · IA · Vercel · gasto personal Sol · USD 30.00 × TC MEP 1429.65 · suscripción · gasto personal Sol</t>
        </is>
      </c>
    </row>
    <row r="345">
      <c r="A345" s="54" t="n">
        <v>46169</v>
      </c>
      <c r="B345" t="inlineStr">
        <is>
          <t>Mayo</t>
        </is>
      </c>
      <c r="C345" t="inlineStr">
        <is>
          <t>SUSCRIPCIONES · IA</t>
        </is>
      </c>
      <c r="D345" t="n">
        <v>285930</v>
      </c>
      <c r="E345" t="inlineStr">
        <is>
          <t>BBVA Visa · USD</t>
        </is>
      </c>
      <c r="F345" t="inlineStr">
        <is>
          <t>SUSCRIPCIONES · IA · Cursor · gasto personal Sol · USD 200.00 × TC MEP 1429.65 · suscripción · gasto personal Sol</t>
        </is>
      </c>
    </row>
    <row r="346">
      <c r="A346" s="54" t="n">
        <v>46169</v>
      </c>
      <c r="B346" t="inlineStr">
        <is>
          <t>Mayo</t>
        </is>
      </c>
      <c r="C346" t="inlineStr">
        <is>
          <t>SUSCRIPCIONES · IA</t>
        </is>
      </c>
      <c r="D346" t="n">
        <v>-36414</v>
      </c>
      <c r="E346" t="inlineStr">
        <is>
          <t>BBVA Visa · USD</t>
        </is>
      </c>
      <c r="F346" t="inlineStr">
        <is>
          <t>SUSCRIPCIONES · IA · Cursor · gasto personal Sol · crédito USD 25.47 × TC MEP 1429.65 · suscripción · gasto personal Sol</t>
        </is>
      </c>
    </row>
    <row r="347">
      <c r="A347" s="54" t="n">
        <v>46174</v>
      </c>
      <c r="B347" t="inlineStr">
        <is>
          <t>Junio</t>
        </is>
      </c>
      <c r="C347" t="inlineStr">
        <is>
          <t>SUSCRIPCIONES · IA</t>
        </is>
      </c>
      <c r="D347" t="n">
        <v>58320</v>
      </c>
      <c r="E347" t="inlineStr">
        <is>
          <t>BBVA Visa · USD</t>
        </is>
      </c>
      <c r="F347" t="inlineStr">
        <is>
          <t>SUSCRIPCIONES · IA · Vercel · gasto personal Sol · USD 40.00 × TC MEP 1458.0 · suscripción · gasto personal Sol</t>
        </is>
      </c>
    </row>
    <row r="348">
      <c r="A348" s="54" t="n">
        <v>46194</v>
      </c>
      <c r="B348" t="inlineStr">
        <is>
          <t>Junio</t>
        </is>
      </c>
      <c r="C348" t="inlineStr">
        <is>
          <t>SUSCRIPCIONES · IA</t>
        </is>
      </c>
      <c r="E348" t="inlineStr">
        <is>
          <t>BBVA Mastercard · USD</t>
        </is>
      </c>
      <c r="F348" t="inlineStr">
        <is>
          <t>SUSCRIPCIONES · IA · Vercel · gasto personal Sol · USD 30.00 × TC MEP 1458.0 · suscripción · gasto personal Sol · NO ES GASTO · consumo/compra USD BBVA Mastercard · ver hoja Sol Dollar Mdp</t>
        </is>
      </c>
    </row>
    <row r="349">
      <c r="A349" s="54" t="n">
        <v>46194</v>
      </c>
      <c r="B349" t="inlineStr">
        <is>
          <t>Junio</t>
        </is>
      </c>
      <c r="C349" t="inlineStr">
        <is>
          <t>SUSCRIPCIONES · IA</t>
        </is>
      </c>
      <c r="D349" t="n">
        <v>-19436</v>
      </c>
      <c r="E349" t="inlineStr">
        <is>
          <t>BBVA Visa · USD</t>
        </is>
      </c>
      <c r="F349" t="inlineStr">
        <is>
          <t>SUSCRIPCIONES · IA · Vercel · gasto personal Sol · crédito USD 13.33 × TC MEP 1458.0 · suscripción · gasto personal Sol</t>
        </is>
      </c>
    </row>
    <row r="350">
      <c r="A350" s="54" t="n">
        <v>46200</v>
      </c>
      <c r="B350" t="inlineStr">
        <is>
          <t>Junio</t>
        </is>
      </c>
      <c r="C350" t="inlineStr">
        <is>
          <t>SUSCRIPCIONES · IA</t>
        </is>
      </c>
      <c r="D350" t="n">
        <v>291600</v>
      </c>
      <c r="E350" t="inlineStr">
        <is>
          <t>BBVA Visa · USD</t>
        </is>
      </c>
      <c r="F350" t="inlineStr">
        <is>
          <t>SUSCRIPCIONES · IA · Cursor · gasto personal Sol · USD 200.00 × TC MEP 1458.0 · suscripción · gasto personal Sol</t>
        </is>
      </c>
    </row>
    <row r="351">
      <c r="A351" s="54" t="n">
        <v>46104</v>
      </c>
      <c r="B351" t="inlineStr">
        <is>
          <t>Marzo</t>
        </is>
      </c>
      <c r="C351" t="inlineStr">
        <is>
          <t>SUSCRIPCIONES · IA</t>
        </is>
      </c>
      <c r="D351" t="n">
        <v>286822</v>
      </c>
      <c r="E351" t="inlineStr">
        <is>
          <t>Mercado Pago / USD</t>
        </is>
      </c>
      <c r="F351" t="inlineStr">
        <is>
          <t>SUSCRIPCIONES · IA · Claude · gasto personal Sol · USD 200 × TC MEP 1434.11 · suscripción · gasto personal Sol</t>
        </is>
      </c>
    </row>
    <row r="352">
      <c r="A352" s="54" t="n">
        <v>46029</v>
      </c>
      <c r="B352" t="inlineStr">
        <is>
          <t>Enero</t>
        </is>
      </c>
      <c r="C352" t="inlineStr">
        <is>
          <t>SUSCRIPCIONES · IA</t>
        </is>
      </c>
      <c r="E352" t="inlineStr">
        <is>
          <t>BBVA Mastercard · USD</t>
        </is>
      </c>
      <c r="F352" t="inlineStr">
        <is>
          <t>SUSCRIPCIONES · IA · Google One / Gemini · gasto personal Sol · USD 19.99 × TC MEP 1506.21 · Gemini Advanced / Google One · gasto personal Sol · NO ES GASTO · consumo/compra USD BBVA Mastercard · ver hoja Sol Dollar Mdp</t>
        </is>
      </c>
    </row>
    <row r="353">
      <c r="A353" s="54" t="n">
        <v>46060</v>
      </c>
      <c r="B353" t="inlineStr">
        <is>
          <t>Febrero</t>
        </is>
      </c>
      <c r="C353" t="inlineStr">
        <is>
          <t>SUSCRIPCIONES · IA</t>
        </is>
      </c>
      <c r="E353" t="inlineStr">
        <is>
          <t>BBVA Mastercard · USD</t>
        </is>
      </c>
      <c r="F353" t="inlineStr">
        <is>
          <t>SUSCRIPCIONES · IA · Google One / Gemini · gasto personal Sol · USD 19.99 × TC MEP 1460.38 · Gemini Advanced / Google One · gasto personal Sol · NO ES GASTO · consumo/compra USD BBVA Mastercard · ver hoja Sol Dollar Mdp</t>
        </is>
      </c>
    </row>
    <row r="354">
      <c r="A354" s="54" t="n">
        <v>46088</v>
      </c>
      <c r="B354" t="inlineStr">
        <is>
          <t>Marzo</t>
        </is>
      </c>
      <c r="C354" t="inlineStr">
        <is>
          <t>SUSCRIPCIONES · IA</t>
        </is>
      </c>
      <c r="E354" t="inlineStr">
        <is>
          <t>BBVA Mastercard · USD</t>
        </is>
      </c>
      <c r="F354" t="inlineStr">
        <is>
          <t>SUSCRIPCIONES · IA · Google One / Gemini · gasto personal Sol · USD 19.99 × TC MEP 1434.11 · Gemini Advanced / Google One · gasto personal Sol · NO ES GASTO · consumo/compra USD BBVA Mastercard · ver hoja Sol Dollar Mdp</t>
        </is>
      </c>
    </row>
    <row r="355">
      <c r="A355" s="54" t="n">
        <v>46119</v>
      </c>
      <c r="B355" t="inlineStr">
        <is>
          <t>Abril</t>
        </is>
      </c>
      <c r="C355" t="inlineStr">
        <is>
          <t>SUSCRIPCIONES · IA</t>
        </is>
      </c>
      <c r="E355" t="inlineStr">
        <is>
          <t>BBVA Mastercard · USD</t>
        </is>
      </c>
      <c r="F355" t="inlineStr">
        <is>
          <t>SUSCRIPCIONES · IA · Google One / Gemini · gasto personal Sol · USD 19.99 × TC MEP 1434.04 · Gemini Advanced / Google One · gasto personal Sol · NO ES GASTO · consumo/compra USD BBVA Mastercard · ver hoja Sol Dollar Mdp</t>
        </is>
      </c>
    </row>
    <row r="356">
      <c r="A356" s="54" t="n">
        <v>46149</v>
      </c>
      <c r="B356" t="inlineStr">
        <is>
          <t>Mayo</t>
        </is>
      </c>
      <c r="C356" t="inlineStr">
        <is>
          <t>SUSCRIPCIONES · IA</t>
        </is>
      </c>
      <c r="D356" t="n">
        <v>28579</v>
      </c>
      <c r="E356" t="inlineStr">
        <is>
          <t>BBVA Visa · USD</t>
        </is>
      </c>
      <c r="F356" t="inlineStr">
        <is>
          <t>SUSCRIPCIONES · IA · Google One / Gemini · gasto personal Sol · USD 19.99 × TC MEP 1429.65 · Gemini Advanced / Google One · gasto personal Sol</t>
        </is>
      </c>
    </row>
    <row r="357">
      <c r="A357" s="54" t="n">
        <v>46180</v>
      </c>
      <c r="B357" t="inlineStr">
        <is>
          <t>Junio</t>
        </is>
      </c>
      <c r="C357" t="inlineStr">
        <is>
          <t>SUSCRIPCIONES · IA</t>
        </is>
      </c>
      <c r="D357" t="n">
        <v>29146</v>
      </c>
      <c r="E357" t="inlineStr">
        <is>
          <t>BBVA Visa · USD</t>
        </is>
      </c>
      <c r="F357" t="inlineStr">
        <is>
          <t>SUSCRIPCIONES · IA · Google One / Gemini · gasto personal Sol · USD 19.99 × TC MEP 1458.0 · Gemini Advanced / Google One · gasto personal Sol</t>
        </is>
      </c>
    </row>
    <row r="358">
      <c r="A358" s="54" t="n">
        <v>46041</v>
      </c>
      <c r="B358" t="inlineStr">
        <is>
          <t>Enero</t>
        </is>
      </c>
      <c r="C358" t="inlineStr">
        <is>
          <t>TRANSPORTE · Didi</t>
        </is>
      </c>
      <c r="D358" t="n">
        <v>5227</v>
      </c>
      <c r="E358" t="inlineStr">
        <is>
          <t>Mercado Pago</t>
        </is>
      </c>
      <c r="F358" t="inlineStr">
        <is>
          <t>Didi · gasto personal Sol</t>
        </is>
      </c>
    </row>
    <row r="359">
      <c r="A359" s="54" t="n">
        <v>46041</v>
      </c>
      <c r="B359" t="inlineStr">
        <is>
          <t>Enero</t>
        </is>
      </c>
      <c r="C359" t="inlineStr">
        <is>
          <t>TRANSPORTE · Didi</t>
        </is>
      </c>
      <c r="D359" t="n">
        <v>83</v>
      </c>
      <c r="E359" t="inlineStr">
        <is>
          <t>Mercado Pago</t>
        </is>
      </c>
      <c r="F359" t="inlineStr">
        <is>
          <t>Didi · gasto personal Sol</t>
        </is>
      </c>
    </row>
    <row r="360">
      <c r="A360" s="54" t="n">
        <v>46041</v>
      </c>
      <c r="B360" t="inlineStr">
        <is>
          <t>Enero</t>
        </is>
      </c>
      <c r="C360" t="inlineStr">
        <is>
          <t>TRANSPORTE · Didi</t>
        </is>
      </c>
      <c r="D360" t="n">
        <v>4123</v>
      </c>
      <c r="E360" t="inlineStr">
        <is>
          <t>Mercado Pago</t>
        </is>
      </c>
      <c r="F360" t="inlineStr">
        <is>
          <t>Didi · gasto personal Sol</t>
        </is>
      </c>
    </row>
    <row r="361">
      <c r="A361" s="54" t="n">
        <v>46042</v>
      </c>
      <c r="B361" t="inlineStr">
        <is>
          <t>Enero</t>
        </is>
      </c>
      <c r="C361" t="inlineStr">
        <is>
          <t>TRANSPORTE · Didi</t>
        </is>
      </c>
      <c r="D361" t="n">
        <v>5170</v>
      </c>
      <c r="E361" t="inlineStr">
        <is>
          <t>Mercado Pago</t>
        </is>
      </c>
      <c r="F361" t="inlineStr">
        <is>
          <t>Didi · gasto personal Sol</t>
        </is>
      </c>
    </row>
    <row r="362">
      <c r="A362" s="54" t="n">
        <v>46042</v>
      </c>
      <c r="B362" t="inlineStr">
        <is>
          <t>Enero</t>
        </is>
      </c>
      <c r="C362" t="inlineStr">
        <is>
          <t>TRANSPORTE · Didi</t>
        </is>
      </c>
      <c r="D362" t="n">
        <v>3633</v>
      </c>
      <c r="E362" t="inlineStr">
        <is>
          <t>Mercado Pago</t>
        </is>
      </c>
      <c r="F362" t="inlineStr">
        <is>
          <t>Didi · gasto personal Sol</t>
        </is>
      </c>
    </row>
    <row r="363">
      <c r="A363" s="54" t="n">
        <v>46044</v>
      </c>
      <c r="B363" t="inlineStr">
        <is>
          <t>Enero</t>
        </is>
      </c>
      <c r="C363" t="inlineStr">
        <is>
          <t>TRANSPORTE · Didi</t>
        </is>
      </c>
      <c r="D363" t="n">
        <v>4820</v>
      </c>
      <c r="E363" t="inlineStr">
        <is>
          <t>Mercado Pago</t>
        </is>
      </c>
      <c r="F363" t="inlineStr">
        <is>
          <t>Didi · gasto personal Sol</t>
        </is>
      </c>
    </row>
    <row r="364">
      <c r="A364" s="54" t="n">
        <v>46049</v>
      </c>
      <c r="B364" t="inlineStr">
        <is>
          <t>Enero</t>
        </is>
      </c>
      <c r="C364" t="inlineStr">
        <is>
          <t>TRANSPORTE · Didi</t>
        </is>
      </c>
      <c r="D364" t="n">
        <v>3892</v>
      </c>
      <c r="E364" t="inlineStr">
        <is>
          <t>Mercado Pago</t>
        </is>
      </c>
      <c r="F364" t="inlineStr">
        <is>
          <t>Didi · gasto personal Sol</t>
        </is>
      </c>
    </row>
    <row r="365">
      <c r="A365" s="54" t="n">
        <v>46051</v>
      </c>
      <c r="B365" t="inlineStr">
        <is>
          <t>Enero</t>
        </is>
      </c>
      <c r="C365" t="inlineStr">
        <is>
          <t>TRANSPORTE · Uber</t>
        </is>
      </c>
      <c r="D365" t="n">
        <v>7260</v>
      </c>
      <c r="E365" t="inlineStr">
        <is>
          <t>Mercado Pago</t>
        </is>
      </c>
      <c r="F365" t="inlineStr">
        <is>
          <t>TRANSPORTE · Uber · Ebanx (=Uber) · gasto personal Sol</t>
        </is>
      </c>
    </row>
    <row r="366">
      <c r="A366" s="54" t="n">
        <v>46051</v>
      </c>
      <c r="B366" t="inlineStr">
        <is>
          <t>Enero</t>
        </is>
      </c>
      <c r="C366" t="inlineStr">
        <is>
          <t>TRANSPORTE · Didi</t>
        </is>
      </c>
      <c r="D366" t="n">
        <v>6282</v>
      </c>
      <c r="E366" t="inlineStr">
        <is>
          <t>Mercado Pago</t>
        </is>
      </c>
      <c r="F366" t="inlineStr">
        <is>
          <t>Didi · gasto personal Sol</t>
        </is>
      </c>
    </row>
    <row r="367">
      <c r="A367" s="54" t="n">
        <v>46052</v>
      </c>
      <c r="B367" t="inlineStr">
        <is>
          <t>Enero</t>
        </is>
      </c>
      <c r="C367" t="inlineStr">
        <is>
          <t>TRANSPORTE · Didi</t>
        </is>
      </c>
      <c r="D367" t="n">
        <v>2745</v>
      </c>
      <c r="E367" t="inlineStr">
        <is>
          <t>Mercado Pago</t>
        </is>
      </c>
      <c r="F367" t="inlineStr">
        <is>
          <t>Didi · gasto personal Sol</t>
        </is>
      </c>
    </row>
    <row r="368">
      <c r="A368" s="54" t="n">
        <v>46052</v>
      </c>
      <c r="B368" t="inlineStr">
        <is>
          <t>Enero</t>
        </is>
      </c>
      <c r="C368" t="inlineStr">
        <is>
          <t>TRANSPORTE · Didi</t>
        </is>
      </c>
      <c r="D368" t="n">
        <v>2565</v>
      </c>
      <c r="E368" t="inlineStr">
        <is>
          <t>Mercado Pago</t>
        </is>
      </c>
      <c r="F368" t="inlineStr">
        <is>
          <t>Didi · gasto personal Sol</t>
        </is>
      </c>
    </row>
    <row r="369">
      <c r="A369" s="54" t="n">
        <v>46054</v>
      </c>
      <c r="B369" t="inlineStr">
        <is>
          <t>Febrero</t>
        </is>
      </c>
      <c r="C369" t="inlineStr">
        <is>
          <t>TRANSPORTE · Didi</t>
        </is>
      </c>
      <c r="D369" t="n">
        <v>3570</v>
      </c>
      <c r="E369" t="inlineStr">
        <is>
          <t>Mercado Pago</t>
        </is>
      </c>
      <c r="F369" t="inlineStr">
        <is>
          <t>Didi · gasto personal Sol</t>
        </is>
      </c>
    </row>
    <row r="370">
      <c r="A370" s="54" t="n">
        <v>46054</v>
      </c>
      <c r="B370" t="inlineStr">
        <is>
          <t>Febrero</t>
        </is>
      </c>
      <c r="C370" t="inlineStr">
        <is>
          <t>TRANSPORTE · Didi</t>
        </is>
      </c>
      <c r="D370" t="n">
        <v>4421</v>
      </c>
      <c r="E370" t="inlineStr">
        <is>
          <t>Mercado Pago</t>
        </is>
      </c>
      <c r="F370" t="inlineStr">
        <is>
          <t>Didi · gasto personal Sol</t>
        </is>
      </c>
    </row>
    <row r="371">
      <c r="A371" s="54" t="n">
        <v>46055</v>
      </c>
      <c r="B371" t="inlineStr">
        <is>
          <t>Febrero</t>
        </is>
      </c>
      <c r="C371" t="inlineStr">
        <is>
          <t>TRANSPORTE · Cabify</t>
        </is>
      </c>
      <c r="D371" t="n">
        <v>4971</v>
      </c>
      <c r="E371" t="inlineStr">
        <is>
          <t>Mercado Pago</t>
        </is>
      </c>
      <c r="F371" t="inlineStr">
        <is>
          <t>Cabify · gasto personal Sol</t>
        </is>
      </c>
    </row>
    <row r="372">
      <c r="A372" s="54" t="n">
        <v>46055</v>
      </c>
      <c r="B372" t="inlineStr">
        <is>
          <t>Febrero</t>
        </is>
      </c>
      <c r="C372" t="inlineStr">
        <is>
          <t>TRANSPORTE · Cabify</t>
        </is>
      </c>
      <c r="D372" t="n">
        <v>4447</v>
      </c>
      <c r="E372" t="inlineStr">
        <is>
          <t>Mercado Pago</t>
        </is>
      </c>
      <c r="F372" t="inlineStr">
        <is>
          <t>Cabify · gasto personal Sol</t>
        </is>
      </c>
    </row>
    <row r="373">
      <c r="A373" s="54" t="n">
        <v>46056</v>
      </c>
      <c r="B373" t="inlineStr">
        <is>
          <t>Febrero</t>
        </is>
      </c>
      <c r="C373" t="inlineStr">
        <is>
          <t>TRANSPORTE · Didi</t>
        </is>
      </c>
      <c r="D373" t="n">
        <v>4760</v>
      </c>
      <c r="E373" t="inlineStr">
        <is>
          <t>Mercado Pago</t>
        </is>
      </c>
      <c r="F373" t="inlineStr">
        <is>
          <t>Didi · gasto personal Sol</t>
        </is>
      </c>
    </row>
    <row r="374">
      <c r="A374" s="54" t="n">
        <v>46058</v>
      </c>
      <c r="B374" t="inlineStr">
        <is>
          <t>Febrero</t>
        </is>
      </c>
      <c r="C374" t="inlineStr">
        <is>
          <t>TRANSPORTE · Didi</t>
        </is>
      </c>
      <c r="D374" t="n">
        <v>4600</v>
      </c>
      <c r="E374" t="inlineStr">
        <is>
          <t>Mercado Pago</t>
        </is>
      </c>
      <c r="F374" t="inlineStr">
        <is>
          <t>Didi · gasto personal Sol</t>
        </is>
      </c>
    </row>
    <row r="375">
      <c r="A375" s="54" t="n">
        <v>46059</v>
      </c>
      <c r="B375" t="inlineStr">
        <is>
          <t>Febrero</t>
        </is>
      </c>
      <c r="C375" t="inlineStr">
        <is>
          <t>TRANSPORTE · Cabify</t>
        </is>
      </c>
      <c r="D375" t="n">
        <v>6466</v>
      </c>
      <c r="E375" t="inlineStr">
        <is>
          <t>Mercado Pago</t>
        </is>
      </c>
      <c r="F375" t="inlineStr">
        <is>
          <t>Cabify · gasto personal Sol</t>
        </is>
      </c>
    </row>
    <row r="376">
      <c r="A376" s="54" t="n">
        <v>46060</v>
      </c>
      <c r="B376" t="inlineStr">
        <is>
          <t>Febrero</t>
        </is>
      </c>
      <c r="C376" t="inlineStr">
        <is>
          <t>TRANSPORTE · Cabify</t>
        </is>
      </c>
      <c r="D376" t="n">
        <v>4950</v>
      </c>
      <c r="E376" t="inlineStr">
        <is>
          <t>Mercado Pago</t>
        </is>
      </c>
      <c r="F376" t="inlineStr">
        <is>
          <t>Cabify · gasto personal Sol</t>
        </is>
      </c>
    </row>
    <row r="377">
      <c r="A377" s="54" t="n">
        <v>46061</v>
      </c>
      <c r="B377" t="inlineStr">
        <is>
          <t>Febrero</t>
        </is>
      </c>
      <c r="C377" t="inlineStr">
        <is>
          <t>TRANSPORTE · Cabify</t>
        </is>
      </c>
      <c r="D377" t="n">
        <v>5992</v>
      </c>
      <c r="E377" t="inlineStr">
        <is>
          <t>Mercado Pago</t>
        </is>
      </c>
      <c r="F377" t="inlineStr">
        <is>
          <t>Cabify · gasto personal Sol</t>
        </is>
      </c>
    </row>
    <row r="378">
      <c r="A378" s="54" t="n">
        <v>46062</v>
      </c>
      <c r="B378" t="inlineStr">
        <is>
          <t>Febrero</t>
        </is>
      </c>
      <c r="C378" t="inlineStr">
        <is>
          <t>TRANSPORTE · Didi</t>
        </is>
      </c>
      <c r="D378" t="n">
        <v>4320</v>
      </c>
      <c r="E378" t="inlineStr">
        <is>
          <t>Mercado Pago</t>
        </is>
      </c>
      <c r="F378" t="inlineStr">
        <is>
          <t>Didi · gasto personal Sol</t>
        </is>
      </c>
    </row>
    <row r="379">
      <c r="A379" s="54" t="n">
        <v>46062</v>
      </c>
      <c r="B379" t="inlineStr">
        <is>
          <t>Febrero</t>
        </is>
      </c>
      <c r="C379" t="inlineStr">
        <is>
          <t>TRANSPORTE · Cabify</t>
        </is>
      </c>
      <c r="D379" t="n">
        <v>4955</v>
      </c>
      <c r="E379" t="inlineStr">
        <is>
          <t>Mercado Pago</t>
        </is>
      </c>
      <c r="F379" t="inlineStr">
        <is>
          <t>Cabify · gasto personal Sol</t>
        </is>
      </c>
    </row>
    <row r="380">
      <c r="A380" s="54" t="n">
        <v>46062</v>
      </c>
      <c r="B380" t="inlineStr">
        <is>
          <t>Febrero</t>
        </is>
      </c>
      <c r="C380" t="inlineStr">
        <is>
          <t>TRANSPORTE · Didi</t>
        </is>
      </c>
      <c r="D380" t="n">
        <v>4710</v>
      </c>
      <c r="E380" t="inlineStr">
        <is>
          <t>Mercado Pago</t>
        </is>
      </c>
      <c r="F380" t="inlineStr">
        <is>
          <t>Didi · gasto personal Sol</t>
        </is>
      </c>
    </row>
    <row r="381">
      <c r="A381" s="54" t="n">
        <v>46063</v>
      </c>
      <c r="B381" t="inlineStr">
        <is>
          <t>Febrero</t>
        </is>
      </c>
      <c r="C381" t="inlineStr">
        <is>
          <t>TRANSPORTE · Didi</t>
        </is>
      </c>
      <c r="D381" t="n">
        <v>3976</v>
      </c>
      <c r="E381" t="inlineStr">
        <is>
          <t>Mercado Pago</t>
        </is>
      </c>
      <c r="F381" t="inlineStr">
        <is>
          <t>Didi · gasto personal Sol</t>
        </is>
      </c>
    </row>
    <row r="382">
      <c r="A382" s="54" t="n">
        <v>46064</v>
      </c>
      <c r="B382" t="inlineStr">
        <is>
          <t>Febrero</t>
        </is>
      </c>
      <c r="C382" t="inlineStr">
        <is>
          <t>TRANSPORTE · Didi</t>
        </is>
      </c>
      <c r="D382" t="n">
        <v>5830</v>
      </c>
      <c r="E382" t="inlineStr">
        <is>
          <t>Mercado Pago</t>
        </is>
      </c>
      <c r="F382" t="inlineStr">
        <is>
          <t>Didi · gasto personal Sol</t>
        </is>
      </c>
    </row>
    <row r="383">
      <c r="A383" s="54" t="n">
        <v>46064</v>
      </c>
      <c r="B383" t="inlineStr">
        <is>
          <t>Febrero</t>
        </is>
      </c>
      <c r="C383" t="inlineStr">
        <is>
          <t>TRANSPORTE · Didi</t>
        </is>
      </c>
      <c r="D383" t="n">
        <v>4590</v>
      </c>
      <c r="E383" t="inlineStr">
        <is>
          <t>Mercado Pago</t>
        </is>
      </c>
      <c r="F383" t="inlineStr">
        <is>
          <t>Didi · gasto personal Sol</t>
        </is>
      </c>
    </row>
    <row r="384">
      <c r="A384" s="54" t="n">
        <v>46066</v>
      </c>
      <c r="B384" t="inlineStr">
        <is>
          <t>Febrero</t>
        </is>
      </c>
      <c r="C384" t="inlineStr">
        <is>
          <t>TRANSPORTE · Cabify</t>
        </is>
      </c>
      <c r="D384" t="n">
        <v>5479</v>
      </c>
      <c r="E384" t="inlineStr">
        <is>
          <t>Mercado Pago</t>
        </is>
      </c>
      <c r="F384" t="inlineStr">
        <is>
          <t>Cabify · gasto personal Sol</t>
        </is>
      </c>
    </row>
    <row r="385">
      <c r="A385" s="54" t="n">
        <v>46067</v>
      </c>
      <c r="B385" t="inlineStr">
        <is>
          <t>Febrero</t>
        </is>
      </c>
      <c r="C385" t="inlineStr">
        <is>
          <t>TRANSPORTE · Didi</t>
        </is>
      </c>
      <c r="D385" t="n">
        <v>6780</v>
      </c>
      <c r="E385" t="inlineStr">
        <is>
          <t>Mercado Pago</t>
        </is>
      </c>
      <c r="F385" t="inlineStr">
        <is>
          <t>Didi · gasto personal Sol</t>
        </is>
      </c>
    </row>
    <row r="386">
      <c r="A386" s="54" t="n">
        <v>46071</v>
      </c>
      <c r="B386" t="inlineStr">
        <is>
          <t>Febrero</t>
        </is>
      </c>
      <c r="C386" t="inlineStr">
        <is>
          <t>TRANSPORTE · Didi</t>
        </is>
      </c>
      <c r="D386" t="n">
        <v>6090</v>
      </c>
      <c r="E386" t="inlineStr">
        <is>
          <t>Mercado Pago</t>
        </is>
      </c>
      <c r="F386" t="inlineStr">
        <is>
          <t>Didi · gasto personal Sol</t>
        </is>
      </c>
    </row>
    <row r="387">
      <c r="A387" s="54" t="n">
        <v>46071</v>
      </c>
      <c r="B387" t="inlineStr">
        <is>
          <t>Febrero</t>
        </is>
      </c>
      <c r="C387" t="inlineStr">
        <is>
          <t>TRANSPORTE · Uber</t>
        </is>
      </c>
      <c r="D387" t="n">
        <v>2590</v>
      </c>
      <c r="E387" t="inlineStr">
        <is>
          <t>Mercado Pago</t>
        </is>
      </c>
      <c r="F387" t="inlineStr">
        <is>
          <t>TRANSPORTE · Uber · Ebanx (=Uber) · gasto personal Sol</t>
        </is>
      </c>
    </row>
    <row r="388">
      <c r="A388" s="54" t="n">
        <v>46077</v>
      </c>
      <c r="B388" t="inlineStr">
        <is>
          <t>Febrero</t>
        </is>
      </c>
      <c r="C388" t="inlineStr">
        <is>
          <t>TRANSPORTE · Didi</t>
        </is>
      </c>
      <c r="D388" t="n">
        <v>4564</v>
      </c>
      <c r="E388" t="inlineStr">
        <is>
          <t>Mercado Pago</t>
        </is>
      </c>
      <c r="F388" t="inlineStr">
        <is>
          <t>Didi · gasto personal Sol</t>
        </is>
      </c>
    </row>
    <row r="389">
      <c r="A389" s="54" t="n">
        <v>46077</v>
      </c>
      <c r="B389" t="inlineStr">
        <is>
          <t>Febrero</t>
        </is>
      </c>
      <c r="C389" t="inlineStr">
        <is>
          <t>TRANSPORTE · Uber</t>
        </is>
      </c>
      <c r="D389" t="n">
        <v>3092</v>
      </c>
      <c r="E389" t="inlineStr">
        <is>
          <t>Mercado Pago</t>
        </is>
      </c>
      <c r="F389" t="inlineStr">
        <is>
          <t>TRANSPORTE · Uber · Ebanx (=Uber) · gasto personal Sol</t>
        </is>
      </c>
    </row>
    <row r="390">
      <c r="A390" s="54" t="n">
        <v>46077</v>
      </c>
      <c r="B390" t="inlineStr">
        <is>
          <t>Febrero</t>
        </is>
      </c>
      <c r="C390" t="inlineStr">
        <is>
          <t>TRANSPORTE · Uber</t>
        </is>
      </c>
      <c r="D390" t="n">
        <v>4690</v>
      </c>
      <c r="E390" t="inlineStr">
        <is>
          <t>Mercado Pago</t>
        </is>
      </c>
      <c r="F390" t="inlineStr">
        <is>
          <t>TRANSPORTE · Uber · Ebanx (=Uber) · gasto personal Sol</t>
        </is>
      </c>
    </row>
    <row r="391">
      <c r="A391" s="54" t="n">
        <v>46079</v>
      </c>
      <c r="B391" t="inlineStr">
        <is>
          <t>Febrero</t>
        </is>
      </c>
      <c r="C391" t="inlineStr">
        <is>
          <t>TRANSPORTE · Didi</t>
        </is>
      </c>
      <c r="D391" t="n">
        <v>4870</v>
      </c>
      <c r="E391" t="inlineStr">
        <is>
          <t>Mercado Pago</t>
        </is>
      </c>
      <c r="F391" t="inlineStr">
        <is>
          <t>Didi · gasto personal Sol</t>
        </is>
      </c>
    </row>
    <row r="392">
      <c r="A392" s="54" t="n">
        <v>46079</v>
      </c>
      <c r="B392" t="inlineStr">
        <is>
          <t>Febrero</t>
        </is>
      </c>
      <c r="C392" t="inlineStr">
        <is>
          <t>TRANSPORTE · Didi</t>
        </is>
      </c>
      <c r="D392" t="n">
        <v>5080</v>
      </c>
      <c r="E392" t="inlineStr">
        <is>
          <t>Mercado Pago</t>
        </is>
      </c>
      <c r="F392" t="inlineStr">
        <is>
          <t>Didi · gasto personal Sol</t>
        </is>
      </c>
    </row>
    <row r="393">
      <c r="A393" s="54" t="n">
        <v>46090</v>
      </c>
      <c r="B393" t="inlineStr">
        <is>
          <t>Marzo</t>
        </is>
      </c>
      <c r="C393" t="inlineStr">
        <is>
          <t>TRANSPORTE · Didi</t>
        </is>
      </c>
      <c r="D393" t="n">
        <v>5980</v>
      </c>
      <c r="E393" t="inlineStr">
        <is>
          <t>Mercado Pago</t>
        </is>
      </c>
      <c r="F393" t="inlineStr">
        <is>
          <t>Didi · gasto personal Sol</t>
        </is>
      </c>
    </row>
    <row r="394">
      <c r="A394" s="54" t="n">
        <v>46092</v>
      </c>
      <c r="B394" t="inlineStr">
        <is>
          <t>Marzo</t>
        </is>
      </c>
      <c r="C394" t="inlineStr">
        <is>
          <t>TRANSPORTE · Didi</t>
        </is>
      </c>
      <c r="D394" t="n">
        <v>3941</v>
      </c>
      <c r="E394" t="inlineStr">
        <is>
          <t>Mercado Pago</t>
        </is>
      </c>
      <c r="F394" t="inlineStr">
        <is>
          <t>Didi · gasto personal Sol</t>
        </is>
      </c>
    </row>
    <row r="395">
      <c r="A395" s="54" t="n">
        <v>46092</v>
      </c>
      <c r="B395" t="inlineStr">
        <is>
          <t>Marzo</t>
        </is>
      </c>
      <c r="C395" t="inlineStr">
        <is>
          <t>TRANSPORTE · Didi</t>
        </is>
      </c>
      <c r="D395" t="n">
        <v>3312</v>
      </c>
      <c r="E395" t="inlineStr">
        <is>
          <t>Mercado Pago</t>
        </is>
      </c>
      <c r="F395" t="inlineStr">
        <is>
          <t>Didi · gasto personal Sol</t>
        </is>
      </c>
    </row>
    <row r="396">
      <c r="A396" s="54" t="n">
        <v>46094</v>
      </c>
      <c r="B396" t="inlineStr">
        <is>
          <t>Marzo</t>
        </is>
      </c>
      <c r="C396" t="inlineStr">
        <is>
          <t>TRANSPORTE · Didi</t>
        </is>
      </c>
      <c r="D396" t="n">
        <v>8410</v>
      </c>
      <c r="E396" t="inlineStr">
        <is>
          <t>Mercado Pago</t>
        </is>
      </c>
      <c r="F396" t="inlineStr">
        <is>
          <t>Didi · gasto personal Sol</t>
        </is>
      </c>
    </row>
    <row r="397">
      <c r="A397" s="54" t="n">
        <v>46094</v>
      </c>
      <c r="B397" t="inlineStr">
        <is>
          <t>Marzo</t>
        </is>
      </c>
      <c r="C397" t="inlineStr">
        <is>
          <t>TRANSPORTE · Uber</t>
        </is>
      </c>
      <c r="D397" t="n">
        <v>5757</v>
      </c>
      <c r="E397" t="inlineStr">
        <is>
          <t>Mercado Pago</t>
        </is>
      </c>
      <c r="F397" t="inlineStr">
        <is>
          <t>TRANSPORTE · Uber · Ebanx (=Uber) · gasto personal Sol</t>
        </is>
      </c>
    </row>
    <row r="398">
      <c r="A398" s="54" t="n">
        <v>46095</v>
      </c>
      <c r="B398" t="inlineStr">
        <is>
          <t>Marzo</t>
        </is>
      </c>
      <c r="C398" t="inlineStr">
        <is>
          <t>TRANSPORTE · Didi</t>
        </is>
      </c>
      <c r="D398" t="n">
        <v>4590</v>
      </c>
      <c r="E398" t="inlineStr">
        <is>
          <t>Mercado Pago</t>
        </is>
      </c>
      <c r="F398" t="inlineStr">
        <is>
          <t>Didi · gasto personal Sol</t>
        </is>
      </c>
    </row>
    <row r="399">
      <c r="A399" s="54" t="n">
        <v>46095</v>
      </c>
      <c r="B399" t="inlineStr">
        <is>
          <t>Marzo</t>
        </is>
      </c>
      <c r="C399" t="inlineStr">
        <is>
          <t>TRANSPORTE · Didi</t>
        </is>
      </c>
      <c r="D399" t="n">
        <v>4450</v>
      </c>
      <c r="E399" t="inlineStr">
        <is>
          <t>Mercado Pago</t>
        </is>
      </c>
      <c r="F399" t="inlineStr">
        <is>
          <t>Didi · gasto personal Sol</t>
        </is>
      </c>
    </row>
    <row r="400">
      <c r="A400" s="54" t="n">
        <v>46098</v>
      </c>
      <c r="B400" t="inlineStr">
        <is>
          <t>Marzo</t>
        </is>
      </c>
      <c r="C400" t="inlineStr">
        <is>
          <t>TRANSPORTE · Didi</t>
        </is>
      </c>
      <c r="D400" t="n">
        <v>5084</v>
      </c>
      <c r="E400" t="inlineStr">
        <is>
          <t>Mercado Pago</t>
        </is>
      </c>
      <c r="F400" t="inlineStr">
        <is>
          <t>Didi · gasto personal Sol</t>
        </is>
      </c>
    </row>
    <row r="401">
      <c r="A401" s="54" t="n">
        <v>46100</v>
      </c>
      <c r="B401" t="inlineStr">
        <is>
          <t>Marzo</t>
        </is>
      </c>
      <c r="C401" t="inlineStr">
        <is>
          <t>TRANSPORTE · Didi</t>
        </is>
      </c>
      <c r="D401" t="n">
        <v>6070</v>
      </c>
      <c r="E401" t="inlineStr">
        <is>
          <t>Mercado Pago</t>
        </is>
      </c>
      <c r="F401" t="inlineStr">
        <is>
          <t>Didi · gasto personal Sol</t>
        </is>
      </c>
    </row>
    <row r="402">
      <c r="A402" s="54" t="n">
        <v>46100</v>
      </c>
      <c r="B402" t="inlineStr">
        <is>
          <t>Marzo</t>
        </is>
      </c>
      <c r="C402" t="inlineStr">
        <is>
          <t>TRANSPORTE · Didi</t>
        </is>
      </c>
      <c r="D402" t="n">
        <v>4122</v>
      </c>
      <c r="E402" t="inlineStr">
        <is>
          <t>Mercado Pago</t>
        </is>
      </c>
      <c r="F402" t="inlineStr">
        <is>
          <t>Didi · gasto personal Sol</t>
        </is>
      </c>
    </row>
    <row r="403">
      <c r="A403" s="54" t="n">
        <v>46100</v>
      </c>
      <c r="B403" t="inlineStr">
        <is>
          <t>Marzo</t>
        </is>
      </c>
      <c r="C403" t="inlineStr">
        <is>
          <t>TRANSPORTE · Didi</t>
        </is>
      </c>
      <c r="D403" t="n">
        <v>5160</v>
      </c>
      <c r="E403" t="inlineStr">
        <is>
          <t>Mercado Pago</t>
        </is>
      </c>
      <c r="F403" t="inlineStr">
        <is>
          <t>Didi · gasto personal Sol</t>
        </is>
      </c>
    </row>
    <row r="404">
      <c r="A404" s="54" t="n">
        <v>46101</v>
      </c>
      <c r="B404" t="inlineStr">
        <is>
          <t>Marzo</t>
        </is>
      </c>
      <c r="C404" t="inlineStr">
        <is>
          <t>TRANSPORTE · Uber</t>
        </is>
      </c>
      <c r="D404" t="n">
        <v>5745</v>
      </c>
      <c r="E404" t="inlineStr">
        <is>
          <t>Mercado Pago</t>
        </is>
      </c>
      <c r="F404" t="inlineStr">
        <is>
          <t>TRANSPORTE · Uber · Ebanx (=Uber) · gasto personal Sol</t>
        </is>
      </c>
    </row>
    <row r="405">
      <c r="A405" s="54" t="n">
        <v>46101</v>
      </c>
      <c r="B405" t="inlineStr">
        <is>
          <t>Marzo</t>
        </is>
      </c>
      <c r="C405" t="inlineStr">
        <is>
          <t>TRANSPORTE · Didi</t>
        </is>
      </c>
      <c r="D405" t="n">
        <v>5680</v>
      </c>
      <c r="E405" t="inlineStr">
        <is>
          <t>Mercado Pago</t>
        </is>
      </c>
      <c r="F405" t="inlineStr">
        <is>
          <t>Didi · gasto personal Sol</t>
        </is>
      </c>
    </row>
    <row r="406">
      <c r="A406" s="54" t="n">
        <v>46101</v>
      </c>
      <c r="B406" t="inlineStr">
        <is>
          <t>Marzo</t>
        </is>
      </c>
      <c r="C406" t="inlineStr">
        <is>
          <t>TRANSPORTE · Didi</t>
        </is>
      </c>
      <c r="D406" t="n">
        <v>4960</v>
      </c>
      <c r="E406" t="inlineStr">
        <is>
          <t>Mercado Pago</t>
        </is>
      </c>
      <c r="F406" t="inlineStr">
        <is>
          <t>Didi · gasto personal Sol</t>
        </is>
      </c>
    </row>
    <row r="407">
      <c r="A407" s="54" t="n">
        <v>46101</v>
      </c>
      <c r="B407" t="inlineStr">
        <is>
          <t>Marzo</t>
        </is>
      </c>
      <c r="C407" t="inlineStr">
        <is>
          <t>TRANSPORTE · Didi</t>
        </is>
      </c>
      <c r="D407" t="n">
        <v>5800</v>
      </c>
      <c r="E407" t="inlineStr">
        <is>
          <t>Mercado Pago</t>
        </is>
      </c>
      <c r="F407" t="inlineStr">
        <is>
          <t>Didi · gasto personal Sol</t>
        </is>
      </c>
    </row>
    <row r="408">
      <c r="A408" s="54" t="n">
        <v>46101</v>
      </c>
      <c r="B408" t="inlineStr">
        <is>
          <t>Marzo</t>
        </is>
      </c>
      <c r="C408" t="inlineStr">
        <is>
          <t>TRANSPORTE · Didi</t>
        </is>
      </c>
      <c r="D408" t="n">
        <v>6420</v>
      </c>
      <c r="E408" t="inlineStr">
        <is>
          <t>Mercado Pago</t>
        </is>
      </c>
      <c r="F408" t="inlineStr">
        <is>
          <t>Didi · gasto personal Sol</t>
        </is>
      </c>
    </row>
    <row r="409">
      <c r="A409" s="54" t="n">
        <v>46102</v>
      </c>
      <c r="B409" t="inlineStr">
        <is>
          <t>Marzo</t>
        </is>
      </c>
      <c r="C409" t="inlineStr">
        <is>
          <t>TRANSPORTE · Didi</t>
        </is>
      </c>
      <c r="D409" t="n">
        <v>4230</v>
      </c>
      <c r="E409" t="inlineStr">
        <is>
          <t>Mercado Pago</t>
        </is>
      </c>
      <c r="F409" t="inlineStr">
        <is>
          <t>Didi · gasto personal Sol</t>
        </is>
      </c>
    </row>
    <row r="410">
      <c r="A410" s="54" t="n">
        <v>46112</v>
      </c>
      <c r="B410" t="inlineStr">
        <is>
          <t>Marzo</t>
        </is>
      </c>
      <c r="C410" t="inlineStr">
        <is>
          <t>TRANSPORTE · Uber</t>
        </is>
      </c>
      <c r="D410" t="n">
        <v>10839</v>
      </c>
      <c r="E410" t="inlineStr">
        <is>
          <t>Mercado Pago</t>
        </is>
      </c>
      <c r="F410" t="inlineStr">
        <is>
          <t>TRANSPORTE · Uber · Ebanx (=Uber) · gasto personal Sol</t>
        </is>
      </c>
    </row>
    <row r="411">
      <c r="A411" s="54" t="n">
        <v>46112</v>
      </c>
      <c r="B411" t="inlineStr">
        <is>
          <t>Marzo</t>
        </is>
      </c>
      <c r="C411" t="inlineStr">
        <is>
          <t>TRANSPORTE · Didi</t>
        </is>
      </c>
      <c r="D411" t="n">
        <v>6540</v>
      </c>
      <c r="E411" t="inlineStr">
        <is>
          <t>Mercado Pago</t>
        </is>
      </c>
      <c r="F411" t="inlineStr">
        <is>
          <t>Didi · gasto personal Sol</t>
        </is>
      </c>
    </row>
    <row r="412">
      <c r="A412" s="54" t="n">
        <v>46116</v>
      </c>
      <c r="B412" t="inlineStr">
        <is>
          <t>Abril</t>
        </is>
      </c>
      <c r="C412" t="inlineStr">
        <is>
          <t>TRANSPORTE · Uber</t>
        </is>
      </c>
      <c r="D412" t="n">
        <v>4207</v>
      </c>
      <c r="E412" t="inlineStr">
        <is>
          <t>Mercado Pago</t>
        </is>
      </c>
      <c r="F412" t="inlineStr">
        <is>
          <t>TRANSPORTE · Uber · Ebanx (=Uber) · gasto personal Sol</t>
        </is>
      </c>
    </row>
    <row r="413">
      <c r="A413" s="54" t="n">
        <v>46116</v>
      </c>
      <c r="B413" t="inlineStr">
        <is>
          <t>Abril</t>
        </is>
      </c>
      <c r="C413" t="inlineStr">
        <is>
          <t>TRANSPORTE · Uber</t>
        </is>
      </c>
      <c r="D413" t="n">
        <v>4691</v>
      </c>
      <c r="E413" t="inlineStr">
        <is>
          <t>Mercado Pago</t>
        </is>
      </c>
      <c r="F413" t="inlineStr">
        <is>
          <t>TRANSPORTE · Uber · Ebanx (=Uber) · gasto personal Sol</t>
        </is>
      </c>
    </row>
    <row r="414">
      <c r="A414" s="54" t="n">
        <v>46118</v>
      </c>
      <c r="B414" t="inlineStr">
        <is>
          <t>Abril</t>
        </is>
      </c>
      <c r="C414" t="inlineStr">
        <is>
          <t>TRANSPORTE · Uber</t>
        </is>
      </c>
      <c r="D414" t="n">
        <v>6793</v>
      </c>
      <c r="E414" t="inlineStr">
        <is>
          <t>Mercado Pago</t>
        </is>
      </c>
      <c r="F414" t="inlineStr">
        <is>
          <t>TRANSPORTE · Uber · Ebanx (=Uber) · gasto personal Sol</t>
        </is>
      </c>
    </row>
    <row r="415">
      <c r="A415" s="54" t="n">
        <v>46118</v>
      </c>
      <c r="B415" t="inlineStr">
        <is>
          <t>Abril</t>
        </is>
      </c>
      <c r="C415" t="inlineStr">
        <is>
          <t>TRANSPORTE · Didi</t>
        </is>
      </c>
      <c r="D415" t="n">
        <v>9800</v>
      </c>
      <c r="E415" t="inlineStr">
        <is>
          <t>Mercado Pago</t>
        </is>
      </c>
      <c r="F415" t="inlineStr">
        <is>
          <t>Didi · gasto personal Sol</t>
        </is>
      </c>
    </row>
    <row r="416">
      <c r="A416" s="54" t="n">
        <v>46120</v>
      </c>
      <c r="B416" t="inlineStr">
        <is>
          <t>Abril</t>
        </is>
      </c>
      <c r="C416" t="inlineStr">
        <is>
          <t>TRANSPORTE · Didi</t>
        </is>
      </c>
      <c r="D416" t="n">
        <v>4450</v>
      </c>
      <c r="E416" t="inlineStr">
        <is>
          <t>Mercado Pago</t>
        </is>
      </c>
      <c r="F416" t="inlineStr">
        <is>
          <t>Didi · gasto personal Sol</t>
        </is>
      </c>
    </row>
    <row r="417">
      <c r="A417" s="54" t="n">
        <v>46120</v>
      </c>
      <c r="B417" t="inlineStr">
        <is>
          <t>Abril</t>
        </is>
      </c>
      <c r="C417" t="inlineStr">
        <is>
          <t>TRANSPORTE · Uber</t>
        </is>
      </c>
      <c r="D417" t="n">
        <v>6351</v>
      </c>
      <c r="E417" t="inlineStr">
        <is>
          <t>Mercado Pago</t>
        </is>
      </c>
      <c r="F417" t="inlineStr">
        <is>
          <t>TRANSPORTE · Uber · Ebanx (=Uber) · gasto personal Sol</t>
        </is>
      </c>
    </row>
    <row r="418">
      <c r="A418" s="54" t="n">
        <v>46123</v>
      </c>
      <c r="B418" t="inlineStr">
        <is>
          <t>Abril</t>
        </is>
      </c>
      <c r="C418" t="inlineStr">
        <is>
          <t>TRANSPORTE · Uber</t>
        </is>
      </c>
      <c r="D418" t="n">
        <v>356</v>
      </c>
      <c r="E418" t="inlineStr">
        <is>
          <t>Mercado Pago</t>
        </is>
      </c>
      <c r="F418" t="inlineStr">
        <is>
          <t>TRANSPORTE · Uber · Ebanx (=Uber) · gasto personal Sol</t>
        </is>
      </c>
    </row>
    <row r="419">
      <c r="A419" s="54" t="n">
        <v>46123</v>
      </c>
      <c r="B419" t="inlineStr">
        <is>
          <t>Abril</t>
        </is>
      </c>
      <c r="C419" t="inlineStr">
        <is>
          <t>TRANSPORTE · Uber</t>
        </is>
      </c>
      <c r="D419" t="n">
        <v>9962</v>
      </c>
      <c r="E419" t="inlineStr">
        <is>
          <t>Mercado Pago</t>
        </is>
      </c>
      <c r="F419" t="inlineStr">
        <is>
          <t>TRANSPORTE · Uber · Ebanx (=Uber) · gasto personal Sol</t>
        </is>
      </c>
    </row>
    <row r="420">
      <c r="A420" s="54" t="n">
        <v>46123</v>
      </c>
      <c r="B420" t="inlineStr">
        <is>
          <t>Abril</t>
        </is>
      </c>
      <c r="C420" t="inlineStr">
        <is>
          <t>TRANSPORTE · Didi</t>
        </is>
      </c>
      <c r="D420" t="n">
        <v>7200</v>
      </c>
      <c r="E420" t="inlineStr">
        <is>
          <t>Mercado Pago</t>
        </is>
      </c>
      <c r="F420" t="inlineStr">
        <is>
          <t>transporte · gasto personal Sol</t>
        </is>
      </c>
    </row>
    <row r="421">
      <c r="A421" s="54" t="n">
        <v>46125</v>
      </c>
      <c r="B421" t="inlineStr">
        <is>
          <t>Abril</t>
        </is>
      </c>
      <c r="C421" t="inlineStr">
        <is>
          <t>TRANSPORTE · Didi</t>
        </is>
      </c>
      <c r="D421" t="n">
        <v>6620</v>
      </c>
      <c r="E421" t="inlineStr">
        <is>
          <t>Mercado Pago</t>
        </is>
      </c>
      <c r="F421" t="inlineStr">
        <is>
          <t>transporte · gasto personal Sol</t>
        </is>
      </c>
    </row>
    <row r="422">
      <c r="A422" s="54" t="n">
        <v>46125</v>
      </c>
      <c r="B422" t="inlineStr">
        <is>
          <t>Abril</t>
        </is>
      </c>
      <c r="C422" t="inlineStr">
        <is>
          <t>TRANSPORTE · Didi</t>
        </is>
      </c>
      <c r="D422" t="n">
        <v>8590</v>
      </c>
      <c r="E422" t="inlineStr">
        <is>
          <t>Mercado Pago</t>
        </is>
      </c>
      <c r="F422" t="inlineStr">
        <is>
          <t>transporte · gasto personal Sol</t>
        </is>
      </c>
    </row>
    <row r="423">
      <c r="A423" s="54" t="n">
        <v>46127</v>
      </c>
      <c r="B423" t="inlineStr">
        <is>
          <t>Abril</t>
        </is>
      </c>
      <c r="C423" t="inlineStr">
        <is>
          <t>TRANSPORTE · Didi</t>
        </is>
      </c>
      <c r="D423" t="n">
        <v>5550</v>
      </c>
      <c r="E423" t="inlineStr">
        <is>
          <t>Mercado Pago</t>
        </is>
      </c>
      <c r="F423" t="inlineStr">
        <is>
          <t>transporte · gasto personal Sol</t>
        </is>
      </c>
    </row>
    <row r="424">
      <c r="A424" s="54" t="n">
        <v>46127</v>
      </c>
      <c r="B424" t="inlineStr">
        <is>
          <t>Abril</t>
        </is>
      </c>
      <c r="C424" t="inlineStr">
        <is>
          <t>TRANSPORTE · Didi</t>
        </is>
      </c>
      <c r="D424" t="n">
        <v>4955</v>
      </c>
      <c r="E424" t="inlineStr">
        <is>
          <t>Mercado Pago</t>
        </is>
      </c>
      <c r="F424" t="inlineStr">
        <is>
          <t>transporte · gasto personal Sol</t>
        </is>
      </c>
    </row>
    <row r="425">
      <c r="A425" s="54" t="n">
        <v>46127</v>
      </c>
      <c r="B425" t="inlineStr">
        <is>
          <t>Abril</t>
        </is>
      </c>
      <c r="C425" t="inlineStr">
        <is>
          <t>TRANSPORTE · Uber</t>
        </is>
      </c>
      <c r="D425" t="n">
        <v>20</v>
      </c>
      <c r="E425" t="inlineStr">
        <is>
          <t>Mercado Pago</t>
        </is>
      </c>
      <c r="F425" t="inlineStr">
        <is>
          <t>TRANSPORTE · Uber · Ebanx (=Uber) · gasto personal Sol</t>
        </is>
      </c>
    </row>
    <row r="426">
      <c r="A426" s="54" t="n">
        <v>46127</v>
      </c>
      <c r="B426" t="inlineStr">
        <is>
          <t>Abril</t>
        </is>
      </c>
      <c r="C426" t="inlineStr">
        <is>
          <t>TRANSPORTE · Uber</t>
        </is>
      </c>
      <c r="D426" t="n">
        <v>4919</v>
      </c>
      <c r="E426" t="inlineStr">
        <is>
          <t>Mercado Pago</t>
        </is>
      </c>
      <c r="F426" t="inlineStr">
        <is>
          <t>TRANSPORTE · Uber · Ebanx (=Uber) · gasto personal Sol</t>
        </is>
      </c>
    </row>
    <row r="427">
      <c r="A427" s="54" t="n">
        <v>46127</v>
      </c>
      <c r="B427" t="inlineStr">
        <is>
          <t>Abril</t>
        </is>
      </c>
      <c r="C427" t="inlineStr">
        <is>
          <t>TRANSPORTE · Uber</t>
        </is>
      </c>
      <c r="D427" t="n">
        <v>5910</v>
      </c>
      <c r="E427" t="inlineStr">
        <is>
          <t>Mercado Pago</t>
        </is>
      </c>
      <c r="F427" t="inlineStr">
        <is>
          <t>TRANSPORTE · Uber · Ebanx (=Uber) · gasto personal Sol</t>
        </is>
      </c>
    </row>
    <row r="428">
      <c r="A428" s="54" t="n">
        <v>46128</v>
      </c>
      <c r="B428" t="inlineStr">
        <is>
          <t>Abril</t>
        </is>
      </c>
      <c r="C428" t="inlineStr">
        <is>
          <t>TRANSPORTE · Uber</t>
        </is>
      </c>
      <c r="D428" t="n">
        <v>8578</v>
      </c>
      <c r="E428" t="inlineStr">
        <is>
          <t>Mercado Pago</t>
        </is>
      </c>
      <c r="F428" t="inlineStr">
        <is>
          <t>TRANSPORTE · Uber · Ebanx (=Uber) · gasto personal Sol</t>
        </is>
      </c>
    </row>
    <row r="429">
      <c r="A429" s="54" t="n">
        <v>46130</v>
      </c>
      <c r="B429" t="inlineStr">
        <is>
          <t>Abril</t>
        </is>
      </c>
      <c r="C429" t="inlineStr">
        <is>
          <t>TRANSPORTE · Uber</t>
        </is>
      </c>
      <c r="D429" t="n">
        <v>18208</v>
      </c>
      <c r="E429" t="inlineStr">
        <is>
          <t>Mercado Pago</t>
        </is>
      </c>
      <c r="F429" t="inlineStr">
        <is>
          <t>TRANSPORTE · Uber · Ebanx (=Uber) · gasto personal Sol</t>
        </is>
      </c>
    </row>
    <row r="430">
      <c r="A430" s="54" t="n">
        <v>46132</v>
      </c>
      <c r="B430" t="inlineStr">
        <is>
          <t>Abril</t>
        </is>
      </c>
      <c r="C430" t="inlineStr">
        <is>
          <t>TRANSPORTE · Didi</t>
        </is>
      </c>
      <c r="D430" t="n">
        <v>5330</v>
      </c>
      <c r="E430" t="inlineStr">
        <is>
          <t>Mercado Pago</t>
        </is>
      </c>
      <c r="F430" t="inlineStr">
        <is>
          <t>transporte · gasto personal Sol</t>
        </is>
      </c>
    </row>
    <row r="431">
      <c r="A431" s="54" t="n">
        <v>46132</v>
      </c>
      <c r="B431" t="inlineStr">
        <is>
          <t>Abril</t>
        </is>
      </c>
      <c r="C431" t="inlineStr">
        <is>
          <t>TRANSPORTE · Didi</t>
        </is>
      </c>
      <c r="D431" t="n">
        <v>5992</v>
      </c>
      <c r="E431" t="inlineStr">
        <is>
          <t>Mercado Pago</t>
        </is>
      </c>
      <c r="F431" t="inlineStr">
        <is>
          <t>transporte · gasto personal Sol</t>
        </is>
      </c>
    </row>
    <row r="432">
      <c r="A432" s="54" t="n">
        <v>46134</v>
      </c>
      <c r="B432" t="inlineStr">
        <is>
          <t>Abril</t>
        </is>
      </c>
      <c r="C432" t="inlineStr">
        <is>
          <t>TRANSPORTE · Didi</t>
        </is>
      </c>
      <c r="D432" t="n">
        <v>7610</v>
      </c>
      <c r="E432" t="inlineStr">
        <is>
          <t>Mercado Pago</t>
        </is>
      </c>
      <c r="F432" t="inlineStr">
        <is>
          <t>transporte · gasto personal Sol</t>
        </is>
      </c>
    </row>
    <row r="433">
      <c r="A433" s="54" t="n">
        <v>46134</v>
      </c>
      <c r="B433" t="inlineStr">
        <is>
          <t>Abril</t>
        </is>
      </c>
      <c r="C433" t="inlineStr">
        <is>
          <t>TRANSPORTE · Uber</t>
        </is>
      </c>
      <c r="D433" t="n">
        <v>6397</v>
      </c>
      <c r="E433" t="inlineStr">
        <is>
          <t>Mercado Pago</t>
        </is>
      </c>
      <c r="F433" t="inlineStr">
        <is>
          <t>TRANSPORTE · Uber · Ebanx (=Uber) · gasto personal Sol</t>
        </is>
      </c>
    </row>
    <row r="434">
      <c r="A434" s="54" t="n">
        <v>46136</v>
      </c>
      <c r="B434" t="inlineStr">
        <is>
          <t>Abril</t>
        </is>
      </c>
      <c r="C434" t="inlineStr">
        <is>
          <t>TRANSPORTE · Didi</t>
        </is>
      </c>
      <c r="D434" t="n">
        <v>5420</v>
      </c>
      <c r="E434" t="inlineStr">
        <is>
          <t>Mercado Pago</t>
        </is>
      </c>
      <c r="F434" t="inlineStr">
        <is>
          <t>transporte · gasto personal Sol</t>
        </is>
      </c>
    </row>
    <row r="435">
      <c r="A435" s="54" t="n">
        <v>46139</v>
      </c>
      <c r="B435" t="inlineStr">
        <is>
          <t>Abril</t>
        </is>
      </c>
      <c r="C435" t="inlineStr">
        <is>
          <t>TRANSPORTE · Didi</t>
        </is>
      </c>
      <c r="D435" t="n">
        <v>5100</v>
      </c>
      <c r="E435" t="inlineStr">
        <is>
          <t>Mercado Pago</t>
        </is>
      </c>
      <c r="F435" t="inlineStr">
        <is>
          <t>transporte · gasto personal Sol</t>
        </is>
      </c>
    </row>
    <row r="436">
      <c r="A436" s="54" t="n">
        <v>46139</v>
      </c>
      <c r="B436" t="inlineStr">
        <is>
          <t>Abril</t>
        </is>
      </c>
      <c r="C436" t="inlineStr">
        <is>
          <t>TRANSPORTE · Uber</t>
        </is>
      </c>
      <c r="D436" t="n">
        <v>6321</v>
      </c>
      <c r="E436" t="inlineStr">
        <is>
          <t>Mercado Pago</t>
        </is>
      </c>
      <c r="F436" t="inlineStr">
        <is>
          <t>TRANSPORTE · Uber · Ebanx (=Uber) · gasto personal Sol</t>
        </is>
      </c>
    </row>
    <row r="437">
      <c r="A437" s="54" t="n">
        <v>46141</v>
      </c>
      <c r="B437" t="inlineStr">
        <is>
          <t>Abril</t>
        </is>
      </c>
      <c r="C437" t="inlineStr">
        <is>
          <t>TRANSPORTE · Didi</t>
        </is>
      </c>
      <c r="D437" t="n">
        <v>4520</v>
      </c>
      <c r="E437" t="inlineStr">
        <is>
          <t>Mercado Pago</t>
        </is>
      </c>
      <c r="F437" t="inlineStr">
        <is>
          <t>transporte · gasto personal Sol</t>
        </is>
      </c>
    </row>
    <row r="438">
      <c r="A438" s="54" t="n">
        <v>46141</v>
      </c>
      <c r="B438" t="inlineStr">
        <is>
          <t>Abril</t>
        </is>
      </c>
      <c r="C438" t="inlineStr">
        <is>
          <t>TRANSPORTE · Didi</t>
        </is>
      </c>
      <c r="D438" t="n">
        <v>3904</v>
      </c>
      <c r="E438" t="inlineStr">
        <is>
          <t>Mercado Pago</t>
        </is>
      </c>
      <c r="F438" t="inlineStr">
        <is>
          <t>transporte · gasto personal Sol</t>
        </is>
      </c>
    </row>
    <row r="439">
      <c r="A439" s="54" t="n">
        <v>46141</v>
      </c>
      <c r="B439" t="inlineStr">
        <is>
          <t>Abril</t>
        </is>
      </c>
      <c r="C439" t="inlineStr">
        <is>
          <t>TRANSPORTE · Didi</t>
        </is>
      </c>
      <c r="D439" t="n">
        <v>4670</v>
      </c>
      <c r="E439" t="inlineStr">
        <is>
          <t>Mercado Pago</t>
        </is>
      </c>
      <c r="F439" t="inlineStr">
        <is>
          <t>transporte · gasto personal Sol</t>
        </is>
      </c>
    </row>
    <row r="440">
      <c r="A440" s="54" t="n">
        <v>46147</v>
      </c>
      <c r="B440" t="inlineStr">
        <is>
          <t>Mayo</t>
        </is>
      </c>
      <c r="C440" t="inlineStr">
        <is>
          <t>TRANSPORTE · Didi</t>
        </is>
      </c>
      <c r="D440" t="n">
        <v>6050</v>
      </c>
      <c r="E440" t="inlineStr">
        <is>
          <t>Mercado Pago</t>
        </is>
      </c>
      <c r="F440" t="inlineStr">
        <is>
          <t>transporte · gasto personal Sol</t>
        </is>
      </c>
    </row>
    <row r="441">
      <c r="A441" s="54" t="n">
        <v>46147</v>
      </c>
      <c r="B441" t="inlineStr">
        <is>
          <t>Mayo</t>
        </is>
      </c>
      <c r="C441" t="inlineStr">
        <is>
          <t>TRANSPORTE · Uber</t>
        </is>
      </c>
      <c r="D441" t="n">
        <v>4890</v>
      </c>
      <c r="E441" t="inlineStr">
        <is>
          <t>Mercado Pago</t>
        </is>
      </c>
      <c r="F441" t="inlineStr">
        <is>
          <t>TRANSPORTE · Uber · Ebanx (=Uber) · gasto personal Sol</t>
        </is>
      </c>
    </row>
    <row r="442">
      <c r="A442" s="54" t="n">
        <v>46148</v>
      </c>
      <c r="B442" t="inlineStr">
        <is>
          <t>Mayo</t>
        </is>
      </c>
      <c r="C442" t="inlineStr">
        <is>
          <t>TRANSPORTE · Uber</t>
        </is>
      </c>
      <c r="D442" t="n">
        <v>5747</v>
      </c>
      <c r="E442" t="inlineStr">
        <is>
          <t>Mercado Pago</t>
        </is>
      </c>
      <c r="F442" t="inlineStr">
        <is>
          <t>TRANSPORTE · Uber · Ebanx (=Uber) · gasto personal Sol</t>
        </is>
      </c>
    </row>
    <row r="443">
      <c r="A443" s="54" t="n">
        <v>46148</v>
      </c>
      <c r="B443" t="inlineStr">
        <is>
          <t>Mayo</t>
        </is>
      </c>
      <c r="C443" t="inlineStr">
        <is>
          <t>TRANSPORTE · Uber</t>
        </is>
      </c>
      <c r="D443" t="n">
        <v>255</v>
      </c>
      <c r="E443" t="inlineStr">
        <is>
          <t>Mercado Pago</t>
        </is>
      </c>
      <c r="F443" t="inlineStr">
        <is>
          <t>TRANSPORTE · Uber · Ebanx (=Uber) · gasto personal Sol</t>
        </is>
      </c>
    </row>
    <row r="444">
      <c r="A444" s="54" t="n">
        <v>46149</v>
      </c>
      <c r="B444" t="inlineStr">
        <is>
          <t>Mayo</t>
        </is>
      </c>
      <c r="C444" t="inlineStr">
        <is>
          <t>TRANSPORTE · Uber</t>
        </is>
      </c>
      <c r="D444" t="n">
        <v>7442</v>
      </c>
      <c r="E444" t="inlineStr">
        <is>
          <t>Mercado Pago</t>
        </is>
      </c>
      <c r="F444" t="inlineStr">
        <is>
          <t>TRANSPORTE · Uber · Ebanx (=Uber) · gasto personal Sol</t>
        </is>
      </c>
    </row>
    <row r="445">
      <c r="A445" s="54" t="n">
        <v>46149</v>
      </c>
      <c r="B445" t="inlineStr">
        <is>
          <t>Mayo</t>
        </is>
      </c>
      <c r="C445" t="inlineStr">
        <is>
          <t>TRANSPORTE · Uber</t>
        </is>
      </c>
      <c r="D445" t="n">
        <v>6706</v>
      </c>
      <c r="E445" t="inlineStr">
        <is>
          <t>Mercado Pago</t>
        </is>
      </c>
      <c r="F445" t="inlineStr">
        <is>
          <t>TRANSPORTE · Uber · Ebanx (=Uber) · gasto personal Sol</t>
        </is>
      </c>
    </row>
    <row r="446">
      <c r="A446" s="54" t="n">
        <v>46150</v>
      </c>
      <c r="B446" t="inlineStr">
        <is>
          <t>Mayo</t>
        </is>
      </c>
      <c r="C446" t="inlineStr">
        <is>
          <t>TRANSPORTE · Didi</t>
        </is>
      </c>
      <c r="D446" t="n">
        <v>1500</v>
      </c>
      <c r="E446" t="inlineStr">
        <is>
          <t>Mercado Pago</t>
        </is>
      </c>
      <c r="F446" t="inlineStr">
        <is>
          <t>transporte · gasto personal Sol</t>
        </is>
      </c>
    </row>
    <row r="447">
      <c r="A447" s="54" t="n">
        <v>46153</v>
      </c>
      <c r="B447" t="inlineStr">
        <is>
          <t>Mayo</t>
        </is>
      </c>
      <c r="C447" t="inlineStr">
        <is>
          <t>TRANSPORTE · Didi</t>
        </is>
      </c>
      <c r="D447" t="n">
        <v>3912</v>
      </c>
      <c r="E447" t="inlineStr">
        <is>
          <t>Mercado Pago</t>
        </is>
      </c>
      <c r="F447" t="inlineStr">
        <is>
          <t>transporte · gasto personal Sol</t>
        </is>
      </c>
    </row>
    <row r="448">
      <c r="A448" s="54" t="n">
        <v>46153</v>
      </c>
      <c r="B448" t="inlineStr">
        <is>
          <t>Mayo</t>
        </is>
      </c>
      <c r="C448" t="inlineStr">
        <is>
          <t>TRANSPORTE · Didi</t>
        </is>
      </c>
      <c r="D448" t="n">
        <v>6810</v>
      </c>
      <c r="E448" t="inlineStr">
        <is>
          <t>Mercado Pago</t>
        </is>
      </c>
      <c r="F448" t="inlineStr">
        <is>
          <t>transporte · gasto personal Sol</t>
        </is>
      </c>
    </row>
    <row r="449">
      <c r="A449" s="54" t="n">
        <v>46154</v>
      </c>
      <c r="B449" t="inlineStr">
        <is>
          <t>Mayo</t>
        </is>
      </c>
      <c r="C449" t="inlineStr">
        <is>
          <t>TRANSPORTE · Didi</t>
        </is>
      </c>
      <c r="D449" t="n">
        <v>3912</v>
      </c>
      <c r="E449" t="inlineStr">
        <is>
          <t>Mercado Pago</t>
        </is>
      </c>
      <c r="F449" t="inlineStr">
        <is>
          <t>transporte · gasto personal Sol</t>
        </is>
      </c>
    </row>
    <row r="450">
      <c r="A450" s="54" t="n">
        <v>46154</v>
      </c>
      <c r="B450" t="inlineStr">
        <is>
          <t>Mayo</t>
        </is>
      </c>
      <c r="C450" t="inlineStr">
        <is>
          <t>TRANSPORTE · Didi</t>
        </is>
      </c>
      <c r="D450" t="n">
        <v>200</v>
      </c>
      <c r="E450" t="inlineStr">
        <is>
          <t>Mercado Pago</t>
        </is>
      </c>
      <c r="F450" t="inlineStr">
        <is>
          <t>transporte · gasto personal Sol</t>
        </is>
      </c>
    </row>
    <row r="451">
      <c r="A451" s="54" t="n">
        <v>46154</v>
      </c>
      <c r="B451" t="inlineStr">
        <is>
          <t>Mayo</t>
        </is>
      </c>
      <c r="C451" t="inlineStr">
        <is>
          <t>TRANSPORTE · Didi</t>
        </is>
      </c>
      <c r="D451" t="n">
        <v>6180</v>
      </c>
      <c r="E451" t="inlineStr">
        <is>
          <t>Mercado Pago</t>
        </is>
      </c>
      <c r="F451" t="inlineStr">
        <is>
          <t>transporte · gasto personal Sol</t>
        </is>
      </c>
    </row>
    <row r="452">
      <c r="A452" s="54" t="n">
        <v>46160</v>
      </c>
      <c r="B452" t="inlineStr">
        <is>
          <t>Mayo</t>
        </is>
      </c>
      <c r="C452" t="inlineStr">
        <is>
          <t>TRANSPORTE · Didi</t>
        </is>
      </c>
      <c r="D452" t="n">
        <v>6030</v>
      </c>
      <c r="E452" t="inlineStr">
        <is>
          <t>Mercado Pago</t>
        </is>
      </c>
      <c r="F452" t="inlineStr">
        <is>
          <t>transporte · gasto personal Sol</t>
        </is>
      </c>
    </row>
    <row r="453">
      <c r="A453" s="54" t="n">
        <v>46160</v>
      </c>
      <c r="B453" t="inlineStr">
        <is>
          <t>Mayo</t>
        </is>
      </c>
      <c r="C453" t="inlineStr">
        <is>
          <t>TRANSPORTE · Didi</t>
        </is>
      </c>
      <c r="D453" t="n">
        <v>6880</v>
      </c>
      <c r="E453" t="inlineStr">
        <is>
          <t>Mercado Pago</t>
        </is>
      </c>
      <c r="F453" t="inlineStr">
        <is>
          <t>transporte · gasto personal Sol</t>
        </is>
      </c>
    </row>
    <row r="454">
      <c r="A454" s="54" t="n">
        <v>46161</v>
      </c>
      <c r="B454" t="inlineStr">
        <is>
          <t>Mayo</t>
        </is>
      </c>
      <c r="C454" t="inlineStr">
        <is>
          <t>TRANSPORTE · Didi</t>
        </is>
      </c>
      <c r="D454" t="n">
        <v>4157</v>
      </c>
      <c r="E454" t="inlineStr">
        <is>
          <t>Mercado Pago</t>
        </is>
      </c>
      <c r="F454" t="inlineStr">
        <is>
          <t>transporte · gasto personal Sol</t>
        </is>
      </c>
    </row>
    <row r="455">
      <c r="A455" s="54" t="n">
        <v>46164</v>
      </c>
      <c r="B455" t="inlineStr">
        <is>
          <t>Mayo</t>
        </is>
      </c>
      <c r="C455" t="inlineStr">
        <is>
          <t>TRANSPORTE · Didi</t>
        </is>
      </c>
      <c r="D455" t="n">
        <v>5700</v>
      </c>
      <c r="E455" t="inlineStr">
        <is>
          <t>Mercado Pago</t>
        </is>
      </c>
      <c r="F455" t="inlineStr">
        <is>
          <t>transporte · gasto personal Sol</t>
        </is>
      </c>
    </row>
    <row r="456">
      <c r="A456" s="54" t="n">
        <v>46164</v>
      </c>
      <c r="B456" t="inlineStr">
        <is>
          <t>Mayo</t>
        </is>
      </c>
      <c r="C456" t="inlineStr">
        <is>
          <t>TRANSPORTE · Uber</t>
        </is>
      </c>
      <c r="D456" t="n">
        <v>6782</v>
      </c>
      <c r="E456" t="inlineStr">
        <is>
          <t>Mercado Pago</t>
        </is>
      </c>
      <c r="F456" t="inlineStr">
        <is>
          <t>TRANSPORTE · Uber · Ebanx (=Uber) · gasto personal Sol</t>
        </is>
      </c>
    </row>
    <row r="457">
      <c r="A457" s="54" t="n">
        <v>46166</v>
      </c>
      <c r="B457" t="inlineStr">
        <is>
          <t>Mayo</t>
        </is>
      </c>
      <c r="C457" t="inlineStr">
        <is>
          <t>TRANSPORTE · Didi</t>
        </is>
      </c>
      <c r="D457" t="n">
        <v>87</v>
      </c>
      <c r="E457" t="inlineStr">
        <is>
          <t>Mercado Pago</t>
        </is>
      </c>
      <c r="F457" t="inlineStr">
        <is>
          <t>transporte · gasto personal Sol</t>
        </is>
      </c>
    </row>
    <row r="458">
      <c r="A458" s="54" t="n">
        <v>46166</v>
      </c>
      <c r="B458" t="inlineStr">
        <is>
          <t>Mayo</t>
        </is>
      </c>
      <c r="C458" t="inlineStr">
        <is>
          <t>TRANSPORTE · Didi</t>
        </is>
      </c>
      <c r="D458" t="n">
        <v>6820</v>
      </c>
      <c r="E458" t="inlineStr">
        <is>
          <t>Mercado Pago</t>
        </is>
      </c>
      <c r="F458" t="inlineStr">
        <is>
          <t>transporte · gasto personal Sol</t>
        </is>
      </c>
    </row>
    <row r="459">
      <c r="A459" s="54" t="n">
        <v>46168</v>
      </c>
      <c r="B459" t="inlineStr">
        <is>
          <t>Mayo</t>
        </is>
      </c>
      <c r="C459" t="inlineStr">
        <is>
          <t>TRANSPORTE · Didi</t>
        </is>
      </c>
      <c r="D459" t="n">
        <v>6990</v>
      </c>
      <c r="E459" t="inlineStr">
        <is>
          <t>Mercado Pago</t>
        </is>
      </c>
      <c r="F459" t="inlineStr">
        <is>
          <t>transporte · gasto personal Sol</t>
        </is>
      </c>
    </row>
    <row r="460">
      <c r="A460" s="54" t="n">
        <v>46168</v>
      </c>
      <c r="B460" t="inlineStr">
        <is>
          <t>Mayo</t>
        </is>
      </c>
      <c r="C460" t="inlineStr">
        <is>
          <t>TRANSPORTE · Didi</t>
        </is>
      </c>
      <c r="D460" t="n">
        <v>4880</v>
      </c>
      <c r="E460" t="inlineStr">
        <is>
          <t>Mercado Pago</t>
        </is>
      </c>
      <c r="F460" t="inlineStr">
        <is>
          <t>transporte · gasto personal Sol</t>
        </is>
      </c>
    </row>
    <row r="461">
      <c r="A461" s="54" t="n">
        <v>46169</v>
      </c>
      <c r="B461" t="inlineStr">
        <is>
          <t>Mayo</t>
        </is>
      </c>
      <c r="C461" t="inlineStr">
        <is>
          <t>TRANSPORTE · Uber</t>
        </is>
      </c>
      <c r="D461" t="n">
        <v>35</v>
      </c>
      <c r="E461" t="inlineStr">
        <is>
          <t>Mercado Pago</t>
        </is>
      </c>
      <c r="F461" t="inlineStr">
        <is>
          <t>TRANSPORTE · Uber · Ebanx (=Uber) · gasto personal Sol</t>
        </is>
      </c>
    </row>
    <row r="462">
      <c r="A462" s="54" t="n">
        <v>46169</v>
      </c>
      <c r="B462" t="inlineStr">
        <is>
          <t>Mayo</t>
        </is>
      </c>
      <c r="C462" t="inlineStr">
        <is>
          <t>TRANSPORTE · Uber</t>
        </is>
      </c>
      <c r="D462" t="n">
        <v>2890</v>
      </c>
      <c r="E462" t="inlineStr">
        <is>
          <t>Mercado Pago</t>
        </is>
      </c>
      <c r="F462" t="inlineStr">
        <is>
          <t>TRANSPORTE · Uber · Ebanx (=Uber) · gasto personal Sol</t>
        </is>
      </c>
    </row>
    <row r="463">
      <c r="A463" s="54" t="n">
        <v>46169</v>
      </c>
      <c r="B463" t="inlineStr">
        <is>
          <t>Mayo</t>
        </is>
      </c>
      <c r="C463" t="inlineStr">
        <is>
          <t>TRANSPORTE · Didi</t>
        </is>
      </c>
      <c r="D463" t="n">
        <v>6640</v>
      </c>
      <c r="E463" t="inlineStr">
        <is>
          <t>Mercado Pago</t>
        </is>
      </c>
      <c r="F463" t="inlineStr">
        <is>
          <t>transporte · gasto personal Sol</t>
        </is>
      </c>
    </row>
    <row r="464">
      <c r="A464" s="54" t="n">
        <v>46171</v>
      </c>
      <c r="B464" t="inlineStr">
        <is>
          <t>Mayo</t>
        </is>
      </c>
      <c r="C464" t="inlineStr">
        <is>
          <t>TRANSPORTE · Uber</t>
        </is>
      </c>
      <c r="D464" t="n">
        <v>5478</v>
      </c>
      <c r="E464" t="inlineStr">
        <is>
          <t>Mercado Pago</t>
        </is>
      </c>
      <c r="F464" t="inlineStr">
        <is>
          <t>TRANSPORTE · Uber · Ebanx (=Uber) · gasto personal Sol</t>
        </is>
      </c>
    </row>
    <row r="465">
      <c r="A465" s="54" t="n">
        <v>46171</v>
      </c>
      <c r="B465" t="inlineStr">
        <is>
          <t>Mayo</t>
        </is>
      </c>
      <c r="C465" t="inlineStr">
        <is>
          <t>TRANSPORTE · Uber</t>
        </is>
      </c>
      <c r="D465" t="n">
        <v>5194</v>
      </c>
      <c r="E465" t="inlineStr">
        <is>
          <t>Mercado Pago</t>
        </is>
      </c>
      <c r="F465" t="inlineStr">
        <is>
          <t>TRANSPORTE · Uber · Ebanx (=Uber) · gasto personal Sol</t>
        </is>
      </c>
    </row>
    <row r="466">
      <c r="A466" s="54" t="n">
        <v>46190</v>
      </c>
      <c r="B466" t="inlineStr">
        <is>
          <t>Junio</t>
        </is>
      </c>
      <c r="C466" t="inlineStr">
        <is>
          <t>TRANSPORTE · Didi</t>
        </is>
      </c>
      <c r="D466" t="n">
        <v>4950</v>
      </c>
      <c r="E466" t="inlineStr">
        <is>
          <t>Mercado Pago</t>
        </is>
      </c>
      <c r="F466" t="inlineStr">
        <is>
          <t>transporte · gasto personal Sol</t>
        </is>
      </c>
    </row>
    <row r="467">
      <c r="A467" s="54" t="n">
        <v>46196</v>
      </c>
      <c r="B467" t="inlineStr">
        <is>
          <t>Junio</t>
        </is>
      </c>
      <c r="C467" t="inlineStr">
        <is>
          <t>TRANSPORTE · Didi</t>
        </is>
      </c>
      <c r="D467" t="n">
        <v>4955</v>
      </c>
      <c r="E467" t="inlineStr">
        <is>
          <t>Mercado Pago</t>
        </is>
      </c>
      <c r="F467" t="inlineStr">
        <is>
          <t>transporte · gasto personal Sol</t>
        </is>
      </c>
    </row>
    <row r="468">
      <c r="A468" s="54" t="n">
        <v>46196</v>
      </c>
      <c r="B468" t="inlineStr">
        <is>
          <t>Junio</t>
        </is>
      </c>
      <c r="C468" t="inlineStr">
        <is>
          <t>TRANSPORTE · Didi</t>
        </is>
      </c>
      <c r="D468" t="n">
        <v>6480</v>
      </c>
      <c r="E468" t="inlineStr">
        <is>
          <t>Mercado Pago</t>
        </is>
      </c>
      <c r="F468" t="inlineStr">
        <is>
          <t>transporte · gasto personal Sol</t>
        </is>
      </c>
    </row>
    <row r="469">
      <c r="A469" s="54" t="n">
        <v>46199</v>
      </c>
      <c r="B469" t="inlineStr">
        <is>
          <t>Junio</t>
        </is>
      </c>
      <c r="C469" t="inlineStr">
        <is>
          <t>TRANSPORTE · Didi</t>
        </is>
      </c>
      <c r="D469" t="n">
        <v>5300</v>
      </c>
      <c r="E469" t="inlineStr">
        <is>
          <t>Mercado Pago</t>
        </is>
      </c>
      <c r="F469" t="inlineStr">
        <is>
          <t>transporte · gasto personal Sol</t>
        </is>
      </c>
    </row>
    <row r="470">
      <c r="A470" s="54" t="n">
        <v>46199</v>
      </c>
      <c r="B470" t="inlineStr">
        <is>
          <t>Junio</t>
        </is>
      </c>
      <c r="C470" t="inlineStr">
        <is>
          <t>TRANSPORTE · Didi</t>
        </is>
      </c>
      <c r="D470" t="n">
        <v>6500</v>
      </c>
      <c r="E470" t="inlineStr">
        <is>
          <t>Mercado Pago</t>
        </is>
      </c>
      <c r="F470" t="inlineStr">
        <is>
          <t>transporte · gasto personal Sol</t>
        </is>
      </c>
    </row>
    <row r="471">
      <c r="A471" s="54" t="n">
        <v>46203</v>
      </c>
      <c r="B471" t="inlineStr">
        <is>
          <t>Junio</t>
        </is>
      </c>
      <c r="C471" t="inlineStr">
        <is>
          <t>TRANSPORTE · Didi</t>
        </is>
      </c>
      <c r="D471" t="n">
        <v>5490</v>
      </c>
      <c r="E471" t="inlineStr">
        <is>
          <t>Mercado Pago</t>
        </is>
      </c>
      <c r="F471" t="inlineStr">
        <is>
          <t>transporte · gasto personal Sol</t>
        </is>
      </c>
    </row>
    <row r="472">
      <c r="A472" s="54" t="n">
        <v>46203</v>
      </c>
      <c r="B472" t="inlineStr">
        <is>
          <t>Junio</t>
        </is>
      </c>
      <c r="C472" t="inlineStr">
        <is>
          <t>TRANSPORTE · Didi</t>
        </is>
      </c>
      <c r="D472" t="n">
        <v>5120</v>
      </c>
      <c r="E472" t="inlineStr">
        <is>
          <t>Mercado Pago</t>
        </is>
      </c>
      <c r="F472" t="inlineStr">
        <is>
          <t>transporte · gasto personal Sol</t>
        </is>
      </c>
    </row>
    <row r="473">
      <c r="A473" s="54" t="n">
        <v>46206</v>
      </c>
      <c r="B473" t="inlineStr">
        <is>
          <t>Julio</t>
        </is>
      </c>
      <c r="C473" t="inlineStr">
        <is>
          <t>TRANSPORTE · Uber</t>
        </is>
      </c>
      <c r="D473" t="n">
        <v>6346</v>
      </c>
      <c r="E473" t="inlineStr">
        <is>
          <t>Mercado Pago</t>
        </is>
      </c>
      <c r="F473" t="inlineStr">
        <is>
          <t>TRANSPORTE · Uber · Ebanx (=Uber) · gasto personal Sol</t>
        </is>
      </c>
    </row>
    <row r="474">
      <c r="A474" s="54" t="n">
        <v>46206</v>
      </c>
      <c r="B474" t="inlineStr">
        <is>
          <t>Julio</t>
        </is>
      </c>
      <c r="C474" t="inlineStr">
        <is>
          <t>TRANSPORTE · Didi</t>
        </is>
      </c>
      <c r="D474" t="n">
        <v>6560</v>
      </c>
      <c r="E474" t="inlineStr">
        <is>
          <t>Mercado Pago</t>
        </is>
      </c>
      <c r="F474" t="inlineStr">
        <is>
          <t>transporte · gasto personal Sol</t>
        </is>
      </c>
    </row>
    <row r="475">
      <c r="A475" s="54" t="n">
        <v>46208</v>
      </c>
      <c r="B475" t="inlineStr">
        <is>
          <t>Julio</t>
        </is>
      </c>
      <c r="C475" t="inlineStr">
        <is>
          <t>TRANSPORTE · Didi</t>
        </is>
      </c>
      <c r="D475" t="n">
        <v>6280</v>
      </c>
      <c r="E475" t="inlineStr">
        <is>
          <t>Mercado Pago</t>
        </is>
      </c>
      <c r="F475" t="inlineStr">
        <is>
          <t>transporte · gasto personal Sol</t>
        </is>
      </c>
    </row>
    <row r="476">
      <c r="A476" s="54" t="n">
        <v>46209</v>
      </c>
      <c r="B476" t="inlineStr">
        <is>
          <t>Julio</t>
        </is>
      </c>
      <c r="C476" t="inlineStr">
        <is>
          <t>TRANSPORTE · Uber</t>
        </is>
      </c>
      <c r="D476" t="n">
        <v>6911</v>
      </c>
      <c r="E476" t="inlineStr">
        <is>
          <t>Mercado Pago</t>
        </is>
      </c>
      <c r="F476" t="inlineStr">
        <is>
          <t>TRANSPORTE · Uber · Ebanx (=Uber) · gasto personal Sol</t>
        </is>
      </c>
    </row>
    <row r="477">
      <c r="A477" s="54" t="n">
        <v>46216</v>
      </c>
      <c r="B477" t="inlineStr">
        <is>
          <t>Julio</t>
        </is>
      </c>
      <c r="C477" t="inlineStr">
        <is>
          <t>TRANSPORTE · Uber</t>
        </is>
      </c>
      <c r="D477" t="n">
        <v>6809</v>
      </c>
      <c r="E477" t="inlineStr">
        <is>
          <t>Mercado Pago</t>
        </is>
      </c>
      <c r="F477" t="inlineStr">
        <is>
          <t>TRANSPORTE · Uber · Ebanx (=Uber) · gasto personal Sol</t>
        </is>
      </c>
    </row>
    <row r="478">
      <c r="A478" s="54" t="n">
        <v>46218</v>
      </c>
      <c r="B478" t="inlineStr">
        <is>
          <t>Julio</t>
        </is>
      </c>
      <c r="C478" t="inlineStr">
        <is>
          <t>TRANSPORTE · Didi</t>
        </is>
      </c>
      <c r="D478" t="n">
        <v>5100</v>
      </c>
      <c r="E478" t="inlineStr">
        <is>
          <t>Mercado Pago</t>
        </is>
      </c>
      <c r="F478" t="inlineStr">
        <is>
          <t>transporte · gasto personal Sol</t>
        </is>
      </c>
    </row>
    <row r="479">
      <c r="A479" s="54" t="n">
        <v>46218</v>
      </c>
      <c r="B479" t="inlineStr">
        <is>
          <t>Julio</t>
        </is>
      </c>
      <c r="C479" t="inlineStr">
        <is>
          <t>TRANSPORTE · Uber</t>
        </is>
      </c>
      <c r="D479" t="n">
        <v>384</v>
      </c>
      <c r="E479" t="inlineStr">
        <is>
          <t>Mercado Pago</t>
        </is>
      </c>
      <c r="F479" t="inlineStr">
        <is>
          <t>TRANSPORTE · Uber · Ebanx (=Uber) · gasto personal Sol</t>
        </is>
      </c>
    </row>
    <row r="480">
      <c r="A480" s="54" t="n">
        <v>46218</v>
      </c>
      <c r="B480" t="inlineStr">
        <is>
          <t>Julio</t>
        </is>
      </c>
      <c r="C480" t="inlineStr">
        <is>
          <t>TRANSPORTE · Uber</t>
        </is>
      </c>
      <c r="D480" t="n">
        <v>6866</v>
      </c>
      <c r="E480" t="inlineStr">
        <is>
          <t>Mercado Pago</t>
        </is>
      </c>
      <c r="F480" t="inlineStr">
        <is>
          <t>TRANSPORTE · Uber · Ebanx (=Uber) · gasto personal Sol</t>
        </is>
      </c>
    </row>
    <row r="481">
      <c r="A481" s="54" t="n">
        <v>46220</v>
      </c>
      <c r="B481" t="inlineStr">
        <is>
          <t>Julio</t>
        </is>
      </c>
      <c r="C481" t="inlineStr">
        <is>
          <t>TRANSPORTE · Didi</t>
        </is>
      </c>
      <c r="D481" t="n">
        <v>5800</v>
      </c>
      <c r="E481" t="inlineStr">
        <is>
          <t>Mercado Pago</t>
        </is>
      </c>
      <c r="F481" t="inlineStr">
        <is>
          <t>transporte · gasto personal Sol</t>
        </is>
      </c>
    </row>
    <row r="482">
      <c r="A482" s="54" t="n">
        <v>46220</v>
      </c>
      <c r="B482" t="inlineStr">
        <is>
          <t>Julio</t>
        </is>
      </c>
      <c r="C482" t="inlineStr">
        <is>
          <t>TRANSPORTE · Uber</t>
        </is>
      </c>
      <c r="D482" t="n">
        <v>4390</v>
      </c>
      <c r="E482" t="inlineStr">
        <is>
          <t>Mercado Pago</t>
        </is>
      </c>
      <c r="F482" t="inlineStr">
        <is>
          <t>TRANSPORTE · Uber · Ebanx (=Uber) · gasto personal Sol</t>
        </is>
      </c>
    </row>
    <row r="483">
      <c r="A483" s="54" t="n">
        <v>46051</v>
      </c>
      <c r="B483" t="inlineStr">
        <is>
          <t>Enero</t>
        </is>
      </c>
      <c r="C483" t="inlineStr">
        <is>
          <t>TRANSPORTE · Cabify</t>
        </is>
      </c>
      <c r="D483" t="n">
        <v>6144</v>
      </c>
      <c r="E483" t="inlineStr">
        <is>
          <t>BBVA</t>
        </is>
      </c>
      <c r="F483" t="inlineStr">
        <is>
          <t>Cabify · BBVA MASTERCARD (BBVA-MASTERCARD-2026-01-29-6144) · gasto personal Sol</t>
        </is>
      </c>
    </row>
    <row r="484">
      <c r="A484" s="54" t="n">
        <v>46037</v>
      </c>
      <c r="B484" t="inlineStr">
        <is>
          <t>Enero</t>
        </is>
      </c>
      <c r="C484" t="inlineStr">
        <is>
          <t>TRANSPORTE · Cabify</t>
        </is>
      </c>
      <c r="D484" t="n">
        <v>4237</v>
      </c>
      <c r="E484" t="inlineStr">
        <is>
          <t>BBVA</t>
        </is>
      </c>
      <c r="F484" t="inlineStr">
        <is>
          <t>Cabify · BBVA MASTERCARD (BBVA-MASTERCARD-2026-01-15-4237) · gasto personal Sol</t>
        </is>
      </c>
    </row>
    <row r="485">
      <c r="A485" s="54" t="n">
        <v>46046</v>
      </c>
      <c r="B485" t="inlineStr">
        <is>
          <t>Enero</t>
        </is>
      </c>
      <c r="C485" t="inlineStr">
        <is>
          <t>TRANSPORTE · Cabify</t>
        </is>
      </c>
      <c r="D485" t="n">
        <v>3335</v>
      </c>
      <c r="E485" t="inlineStr">
        <is>
          <t>BBVA</t>
        </is>
      </c>
      <c r="F485" t="inlineStr">
        <is>
          <t>Cabify · BBVA MASTERCARD (BBVA-MASTERCARD-2026-01-24-3335) · gasto personal Sol</t>
        </is>
      </c>
    </row>
    <row r="486">
      <c r="A486" s="54" t="n">
        <v>46191</v>
      </c>
      <c r="B486" t="inlineStr">
        <is>
          <t>Junio</t>
        </is>
      </c>
      <c r="C486" t="inlineStr">
        <is>
          <t>TRANSPORTE · Cabify</t>
        </is>
      </c>
      <c r="D486" t="n">
        <v>9669</v>
      </c>
      <c r="E486" t="inlineStr">
        <is>
          <t>BBVA</t>
        </is>
      </c>
      <c r="F486" t="inlineStr">
        <is>
          <t>Cabify · BBVA VISA (BBVA-VISA-2026-06-18-9669) · gasto personal Sol</t>
        </is>
      </c>
    </row>
    <row r="487">
      <c r="A487" s="54" t="n">
        <v>46158</v>
      </c>
      <c r="B487" t="inlineStr">
        <is>
          <t>Mayo</t>
        </is>
      </c>
      <c r="C487" t="inlineStr">
        <is>
          <t>TRANSPORTE · Cabify</t>
        </is>
      </c>
      <c r="D487" t="n">
        <v>5198</v>
      </c>
      <c r="E487" t="inlineStr">
        <is>
          <t>BBVA</t>
        </is>
      </c>
      <c r="F487" t="inlineStr">
        <is>
          <t>Cabify · BBVA VISA (BBVA-VISA-2026-05-16-5198) · gasto personal Sol</t>
        </is>
      </c>
    </row>
    <row r="488">
      <c r="A488" s="54" t="n">
        <v>46164</v>
      </c>
      <c r="B488" t="inlineStr">
        <is>
          <t>Mayo</t>
        </is>
      </c>
      <c r="C488" t="inlineStr">
        <is>
          <t>TRANSPORTE · Cabify</t>
        </is>
      </c>
      <c r="D488" t="n">
        <v>16195</v>
      </c>
      <c r="E488" t="inlineStr">
        <is>
          <t>BBVA</t>
        </is>
      </c>
      <c r="F488" t="inlineStr">
        <is>
          <t>Cabify · BBVA VISA (BBVA-VISA-2026-05-22-16195) · gasto personal Sol</t>
        </is>
      </c>
    </row>
    <row r="489">
      <c r="A489" s="54" t="n">
        <v>46132</v>
      </c>
      <c r="B489" t="inlineStr">
        <is>
          <t>Abril</t>
        </is>
      </c>
      <c r="C489" t="inlineStr">
        <is>
          <t>TRANSPORTE · Cabify</t>
        </is>
      </c>
      <c r="D489" t="n">
        <v>6641</v>
      </c>
      <c r="E489" t="inlineStr">
        <is>
          <t>BBVA</t>
        </is>
      </c>
      <c r="F489" t="inlineStr">
        <is>
          <t>Cabify · BBVA VISA (BBVA-VISA-2026-04-20-6641) · gasto personal Sol</t>
        </is>
      </c>
    </row>
    <row r="490">
      <c r="A490" s="54" t="n">
        <v>46170</v>
      </c>
      <c r="B490" t="inlineStr">
        <is>
          <t>Mayo</t>
        </is>
      </c>
      <c r="C490" t="inlineStr">
        <is>
          <t>TRANSPORTE · Emova</t>
        </is>
      </c>
      <c r="D490" t="n">
        <v>1490</v>
      </c>
      <c r="E490" t="inlineStr">
        <is>
          <t>BBVA</t>
        </is>
      </c>
      <c r="F490" t="inlineStr">
        <is>
          <t>Subte · BBVA MASTERCARD (BBVA-MASTERCARD-2026-05-28-1490) · gasto personal Sol</t>
        </is>
      </c>
    </row>
    <row r="491">
      <c r="A491" s="54" t="n">
        <v>46080</v>
      </c>
      <c r="B491" t="inlineStr">
        <is>
          <t>Febrero</t>
        </is>
      </c>
      <c r="C491" t="inlineStr">
        <is>
          <t>TRANSPORTE · Cabify</t>
        </is>
      </c>
      <c r="D491" t="n">
        <v>6003</v>
      </c>
      <c r="E491" t="inlineStr">
        <is>
          <t>BBVA</t>
        </is>
      </c>
      <c r="F491" t="inlineStr">
        <is>
          <t>Cabify · BBVA MASTERCARD (BBVA-MASTERCARD-2026-02-27-6003) · gasto personal Sol</t>
        </is>
      </c>
    </row>
    <row r="492">
      <c r="A492" s="54" t="n">
        <v>46081</v>
      </c>
      <c r="B492" t="inlineStr">
        <is>
          <t>Febrero</t>
        </is>
      </c>
      <c r="C492" t="inlineStr">
        <is>
          <t>TRANSPORTE · Cabify</t>
        </is>
      </c>
      <c r="D492" t="n">
        <v>4955</v>
      </c>
      <c r="E492" t="inlineStr">
        <is>
          <t>BBVA</t>
        </is>
      </c>
      <c r="F492" t="inlineStr">
        <is>
          <t>Cabify · BBVA MASTERCARD (BBVA-MASTERCARD-2026-02-28-4955) · gasto personal Sol</t>
        </is>
      </c>
    </row>
    <row r="493">
      <c r="A493" s="54" t="n">
        <v>46084</v>
      </c>
      <c r="B493" t="inlineStr">
        <is>
          <t>Marzo</t>
        </is>
      </c>
      <c r="C493" t="inlineStr">
        <is>
          <t>TRANSPORTE · Cabify</t>
        </is>
      </c>
      <c r="D493" t="n">
        <v>6170</v>
      </c>
      <c r="E493" t="inlineStr">
        <is>
          <t>BBVA</t>
        </is>
      </c>
      <c r="F493" t="inlineStr">
        <is>
          <t>Cabify · BBVA MASTERCARD (BBVA-MASTERCARD-2026-03-03-6170) · gasto personal Sol</t>
        </is>
      </c>
    </row>
    <row r="494">
      <c r="A494" s="54" t="n">
        <v>46084</v>
      </c>
      <c r="B494" t="inlineStr">
        <is>
          <t>Marzo</t>
        </is>
      </c>
      <c r="C494" t="inlineStr">
        <is>
          <t>TRANSPORTE · Cabify</t>
        </is>
      </c>
      <c r="D494" t="n">
        <v>7046</v>
      </c>
      <c r="E494" t="inlineStr">
        <is>
          <t>BBVA</t>
        </is>
      </c>
      <c r="F494" t="inlineStr">
        <is>
          <t>Cabify · BBVA MASTERCARD (BBVA-MASTERCARD-2026-03-03-7046) · gasto personal Sol</t>
        </is>
      </c>
    </row>
    <row r="495">
      <c r="A495" s="54" t="n">
        <v>46085</v>
      </c>
      <c r="B495" t="inlineStr">
        <is>
          <t>Marzo</t>
        </is>
      </c>
      <c r="C495" t="inlineStr">
        <is>
          <t>TRANSPORTE · Cabify</t>
        </is>
      </c>
      <c r="D495" t="n">
        <v>4440</v>
      </c>
      <c r="E495" t="inlineStr">
        <is>
          <t>BBVA</t>
        </is>
      </c>
      <c r="F495" t="inlineStr">
        <is>
          <t>Cabify · BBVA MASTERCARD (BBVA-MASTERCARD-2026-03-04-4440) · gasto personal Sol</t>
        </is>
      </c>
    </row>
    <row r="496">
      <c r="A496" s="54" t="n">
        <v>46090</v>
      </c>
      <c r="B496" t="inlineStr">
        <is>
          <t>Marzo</t>
        </is>
      </c>
      <c r="C496" t="inlineStr">
        <is>
          <t>TRANSPORTE · Cabify</t>
        </is>
      </c>
      <c r="D496" t="n">
        <v>8821</v>
      </c>
      <c r="E496" t="inlineStr">
        <is>
          <t>BBVA</t>
        </is>
      </c>
      <c r="F496" t="inlineStr">
        <is>
          <t>Cabify · BBVA MASTERCARD (BBVA-MASTERCARD-2026-03-09-8821) · gasto personal Sol</t>
        </is>
      </c>
    </row>
    <row r="497">
      <c r="A497" s="54" t="n">
        <v>46097</v>
      </c>
      <c r="B497" t="inlineStr">
        <is>
          <t>Marzo</t>
        </is>
      </c>
      <c r="C497" t="inlineStr">
        <is>
          <t>TRANSPORTE · Cabify</t>
        </is>
      </c>
      <c r="D497" t="n">
        <v>6427</v>
      </c>
      <c r="E497" t="inlineStr">
        <is>
          <t>BBVA</t>
        </is>
      </c>
      <c r="F497" t="inlineStr">
        <is>
          <t>Cabify · BBVA MASTERCARD (BBVA-MASTERCARD-2026-03-16-6427) · gasto personal Sol</t>
        </is>
      </c>
    </row>
    <row r="498">
      <c r="A498" s="54" t="n">
        <v>46098</v>
      </c>
      <c r="B498" t="inlineStr">
        <is>
          <t>Marzo</t>
        </is>
      </c>
      <c r="C498" t="inlineStr">
        <is>
          <t>TRANSPORTE · Cabify</t>
        </is>
      </c>
      <c r="D498" t="n">
        <v>9209</v>
      </c>
      <c r="E498" t="inlineStr">
        <is>
          <t>BBVA</t>
        </is>
      </c>
      <c r="F498" t="inlineStr">
        <is>
          <t>Cabify · BBVA MASTERCARD (BBVA-MASTERCARD-2026-03-17-9209) · gasto personal Sol</t>
        </is>
      </c>
    </row>
    <row r="499">
      <c r="A499" s="54" t="n">
        <v>46052</v>
      </c>
      <c r="B499" t="inlineStr">
        <is>
          <t>Enero</t>
        </is>
      </c>
      <c r="C499" t="inlineStr">
        <is>
          <t>TRANSPORTE · Cabify</t>
        </is>
      </c>
      <c r="D499" t="n">
        <v>6569</v>
      </c>
      <c r="E499" t="inlineStr">
        <is>
          <t>BBVA</t>
        </is>
      </c>
      <c r="F499" t="inlineStr">
        <is>
          <t>Cabify · BBVA MASTERCARD (BBVA-MASTERCARD-2026-01-30-6569) · gasto personal Sol</t>
        </is>
      </c>
    </row>
    <row r="500">
      <c r="A500" s="54" t="n">
        <v>46052</v>
      </c>
      <c r="B500" t="inlineStr">
        <is>
          <t>Enero</t>
        </is>
      </c>
      <c r="C500" t="inlineStr">
        <is>
          <t>TRANSPORTE · Cabify</t>
        </is>
      </c>
      <c r="D500" t="n">
        <v>5463</v>
      </c>
      <c r="E500" t="inlineStr">
        <is>
          <t>BBVA</t>
        </is>
      </c>
      <c r="F500" t="inlineStr">
        <is>
          <t>Cabify · BBVA MASTERCARD (BBVA-MASTERCARD-2026-01-30-5463) · gasto personal Sol</t>
        </is>
      </c>
    </row>
    <row r="501">
      <c r="A501" s="54" t="n">
        <v>46070</v>
      </c>
      <c r="B501" t="inlineStr">
        <is>
          <t>Febrero</t>
        </is>
      </c>
      <c r="C501" t="inlineStr">
        <is>
          <t>TRANSPORTE · Cabify</t>
        </is>
      </c>
      <c r="D501" t="n">
        <v>4447</v>
      </c>
      <c r="E501" t="inlineStr">
        <is>
          <t>BBVA</t>
        </is>
      </c>
      <c r="F501" t="inlineStr">
        <is>
          <t>Cabify · BBVA MASTERCARD (BBVA-MASTERCARD-2026-02-17-4447) · gasto personal Sol</t>
        </is>
      </c>
    </row>
    <row r="502">
      <c r="A502" s="54" t="n">
        <v>46071</v>
      </c>
      <c r="B502" t="inlineStr">
        <is>
          <t>Febrero</t>
        </is>
      </c>
      <c r="C502" t="inlineStr">
        <is>
          <t>TRANSPORTE · Cabify</t>
        </is>
      </c>
      <c r="D502" t="n">
        <v>4445</v>
      </c>
      <c r="E502" t="inlineStr">
        <is>
          <t>BBVA</t>
        </is>
      </c>
      <c r="F502" t="inlineStr">
        <is>
          <t>Cabify · BBVA MASTERCARD (BBVA-MASTERCARD-2026-02-18-4445) · gasto personal Sol</t>
        </is>
      </c>
    </row>
    <row r="503">
      <c r="A503" s="54" t="n">
        <v>46071</v>
      </c>
      <c r="B503" t="inlineStr">
        <is>
          <t>Febrero</t>
        </is>
      </c>
      <c r="C503" t="inlineStr">
        <is>
          <t>TRANSPORTE · Cabify</t>
        </is>
      </c>
      <c r="D503" t="n">
        <v>5694</v>
      </c>
      <c r="E503" t="inlineStr">
        <is>
          <t>BBVA</t>
        </is>
      </c>
      <c r="F503" t="inlineStr">
        <is>
          <t>Cabify · BBVA MASTERCARD (BBVA-MASTERCARD-2026-02-18-5694) · gasto personal Sol</t>
        </is>
      </c>
    </row>
    <row r="504">
      <c r="A504" s="54" t="n">
        <v>46072</v>
      </c>
      <c r="B504" t="inlineStr">
        <is>
          <t>Febrero</t>
        </is>
      </c>
      <c r="C504" t="inlineStr">
        <is>
          <t>TRANSPORTE · Cabify</t>
        </is>
      </c>
      <c r="D504" t="n">
        <v>3905</v>
      </c>
      <c r="E504" t="inlineStr">
        <is>
          <t>BBVA</t>
        </is>
      </c>
      <c r="F504" t="inlineStr">
        <is>
          <t>Cabify · BBVA MASTERCARD (BBVA-MASTERCARD-2026-02-19-3905) · gasto personal Sol</t>
        </is>
      </c>
    </row>
    <row r="505">
      <c r="A505" s="54" t="n">
        <v>46073</v>
      </c>
      <c r="B505" t="inlineStr">
        <is>
          <t>Febrero</t>
        </is>
      </c>
      <c r="C505" t="inlineStr">
        <is>
          <t>TRANSPORTE · Cabify</t>
        </is>
      </c>
      <c r="D505" t="n">
        <v>5489</v>
      </c>
      <c r="E505" t="inlineStr">
        <is>
          <t>BBVA</t>
        </is>
      </c>
      <c r="F505" t="inlineStr">
        <is>
          <t>Cabify · BBVA MASTERCARD (BBVA-MASTERCARD-2026-02-20-5489) · gasto personal Sol</t>
        </is>
      </c>
    </row>
    <row r="506">
      <c r="A506" s="54" t="n">
        <v>46075</v>
      </c>
      <c r="B506" t="inlineStr">
        <is>
          <t>Febrero</t>
        </is>
      </c>
      <c r="C506" t="inlineStr">
        <is>
          <t>TRANSPORTE · Cabify</t>
        </is>
      </c>
      <c r="D506" t="n">
        <v>4960</v>
      </c>
      <c r="E506" t="inlineStr">
        <is>
          <t>BBVA</t>
        </is>
      </c>
      <c r="F506" t="inlineStr">
        <is>
          <t>Cabify · BBVA MASTERCARD (BBVA-MASTERCARD-2026-02-22-4960) · gasto personal Sol</t>
        </is>
      </c>
    </row>
    <row r="507">
      <c r="A507" s="54" t="n">
        <v>46077</v>
      </c>
      <c r="B507" t="inlineStr">
        <is>
          <t>Febrero</t>
        </is>
      </c>
      <c r="C507" t="inlineStr">
        <is>
          <t>TRANSPORTE · Cabify</t>
        </is>
      </c>
      <c r="D507" t="n">
        <v>3899</v>
      </c>
      <c r="E507" t="inlineStr">
        <is>
          <t>BBVA</t>
        </is>
      </c>
      <c r="F507" t="inlineStr">
        <is>
          <t>Cabify · BBVA MASTERCARD (BBVA-MASTERCARD-2026-02-24-3899) · gasto personal Sol</t>
        </is>
      </c>
    </row>
    <row r="508">
      <c r="A508" s="54" t="n">
        <v>46036</v>
      </c>
      <c r="B508" t="inlineStr">
        <is>
          <t>Enero</t>
        </is>
      </c>
      <c r="C508" t="inlineStr">
        <is>
          <t>TRANSPORTE · Cabify</t>
        </is>
      </c>
      <c r="D508" t="n">
        <v>4966</v>
      </c>
      <c r="E508" t="inlineStr">
        <is>
          <t>BBVA</t>
        </is>
      </c>
      <c r="F508" t="inlineStr">
        <is>
          <t>Cabify · BBVA MASTERCARD (BBVA-MASTERCARD-2026-01-14-4966) · gasto personal Sol</t>
        </is>
      </c>
    </row>
    <row r="509">
      <c r="A509" s="54" t="n">
        <v>46038</v>
      </c>
      <c r="B509" t="inlineStr">
        <is>
          <t>Enero</t>
        </is>
      </c>
      <c r="C509" t="inlineStr">
        <is>
          <t>TRANSPORTE · Cabify</t>
        </is>
      </c>
      <c r="D509" t="n">
        <v>4959</v>
      </c>
      <c r="E509" t="inlineStr">
        <is>
          <t>BBVA</t>
        </is>
      </c>
      <c r="F509" t="inlineStr">
        <is>
          <t>Cabify · BBVA MASTERCARD (BBVA-MASTERCARD-2026-01-16-4959) · gasto personal Sol</t>
        </is>
      </c>
    </row>
    <row r="510">
      <c r="A510" s="54" t="n">
        <v>46040</v>
      </c>
      <c r="B510" t="inlineStr">
        <is>
          <t>Enero</t>
        </is>
      </c>
      <c r="C510" t="inlineStr">
        <is>
          <t>TRANSPORTE · Cabify</t>
        </is>
      </c>
      <c r="D510" t="n">
        <v>5529</v>
      </c>
      <c r="E510" t="inlineStr">
        <is>
          <t>BBVA</t>
        </is>
      </c>
      <c r="F510" t="inlineStr">
        <is>
          <t>Cabify · BBVA MASTERCARD (BBVA-MASTERCARD-2026-01-18-5529) · gasto personal Sol</t>
        </is>
      </c>
    </row>
    <row r="511">
      <c r="A511" s="54" t="n">
        <v>46043</v>
      </c>
      <c r="B511" t="inlineStr">
        <is>
          <t>Enero</t>
        </is>
      </c>
      <c r="C511" t="inlineStr">
        <is>
          <t>TRANSPORTE · Cabify</t>
        </is>
      </c>
      <c r="D511" t="n">
        <v>4447</v>
      </c>
      <c r="E511" t="inlineStr">
        <is>
          <t>BBVA</t>
        </is>
      </c>
      <c r="F511" t="inlineStr">
        <is>
          <t>Cabify · BBVA MASTERCARD (BBVA-MASTERCARD-2026-01-21-4447) · gasto personal Sol</t>
        </is>
      </c>
    </row>
    <row r="512">
      <c r="A512" s="54" t="n">
        <v>46045</v>
      </c>
      <c r="B512" t="inlineStr">
        <is>
          <t>Enero</t>
        </is>
      </c>
      <c r="C512" t="inlineStr">
        <is>
          <t>TRANSPORTE · Cabify</t>
        </is>
      </c>
      <c r="D512" t="n">
        <v>5484</v>
      </c>
      <c r="E512" t="inlineStr">
        <is>
          <t>BBVA</t>
        </is>
      </c>
      <c r="F512" t="inlineStr">
        <is>
          <t>Cabify · BBVA MASTERCARD (BBVA-MASTERCARD-2026-01-23-5484) · gasto personal Sol</t>
        </is>
      </c>
    </row>
    <row r="513">
      <c r="A513" s="54" t="n">
        <v>46047</v>
      </c>
      <c r="B513" t="inlineStr">
        <is>
          <t>Enero</t>
        </is>
      </c>
      <c r="C513" t="inlineStr">
        <is>
          <t>TRANSPORTE · Cabify</t>
        </is>
      </c>
      <c r="D513" t="n">
        <v>4317</v>
      </c>
      <c r="E513" t="inlineStr">
        <is>
          <t>BBVA</t>
        </is>
      </c>
      <c r="F513" t="inlineStr">
        <is>
          <t>Cabify · BBVA MASTERCARD (BBVA-MASTERCARD-2026-01-25-4317) · gasto personal Sol</t>
        </is>
      </c>
    </row>
    <row r="514">
      <c r="A514" s="54" t="n">
        <v>46047</v>
      </c>
      <c r="B514" t="inlineStr">
        <is>
          <t>Enero</t>
        </is>
      </c>
      <c r="C514" t="inlineStr">
        <is>
          <t>TRANSPORTE · Cabify</t>
        </is>
      </c>
      <c r="D514" t="n">
        <v>4799</v>
      </c>
      <c r="E514" t="inlineStr">
        <is>
          <t>BBVA</t>
        </is>
      </c>
      <c r="F514" t="inlineStr">
        <is>
          <t>Cabify · BBVA MASTERCARD (BBVA-MASTERCARD-2026-01-25-4799) · gasto personal Sol</t>
        </is>
      </c>
    </row>
    <row r="515">
      <c r="A515" s="54" t="n">
        <v>46050</v>
      </c>
      <c r="B515" t="inlineStr">
        <is>
          <t>Enero</t>
        </is>
      </c>
      <c r="C515" t="inlineStr">
        <is>
          <t>TRANSPORTE · Cabify</t>
        </is>
      </c>
      <c r="D515" t="n">
        <v>4454</v>
      </c>
      <c r="E515" t="inlineStr">
        <is>
          <t>BBVA</t>
        </is>
      </c>
      <c r="F515" t="inlineStr">
        <is>
          <t>Cabify · BBVA MASTERCARD (BBVA-MASTERCARD-2026-01-28-4454) · gasto personal Sol</t>
        </is>
      </c>
    </row>
    <row r="516">
      <c r="A516" s="54" t="n">
        <v>46170</v>
      </c>
      <c r="B516" t="inlineStr">
        <is>
          <t>Mayo</t>
        </is>
      </c>
      <c r="C516" t="inlineStr">
        <is>
          <t>TRANSPORTE · Emova</t>
        </is>
      </c>
      <c r="D516" t="n">
        <v>1490</v>
      </c>
      <c r="E516" t="inlineStr">
        <is>
          <t>BBVA</t>
        </is>
      </c>
      <c r="F516" t="inlineStr">
        <is>
          <t>Subte · BBVA MASTERCARD (BBVA-MASTERCARD-2026-05-28-1490) · gasto personal Sol</t>
        </is>
      </c>
    </row>
    <row r="517">
      <c r="A517" s="54" t="n">
        <v>46168</v>
      </c>
      <c r="B517" t="inlineStr">
        <is>
          <t>Mayo</t>
        </is>
      </c>
      <c r="C517" t="inlineStr">
        <is>
          <t>SALUD · Vitaminas</t>
        </is>
      </c>
      <c r="D517" t="n">
        <v>87900</v>
      </c>
      <c r="E517" t="inlineStr">
        <is>
          <t>BBVA Visa</t>
        </is>
      </c>
      <c r="F517" t="inlineStr">
        <is>
          <t>SALUD · Vitaminas · Promarine · BBVA · C.02/06 · gasto personal Sol</t>
        </is>
      </c>
    </row>
    <row r="518">
      <c r="A518" s="54" t="n">
        <v>46199</v>
      </c>
      <c r="B518" t="inlineStr">
        <is>
          <t>Junio</t>
        </is>
      </c>
      <c r="C518" t="inlineStr">
        <is>
          <t>SALUD · Vitaminas</t>
        </is>
      </c>
      <c r="D518" t="n">
        <v>87900</v>
      </c>
      <c r="E518" t="inlineStr">
        <is>
          <t>BBVA Visa</t>
        </is>
      </c>
      <c r="F518" t="inlineStr">
        <is>
          <t>SALUD · Vitaminas · Promarine · BBVA · C.03/06 · gasto personal Sol</t>
        </is>
      </c>
    </row>
    <row r="519">
      <c r="A519" s="54" t="n">
        <v>46190</v>
      </c>
      <c r="B519" t="inlineStr">
        <is>
          <t>Junio</t>
        </is>
      </c>
      <c r="C519" t="inlineStr">
        <is>
          <t>ROPA</t>
        </is>
      </c>
      <c r="D519" t="n">
        <v>40004</v>
      </c>
      <c r="E519" t="inlineStr">
        <is>
          <t>BBVA Mastercard</t>
        </is>
      </c>
      <c r="F519" t="inlineStr">
        <is>
          <t>ROPA · Zara · cuota 02/03 · gasto personal Sol</t>
        </is>
      </c>
    </row>
    <row r="520">
      <c r="A520" s="54" t="n">
        <v>46201</v>
      </c>
      <c r="B520" t="inlineStr">
        <is>
          <t>Junio</t>
        </is>
      </c>
      <c r="C520" t="inlineStr">
        <is>
          <t>MERCADO LIBRE</t>
        </is>
      </c>
      <c r="D520" t="n">
        <v>16950</v>
      </c>
      <c r="E520" t="inlineStr">
        <is>
          <t>BBVA MASTERCARD · proyectado</t>
        </is>
      </c>
      <c r="F520" t="inlineStr">
        <is>
          <t>PROYECTADO · C.05/09 · cashflow cuotas BBVA · gasto personal Sol · ex `Mercado Libre · MERCADOLIBRE`</t>
        </is>
      </c>
    </row>
    <row r="521">
      <c r="A521" s="54" t="n">
        <v>46201</v>
      </c>
      <c r="B521" t="inlineStr">
        <is>
          <t>Junio</t>
        </is>
      </c>
      <c r="C521" t="inlineStr">
        <is>
          <t>ROPA</t>
        </is>
      </c>
      <c r="D521" t="n">
        <v>73333</v>
      </c>
      <c r="E521" t="inlineStr">
        <is>
          <t>BBVA MASTERCARD · proyectado</t>
        </is>
      </c>
      <c r="F521" t="inlineStr">
        <is>
          <t>PROYECTADO · C.02/03 · cashflow cuotas BBVA · gasto personal Sol</t>
        </is>
      </c>
    </row>
    <row r="522">
      <c r="A522" s="54" t="n">
        <v>46231</v>
      </c>
      <c r="B522" t="inlineStr">
        <is>
          <t>Julio</t>
        </is>
      </c>
      <c r="C522" t="inlineStr">
        <is>
          <t>ROPA</t>
        </is>
      </c>
      <c r="D522" t="n">
        <v>124667</v>
      </c>
      <c r="E522" t="inlineStr">
        <is>
          <t>BBVA VISA · proyectado</t>
        </is>
      </c>
      <c r="F522" t="inlineStr">
        <is>
          <t>PROYECTADO · C.03/06 · cashflow cuotas BBVA · gasto personal Sol</t>
        </is>
      </c>
    </row>
    <row r="523">
      <c r="A523" s="54" t="n">
        <v>46231</v>
      </c>
      <c r="B523" t="inlineStr">
        <is>
          <t>Julio</t>
        </is>
      </c>
      <c r="C523" t="inlineStr">
        <is>
          <t>VESTIMENTA</t>
        </is>
      </c>
      <c r="D523" t="n">
        <v>98334</v>
      </c>
      <c r="E523" t="inlineStr">
        <is>
          <t>BBVA VISA · proyectado</t>
        </is>
      </c>
      <c r="F523" t="inlineStr">
        <is>
          <t>ROPA · Bokenvoreno · PROYECTADO · C.03/06 · cashflow cuotas BBVA · gasto personal Sol</t>
        </is>
      </c>
    </row>
    <row r="524">
      <c r="A524" s="54" t="n">
        <v>46231</v>
      </c>
      <c r="B524" t="inlineStr">
        <is>
          <t>Julio</t>
        </is>
      </c>
      <c r="C524" t="inlineStr">
        <is>
          <t>HOGAR</t>
        </is>
      </c>
      <c r="D524" t="n">
        <v>329986</v>
      </c>
      <c r="E524" t="inlineStr">
        <is>
          <t>BBVA VISA · proyectado</t>
        </is>
      </c>
      <c r="F524" t="inlineStr">
        <is>
          <t>PROYECTADO · C.03/03 · cashflow cuotas BBVA · gasto personal Sol · ex `CAMBIODEAIRES`</t>
        </is>
      </c>
    </row>
    <row r="525">
      <c r="A525" s="54" t="n">
        <v>46231</v>
      </c>
      <c r="B525" t="inlineStr">
        <is>
          <t>Julio</t>
        </is>
      </c>
      <c r="C525" t="inlineStr">
        <is>
          <t>ROPA</t>
        </is>
      </c>
      <c r="D525" t="n">
        <v>80834</v>
      </c>
      <c r="E525" t="inlineStr">
        <is>
          <t>BBVA MASTERCARD · proyectado</t>
        </is>
      </c>
      <c r="F525" t="inlineStr">
        <is>
          <t>PROYECTADO · C.03/06 · cashflow cuotas BBVA · gasto personal Sol</t>
        </is>
      </c>
    </row>
    <row r="526">
      <c r="A526" s="54" t="n">
        <v>46231</v>
      </c>
      <c r="B526" t="inlineStr">
        <is>
          <t>Julio</t>
        </is>
      </c>
      <c r="C526" t="inlineStr">
        <is>
          <t>SALUD</t>
        </is>
      </c>
      <c r="D526" t="n">
        <v>54033</v>
      </c>
      <c r="E526" t="inlineStr">
        <is>
          <t>BBVA MASTERCARD · proyectado</t>
        </is>
      </c>
      <c r="F526" t="inlineStr">
        <is>
          <t>SALUD · Laboratorio · PROYECTADO · C.04/06 · cashflow cuotas BBVA · gasto personal Sol</t>
        </is>
      </c>
    </row>
    <row r="527">
      <c r="A527" s="54" t="n">
        <v>46231</v>
      </c>
      <c r="B527" t="inlineStr">
        <is>
          <t>Julio</t>
        </is>
      </c>
      <c r="C527" t="inlineStr">
        <is>
          <t>MERCADO LIBRE</t>
        </is>
      </c>
      <c r="D527" t="n">
        <v>275000</v>
      </c>
      <c r="E527" t="inlineStr">
        <is>
          <t>BBVA MASTERCARD · proyectado</t>
        </is>
      </c>
      <c r="F527" t="inlineStr">
        <is>
          <t>PROYECTADO · C.05/12 · cashflow cuotas BBVA · gasto personal Sol · ex `Mercado Libre · MERCADOLIBRE`</t>
        </is>
      </c>
    </row>
    <row r="528">
      <c r="A528" s="54" t="n">
        <v>46231</v>
      </c>
      <c r="B528" t="inlineStr">
        <is>
          <t>Julio</t>
        </is>
      </c>
      <c r="C528" t="inlineStr">
        <is>
          <t>MERCADO LIBRE</t>
        </is>
      </c>
      <c r="D528" t="n">
        <v>17360</v>
      </c>
      <c r="E528" t="inlineStr">
        <is>
          <t>BBVA MASTERCARD · proyectado</t>
        </is>
      </c>
      <c r="F528" t="inlineStr">
        <is>
          <t>PROYECTADO · C.06/09 · cashflow cuotas BBVA · gasto personal Sol · ex `Mercado Libre · MERCADOLIBRE`</t>
        </is>
      </c>
    </row>
    <row r="529">
      <c r="A529" s="54" t="n">
        <v>46231</v>
      </c>
      <c r="B529" t="inlineStr">
        <is>
          <t>Julio</t>
        </is>
      </c>
      <c r="C529" t="inlineStr">
        <is>
          <t>MERCADO LIBRE</t>
        </is>
      </c>
      <c r="D529" t="n">
        <v>16950</v>
      </c>
      <c r="E529" t="inlineStr">
        <is>
          <t>BBVA MASTERCARD · proyectado</t>
        </is>
      </c>
      <c r="F529" t="inlineStr">
        <is>
          <t>PROYECTADO · C.06/09 · cashflow cuotas BBVA · gasto personal Sol · ex `Mercado Libre · MERCADOLIBRE`</t>
        </is>
      </c>
    </row>
    <row r="530">
      <c r="A530" s="54" t="n">
        <v>46231</v>
      </c>
      <c r="B530" t="inlineStr">
        <is>
          <t>Julio</t>
        </is>
      </c>
      <c r="C530" t="inlineStr">
        <is>
          <t>ROPA</t>
        </is>
      </c>
      <c r="D530" t="n">
        <v>95984</v>
      </c>
      <c r="E530" t="inlineStr">
        <is>
          <t>BBVA MASTERCARD · proyectado</t>
        </is>
      </c>
      <c r="F530" t="inlineStr">
        <is>
          <t>ROPA · Monofuk · PROYECTADO · C.04/06 · cashflow cuotas BBVA · gasto personal Sol</t>
        </is>
      </c>
    </row>
    <row r="531">
      <c r="A531" s="54" t="n">
        <v>46231</v>
      </c>
      <c r="B531" t="inlineStr">
        <is>
          <t>Julio</t>
        </is>
      </c>
      <c r="C531" t="inlineStr">
        <is>
          <t>ROPA</t>
        </is>
      </c>
      <c r="D531" t="n">
        <v>73333</v>
      </c>
      <c r="E531" t="inlineStr">
        <is>
          <t>BBVA MASTERCARD · proyectado</t>
        </is>
      </c>
      <c r="F531" t="inlineStr">
        <is>
          <t>PROYECTADO · C.03/03 · cashflow cuotas BBVA · gasto personal Sol</t>
        </is>
      </c>
    </row>
    <row r="532">
      <c r="A532" s="54" t="n">
        <v>46231</v>
      </c>
      <c r="B532" t="inlineStr">
        <is>
          <t>Julio</t>
        </is>
      </c>
      <c r="C532" t="inlineStr">
        <is>
          <t>SALUD · Vitaminas</t>
        </is>
      </c>
      <c r="D532" t="n">
        <v>87900</v>
      </c>
      <c r="E532" t="inlineStr">
        <is>
          <t>BBVA VISA · proyectado</t>
        </is>
      </c>
      <c r="F532" t="inlineStr">
        <is>
          <t>PROYECTADO · SALUD · Vitaminas · Promarine · BBVA · C.04/06 · gasto personal Sol</t>
        </is>
      </c>
    </row>
    <row r="533">
      <c r="A533" s="54" t="n">
        <v>46231</v>
      </c>
      <c r="B533" t="inlineStr">
        <is>
          <t>Julio</t>
        </is>
      </c>
      <c r="C533" t="inlineStr">
        <is>
          <t>ROPA</t>
        </is>
      </c>
      <c r="D533" t="n">
        <v>36667</v>
      </c>
      <c r="E533" t="inlineStr">
        <is>
          <t>BBVA MASTERCARD · proyectado</t>
        </is>
      </c>
      <c r="F533" t="inlineStr">
        <is>
          <t>PROYECTADO · C.03/06 · cashflow cuotas BBVA · gasto personal Sol</t>
        </is>
      </c>
    </row>
    <row r="534">
      <c r="A534" s="54" t="n">
        <v>46231</v>
      </c>
      <c r="B534" t="inlineStr">
        <is>
          <t>Julio</t>
        </is>
      </c>
      <c r="C534" t="inlineStr">
        <is>
          <t>HOGAR</t>
        </is>
      </c>
      <c r="D534" t="n">
        <v>18334</v>
      </c>
      <c r="E534" t="inlineStr">
        <is>
          <t>BBVA MASTERCARD · proyectado</t>
        </is>
      </c>
      <c r="F534" t="inlineStr">
        <is>
          <t>HOGAR · Stanley · PROYECTADO · C.04/06 · cashflow cuotas BBVA · gasto personal Sol</t>
        </is>
      </c>
    </row>
    <row r="535">
      <c r="A535" s="54" t="n">
        <v>46231</v>
      </c>
      <c r="B535" t="inlineStr">
        <is>
          <t>Julio</t>
        </is>
      </c>
      <c r="C535" t="inlineStr">
        <is>
          <t>ROPA</t>
        </is>
      </c>
      <c r="D535" t="n">
        <v>84216</v>
      </c>
      <c r="E535" t="inlineStr">
        <is>
          <t>BBVA MASTERCARD · proyectado</t>
        </is>
      </c>
      <c r="F535" t="inlineStr">
        <is>
          <t>PROYECTADO · C.03/03 · cashflow cuotas BBVA · gasto personal Sol</t>
        </is>
      </c>
    </row>
    <row r="536">
      <c r="A536" s="54" t="n">
        <v>46231</v>
      </c>
      <c r="B536" t="inlineStr">
        <is>
          <t>Julio</t>
        </is>
      </c>
      <c r="C536" t="inlineStr">
        <is>
          <t>ROPA</t>
        </is>
      </c>
      <c r="D536" t="n">
        <v>60917</v>
      </c>
      <c r="E536" t="inlineStr">
        <is>
          <t>BBVA VISA · proyectado</t>
        </is>
      </c>
      <c r="F536" t="inlineStr">
        <is>
          <t>PROYECTADO · C.03/12 · cashflow cuotas BBVA · gasto personal Sol</t>
        </is>
      </c>
    </row>
    <row r="537">
      <c r="A537" s="54" t="n">
        <v>46231</v>
      </c>
      <c r="B537" t="inlineStr">
        <is>
          <t>Julio</t>
        </is>
      </c>
      <c r="C537" t="inlineStr">
        <is>
          <t>ROPA</t>
        </is>
      </c>
      <c r="D537" t="n">
        <v>69750</v>
      </c>
      <c r="E537" t="inlineStr">
        <is>
          <t>BBVA VISA · proyectado</t>
        </is>
      </c>
      <c r="F537" t="inlineStr">
        <is>
          <t>PROYECTADO · C.03/12 · cashflow cuotas BBVA · gasto personal Sol</t>
        </is>
      </c>
    </row>
    <row r="538">
      <c r="A538" s="54" t="n">
        <v>46231</v>
      </c>
      <c r="B538" t="inlineStr">
        <is>
          <t>Julio</t>
        </is>
      </c>
      <c r="C538" t="inlineStr">
        <is>
          <t>ROPA</t>
        </is>
      </c>
      <c r="D538" t="n">
        <v>40004</v>
      </c>
      <c r="E538" t="inlineStr">
        <is>
          <t>BBVA MASTERCARD · proyectado</t>
        </is>
      </c>
      <c r="F538" t="inlineStr">
        <is>
          <t>PROYECTADO · C.03/03 · cashflow cuotas BBVA · gasto personal Sol</t>
        </is>
      </c>
    </row>
    <row r="539">
      <c r="A539" s="54" t="n">
        <v>46262</v>
      </c>
      <c r="B539" t="inlineStr">
        <is>
          <t>Agosto</t>
        </is>
      </c>
      <c r="C539" t="inlineStr">
        <is>
          <t>ROPA</t>
        </is>
      </c>
      <c r="D539" t="n">
        <v>124667</v>
      </c>
      <c r="E539" t="inlineStr">
        <is>
          <t>BBVA VISA · proyectado</t>
        </is>
      </c>
      <c r="F539" t="inlineStr">
        <is>
          <t>PROYECTADO · C.04/06 · cashflow cuotas BBVA · gasto personal Sol</t>
        </is>
      </c>
    </row>
    <row r="540">
      <c r="A540" s="54" t="n">
        <v>46262</v>
      </c>
      <c r="B540" t="inlineStr">
        <is>
          <t>Agosto</t>
        </is>
      </c>
      <c r="C540" t="inlineStr">
        <is>
          <t>VESTIMENTA</t>
        </is>
      </c>
      <c r="D540" t="n">
        <v>98334</v>
      </c>
      <c r="E540" t="inlineStr">
        <is>
          <t>BBVA VISA · proyectado</t>
        </is>
      </c>
      <c r="F540" t="inlineStr">
        <is>
          <t>ROPA · Bokenvoreno · PROYECTADO · C.04/06 · cashflow cuotas BBVA · gasto personal Sol</t>
        </is>
      </c>
    </row>
    <row r="541">
      <c r="A541" s="54" t="n">
        <v>46262</v>
      </c>
      <c r="B541" t="inlineStr">
        <is>
          <t>Agosto</t>
        </is>
      </c>
      <c r="C541" t="inlineStr">
        <is>
          <t>ROPA</t>
        </is>
      </c>
      <c r="D541" t="n">
        <v>31700</v>
      </c>
      <c r="E541" t="inlineStr">
        <is>
          <t>BBVA VISA · proyectado</t>
        </is>
      </c>
      <c r="F541" t="inlineStr">
        <is>
          <t>ROPA · Frivilli · PROYECTADO · C.02/03 · cashflow cuotas BBVA · gasto personal Sol</t>
        </is>
      </c>
    </row>
    <row r="542">
      <c r="A542" s="54" t="n">
        <v>46262</v>
      </c>
      <c r="B542" t="inlineStr">
        <is>
          <t>Agosto</t>
        </is>
      </c>
      <c r="C542" t="inlineStr">
        <is>
          <t>ROPA</t>
        </is>
      </c>
      <c r="D542" t="n">
        <v>80834</v>
      </c>
      <c r="E542" t="inlineStr">
        <is>
          <t>BBVA MASTERCARD · proyectado</t>
        </is>
      </c>
      <c r="F542" t="inlineStr">
        <is>
          <t>PROYECTADO · C.04/06 · cashflow cuotas BBVA · gasto personal Sol</t>
        </is>
      </c>
    </row>
    <row r="543">
      <c r="A543" s="54" t="n">
        <v>46262</v>
      </c>
      <c r="B543" t="inlineStr">
        <is>
          <t>Agosto</t>
        </is>
      </c>
      <c r="C543" t="inlineStr">
        <is>
          <t>SALUD</t>
        </is>
      </c>
      <c r="D543" t="n">
        <v>54033</v>
      </c>
      <c r="E543" t="inlineStr">
        <is>
          <t>BBVA MASTERCARD · proyectado</t>
        </is>
      </c>
      <c r="F543" t="inlineStr">
        <is>
          <t>SALUD · Laboratorio · PROYECTADO · C.05/06 · cashflow cuotas BBVA · gasto personal Sol</t>
        </is>
      </c>
    </row>
    <row r="544">
      <c r="A544" s="54" t="n">
        <v>46262</v>
      </c>
      <c r="B544" t="inlineStr">
        <is>
          <t>Agosto</t>
        </is>
      </c>
      <c r="C544" t="inlineStr">
        <is>
          <t>MERCADO LIBRE</t>
        </is>
      </c>
      <c r="D544" t="n">
        <v>12084</v>
      </c>
      <c r="E544" t="inlineStr">
        <is>
          <t>BBVA VISA · proyectado</t>
        </is>
      </c>
      <c r="F544" t="inlineStr">
        <is>
          <t>PROYECTADO · C.02/06 · cashflow cuotas BBVA · gasto personal Sol · ex `Mercado Libre · MERCADOLIBRE`</t>
        </is>
      </c>
    </row>
    <row r="545">
      <c r="A545" s="54" t="n">
        <v>46262</v>
      </c>
      <c r="B545" t="inlineStr">
        <is>
          <t>Agosto</t>
        </is>
      </c>
      <c r="C545" t="inlineStr">
        <is>
          <t>MERCADO LIBRE</t>
        </is>
      </c>
      <c r="D545" t="n">
        <v>275000</v>
      </c>
      <c r="E545" t="inlineStr">
        <is>
          <t>BBVA MASTERCARD · proyectado</t>
        </is>
      </c>
      <c r="F545" t="inlineStr">
        <is>
          <t>PROYECTADO · C.06/12 · cashflow cuotas BBVA · gasto personal Sol · ex `Mercado Libre · MERCADOLIBRE`</t>
        </is>
      </c>
    </row>
    <row r="546">
      <c r="A546" s="54" t="n">
        <v>46262</v>
      </c>
      <c r="B546" t="inlineStr">
        <is>
          <t>Agosto</t>
        </is>
      </c>
      <c r="C546" t="inlineStr">
        <is>
          <t>MERCADO LIBRE</t>
        </is>
      </c>
      <c r="D546" t="n">
        <v>17360</v>
      </c>
      <c r="E546" t="inlineStr">
        <is>
          <t>BBVA MASTERCARD · proyectado</t>
        </is>
      </c>
      <c r="F546" t="inlineStr">
        <is>
          <t>PROYECTADO · C.07/09 · cashflow cuotas BBVA · gasto personal Sol · ex `Mercado Libre · MERCADOLIBRE`</t>
        </is>
      </c>
    </row>
    <row r="547">
      <c r="A547" s="54" t="n">
        <v>46262</v>
      </c>
      <c r="B547" t="inlineStr">
        <is>
          <t>Agosto</t>
        </is>
      </c>
      <c r="C547" t="inlineStr">
        <is>
          <t>MERCADO LIBRE</t>
        </is>
      </c>
      <c r="D547" t="n">
        <v>16950</v>
      </c>
      <c r="E547" t="inlineStr">
        <is>
          <t>BBVA MASTERCARD · proyectado</t>
        </is>
      </c>
      <c r="F547" t="inlineStr">
        <is>
          <t>PROYECTADO · C.07/09 · cashflow cuotas BBVA · gasto personal Sol · ex `Mercado Libre · MERCADOLIBRE`</t>
        </is>
      </c>
    </row>
    <row r="548">
      <c r="A548" s="54" t="n">
        <v>46262</v>
      </c>
      <c r="B548" t="inlineStr">
        <is>
          <t>Agosto</t>
        </is>
      </c>
      <c r="C548" t="inlineStr">
        <is>
          <t>ROPA</t>
        </is>
      </c>
      <c r="D548" t="n">
        <v>95984</v>
      </c>
      <c r="E548" t="inlineStr">
        <is>
          <t>BBVA MASTERCARD · proyectado</t>
        </is>
      </c>
      <c r="F548" t="inlineStr">
        <is>
          <t>ROPA · Monofuk · PROYECTADO · C.05/06 · cashflow cuotas BBVA · gasto personal Sol</t>
        </is>
      </c>
    </row>
    <row r="549">
      <c r="A549" s="54" t="n">
        <v>46262</v>
      </c>
      <c r="B549" t="inlineStr">
        <is>
          <t>Agosto</t>
        </is>
      </c>
      <c r="C549" t="inlineStr">
        <is>
          <t>ROPA</t>
        </is>
      </c>
      <c r="D549" t="n">
        <v>284794</v>
      </c>
      <c r="E549" t="inlineStr">
        <is>
          <t>BBVA VISA · proyectado</t>
        </is>
      </c>
      <c r="F549" t="inlineStr">
        <is>
          <t>PROYECTADO · C.02/06 · cashflow cuotas BBVA · gasto personal Sol</t>
        </is>
      </c>
    </row>
    <row r="550">
      <c r="A550" s="54" t="n">
        <v>46262</v>
      </c>
      <c r="B550" t="inlineStr">
        <is>
          <t>Agosto</t>
        </is>
      </c>
      <c r="C550" t="inlineStr">
        <is>
          <t>ROPA</t>
        </is>
      </c>
      <c r="D550" t="n">
        <v>73600</v>
      </c>
      <c r="E550" t="inlineStr">
        <is>
          <t>BBVA MASTERCARD · proyectado</t>
        </is>
      </c>
      <c r="F550" t="inlineStr">
        <is>
          <t>PROYECTADO · C.02/06 · cashflow cuotas BBVA · gasto personal Sol</t>
        </is>
      </c>
    </row>
    <row r="551">
      <c r="A551" s="54" t="n">
        <v>46262</v>
      </c>
      <c r="B551" t="inlineStr">
        <is>
          <t>Agosto</t>
        </is>
      </c>
      <c r="C551" t="inlineStr">
        <is>
          <t>SALUD · Vitaminas</t>
        </is>
      </c>
      <c r="D551" t="n">
        <v>87900</v>
      </c>
      <c r="E551" t="inlineStr">
        <is>
          <t>BBVA VISA · proyectado</t>
        </is>
      </c>
      <c r="F551" t="inlineStr">
        <is>
          <t>PROYECTADO · SALUD · Vitaminas · Promarine · BBVA · C.05/06 · gasto personal Sol</t>
        </is>
      </c>
    </row>
    <row r="552">
      <c r="A552" s="54" t="n">
        <v>46262</v>
      </c>
      <c r="B552" t="inlineStr">
        <is>
          <t>Agosto</t>
        </is>
      </c>
      <c r="C552" t="inlineStr">
        <is>
          <t>ROPA</t>
        </is>
      </c>
      <c r="D552" t="n">
        <v>36667</v>
      </c>
      <c r="E552" t="inlineStr">
        <is>
          <t>BBVA MASTERCARD · proyectado</t>
        </is>
      </c>
      <c r="F552" t="inlineStr">
        <is>
          <t>PROYECTADO · C.04/06 · cashflow cuotas BBVA · gasto personal Sol</t>
        </is>
      </c>
    </row>
    <row r="553">
      <c r="A553" s="54" t="n">
        <v>46262</v>
      </c>
      <c r="B553" t="inlineStr">
        <is>
          <t>Agosto</t>
        </is>
      </c>
      <c r="C553" t="inlineStr">
        <is>
          <t>HOGAR</t>
        </is>
      </c>
      <c r="D553" t="n">
        <v>18334</v>
      </c>
      <c r="E553" t="inlineStr">
        <is>
          <t>BBVA MASTERCARD · proyectado</t>
        </is>
      </c>
      <c r="F553" t="inlineStr">
        <is>
          <t>HOGAR · Stanley · PROYECTADO · C.05/06 · cashflow cuotas BBVA · gasto personal Sol</t>
        </is>
      </c>
    </row>
    <row r="554">
      <c r="A554" s="54" t="n">
        <v>46262</v>
      </c>
      <c r="B554" t="inlineStr">
        <is>
          <t>Agosto</t>
        </is>
      </c>
      <c r="C554" t="inlineStr">
        <is>
          <t>Eventos deportivos - River</t>
        </is>
      </c>
      <c r="D554" t="n">
        <v>169667</v>
      </c>
      <c r="E554" t="inlineStr">
        <is>
          <t>BBVA VISA · proyectado</t>
        </is>
      </c>
      <c r="F554" t="inlineStr">
        <is>
          <t>PROYECTADO · C.02/06 · cashflow cuotas BBVA · gasto personal Sol · Eventos deportivos - River</t>
        </is>
      </c>
    </row>
    <row r="555">
      <c r="A555" s="54" t="n">
        <v>46262</v>
      </c>
      <c r="B555" t="inlineStr">
        <is>
          <t>Agosto</t>
        </is>
      </c>
      <c r="C555" t="inlineStr">
        <is>
          <t>ROPA</t>
        </is>
      </c>
      <c r="D555" t="n">
        <v>60917</v>
      </c>
      <c r="E555" t="inlineStr">
        <is>
          <t>BBVA VISA · proyectado</t>
        </is>
      </c>
      <c r="F555" t="inlineStr">
        <is>
          <t>PROYECTADO · C.04/12 · cashflow cuotas BBVA · gasto personal Sol</t>
        </is>
      </c>
    </row>
    <row r="556">
      <c r="A556" s="54" t="n">
        <v>46262</v>
      </c>
      <c r="B556" t="inlineStr">
        <is>
          <t>Agosto</t>
        </is>
      </c>
      <c r="C556" t="inlineStr">
        <is>
          <t>ROPA</t>
        </is>
      </c>
      <c r="D556" t="n">
        <v>69750</v>
      </c>
      <c r="E556" t="inlineStr">
        <is>
          <t>BBVA VISA · proyectado</t>
        </is>
      </c>
      <c r="F556" t="inlineStr">
        <is>
          <t>PROYECTADO · C.04/12 · cashflow cuotas BBVA · gasto personal Sol</t>
        </is>
      </c>
    </row>
    <row r="557">
      <c r="A557" s="54" t="n">
        <v>46293</v>
      </c>
      <c r="B557" t="inlineStr">
        <is>
          <t>Septiembre</t>
        </is>
      </c>
      <c r="C557" t="inlineStr">
        <is>
          <t>ROPA</t>
        </is>
      </c>
      <c r="D557" t="n">
        <v>124667</v>
      </c>
      <c r="E557" t="inlineStr">
        <is>
          <t>BBVA VISA · proyectado</t>
        </is>
      </c>
      <c r="F557" t="inlineStr">
        <is>
          <t>PROYECTADO · C.05/06 · cashflow cuotas BBVA · gasto personal Sol</t>
        </is>
      </c>
    </row>
    <row r="558">
      <c r="A558" s="54" t="n">
        <v>46293</v>
      </c>
      <c r="B558" t="inlineStr">
        <is>
          <t>Septiembre</t>
        </is>
      </c>
      <c r="C558" t="inlineStr">
        <is>
          <t>VESTIMENTA</t>
        </is>
      </c>
      <c r="D558" t="n">
        <v>98334</v>
      </c>
      <c r="E558" t="inlineStr">
        <is>
          <t>BBVA VISA · proyectado</t>
        </is>
      </c>
      <c r="F558" t="inlineStr">
        <is>
          <t>ROPA · Bokenvoreno · PROYECTADO · C.05/06 · cashflow cuotas BBVA · gasto personal Sol</t>
        </is>
      </c>
    </row>
    <row r="559">
      <c r="A559" s="54" t="n">
        <v>46293</v>
      </c>
      <c r="B559" t="inlineStr">
        <is>
          <t>Septiembre</t>
        </is>
      </c>
      <c r="C559" t="inlineStr">
        <is>
          <t>ROPA</t>
        </is>
      </c>
      <c r="D559" t="n">
        <v>31700</v>
      </c>
      <c r="E559" t="inlineStr">
        <is>
          <t>BBVA VISA · proyectado</t>
        </is>
      </c>
      <c r="F559" t="inlineStr">
        <is>
          <t>ROPA · Frivilli · PROYECTADO · C.03/03 · cashflow cuotas BBVA · gasto personal Sol</t>
        </is>
      </c>
    </row>
    <row r="560">
      <c r="A560" s="54" t="n">
        <v>46293</v>
      </c>
      <c r="B560" t="inlineStr">
        <is>
          <t>Septiembre</t>
        </is>
      </c>
      <c r="C560" t="inlineStr">
        <is>
          <t>ROPA</t>
        </is>
      </c>
      <c r="D560" t="n">
        <v>80834</v>
      </c>
      <c r="E560" t="inlineStr">
        <is>
          <t>BBVA MASTERCARD · proyectado</t>
        </is>
      </c>
      <c r="F560" t="inlineStr">
        <is>
          <t>PROYECTADO · C.05/06 · cashflow cuotas BBVA · gasto personal Sol</t>
        </is>
      </c>
    </row>
    <row r="561">
      <c r="A561" s="54" t="n">
        <v>46293</v>
      </c>
      <c r="B561" t="inlineStr">
        <is>
          <t>Septiembre</t>
        </is>
      </c>
      <c r="C561" t="inlineStr">
        <is>
          <t>SALUD</t>
        </is>
      </c>
      <c r="D561" t="n">
        <v>54033</v>
      </c>
      <c r="E561" t="inlineStr">
        <is>
          <t>BBVA MASTERCARD · proyectado</t>
        </is>
      </c>
      <c r="F561" t="inlineStr">
        <is>
          <t>SALUD · Laboratorio · PROYECTADO · C.06/06 · cashflow cuotas BBVA · gasto personal Sol</t>
        </is>
      </c>
    </row>
    <row r="562">
      <c r="A562" s="54" t="n">
        <v>46293</v>
      </c>
      <c r="B562" t="inlineStr">
        <is>
          <t>Septiembre</t>
        </is>
      </c>
      <c r="C562" t="inlineStr">
        <is>
          <t>MERCADO LIBRE</t>
        </is>
      </c>
      <c r="D562" t="n">
        <v>12084</v>
      </c>
      <c r="E562" t="inlineStr">
        <is>
          <t>BBVA VISA · proyectado</t>
        </is>
      </c>
      <c r="F562" t="inlineStr">
        <is>
          <t>PROYECTADO · C.03/06 · cashflow cuotas BBVA · gasto personal Sol · ex `Mercado Libre · MERCADOLIBRE`</t>
        </is>
      </c>
    </row>
    <row r="563">
      <c r="A563" s="54" t="n">
        <v>46293</v>
      </c>
      <c r="B563" t="inlineStr">
        <is>
          <t>Septiembre</t>
        </is>
      </c>
      <c r="C563" t="inlineStr">
        <is>
          <t>MERCADO LIBRE</t>
        </is>
      </c>
      <c r="D563" t="n">
        <v>275000</v>
      </c>
      <c r="E563" t="inlineStr">
        <is>
          <t>BBVA MASTERCARD · proyectado</t>
        </is>
      </c>
      <c r="F563" t="inlineStr">
        <is>
          <t>PROYECTADO · C.07/12 · cashflow cuotas BBVA · gasto personal Sol · ex `Mercado Libre · MERCADOLIBRE`</t>
        </is>
      </c>
    </row>
    <row r="564">
      <c r="A564" s="54" t="n">
        <v>46293</v>
      </c>
      <c r="B564" t="inlineStr">
        <is>
          <t>Septiembre</t>
        </is>
      </c>
      <c r="C564" t="inlineStr">
        <is>
          <t>MERCADO LIBRE</t>
        </is>
      </c>
      <c r="D564" t="n">
        <v>17360</v>
      </c>
      <c r="E564" t="inlineStr">
        <is>
          <t>BBVA MASTERCARD · proyectado</t>
        </is>
      </c>
      <c r="F564" t="inlineStr">
        <is>
          <t>PROYECTADO · C.08/09 · cashflow cuotas BBVA · gasto personal Sol · ex `Mercado Libre · MERCADOLIBRE`</t>
        </is>
      </c>
    </row>
    <row r="565">
      <c r="A565" s="54" t="n">
        <v>46293</v>
      </c>
      <c r="B565" t="inlineStr">
        <is>
          <t>Septiembre</t>
        </is>
      </c>
      <c r="C565" t="inlineStr">
        <is>
          <t>MERCADO LIBRE</t>
        </is>
      </c>
      <c r="D565" t="n">
        <v>16950</v>
      </c>
      <c r="E565" t="inlineStr">
        <is>
          <t>BBVA MASTERCARD · proyectado</t>
        </is>
      </c>
      <c r="F565" t="inlineStr">
        <is>
          <t>PROYECTADO · C.08/09 · cashflow cuotas BBVA · gasto personal Sol · ex `Mercado Libre · MERCADOLIBRE`</t>
        </is>
      </c>
    </row>
    <row r="566">
      <c r="A566" s="54" t="n">
        <v>46293</v>
      </c>
      <c r="B566" t="inlineStr">
        <is>
          <t>Septiembre</t>
        </is>
      </c>
      <c r="C566" t="inlineStr">
        <is>
          <t>ROPA</t>
        </is>
      </c>
      <c r="D566" t="n">
        <v>95984</v>
      </c>
      <c r="E566" t="inlineStr">
        <is>
          <t>BBVA MASTERCARD · proyectado</t>
        </is>
      </c>
      <c r="F566" t="inlineStr">
        <is>
          <t>ROPA · Monofuk · PROYECTADO · C.06/06 · cashflow cuotas BBVA · gasto personal Sol</t>
        </is>
      </c>
    </row>
    <row r="567">
      <c r="A567" s="54" t="n">
        <v>46293</v>
      </c>
      <c r="B567" t="inlineStr">
        <is>
          <t>Septiembre</t>
        </is>
      </c>
      <c r="C567" t="inlineStr">
        <is>
          <t>ROPA</t>
        </is>
      </c>
      <c r="D567" t="n">
        <v>284794</v>
      </c>
      <c r="E567" t="inlineStr">
        <is>
          <t>BBVA VISA · proyectado</t>
        </is>
      </c>
      <c r="F567" t="inlineStr">
        <is>
          <t>PROYECTADO · C.03/06 · cashflow cuotas BBVA · gasto personal Sol</t>
        </is>
      </c>
    </row>
    <row r="568">
      <c r="A568" s="54" t="n">
        <v>46293</v>
      </c>
      <c r="B568" t="inlineStr">
        <is>
          <t>Septiembre</t>
        </is>
      </c>
      <c r="C568" t="inlineStr">
        <is>
          <t>ROPA</t>
        </is>
      </c>
      <c r="D568" t="n">
        <v>73600</v>
      </c>
      <c r="E568" t="inlineStr">
        <is>
          <t>BBVA MASTERCARD · proyectado</t>
        </is>
      </c>
      <c r="F568" t="inlineStr">
        <is>
          <t>PROYECTADO · C.03/06 · cashflow cuotas BBVA · gasto personal Sol</t>
        </is>
      </c>
    </row>
    <row r="569">
      <c r="A569" s="54" t="n">
        <v>46293</v>
      </c>
      <c r="B569" t="inlineStr">
        <is>
          <t>Septiembre</t>
        </is>
      </c>
      <c r="C569" t="inlineStr">
        <is>
          <t>SALUD · Vitaminas</t>
        </is>
      </c>
      <c r="D569" t="n">
        <v>87900</v>
      </c>
      <c r="E569" t="inlineStr">
        <is>
          <t>BBVA VISA · proyectado</t>
        </is>
      </c>
      <c r="F569" t="inlineStr">
        <is>
          <t>PROYECTADO · SALUD · Vitaminas · Promarine · BBVA · C.06/06 · gasto personal Sol</t>
        </is>
      </c>
    </row>
    <row r="570">
      <c r="A570" s="54" t="n">
        <v>46293</v>
      </c>
      <c r="B570" t="inlineStr">
        <is>
          <t>Septiembre</t>
        </is>
      </c>
      <c r="C570" t="inlineStr">
        <is>
          <t>ROPA</t>
        </is>
      </c>
      <c r="D570" t="n">
        <v>36667</v>
      </c>
      <c r="E570" t="inlineStr">
        <is>
          <t>BBVA MASTERCARD · proyectado</t>
        </is>
      </c>
      <c r="F570" t="inlineStr">
        <is>
          <t>PROYECTADO · C.05/06 · cashflow cuotas BBVA · gasto personal Sol</t>
        </is>
      </c>
    </row>
    <row r="571">
      <c r="A571" s="54" t="n">
        <v>46293</v>
      </c>
      <c r="B571" t="inlineStr">
        <is>
          <t>Septiembre</t>
        </is>
      </c>
      <c r="C571" t="inlineStr">
        <is>
          <t>HOGAR</t>
        </is>
      </c>
      <c r="D571" t="n">
        <v>18334</v>
      </c>
      <c r="E571" t="inlineStr">
        <is>
          <t>BBVA MASTERCARD · proyectado</t>
        </is>
      </c>
      <c r="F571" t="inlineStr">
        <is>
          <t>HOGAR · Stanley · PROYECTADO · C.06/06 · cashflow cuotas BBVA · gasto personal Sol</t>
        </is>
      </c>
    </row>
    <row r="572">
      <c r="A572" s="54" t="n">
        <v>46293</v>
      </c>
      <c r="B572" t="inlineStr">
        <is>
          <t>Septiembre</t>
        </is>
      </c>
      <c r="C572" t="inlineStr">
        <is>
          <t>Eventos deportivos - River</t>
        </is>
      </c>
      <c r="D572" t="n">
        <v>169667</v>
      </c>
      <c r="E572" t="inlineStr">
        <is>
          <t>BBVA VISA · proyectado</t>
        </is>
      </c>
      <c r="F572" t="inlineStr">
        <is>
          <t>PROYECTADO · C.03/06 · cashflow cuotas BBVA · gasto personal Sol · Eventos deportivos - River</t>
        </is>
      </c>
    </row>
    <row r="573">
      <c r="A573" s="54" t="n">
        <v>46293</v>
      </c>
      <c r="B573" t="inlineStr">
        <is>
          <t>Septiembre</t>
        </is>
      </c>
      <c r="C573" t="inlineStr">
        <is>
          <t>ROPA</t>
        </is>
      </c>
      <c r="D573" t="n">
        <v>60917</v>
      </c>
      <c r="E573" t="inlineStr">
        <is>
          <t>BBVA VISA · proyectado</t>
        </is>
      </c>
      <c r="F573" t="inlineStr">
        <is>
          <t>PROYECTADO · C.05/12 · cashflow cuotas BBVA · gasto personal Sol</t>
        </is>
      </c>
    </row>
    <row r="574">
      <c r="A574" s="54" t="n">
        <v>46293</v>
      </c>
      <c r="B574" t="inlineStr">
        <is>
          <t>Septiembre</t>
        </is>
      </c>
      <c r="C574" t="inlineStr">
        <is>
          <t>ROPA</t>
        </is>
      </c>
      <c r="D574" t="n">
        <v>69750</v>
      </c>
      <c r="E574" t="inlineStr">
        <is>
          <t>BBVA VISA · proyectado</t>
        </is>
      </c>
      <c r="F574" t="inlineStr">
        <is>
          <t>PROYECTADO · C.05/12 · cashflow cuotas BBVA · gasto personal Sol</t>
        </is>
      </c>
    </row>
    <row r="575">
      <c r="A575" s="54" t="n">
        <v>46323</v>
      </c>
      <c r="B575" t="inlineStr">
        <is>
          <t>Octubre</t>
        </is>
      </c>
      <c r="C575" t="inlineStr">
        <is>
          <t>ROPA</t>
        </is>
      </c>
      <c r="D575" t="n">
        <v>124667</v>
      </c>
      <c r="E575" t="inlineStr">
        <is>
          <t>BBVA VISA · proyectado</t>
        </is>
      </c>
      <c r="F575" t="inlineStr">
        <is>
          <t>PROYECTADO · C.06/06 · cashflow cuotas BBVA · gasto personal Sol</t>
        </is>
      </c>
    </row>
    <row r="576">
      <c r="A576" s="54" t="n">
        <v>46323</v>
      </c>
      <c r="B576" t="inlineStr">
        <is>
          <t>Octubre</t>
        </is>
      </c>
      <c r="C576" t="inlineStr">
        <is>
          <t>VESTIMENTA</t>
        </is>
      </c>
      <c r="D576" t="n">
        <v>98334</v>
      </c>
      <c r="E576" t="inlineStr">
        <is>
          <t>BBVA VISA · proyectado</t>
        </is>
      </c>
      <c r="F576" t="inlineStr">
        <is>
          <t>ROPA · Bokenvoreno · PROYECTADO · C.06/06 · cashflow cuotas BBVA · gasto personal Sol</t>
        </is>
      </c>
    </row>
    <row r="577">
      <c r="A577" s="54" t="n">
        <v>46323</v>
      </c>
      <c r="B577" t="inlineStr">
        <is>
          <t>Octubre</t>
        </is>
      </c>
      <c r="C577" t="inlineStr">
        <is>
          <t>ROPA</t>
        </is>
      </c>
      <c r="D577" t="n">
        <v>80834</v>
      </c>
      <c r="E577" t="inlineStr">
        <is>
          <t>BBVA MASTERCARD · proyectado</t>
        </is>
      </c>
      <c r="F577" t="inlineStr">
        <is>
          <t>PROYECTADO · C.06/06 · cashflow cuotas BBVA · gasto personal Sol</t>
        </is>
      </c>
    </row>
    <row r="578">
      <c r="A578" s="54" t="n">
        <v>46323</v>
      </c>
      <c r="B578" t="inlineStr">
        <is>
          <t>Octubre</t>
        </is>
      </c>
      <c r="C578" t="inlineStr">
        <is>
          <t>MERCADO LIBRE</t>
        </is>
      </c>
      <c r="D578" t="n">
        <v>12084</v>
      </c>
      <c r="E578" t="inlineStr">
        <is>
          <t>BBVA VISA · proyectado</t>
        </is>
      </c>
      <c r="F578" t="inlineStr">
        <is>
          <t>PROYECTADO · C.04/06 · cashflow cuotas BBVA · gasto personal Sol · ex `Mercado Libre · MERCADOLIBRE`</t>
        </is>
      </c>
    </row>
    <row r="579">
      <c r="A579" s="54" t="n">
        <v>46323</v>
      </c>
      <c r="B579" t="inlineStr">
        <is>
          <t>Octubre</t>
        </is>
      </c>
      <c r="C579" t="inlineStr">
        <is>
          <t>MERCADO LIBRE</t>
        </is>
      </c>
      <c r="D579" t="n">
        <v>275000</v>
      </c>
      <c r="E579" t="inlineStr">
        <is>
          <t>BBVA MASTERCARD · proyectado</t>
        </is>
      </c>
      <c r="F579" t="inlineStr">
        <is>
          <t>PROYECTADO · C.08/12 · cashflow cuotas BBVA · gasto personal Sol · ex `Mercado Libre · MERCADOLIBRE`</t>
        </is>
      </c>
    </row>
    <row r="580">
      <c r="A580" s="54" t="n">
        <v>46323</v>
      </c>
      <c r="B580" t="inlineStr">
        <is>
          <t>Octubre</t>
        </is>
      </c>
      <c r="C580" t="inlineStr">
        <is>
          <t>MERCADO LIBRE</t>
        </is>
      </c>
      <c r="D580" t="n">
        <v>17360</v>
      </c>
      <c r="E580" t="inlineStr">
        <is>
          <t>BBVA MASTERCARD · proyectado</t>
        </is>
      </c>
      <c r="F580" t="inlineStr">
        <is>
          <t>PROYECTADO · C.09/09 · cashflow cuotas BBVA · gasto personal Sol · ex `Mercado Libre · MERCADOLIBRE`</t>
        </is>
      </c>
    </row>
    <row r="581">
      <c r="A581" s="54" t="n">
        <v>46323</v>
      </c>
      <c r="B581" t="inlineStr">
        <is>
          <t>Octubre</t>
        </is>
      </c>
      <c r="C581" t="inlineStr">
        <is>
          <t>MERCADO LIBRE</t>
        </is>
      </c>
      <c r="D581" t="n">
        <v>16950</v>
      </c>
      <c r="E581" t="inlineStr">
        <is>
          <t>BBVA MASTERCARD · proyectado</t>
        </is>
      </c>
      <c r="F581" t="inlineStr">
        <is>
          <t>PROYECTADO · C.09/09 · cashflow cuotas BBVA · gasto personal Sol · ex `Mercado Libre · MERCADOLIBRE`</t>
        </is>
      </c>
    </row>
    <row r="582">
      <c r="A582" s="54" t="n">
        <v>46323</v>
      </c>
      <c r="B582" t="inlineStr">
        <is>
          <t>Octubre</t>
        </is>
      </c>
      <c r="C582" t="inlineStr">
        <is>
          <t>ROPA</t>
        </is>
      </c>
      <c r="D582" t="n">
        <v>284794</v>
      </c>
      <c r="E582" t="inlineStr">
        <is>
          <t>BBVA VISA · proyectado</t>
        </is>
      </c>
      <c r="F582" t="inlineStr">
        <is>
          <t>PROYECTADO · C.04/06 · cashflow cuotas BBVA · gasto personal Sol</t>
        </is>
      </c>
    </row>
    <row r="583">
      <c r="A583" s="54" t="n">
        <v>46323</v>
      </c>
      <c r="B583" t="inlineStr">
        <is>
          <t>Octubre</t>
        </is>
      </c>
      <c r="C583" t="inlineStr">
        <is>
          <t>ROPA</t>
        </is>
      </c>
      <c r="D583" t="n">
        <v>73600</v>
      </c>
      <c r="E583" t="inlineStr">
        <is>
          <t>BBVA MASTERCARD · proyectado</t>
        </is>
      </c>
      <c r="F583" t="inlineStr">
        <is>
          <t>PROYECTADO · C.04/06 · cashflow cuotas BBVA · gasto personal Sol</t>
        </is>
      </c>
    </row>
    <row r="584">
      <c r="A584" s="54" t="n">
        <v>46323</v>
      </c>
      <c r="B584" t="inlineStr">
        <is>
          <t>Octubre</t>
        </is>
      </c>
      <c r="C584" t="inlineStr">
        <is>
          <t>ROPA</t>
        </is>
      </c>
      <c r="D584" t="n">
        <v>36667</v>
      </c>
      <c r="E584" t="inlineStr">
        <is>
          <t>BBVA MASTERCARD · proyectado</t>
        </is>
      </c>
      <c r="F584" t="inlineStr">
        <is>
          <t>PROYECTADO · C.06/06 · cashflow cuotas BBVA · gasto personal Sol</t>
        </is>
      </c>
    </row>
    <row r="585">
      <c r="A585" s="54" t="n">
        <v>46323</v>
      </c>
      <c r="B585" t="inlineStr">
        <is>
          <t>Octubre</t>
        </is>
      </c>
      <c r="C585" t="inlineStr">
        <is>
          <t>Eventos deportivos - River</t>
        </is>
      </c>
      <c r="D585" t="n">
        <v>169667</v>
      </c>
      <c r="E585" t="inlineStr">
        <is>
          <t>BBVA VISA · proyectado</t>
        </is>
      </c>
      <c r="F585" t="inlineStr">
        <is>
          <t>PROYECTADO · C.04/06 · cashflow cuotas BBVA · gasto personal Sol · Eventos deportivos - River</t>
        </is>
      </c>
    </row>
    <row r="586">
      <c r="A586" s="54" t="n">
        <v>46323</v>
      </c>
      <c r="B586" t="inlineStr">
        <is>
          <t>Octubre</t>
        </is>
      </c>
      <c r="C586" t="inlineStr">
        <is>
          <t>ROPA</t>
        </is>
      </c>
      <c r="D586" t="n">
        <v>60917</v>
      </c>
      <c r="E586" t="inlineStr">
        <is>
          <t>BBVA VISA · proyectado</t>
        </is>
      </c>
      <c r="F586" t="inlineStr">
        <is>
          <t>PROYECTADO · C.06/12 · cashflow cuotas BBVA · gasto personal Sol</t>
        </is>
      </c>
    </row>
    <row r="587">
      <c r="A587" s="54" t="n">
        <v>46323</v>
      </c>
      <c r="B587" t="inlineStr">
        <is>
          <t>Octubre</t>
        </is>
      </c>
      <c r="C587" t="inlineStr">
        <is>
          <t>ROPA</t>
        </is>
      </c>
      <c r="D587" t="n">
        <v>69750</v>
      </c>
      <c r="E587" t="inlineStr">
        <is>
          <t>BBVA VISA · proyectado</t>
        </is>
      </c>
      <c r="F587" t="inlineStr">
        <is>
          <t>PROYECTADO · C.06/12 · cashflow cuotas BBVA · gasto personal Sol</t>
        </is>
      </c>
    </row>
    <row r="588">
      <c r="A588" s="54" t="n">
        <v>46354</v>
      </c>
      <c r="B588" t="inlineStr">
        <is>
          <t>Noviembre</t>
        </is>
      </c>
      <c r="C588" t="inlineStr">
        <is>
          <t>MERCADO LIBRE</t>
        </is>
      </c>
      <c r="D588" t="n">
        <v>12084</v>
      </c>
      <c r="E588" t="inlineStr">
        <is>
          <t>BBVA VISA · proyectado</t>
        </is>
      </c>
      <c r="F588" t="inlineStr">
        <is>
          <t>PROYECTADO · C.05/06 · cashflow cuotas BBVA · gasto personal Sol · ex `Mercado Libre · MERCADOLIBRE`</t>
        </is>
      </c>
    </row>
    <row r="589">
      <c r="A589" s="54" t="n">
        <v>46354</v>
      </c>
      <c r="B589" t="inlineStr">
        <is>
          <t>Noviembre</t>
        </is>
      </c>
      <c r="C589" t="inlineStr">
        <is>
          <t>MERCADO LIBRE</t>
        </is>
      </c>
      <c r="D589" t="n">
        <v>275000</v>
      </c>
      <c r="E589" t="inlineStr">
        <is>
          <t>BBVA MASTERCARD · proyectado</t>
        </is>
      </c>
      <c r="F589" t="inlineStr">
        <is>
          <t>PROYECTADO · C.09/12 · cashflow cuotas BBVA · gasto personal Sol · ex `Mercado Libre · MERCADOLIBRE`</t>
        </is>
      </c>
    </row>
    <row r="590">
      <c r="A590" s="54" t="n">
        <v>46354</v>
      </c>
      <c r="B590" t="inlineStr">
        <is>
          <t>Noviembre</t>
        </is>
      </c>
      <c r="C590" t="inlineStr">
        <is>
          <t>ROPA</t>
        </is>
      </c>
      <c r="D590" t="n">
        <v>284794</v>
      </c>
      <c r="E590" t="inlineStr">
        <is>
          <t>BBVA VISA · proyectado</t>
        </is>
      </c>
      <c r="F590" t="inlineStr">
        <is>
          <t>PROYECTADO · C.05/06 · cashflow cuotas BBVA · gasto personal Sol</t>
        </is>
      </c>
    </row>
    <row r="591">
      <c r="A591" s="54" t="n">
        <v>46354</v>
      </c>
      <c r="B591" t="inlineStr">
        <is>
          <t>Noviembre</t>
        </is>
      </c>
      <c r="C591" t="inlineStr">
        <is>
          <t>ROPA</t>
        </is>
      </c>
      <c r="D591" t="n">
        <v>73600</v>
      </c>
      <c r="E591" t="inlineStr">
        <is>
          <t>BBVA MASTERCARD · proyectado</t>
        </is>
      </c>
      <c r="F591" t="inlineStr">
        <is>
          <t>PROYECTADO · C.05/06 · cashflow cuotas BBVA · gasto personal Sol</t>
        </is>
      </c>
    </row>
    <row r="592">
      <c r="A592" s="54" t="n">
        <v>46354</v>
      </c>
      <c r="B592" t="inlineStr">
        <is>
          <t>Noviembre</t>
        </is>
      </c>
      <c r="C592" t="inlineStr">
        <is>
          <t>Eventos deportivos - River</t>
        </is>
      </c>
      <c r="D592" t="n">
        <v>169667</v>
      </c>
      <c r="E592" t="inlineStr">
        <is>
          <t>BBVA VISA · proyectado</t>
        </is>
      </c>
      <c r="F592" t="inlineStr">
        <is>
          <t>PROYECTADO · C.05/06 · cashflow cuotas BBVA · gasto personal Sol · Eventos deportivos - River</t>
        </is>
      </c>
    </row>
    <row r="593">
      <c r="A593" s="54" t="n">
        <v>46354</v>
      </c>
      <c r="B593" t="inlineStr">
        <is>
          <t>Noviembre</t>
        </is>
      </c>
      <c r="C593" t="inlineStr">
        <is>
          <t>ROPA</t>
        </is>
      </c>
      <c r="D593" t="n">
        <v>60917</v>
      </c>
      <c r="E593" t="inlineStr">
        <is>
          <t>BBVA VISA · proyectado</t>
        </is>
      </c>
      <c r="F593" t="inlineStr">
        <is>
          <t>PROYECTADO · C.07/12 · cashflow cuotas BBVA · gasto personal Sol</t>
        </is>
      </c>
    </row>
    <row r="594">
      <c r="A594" s="54" t="n">
        <v>46354</v>
      </c>
      <c r="B594" t="inlineStr">
        <is>
          <t>Noviembre</t>
        </is>
      </c>
      <c r="C594" t="inlineStr">
        <is>
          <t>ROPA</t>
        </is>
      </c>
      <c r="D594" t="n">
        <v>69750</v>
      </c>
      <c r="E594" t="inlineStr">
        <is>
          <t>BBVA VISA · proyectado</t>
        </is>
      </c>
      <c r="F594" t="inlineStr">
        <is>
          <t>PROYECTADO · C.07/12 · cashflow cuotas BBVA · gasto personal Sol</t>
        </is>
      </c>
    </row>
    <row r="595">
      <c r="A595" s="54" t="n">
        <v>46384</v>
      </c>
      <c r="B595" t="inlineStr">
        <is>
          <t>Diciembre</t>
        </is>
      </c>
      <c r="C595" t="inlineStr">
        <is>
          <t>MERCADO LIBRE</t>
        </is>
      </c>
      <c r="D595" t="n">
        <v>12084</v>
      </c>
      <c r="E595" t="inlineStr">
        <is>
          <t>BBVA VISA · proyectado</t>
        </is>
      </c>
      <c r="F595" t="inlineStr">
        <is>
          <t>PROYECTADO · C.06/06 · cashflow cuotas BBVA · gasto personal Sol · ex `Mercado Libre · MERCADOLIBRE`</t>
        </is>
      </c>
    </row>
    <row r="596">
      <c r="A596" s="54" t="n">
        <v>46384</v>
      </c>
      <c r="B596" t="inlineStr">
        <is>
          <t>Diciembre</t>
        </is>
      </c>
      <c r="C596" t="inlineStr">
        <is>
          <t>MERCADO LIBRE</t>
        </is>
      </c>
      <c r="D596" t="n">
        <v>275000</v>
      </c>
      <c r="E596" t="inlineStr">
        <is>
          <t>BBVA MASTERCARD · proyectado</t>
        </is>
      </c>
      <c r="F596" t="inlineStr">
        <is>
          <t>PROYECTADO · C.10/12 · cashflow cuotas BBVA · gasto personal Sol · ex `Mercado Libre · MERCADOLIBRE`</t>
        </is>
      </c>
    </row>
    <row r="597">
      <c r="A597" s="54" t="n">
        <v>46384</v>
      </c>
      <c r="B597" t="inlineStr">
        <is>
          <t>Diciembre</t>
        </is>
      </c>
      <c r="C597" t="inlineStr">
        <is>
          <t>ROPA</t>
        </is>
      </c>
      <c r="D597" t="n">
        <v>284794</v>
      </c>
      <c r="E597" t="inlineStr">
        <is>
          <t>BBVA VISA · proyectado</t>
        </is>
      </c>
      <c r="F597" t="inlineStr">
        <is>
          <t>PROYECTADO · C.06/06 · cashflow cuotas BBVA · gasto personal Sol</t>
        </is>
      </c>
    </row>
    <row r="598">
      <c r="A598" s="54" t="n">
        <v>46384</v>
      </c>
      <c r="B598" t="inlineStr">
        <is>
          <t>Diciembre</t>
        </is>
      </c>
      <c r="C598" t="inlineStr">
        <is>
          <t>ROPA</t>
        </is>
      </c>
      <c r="D598" t="n">
        <v>73600</v>
      </c>
      <c r="E598" t="inlineStr">
        <is>
          <t>BBVA MASTERCARD · proyectado</t>
        </is>
      </c>
      <c r="F598" t="inlineStr">
        <is>
          <t>PROYECTADO · C.06/06 · cashflow cuotas BBVA · gasto personal Sol</t>
        </is>
      </c>
    </row>
    <row r="599">
      <c r="A599" s="54" t="n">
        <v>46384</v>
      </c>
      <c r="B599" t="inlineStr">
        <is>
          <t>Diciembre</t>
        </is>
      </c>
      <c r="C599" t="inlineStr">
        <is>
          <t>Eventos deportivos - River</t>
        </is>
      </c>
      <c r="D599" t="n">
        <v>169667</v>
      </c>
      <c r="E599" t="inlineStr">
        <is>
          <t>BBVA VISA · proyectado</t>
        </is>
      </c>
      <c r="F599" t="inlineStr">
        <is>
          <t>PROYECTADO · C.06/06 · cashflow cuotas BBVA · gasto personal Sol · Eventos deportivos - River</t>
        </is>
      </c>
    </row>
    <row r="600">
      <c r="A600" s="54" t="n">
        <v>46384</v>
      </c>
      <c r="B600" t="inlineStr">
        <is>
          <t>Diciembre</t>
        </is>
      </c>
      <c r="C600" t="inlineStr">
        <is>
          <t>ROPA</t>
        </is>
      </c>
      <c r="D600" t="n">
        <v>60917</v>
      </c>
      <c r="E600" t="inlineStr">
        <is>
          <t>BBVA VISA · proyectado</t>
        </is>
      </c>
      <c r="F600" t="inlineStr">
        <is>
          <t>PROYECTADO · C.08/12 · cashflow cuotas BBVA · gasto personal Sol</t>
        </is>
      </c>
    </row>
    <row r="601">
      <c r="A601" s="54" t="n">
        <v>46384</v>
      </c>
      <c r="B601" t="inlineStr">
        <is>
          <t>Diciembre</t>
        </is>
      </c>
      <c r="C601" t="inlineStr">
        <is>
          <t>ROPA</t>
        </is>
      </c>
      <c r="D601" t="n">
        <v>69750</v>
      </c>
      <c r="E601" t="inlineStr">
        <is>
          <t>BBVA VISA · proyectado</t>
        </is>
      </c>
      <c r="F601" t="inlineStr">
        <is>
          <t>PROYECTADO · C.08/12 · cashflow cuotas BBVA · gasto personal Sol</t>
        </is>
      </c>
    </row>
    <row r="602">
      <c r="A602" s="54" t="n">
        <v>46415</v>
      </c>
      <c r="B602" t="inlineStr">
        <is>
          <t>Enero 2027</t>
        </is>
      </c>
      <c r="C602" t="inlineStr">
        <is>
          <t>MERCADO LIBRE</t>
        </is>
      </c>
      <c r="D602" t="n">
        <v>275000</v>
      </c>
      <c r="E602" t="inlineStr">
        <is>
          <t>BBVA MASTERCARD · proyectado</t>
        </is>
      </c>
      <c r="F602" t="inlineStr">
        <is>
          <t>PROYECTADO · C.11/12 · cashflow cuotas BBVA · gasto personal Sol · ex `Mercado Libre · MERCADOLIBRE`</t>
        </is>
      </c>
    </row>
    <row r="603">
      <c r="A603" s="54" t="n">
        <v>46415</v>
      </c>
      <c r="B603" t="inlineStr">
        <is>
          <t>Enero 2027</t>
        </is>
      </c>
      <c r="C603" t="inlineStr">
        <is>
          <t>ROPA</t>
        </is>
      </c>
      <c r="D603" t="n">
        <v>60917</v>
      </c>
      <c r="E603" t="inlineStr">
        <is>
          <t>BBVA VISA · proyectado</t>
        </is>
      </c>
      <c r="F603" t="inlineStr">
        <is>
          <t>PROYECTADO · C.09/12 · cashflow cuotas BBVA · gasto personal Sol</t>
        </is>
      </c>
    </row>
    <row r="604">
      <c r="A604" s="54" t="n">
        <v>46415</v>
      </c>
      <c r="B604" t="inlineStr">
        <is>
          <t>Enero 2027</t>
        </is>
      </c>
      <c r="C604" t="inlineStr">
        <is>
          <t>ROPA</t>
        </is>
      </c>
      <c r="D604" t="n">
        <v>69750</v>
      </c>
      <c r="E604" t="inlineStr">
        <is>
          <t>BBVA VISA · proyectado</t>
        </is>
      </c>
      <c r="F604" t="inlineStr">
        <is>
          <t>PROYECTADO · C.09/12 · cashflow cuotas BBVA · gasto personal Sol</t>
        </is>
      </c>
    </row>
    <row r="605">
      <c r="A605" s="54" t="n">
        <v>46446</v>
      </c>
      <c r="B605" t="inlineStr">
        <is>
          <t>Febrero 2027</t>
        </is>
      </c>
      <c r="C605" t="inlineStr">
        <is>
          <t>MERCADO LIBRE</t>
        </is>
      </c>
      <c r="D605" t="n">
        <v>275000</v>
      </c>
      <c r="E605" t="inlineStr">
        <is>
          <t>BBVA MASTERCARD · proyectado</t>
        </is>
      </c>
      <c r="F605" t="inlineStr">
        <is>
          <t>PROYECTADO · C.12/12 · cashflow cuotas BBVA · gasto personal Sol · ex `Mercado Libre · MERCADOLIBRE`</t>
        </is>
      </c>
    </row>
    <row r="606">
      <c r="A606" s="54" t="n">
        <v>46446</v>
      </c>
      <c r="B606" t="inlineStr">
        <is>
          <t>Febrero 2027</t>
        </is>
      </c>
      <c r="C606" t="inlineStr">
        <is>
          <t>ROPA</t>
        </is>
      </c>
      <c r="D606" t="n">
        <v>60917</v>
      </c>
      <c r="E606" t="inlineStr">
        <is>
          <t>BBVA VISA · proyectado</t>
        </is>
      </c>
      <c r="F606" t="inlineStr">
        <is>
          <t>PROYECTADO · C.10/12 · cashflow cuotas BBVA · gasto personal Sol</t>
        </is>
      </c>
    </row>
    <row r="607">
      <c r="A607" s="54" t="n">
        <v>46446</v>
      </c>
      <c r="B607" t="inlineStr">
        <is>
          <t>Febrero 2027</t>
        </is>
      </c>
      <c r="C607" t="inlineStr">
        <is>
          <t>ROPA</t>
        </is>
      </c>
      <c r="D607" t="n">
        <v>69750</v>
      </c>
      <c r="E607" t="inlineStr">
        <is>
          <t>BBVA VISA · proyectado</t>
        </is>
      </c>
      <c r="F607" t="inlineStr">
        <is>
          <t>PROYECTADO · C.10/12 · cashflow cuotas BBVA · gasto personal Sol</t>
        </is>
      </c>
    </row>
    <row r="608">
      <c r="A608" s="54" t="n">
        <v>46474</v>
      </c>
      <c r="B608" t="inlineStr">
        <is>
          <t>Marzo 2027</t>
        </is>
      </c>
      <c r="C608" t="inlineStr">
        <is>
          <t>ROPA</t>
        </is>
      </c>
      <c r="D608" t="n">
        <v>60917</v>
      </c>
      <c r="E608" t="inlineStr">
        <is>
          <t>BBVA VISA · proyectado</t>
        </is>
      </c>
      <c r="F608" t="inlineStr">
        <is>
          <t>PROYECTADO · C.11/12 · cashflow cuotas BBVA · gasto personal Sol</t>
        </is>
      </c>
    </row>
    <row r="609">
      <c r="A609" s="54" t="n">
        <v>46474</v>
      </c>
      <c r="B609" t="inlineStr">
        <is>
          <t>Marzo 2027</t>
        </is>
      </c>
      <c r="C609" t="inlineStr">
        <is>
          <t>ROPA</t>
        </is>
      </c>
      <c r="D609" t="n">
        <v>69750</v>
      </c>
      <c r="E609" t="inlineStr">
        <is>
          <t>BBVA VISA · proyectado</t>
        </is>
      </c>
      <c r="F609" t="inlineStr">
        <is>
          <t>PROYECTADO · C.11/12 · cashflow cuotas BBVA · gasto personal Sol</t>
        </is>
      </c>
    </row>
    <row r="610">
      <c r="A610" s="54" t="n">
        <v>46505</v>
      </c>
      <c r="B610" t="inlineStr">
        <is>
          <t>Abril 2027</t>
        </is>
      </c>
      <c r="C610" t="inlineStr">
        <is>
          <t>ROPA</t>
        </is>
      </c>
      <c r="D610" t="n">
        <v>60917</v>
      </c>
      <c r="E610" t="inlineStr">
        <is>
          <t>BBVA VISA · proyectado</t>
        </is>
      </c>
      <c r="F610" t="inlineStr">
        <is>
          <t>PROYECTADO · C.12/12 · cashflow cuotas BBVA · gasto personal Sol</t>
        </is>
      </c>
    </row>
    <row r="611">
      <c r="A611" s="54" t="n">
        <v>46505</v>
      </c>
      <c r="B611" t="inlineStr">
        <is>
          <t>Abril 2027</t>
        </is>
      </c>
      <c r="C611" t="inlineStr">
        <is>
          <t>ROPA</t>
        </is>
      </c>
      <c r="D611" t="n">
        <v>69750</v>
      </c>
      <c r="E611" t="inlineStr">
        <is>
          <t>BBVA VISA · proyectado</t>
        </is>
      </c>
      <c r="F611" t="inlineStr">
        <is>
          <t>PROYECTADO · C.12/12 · cashflow cuotas BBVA · gasto personal Sol</t>
        </is>
      </c>
    </row>
    <row r="612">
      <c r="A612" s="54" t="n">
        <v>46030</v>
      </c>
      <c r="B612" t="inlineStr">
        <is>
          <t>Enero</t>
        </is>
      </c>
      <c r="C612" t="inlineStr">
        <is>
          <t>FARMACIA SALUD</t>
        </is>
      </c>
      <c r="D612" t="n">
        <v>29546</v>
      </c>
      <c r="E612" t="inlineStr">
        <is>
          <t>Mercado Pago</t>
        </is>
      </c>
      <c r="F612" t="inlineStr">
        <is>
          <t>FARMACIA SALUD · Farmacia Selma (Selma Salvatori) · movido desde Almacen Detalle</t>
        </is>
      </c>
    </row>
    <row r="613">
      <c r="A613" s="54" t="n">
        <v>46051</v>
      </c>
      <c r="B613" t="inlineStr">
        <is>
          <t>Enero</t>
        </is>
      </c>
      <c r="C613" t="inlineStr">
        <is>
          <t>PERCEPCIÓN USD · IIBB CABA 2%</t>
        </is>
      </c>
      <c r="D613" t="n">
        <v>578</v>
      </c>
      <c r="E613" t="inlineStr">
        <is>
          <t>BBVA MASTERCARD</t>
        </is>
      </c>
      <c r="F613" t="inlineStr">
        <is>
          <t>PERCEPCIÓN USD · IIBB CABA 2% · base $28,875.55 · cierre 29-Ene-26 · percepciones por consumos en USD · gasto personal Sol</t>
        </is>
      </c>
    </row>
    <row r="614">
      <c r="A614" s="54" t="n">
        <v>46051</v>
      </c>
      <c r="B614" t="inlineStr">
        <is>
          <t>Enero</t>
        </is>
      </c>
      <c r="C614" t="inlineStr">
        <is>
          <t>PERCEPCIÓN USD · IVA RG 4240 21%</t>
        </is>
      </c>
      <c r="D614" t="n">
        <v>6064</v>
      </c>
      <c r="E614" t="inlineStr">
        <is>
          <t>BBVA MASTERCARD</t>
        </is>
      </c>
      <c r="F614" t="inlineStr">
        <is>
          <t>PERCEPCIÓN USD · IVA RG 4240 21% · base $28,875.55 · cierre 29-Ene-26 · percepciones por consumos en USD · gasto personal Sol</t>
        </is>
      </c>
    </row>
    <row r="615">
      <c r="A615" s="54" t="n">
        <v>46051</v>
      </c>
      <c r="B615" t="inlineStr">
        <is>
          <t>Enero</t>
        </is>
      </c>
      <c r="C615" t="inlineStr">
        <is>
          <t>PERCEPCIÓN USD · DB RG 5617 30%</t>
        </is>
      </c>
      <c r="D615" t="n">
        <v>10826</v>
      </c>
      <c r="E615" t="inlineStr">
        <is>
          <t>BBVA MASTERCARD</t>
        </is>
      </c>
      <c r="F615" t="inlineStr">
        <is>
          <t>PERCEPCIÓN USD · DB RG 5617 30% · base $36,083.61 · cierre 29-Ene-26 · percepciones por consumos en USD · gasto personal Sol</t>
        </is>
      </c>
    </row>
    <row r="616">
      <c r="A616" s="54" t="n">
        <v>46051</v>
      </c>
      <c r="B616" t="inlineStr">
        <is>
          <t>Enero</t>
        </is>
      </c>
      <c r="C616" t="inlineStr">
        <is>
          <t>PERCEPCIÓN USD · IIBB CABA 2%</t>
        </is>
      </c>
      <c r="D616" t="n">
        <v>89</v>
      </c>
      <c r="E616" t="inlineStr">
        <is>
          <t>BBVA VISA</t>
        </is>
      </c>
      <c r="F616" t="inlineStr">
        <is>
          <t>PERCEPCIÓN USD · IIBB CABA 2% · base $4,449.06 · cierre 29-Ene-26 · percepciones por consumos en USD · gasto personal Sol</t>
        </is>
      </c>
    </row>
    <row r="617">
      <c r="A617" s="54" t="n">
        <v>46051</v>
      </c>
      <c r="B617" t="inlineStr">
        <is>
          <t>Enero</t>
        </is>
      </c>
      <c r="C617" t="inlineStr">
        <is>
          <t>PERCEPCIÓN USD · IVA RG 4240 21%</t>
        </is>
      </c>
      <c r="D617" t="n">
        <v>935</v>
      </c>
      <c r="E617" t="inlineStr">
        <is>
          <t>BBVA VISA</t>
        </is>
      </c>
      <c r="F617" t="inlineStr">
        <is>
          <t>PERCEPCIÓN USD · IVA RG 4240 21% · base $4,449.06 · cierre 29-Ene-26 · percepciones por consumos en USD · gasto personal Sol</t>
        </is>
      </c>
    </row>
    <row r="618">
      <c r="A618" s="54" t="n">
        <v>46051</v>
      </c>
      <c r="B618" t="inlineStr">
        <is>
          <t>Enero</t>
        </is>
      </c>
      <c r="C618" t="inlineStr">
        <is>
          <t>PERCEPCIÓN USD · DB RG 5617 30%</t>
        </is>
      </c>
      <c r="D618" t="n">
        <v>10002</v>
      </c>
      <c r="E618" t="inlineStr">
        <is>
          <t>BBVA VISA</t>
        </is>
      </c>
      <c r="F618" t="inlineStr">
        <is>
          <t>PERCEPCIÓN USD · DB RG 5617 30% · base $33,339.06 · cierre 29-Ene-26 · percepciones por consumos en USD · gasto personal Sol</t>
        </is>
      </c>
    </row>
    <row r="619">
      <c r="A619" s="54" t="n">
        <v>46079</v>
      </c>
      <c r="B619" t="inlineStr">
        <is>
          <t>Febrero</t>
        </is>
      </c>
      <c r="C619" t="inlineStr">
        <is>
          <t>PERCEPCIÓN USD · IIBB CABA 2%</t>
        </is>
      </c>
      <c r="D619" t="n">
        <v>560</v>
      </c>
      <c r="E619" t="inlineStr">
        <is>
          <t>BBVA MASTERCARD</t>
        </is>
      </c>
      <c r="F619" t="inlineStr">
        <is>
          <t>PERCEPCIÓN USD · IIBB CABA 2% · base $27,966.01 · cierre 26-Feb-26 · percepciones por consumos en USD · gasto personal Sol</t>
        </is>
      </c>
    </row>
    <row r="620">
      <c r="A620" s="54" t="n">
        <v>46079</v>
      </c>
      <c r="B620" t="inlineStr">
        <is>
          <t>Febrero</t>
        </is>
      </c>
      <c r="C620" t="inlineStr">
        <is>
          <t>PERCEPCIÓN USD · IVA RG 4240 21%</t>
        </is>
      </c>
      <c r="D620" t="n">
        <v>5873</v>
      </c>
      <c r="E620" t="inlineStr">
        <is>
          <t>BBVA MASTERCARD</t>
        </is>
      </c>
      <c r="F620" t="inlineStr">
        <is>
          <t>PERCEPCIÓN USD · IVA RG 4240 21% · base $27,966.01 · cierre 26-Feb-26 · percepciones por consumos en USD · gasto personal Sol</t>
        </is>
      </c>
    </row>
    <row r="621">
      <c r="A621" s="54" t="n">
        <v>46079</v>
      </c>
      <c r="B621" t="inlineStr">
        <is>
          <t>Febrero</t>
        </is>
      </c>
      <c r="C621" t="inlineStr">
        <is>
          <t>PERCEPCIÓN USD · DB RG 5617 30%</t>
        </is>
      </c>
      <c r="D621" t="n">
        <v>16784</v>
      </c>
      <c r="E621" t="inlineStr">
        <is>
          <t>BBVA MASTERCARD</t>
        </is>
      </c>
      <c r="F621" t="inlineStr">
        <is>
          <t>PERCEPCIÓN USD · DB RG 5617 30% · base $55,946.01 · cierre 26-Feb-26 · percepciones por consumos en USD · gasto personal Sol</t>
        </is>
      </c>
    </row>
    <row r="622">
      <c r="A622" s="54" t="n">
        <v>46107</v>
      </c>
      <c r="B622" t="inlineStr">
        <is>
          <t>Marzo</t>
        </is>
      </c>
      <c r="C622" t="inlineStr">
        <is>
          <t>PERCEPCIÓN USD · IIBB CABA 2%</t>
        </is>
      </c>
      <c r="D622" t="n">
        <v>551</v>
      </c>
      <c r="E622" t="inlineStr">
        <is>
          <t>BBVA MASTERCARD</t>
        </is>
      </c>
      <c r="F622" t="inlineStr">
        <is>
          <t>PERCEPCIÓN USD · IIBB CABA 2% · base $27,536.22 · cierre 26-Mar-26 · percepciones por consumos en USD · gasto personal Sol</t>
        </is>
      </c>
    </row>
    <row r="623">
      <c r="A623" s="54" t="n">
        <v>46107</v>
      </c>
      <c r="B623" t="inlineStr">
        <is>
          <t>Marzo</t>
        </is>
      </c>
      <c r="C623" t="inlineStr">
        <is>
          <t>PERCEPCIÓN USD · IVA RG 4240 21%</t>
        </is>
      </c>
      <c r="D623" t="n">
        <v>5783</v>
      </c>
      <c r="E623" t="inlineStr">
        <is>
          <t>BBVA MASTERCARD</t>
        </is>
      </c>
      <c r="F623" t="inlineStr">
        <is>
          <t>PERCEPCIÓN USD · IVA RG 4240 21% · base $27,536.22 · cierre 26-Mar-26 · percepciones por consumos en USD · gasto personal Sol</t>
        </is>
      </c>
    </row>
    <row r="624">
      <c r="A624" s="54" t="n">
        <v>46107</v>
      </c>
      <c r="B624" t="inlineStr">
        <is>
          <t>Marzo</t>
        </is>
      </c>
      <c r="C624" t="inlineStr">
        <is>
          <t>PERCEPCIÓN USD · DB RG 5617 30%</t>
        </is>
      </c>
      <c r="D624" t="n">
        <v>16526</v>
      </c>
      <c r="E624" t="inlineStr">
        <is>
          <t>BBVA MASTERCARD</t>
        </is>
      </c>
      <c r="F624" t="inlineStr">
        <is>
          <t>PERCEPCIÓN USD · DB RG 5617 30% · base $55,086.22 · cierre 26-Mar-26 · percepciones por consumos en USD · gasto personal Sol</t>
        </is>
      </c>
    </row>
    <row r="625">
      <c r="A625" s="54" t="n">
        <v>46107</v>
      </c>
      <c r="B625" t="inlineStr">
        <is>
          <t>Marzo</t>
        </is>
      </c>
      <c r="C625" t="inlineStr">
        <is>
          <t>PERCEPCIÓN USD · IIBB CABA 2%</t>
        </is>
      </c>
      <c r="D625" t="n">
        <v>87</v>
      </c>
      <c r="E625" t="inlineStr">
        <is>
          <t>BBVA VISA</t>
        </is>
      </c>
      <c r="F625" t="inlineStr">
        <is>
          <t>PERCEPCIÓN USD · IIBB CABA 2% · base $4,339.12 · cierre 26-Mar-26 · percepciones por consumos en USD · gasto personal Sol</t>
        </is>
      </c>
    </row>
    <row r="626">
      <c r="A626" s="54" t="n">
        <v>46107</v>
      </c>
      <c r="B626" t="inlineStr">
        <is>
          <t>Marzo</t>
        </is>
      </c>
      <c r="C626" t="inlineStr">
        <is>
          <t>PERCEPCIÓN USD · IVA RG 4240 21%</t>
        </is>
      </c>
      <c r="D626" t="n">
        <v>912</v>
      </c>
      <c r="E626" t="inlineStr">
        <is>
          <t>BBVA VISA</t>
        </is>
      </c>
      <c r="F626" t="inlineStr">
        <is>
          <t>PERCEPCIÓN USD · IVA RG 4240 21% · base $4,339.12 · cierre 26-Mar-26 · percepciones por consumos en USD · gasto personal Sol</t>
        </is>
      </c>
    </row>
    <row r="627">
      <c r="A627" s="54" t="n">
        <v>46107</v>
      </c>
      <c r="B627" t="inlineStr">
        <is>
          <t>Marzo</t>
        </is>
      </c>
      <c r="C627" t="inlineStr">
        <is>
          <t>PERCEPCIÓN USD · DB RG 5617 30%</t>
        </is>
      </c>
      <c r="D627" t="n">
        <v>1302</v>
      </c>
      <c r="E627" t="inlineStr">
        <is>
          <t>BBVA VISA</t>
        </is>
      </c>
      <c r="F627" t="inlineStr">
        <is>
          <t>PERCEPCIÓN USD · DB RG 5617 30% · base $4,339.12 · cierre 26-Mar-26 · percepciones por consumos en USD · gasto personal Sol</t>
        </is>
      </c>
    </row>
    <row r="628">
      <c r="A628" s="54" t="n">
        <v>46142</v>
      </c>
      <c r="B628" t="inlineStr">
        <is>
          <t>Abril</t>
        </is>
      </c>
      <c r="C628" t="inlineStr">
        <is>
          <t>PERCEPCIÓN USD · IIBB CABA 2%</t>
        </is>
      </c>
      <c r="D628" t="n">
        <v>1303</v>
      </c>
      <c r="E628" t="inlineStr">
        <is>
          <t>BBVA MASTERCARD</t>
        </is>
      </c>
      <c r="F628" t="inlineStr">
        <is>
          <t>PERCEPCIÓN USD · IIBB CABA 2% · base $65,150.03 · cierre 30-Abr-26 · percepciones por consumos en USD · gasto personal Sol</t>
        </is>
      </c>
    </row>
    <row r="629">
      <c r="A629" s="54" t="n">
        <v>46142</v>
      </c>
      <c r="B629" t="inlineStr">
        <is>
          <t>Abril</t>
        </is>
      </c>
      <c r="C629" t="inlineStr">
        <is>
          <t>PERCEPCIÓN USD · IVA RG 4240 21%</t>
        </is>
      </c>
      <c r="D629" t="n">
        <v>13682</v>
      </c>
      <c r="E629" t="inlineStr">
        <is>
          <t>BBVA MASTERCARD</t>
        </is>
      </c>
      <c r="F629" t="inlineStr">
        <is>
          <t>PERCEPCIÓN USD · IVA RG 4240 21% · base $65,150.03 · cierre 30-Abr-26 · percepciones por consumos en USD · gasto personal Sol</t>
        </is>
      </c>
    </row>
    <row r="630">
      <c r="A630" s="54" t="n">
        <v>46142</v>
      </c>
      <c r="B630" t="inlineStr">
        <is>
          <t>Abril</t>
        </is>
      </c>
      <c r="C630" t="inlineStr">
        <is>
          <t>PERCEPCIÓN USD · DB RG 5617 30%</t>
        </is>
      </c>
      <c r="D630" t="n">
        <v>16694</v>
      </c>
      <c r="E630" t="inlineStr">
        <is>
          <t>BBVA MASTERCARD</t>
        </is>
      </c>
      <c r="F630" t="inlineStr">
        <is>
          <t>PERCEPCIÓN USD · DB RG 5617 30% · base $55,646.08 · cierre 30-Abr-26 · percepciones por consumos en USD · gasto personal Sol</t>
        </is>
      </c>
    </row>
    <row r="631">
      <c r="A631" s="54" t="n">
        <v>46142</v>
      </c>
      <c r="B631" t="inlineStr">
        <is>
          <t>Abril</t>
        </is>
      </c>
      <c r="C631" t="inlineStr">
        <is>
          <t>PERCEPCIÓN USD · IIBB CABA 2%</t>
        </is>
      </c>
      <c r="D631" t="n">
        <v>90</v>
      </c>
      <c r="E631" t="inlineStr">
        <is>
          <t>BBVA VISA</t>
        </is>
      </c>
      <c r="F631" t="inlineStr">
        <is>
          <t>PERCEPCIÓN USD · IIBB CABA 2% · base $4,494.54 · cierre 30-Abr-26 · percepciones por consumos en USD · gasto personal Sol</t>
        </is>
      </c>
    </row>
    <row r="632">
      <c r="A632" s="54" t="n">
        <v>46142</v>
      </c>
      <c r="B632" t="inlineStr">
        <is>
          <t>Abril</t>
        </is>
      </c>
      <c r="C632" t="inlineStr">
        <is>
          <t>PERCEPCIÓN USD · IIBB CABA 2%</t>
        </is>
      </c>
      <c r="D632" t="n">
        <v>88</v>
      </c>
      <c r="E632" t="inlineStr">
        <is>
          <t>BBVA VISA</t>
        </is>
      </c>
      <c r="F632" t="inlineStr">
        <is>
          <t>PERCEPCIÓN USD · IIBB CABA 2% · base $4,369.31 · cierre 30-Abr-26 · percepciones por consumos en USD · gasto personal Sol</t>
        </is>
      </c>
    </row>
    <row r="633">
      <c r="A633" s="54" t="n">
        <v>46142</v>
      </c>
      <c r="B633" t="inlineStr">
        <is>
          <t>Abril</t>
        </is>
      </c>
      <c r="C633" t="inlineStr">
        <is>
          <t>PERCEPCIÓN USD · IVA RG 4240 21%</t>
        </is>
      </c>
      <c r="D633" t="n">
        <v>944</v>
      </c>
      <c r="E633" t="inlineStr">
        <is>
          <t>BBVA VISA</t>
        </is>
      </c>
      <c r="F633" t="inlineStr">
        <is>
          <t>PERCEPCIÓN USD · IVA RG 4240 21% · base $4,494.54 · cierre 30-Abr-26 · percepciones por consumos en USD · gasto personal Sol</t>
        </is>
      </c>
    </row>
    <row r="634">
      <c r="A634" s="54" t="n">
        <v>46142</v>
      </c>
      <c r="B634" t="inlineStr">
        <is>
          <t>Abril</t>
        </is>
      </c>
      <c r="C634" t="inlineStr">
        <is>
          <t>PERCEPCIÓN USD · IVA RG 4240 21%</t>
        </is>
      </c>
      <c r="D634" t="n">
        <v>918</v>
      </c>
      <c r="E634" t="inlineStr">
        <is>
          <t>BBVA VISA</t>
        </is>
      </c>
      <c r="F634" t="inlineStr">
        <is>
          <t>PERCEPCIÓN USD · IVA RG 4240 21% · base $4,369.31 · cierre 30-Abr-26 · percepciones por consumos en USD · gasto personal Sol</t>
        </is>
      </c>
    </row>
    <row r="635">
      <c r="A635" s="54" t="n">
        <v>46142</v>
      </c>
      <c r="B635" t="inlineStr">
        <is>
          <t>Abril</t>
        </is>
      </c>
      <c r="C635" t="inlineStr">
        <is>
          <t>PERCEPCIÓN USD · DB RG 5617 30%</t>
        </is>
      </c>
      <c r="D635" t="n">
        <v>95329</v>
      </c>
      <c r="E635" t="inlineStr">
        <is>
          <t>BBVA VISA</t>
        </is>
      </c>
      <c r="F635" t="inlineStr">
        <is>
          <t>PERCEPCIÓN USD · DB RG 5617 30% · base $317,762.94 · cierre 30-Abr-26 · percepciones por consumos en USD · gasto personal Sol</t>
        </is>
      </c>
    </row>
    <row r="636">
      <c r="A636" s="54" t="n">
        <v>46170</v>
      </c>
      <c r="B636" t="inlineStr">
        <is>
          <t>Mayo</t>
        </is>
      </c>
      <c r="C636" t="inlineStr">
        <is>
          <t>PERCEPCIÓN USD · DB RG 5617 30%</t>
        </is>
      </c>
      <c r="D636" t="n">
        <v>21188</v>
      </c>
      <c r="E636" t="inlineStr">
        <is>
          <t>BBVA MASTERCARD</t>
        </is>
      </c>
      <c r="F636" t="inlineStr">
        <is>
          <t>PERCEPCIÓN USD · DB RG 5617 30% · base $70,625.00 · cierre 28-May-26 · percepciones por consumos en USD · gasto personal Sol</t>
        </is>
      </c>
    </row>
    <row r="637">
      <c r="A637" s="54" t="n">
        <v>46170</v>
      </c>
      <c r="B637" t="inlineStr">
        <is>
          <t>Mayo</t>
        </is>
      </c>
      <c r="C637" t="inlineStr">
        <is>
          <t>PERCEPCIÓN USD · IIBB CABA 2%</t>
        </is>
      </c>
      <c r="D637" t="n">
        <v>565</v>
      </c>
      <c r="E637" t="inlineStr">
        <is>
          <t>BBVA VISA</t>
        </is>
      </c>
      <c r="F637" t="inlineStr">
        <is>
          <t>PERCEPCIÓN USD · IIBB CABA 2% · base $28,235.87 · cierre 28-May-26 · percepciones por consumos en USD · gasto personal Sol</t>
        </is>
      </c>
    </row>
    <row r="638">
      <c r="A638" s="54" t="n">
        <v>46170</v>
      </c>
      <c r="B638" t="inlineStr">
        <is>
          <t>Mayo</t>
        </is>
      </c>
      <c r="C638" t="inlineStr">
        <is>
          <t>PERCEPCIÓN USD · IVA RG 4240 21%</t>
        </is>
      </c>
      <c r="D638" t="n">
        <v>5930</v>
      </c>
      <c r="E638" t="inlineStr">
        <is>
          <t>BBVA VISA</t>
        </is>
      </c>
      <c r="F638" t="inlineStr">
        <is>
          <t>PERCEPCIÓN USD · IVA RG 4240 21% · base $28,235.87 · cierre 28-May-26 · percepciones por consumos en USD · gasto personal Sol</t>
        </is>
      </c>
    </row>
    <row r="639">
      <c r="A639" s="54" t="n">
        <v>46170</v>
      </c>
      <c r="B639" t="inlineStr">
        <is>
          <t>Mayo</t>
        </is>
      </c>
      <c r="C639" t="inlineStr">
        <is>
          <t>PERCEPCIÓN USD · DB RG 5617 30%</t>
        </is>
      </c>
      <c r="D639" t="n">
        <v>69326</v>
      </c>
      <c r="E639" t="inlineStr">
        <is>
          <t>BBVA VISA</t>
        </is>
      </c>
      <c r="F639" t="inlineStr">
        <is>
          <t>PERCEPCIÓN USD · DB RG 5617 30% · base $231,085.00 · cierre 28-May-26 · percepciones por consumos en USD · gasto personal Sol</t>
        </is>
      </c>
    </row>
    <row r="640">
      <c r="A640" s="54" t="n">
        <v>46205</v>
      </c>
      <c r="B640" t="inlineStr">
        <is>
          <t>Julio</t>
        </is>
      </c>
      <c r="C640" t="inlineStr">
        <is>
          <t>PERCEPCIÓN USD · DB RG 5617 30%</t>
        </is>
      </c>
      <c r="D640" t="n">
        <v>1713993</v>
      </c>
      <c r="E640" t="inlineStr">
        <is>
          <t>BBVA MASTERCARD</t>
        </is>
      </c>
      <c r="F640" t="inlineStr">
        <is>
          <t>PERCEPCIÓN USD · DB RG 5617 30% · base $5,713,307.89 · cierre 02-Jul-26 · percepciones por consumos en USD · gasto personal Sol</t>
        </is>
      </c>
    </row>
    <row r="641">
      <c r="A641" s="54" t="n">
        <v>46205</v>
      </c>
      <c r="B641" t="inlineStr">
        <is>
          <t>Julio</t>
        </is>
      </c>
      <c r="C641" t="inlineStr">
        <is>
          <t>PERCEPCIÓN USD · IIBB CABA 2%</t>
        </is>
      </c>
      <c r="D641" t="n">
        <v>690</v>
      </c>
      <c r="E641" t="inlineStr">
        <is>
          <t>BBVA VISA</t>
        </is>
      </c>
      <c r="F641" t="inlineStr">
        <is>
          <t>PERCEPCIÓN USD · IIBB CABA 2% · base $34,455.46 · cierre 02-Jul-26 · percepciones por consumos en USD · gasto personal Sol</t>
        </is>
      </c>
    </row>
    <row r="642">
      <c r="A642" s="54" t="n">
        <v>46205</v>
      </c>
      <c r="B642" t="inlineStr">
        <is>
          <t>Julio</t>
        </is>
      </c>
      <c r="C642" t="inlineStr">
        <is>
          <t>PERCEPCIÓN USD · IIBB CABA 2%</t>
        </is>
      </c>
      <c r="D642" t="n">
        <v>90</v>
      </c>
      <c r="E642" t="inlineStr">
        <is>
          <t>BBVA VISA</t>
        </is>
      </c>
      <c r="F642" t="inlineStr">
        <is>
          <t>PERCEPCIÓN USD · IIBB CABA 2% · base $4,481.89 · cierre 02-Jul-26 · percepciones por consumos en USD · gasto personal Sol</t>
        </is>
      </c>
    </row>
    <row r="643">
      <c r="A643" s="54" t="n">
        <v>46205</v>
      </c>
      <c r="B643" t="inlineStr">
        <is>
          <t>Julio</t>
        </is>
      </c>
      <c r="C643" t="inlineStr">
        <is>
          <t>PERCEPCIÓN USD · IVA RG 4240 21%</t>
        </is>
      </c>
      <c r="D643" t="n">
        <v>7236</v>
      </c>
      <c r="E643" t="inlineStr">
        <is>
          <t>BBVA VISA</t>
        </is>
      </c>
      <c r="F643" t="inlineStr">
        <is>
          <t>PERCEPCIÓN USD · IVA RG 4240 21% · base $34,455.46 · cierre 02-Jul-26 · percepciones por consumos en USD · gasto personal Sol</t>
        </is>
      </c>
    </row>
    <row r="644">
      <c r="A644" s="54" t="n">
        <v>46205</v>
      </c>
      <c r="B644" t="inlineStr">
        <is>
          <t>Julio</t>
        </is>
      </c>
      <c r="C644" t="inlineStr">
        <is>
          <t>PERCEPCIÓN USD · IVA RG 4240 21%</t>
        </is>
      </c>
      <c r="D644" t="n">
        <v>942</v>
      </c>
      <c r="E644" t="inlineStr">
        <is>
          <t>BBVA VISA</t>
        </is>
      </c>
      <c r="F644" t="inlineStr">
        <is>
          <t>PERCEPCIÓN USD · IVA RG 4240 21% · base $4,481.89 · cierre 02-Jul-26 · percepciones por consumos en USD · gasto personal Sol</t>
        </is>
      </c>
    </row>
    <row r="645">
      <c r="A645" s="54" t="n">
        <v>46205</v>
      </c>
      <c r="B645" t="inlineStr">
        <is>
          <t>Julio</t>
        </is>
      </c>
      <c r="C645" t="inlineStr">
        <is>
          <t>PERCEPCIÓN USD · DB RG 5617 30%</t>
        </is>
      </c>
      <c r="D645" t="n">
        <v>205652</v>
      </c>
      <c r="E645" t="inlineStr">
        <is>
          <t>BBVA VISA</t>
        </is>
      </c>
      <c r="F645" t="inlineStr">
        <is>
          <t>PERCEPCIÓN USD · DB RG 5617 30% · base $685,505.82 · cierre 02-Jul-26 · percepciones por consumos en USD · gasto personal Sol</t>
        </is>
      </c>
    </row>
    <row r="646">
      <c r="A646" s="54" t="n">
        <v>46034</v>
      </c>
      <c r="B646" t="inlineStr">
        <is>
          <t>Enero</t>
        </is>
      </c>
      <c r="C646" t="inlineStr">
        <is>
          <t>HOGAR</t>
        </is>
      </c>
      <c r="D646" t="n">
        <v>47500</v>
      </c>
      <c r="E646" t="inlineStr">
        <is>
          <t>TC Mercado Pago</t>
        </is>
      </c>
      <c r="F646" t="inlineStr">
        <is>
          <t>HOGAR · Textilhogar · MERPAGO*TEXTILHOGAR · TC Mercado Pago · cuota 2 de 3 · compra 2025-11-13</t>
        </is>
      </c>
    </row>
    <row r="647">
      <c r="A647" s="54" t="n">
        <v>46034</v>
      </c>
      <c r="B647" t="inlineStr">
        <is>
          <t>Enero</t>
        </is>
      </c>
      <c r="C647" t="inlineStr">
        <is>
          <t>MERCADO LIBRE</t>
        </is>
      </c>
      <c r="D647" t="n">
        <v>72964</v>
      </c>
      <c r="E647" t="inlineStr">
        <is>
          <t>TC Mercado Pago</t>
        </is>
      </c>
      <c r="F647" t="inlineStr">
        <is>
          <t>Mercado Libre · TC Mercado Pago · cuota 2 de 3 · compra 2025-11-26 · ex `Mercado Libre · C.02/03`</t>
        </is>
      </c>
    </row>
    <row r="648">
      <c r="A648" s="54" t="n">
        <v>46034</v>
      </c>
      <c r="B648" t="inlineStr">
        <is>
          <t>Enero</t>
        </is>
      </c>
      <c r="C648" t="inlineStr">
        <is>
          <t>TECNOLOGÍA</t>
        </is>
      </c>
      <c r="D648" t="n">
        <v>140650</v>
      </c>
      <c r="E648" t="inlineStr">
        <is>
          <t>TC Mercado Pago</t>
        </is>
      </c>
      <c r="F648" t="inlineStr">
        <is>
          <t>TECNOLOGÍA · Mophie · MERPAGO*MOPHIE · TC Mercado Pago · cuota 2 de 3 · compra 2025-11-28</t>
        </is>
      </c>
    </row>
    <row r="649">
      <c r="A649" s="54" t="n">
        <v>46034</v>
      </c>
      <c r="B649" t="inlineStr">
        <is>
          <t>Enero</t>
        </is>
      </c>
      <c r="C649" t="inlineStr">
        <is>
          <t>MERCADO LIBRE</t>
        </is>
      </c>
      <c r="D649" t="n">
        <v>32941</v>
      </c>
      <c r="E649" t="inlineStr">
        <is>
          <t>TC Mercado Pago</t>
        </is>
      </c>
      <c r="F649" t="inlineStr">
        <is>
          <t>Mercado Libre · TC Mercado Pago · cuota 2 de 3 · compra 2025-11-29 · ex `Mercado Libre · C.02/03`</t>
        </is>
      </c>
    </row>
    <row r="650">
      <c r="A650" s="54" t="n">
        <v>46034</v>
      </c>
      <c r="B650" t="inlineStr">
        <is>
          <t>Enero</t>
        </is>
      </c>
      <c r="C650" t="inlineStr">
        <is>
          <t>ROPA</t>
        </is>
      </c>
      <c r="D650" t="n">
        <v>50000</v>
      </c>
      <c r="E650" t="inlineStr">
        <is>
          <t>TC Mercado Pago</t>
        </is>
      </c>
      <c r="F650" t="inlineStr">
        <is>
          <t>ROPA · Pallars · MERPAGO*PALLARS · TC Mercado Pago · cuota 1 de 3 · compra 2025-12-13</t>
        </is>
      </c>
    </row>
    <row r="651">
      <c r="A651" s="54" t="n">
        <v>46034</v>
      </c>
      <c r="B651" t="inlineStr">
        <is>
          <t>Enero</t>
        </is>
      </c>
      <c r="C651" t="inlineStr">
        <is>
          <t>COMPRAS</t>
        </is>
      </c>
      <c r="E651" t="inlineStr">
        <is>
          <t>TC Mercado Pago · USD</t>
        </is>
      </c>
      <c r="F651" t="inlineStr">
        <is>
          <t>Amazon · TC Mercado Pago · USD · compra 2025-12-22 · US$ 1060.42</t>
        </is>
      </c>
    </row>
    <row r="652">
      <c r="A652" s="54" t="n">
        <v>46034</v>
      </c>
      <c r="B652" t="inlineStr">
        <is>
          <t>Enero</t>
        </is>
      </c>
      <c r="C652" t="inlineStr">
        <is>
          <t>VESTIMENTA</t>
        </is>
      </c>
      <c r="D652" t="n">
        <v>63750</v>
      </c>
      <c r="E652" t="inlineStr">
        <is>
          <t>TC Mercado Pago</t>
        </is>
      </c>
      <c r="F652" t="inlineStr">
        <is>
          <t>VESTIMENTA · Longchamp · TC Mercado Pago · C.01/06 · gasto personal Sol</t>
        </is>
      </c>
    </row>
    <row r="653">
      <c r="A653" s="54" t="n">
        <v>46034</v>
      </c>
      <c r="B653" t="inlineStr">
        <is>
          <t>Enero</t>
        </is>
      </c>
      <c r="C653" t="inlineStr">
        <is>
          <t>SALUD · Vitaminas</t>
        </is>
      </c>
      <c r="D653" t="n">
        <v>58334</v>
      </c>
      <c r="E653" t="inlineStr">
        <is>
          <t>TC Mercado Pago</t>
        </is>
      </c>
      <c r="F653" t="inlineStr">
        <is>
          <t>SALUD · Vitaminas · Promarine · TC Mercado Pago · C.01/06 · gasto personal Sol</t>
        </is>
      </c>
    </row>
    <row r="654">
      <c r="A654" s="54" t="n">
        <v>46034</v>
      </c>
      <c r="B654" t="inlineStr">
        <is>
          <t>Enero</t>
        </is>
      </c>
      <c r="C654" t="inlineStr">
        <is>
          <t>PERCEPCIÓN USD · DB RG 5617 · TC Mercado Pago</t>
        </is>
      </c>
      <c r="D654" t="n">
        <v>466850</v>
      </c>
      <c r="E654" t="inlineStr">
        <is>
          <t>TC Mercado Pago</t>
        </is>
      </c>
      <c r="F654" t="inlineStr">
        <is>
          <t>PERCEPCIÓN USD · DB RG 5617 · TC Mercado Pago · cierre 2026-01-12 · compra 2026-01-12</t>
        </is>
      </c>
    </row>
    <row r="655">
      <c r="A655" s="54" t="n">
        <v>46065</v>
      </c>
      <c r="B655" t="inlineStr">
        <is>
          <t>Febrero</t>
        </is>
      </c>
      <c r="C655" t="inlineStr">
        <is>
          <t>HOGAR</t>
        </is>
      </c>
      <c r="D655" t="n">
        <v>47500</v>
      </c>
      <c r="E655" t="inlineStr">
        <is>
          <t>TC Mercado Pago</t>
        </is>
      </c>
      <c r="F655" t="inlineStr">
        <is>
          <t>HOGAR · Textilhogar · MERPAGO*TEXTILHOGAR · TC Mercado Pago · cuota 3 de 3 · compra 2025-11-13</t>
        </is>
      </c>
    </row>
    <row r="656">
      <c r="A656" s="54" t="n">
        <v>46065</v>
      </c>
      <c r="B656" t="inlineStr">
        <is>
          <t>Febrero</t>
        </is>
      </c>
      <c r="C656" t="inlineStr">
        <is>
          <t>MERCADO LIBRE</t>
        </is>
      </c>
      <c r="D656" t="n">
        <v>72964</v>
      </c>
      <c r="E656" t="inlineStr">
        <is>
          <t>TC Mercado Pago</t>
        </is>
      </c>
      <c r="F656" t="inlineStr">
        <is>
          <t>Mercado Libre · TC Mercado Pago · cuota 3 de 3 · compra 2025-11-26 · ex `Mercado Libre · C.03/03`</t>
        </is>
      </c>
    </row>
    <row r="657">
      <c r="A657" s="54" t="n">
        <v>46065</v>
      </c>
      <c r="B657" t="inlineStr">
        <is>
          <t>Febrero</t>
        </is>
      </c>
      <c r="C657" t="inlineStr">
        <is>
          <t>TECNOLOGÍA</t>
        </is>
      </c>
      <c r="D657" t="n">
        <v>140650</v>
      </c>
      <c r="E657" t="inlineStr">
        <is>
          <t>TC Mercado Pago</t>
        </is>
      </c>
      <c r="F657" t="inlineStr">
        <is>
          <t>TECNOLOGÍA · Mophie · MERPAGO*MOPHIE · TC Mercado Pago · cuota 3 de 3 · compra 2025-11-28</t>
        </is>
      </c>
    </row>
    <row r="658">
      <c r="A658" s="54" t="n">
        <v>46065</v>
      </c>
      <c r="B658" t="inlineStr">
        <is>
          <t>Febrero</t>
        </is>
      </c>
      <c r="C658" t="inlineStr">
        <is>
          <t>MERCADO LIBRE</t>
        </is>
      </c>
      <c r="D658" t="n">
        <v>32941</v>
      </c>
      <c r="E658" t="inlineStr">
        <is>
          <t>TC Mercado Pago</t>
        </is>
      </c>
      <c r="F658" t="inlineStr">
        <is>
          <t>Mercado Libre · TC Mercado Pago · cuota 3 de 3 · compra 2025-11-29 · ex `Mercado Libre · C.03/03`</t>
        </is>
      </c>
    </row>
    <row r="659">
      <c r="A659" s="54" t="n">
        <v>46065</v>
      </c>
      <c r="B659" t="inlineStr">
        <is>
          <t>Febrero</t>
        </is>
      </c>
      <c r="C659" t="inlineStr">
        <is>
          <t>ROPA</t>
        </is>
      </c>
      <c r="D659" t="n">
        <v>50000</v>
      </c>
      <c r="E659" t="inlineStr">
        <is>
          <t>TC Mercado Pago</t>
        </is>
      </c>
      <c r="F659" t="inlineStr">
        <is>
          <t>ROPA · Pallars · MERPAGO*PALLARS · TC Mercado Pago · cuota 2 de 3 · compra 2025-12-13</t>
        </is>
      </c>
    </row>
    <row r="660">
      <c r="A660" s="54" t="n">
        <v>46065</v>
      </c>
      <c r="B660" t="inlineStr">
        <is>
          <t>Febrero</t>
        </is>
      </c>
      <c r="C660" t="inlineStr">
        <is>
          <t>VESTIMENTA</t>
        </is>
      </c>
      <c r="D660" t="n">
        <v>63750</v>
      </c>
      <c r="E660" t="inlineStr">
        <is>
          <t>TC Mercado Pago</t>
        </is>
      </c>
      <c r="F660" t="inlineStr">
        <is>
          <t>VESTIMENTA · Longchamp · TC Mercado Pago · C.02/06 · gasto personal Sol</t>
        </is>
      </c>
    </row>
    <row r="661">
      <c r="A661" s="54" t="n">
        <v>46065</v>
      </c>
      <c r="B661" t="inlineStr">
        <is>
          <t>Febrero</t>
        </is>
      </c>
      <c r="C661" t="inlineStr">
        <is>
          <t>SALUD · Vitaminas</t>
        </is>
      </c>
      <c r="D661" t="n">
        <v>58334</v>
      </c>
      <c r="E661" t="inlineStr">
        <is>
          <t>TC Mercado Pago</t>
        </is>
      </c>
      <c r="F661" t="inlineStr">
        <is>
          <t>SALUD · Vitaminas · Promarine · TC Mercado Pago · C.02/06 · gasto personal Sol</t>
        </is>
      </c>
    </row>
    <row r="662">
      <c r="A662" s="54" t="n">
        <v>46065</v>
      </c>
      <c r="B662" t="inlineStr">
        <is>
          <t>Febrero</t>
        </is>
      </c>
      <c r="C662" t="inlineStr">
        <is>
          <t>MERCADO LIBRE</t>
        </is>
      </c>
      <c r="D662" t="n">
        <v>47965</v>
      </c>
      <c r="E662" t="inlineStr">
        <is>
          <t>TC Mercado Pago</t>
        </is>
      </c>
      <c r="F662" t="inlineStr">
        <is>
          <t>Mercado Libre · TC Mercado Pago · cuota 1 de 2 · compra 2026-01-15 · ex `Mercado Libre · C.01/02`</t>
        </is>
      </c>
    </row>
    <row r="663">
      <c r="A663" s="54" t="n">
        <v>46065</v>
      </c>
      <c r="B663" t="inlineStr">
        <is>
          <t>Febrero</t>
        </is>
      </c>
      <c r="C663" t="inlineStr">
        <is>
          <t>TECNOLOGÍA</t>
        </is>
      </c>
      <c r="D663" t="n">
        <v>81333</v>
      </c>
      <c r="E663" t="inlineStr">
        <is>
          <t>TC Mercado Pago</t>
        </is>
      </c>
      <c r="F663" t="inlineStr">
        <is>
          <t>TECNOLOGÍA · Todovision · MERPAGO*TODOVISION · TC Mercado Pago · cuota 1 de 3 · compra 2026-01-24</t>
        </is>
      </c>
    </row>
    <row r="664">
      <c r="A664" s="54" t="n">
        <v>46065</v>
      </c>
      <c r="B664" t="inlineStr">
        <is>
          <t>Febrero</t>
        </is>
      </c>
      <c r="C664" t="inlineStr">
        <is>
          <t>MERCADO LIBRE</t>
        </is>
      </c>
      <c r="D664" t="n">
        <v>113472</v>
      </c>
      <c r="E664" t="inlineStr">
        <is>
          <t>TC Mercado Pago</t>
        </is>
      </c>
      <c r="F664" t="inlineStr">
        <is>
          <t>Mercado Libre · TC Mercado Pago · compra 2026-01-25</t>
        </is>
      </c>
    </row>
    <row r="665">
      <c r="A665" s="54" t="n">
        <v>46065</v>
      </c>
      <c r="B665" t="inlineStr">
        <is>
          <t>Febrero</t>
        </is>
      </c>
      <c r="C665" t="inlineStr">
        <is>
          <t>MERCADO LIBRE</t>
        </is>
      </c>
      <c r="D665" t="n">
        <v>43300</v>
      </c>
      <c r="E665" t="inlineStr">
        <is>
          <t>TC Mercado Pago</t>
        </is>
      </c>
      <c r="F665" t="inlineStr">
        <is>
          <t>Mercado Libre · TC Mercado Pago · compra 2026-01-25</t>
        </is>
      </c>
    </row>
    <row r="666">
      <c r="A666" s="54" t="n">
        <v>46065</v>
      </c>
      <c r="B666" t="inlineStr">
        <is>
          <t>Febrero</t>
        </is>
      </c>
      <c r="C666" t="inlineStr">
        <is>
          <t>MERCADO LIBRE</t>
        </is>
      </c>
      <c r="D666" t="n">
        <v>24562</v>
      </c>
      <c r="E666" t="inlineStr">
        <is>
          <t>TC Mercado Pago</t>
        </is>
      </c>
      <c r="F666" t="inlineStr">
        <is>
          <t>MERPAGO*ZAVAGLIA · TC Mercado Pago · compra 2026-01-25</t>
        </is>
      </c>
    </row>
    <row r="667">
      <c r="A667" s="54" t="n">
        <v>46065</v>
      </c>
      <c r="B667" t="inlineStr">
        <is>
          <t>Febrero</t>
        </is>
      </c>
      <c r="C667" t="inlineStr">
        <is>
          <t>MERCADO LIBRE</t>
        </is>
      </c>
      <c r="D667" t="n">
        <v>63647</v>
      </c>
      <c r="E667" t="inlineStr">
        <is>
          <t>TC Mercado Pago</t>
        </is>
      </c>
      <c r="F667" t="inlineStr">
        <is>
          <t>MERPAGO*SELLERPRO · TC Mercado Pago · compra 2026-01-26</t>
        </is>
      </c>
    </row>
    <row r="668">
      <c r="A668" s="54" t="n">
        <v>46065</v>
      </c>
      <c r="B668" t="inlineStr">
        <is>
          <t>Febrero</t>
        </is>
      </c>
      <c r="C668" t="inlineStr">
        <is>
          <t>ROPA</t>
        </is>
      </c>
      <c r="D668" t="n">
        <v>19550</v>
      </c>
      <c r="E668" t="inlineStr">
        <is>
          <t>TC Mercado Pago</t>
        </is>
      </c>
      <c r="F668" t="inlineStr">
        <is>
          <t>ROPA · MERPAGO*POLO · TC Mercado Pago · compra 2026-01-27</t>
        </is>
      </c>
    </row>
    <row r="669">
      <c r="A669" s="54" t="n">
        <v>46093</v>
      </c>
      <c r="B669" t="inlineStr">
        <is>
          <t>Marzo</t>
        </is>
      </c>
      <c r="C669" t="inlineStr">
        <is>
          <t>ROPA</t>
        </is>
      </c>
      <c r="D669" t="n">
        <v>50000</v>
      </c>
      <c r="E669" t="inlineStr">
        <is>
          <t>TC Mercado Pago</t>
        </is>
      </c>
      <c r="F669" t="inlineStr">
        <is>
          <t>ROPA · Pallars · MERPAGO*PALLARS · TC Mercado Pago · cuota 3 de 3 · compra 2025-12-13</t>
        </is>
      </c>
    </row>
    <row r="670">
      <c r="A670" s="54" t="n">
        <v>46093</v>
      </c>
      <c r="B670" t="inlineStr">
        <is>
          <t>Marzo</t>
        </is>
      </c>
      <c r="C670" t="inlineStr">
        <is>
          <t>VESTIMENTA</t>
        </is>
      </c>
      <c r="D670" t="n">
        <v>63750</v>
      </c>
      <c r="E670" t="inlineStr">
        <is>
          <t>TC Mercado Pago</t>
        </is>
      </c>
      <c r="F670" t="inlineStr">
        <is>
          <t>VESTIMENTA · Longchamp · TC Mercado Pago · C.03/06 · gasto personal Sol</t>
        </is>
      </c>
    </row>
    <row r="671">
      <c r="A671" s="54" t="n">
        <v>46093</v>
      </c>
      <c r="B671" t="inlineStr">
        <is>
          <t>Marzo</t>
        </is>
      </c>
      <c r="C671" t="inlineStr">
        <is>
          <t>SALUD · Vitaminas</t>
        </is>
      </c>
      <c r="D671" t="n">
        <v>58334</v>
      </c>
      <c r="E671" t="inlineStr">
        <is>
          <t>TC Mercado Pago</t>
        </is>
      </c>
      <c r="F671" t="inlineStr">
        <is>
          <t>SALUD · Vitaminas · Promarine · TC Mercado Pago · C.03/06 · gasto personal Sol</t>
        </is>
      </c>
    </row>
    <row r="672">
      <c r="A672" s="54" t="n">
        <v>46093</v>
      </c>
      <c r="B672" t="inlineStr">
        <is>
          <t>Marzo</t>
        </is>
      </c>
      <c r="C672" t="inlineStr">
        <is>
          <t>MERCADO LIBRE</t>
        </is>
      </c>
      <c r="D672" t="n">
        <v>47965</v>
      </c>
      <c r="E672" t="inlineStr">
        <is>
          <t>TC Mercado Pago</t>
        </is>
      </c>
      <c r="F672" t="inlineStr">
        <is>
          <t>Mercado Libre · TC Mercado Pago · cuota 2 de 2 · compra 2026-01-15 · ex `Mercado Libre · C.02/02`</t>
        </is>
      </c>
    </row>
    <row r="673">
      <c r="A673" s="54" t="n">
        <v>46093</v>
      </c>
      <c r="B673" t="inlineStr">
        <is>
          <t>Marzo</t>
        </is>
      </c>
      <c r="C673" t="inlineStr">
        <is>
          <t>TECNOLOGÍA</t>
        </is>
      </c>
      <c r="D673" t="n">
        <v>81333</v>
      </c>
      <c r="E673" t="inlineStr">
        <is>
          <t>TC Mercado Pago</t>
        </is>
      </c>
      <c r="F673" t="inlineStr">
        <is>
          <t>TECNOLOGÍA · Todovision · MERPAGO*TODOVISION · TC Mercado Pago · cuota 2 de 3 · compra 2026-01-24</t>
        </is>
      </c>
    </row>
    <row r="674">
      <c r="A674" s="54" t="n">
        <v>46124</v>
      </c>
      <c r="B674" t="inlineStr">
        <is>
          <t>Abril</t>
        </is>
      </c>
      <c r="C674" t="inlineStr">
        <is>
          <t>VESTIMENTA</t>
        </is>
      </c>
      <c r="D674" t="n">
        <v>63750</v>
      </c>
      <c r="E674" t="inlineStr">
        <is>
          <t>TC Mercado Pago</t>
        </is>
      </c>
      <c r="F674" t="inlineStr">
        <is>
          <t>VESTIMENTA · Longchamp · TC Mercado Pago · C.04/06 · gasto personal Sol</t>
        </is>
      </c>
    </row>
    <row r="675">
      <c r="A675" s="54" t="n">
        <v>46124</v>
      </c>
      <c r="B675" t="inlineStr">
        <is>
          <t>Abril</t>
        </is>
      </c>
      <c r="C675" t="inlineStr">
        <is>
          <t>SALUD · Vitaminas</t>
        </is>
      </c>
      <c r="D675" t="n">
        <v>58334</v>
      </c>
      <c r="E675" t="inlineStr">
        <is>
          <t>TC Mercado Pago</t>
        </is>
      </c>
      <c r="F675" t="inlineStr">
        <is>
          <t>SALUD · Vitaminas · Promarine · TC Mercado Pago · C.04/06 · gasto personal Sol</t>
        </is>
      </c>
    </row>
    <row r="676">
      <c r="A676" s="54" t="n">
        <v>46124</v>
      </c>
      <c r="B676" t="inlineStr">
        <is>
          <t>Abril</t>
        </is>
      </c>
      <c r="C676" t="inlineStr">
        <is>
          <t>TECNOLOGÍA</t>
        </is>
      </c>
      <c r="D676" t="n">
        <v>81333</v>
      </c>
      <c r="E676" t="inlineStr">
        <is>
          <t>TC Mercado Pago</t>
        </is>
      </c>
      <c r="F676" t="inlineStr">
        <is>
          <t>TECNOLOGÍA · Todovision · MERPAGO*TODOVISION · TC Mercado Pago · cuota 3 de 3 · compra 2026-01-24</t>
        </is>
      </c>
    </row>
    <row r="677">
      <c r="A677" s="54" t="n">
        <v>46124</v>
      </c>
      <c r="B677" t="inlineStr">
        <is>
          <t>Abril</t>
        </is>
      </c>
      <c r="C677" t="inlineStr">
        <is>
          <t>SUSCRIPCIONES · IA</t>
        </is>
      </c>
      <c r="D677" t="n">
        <v>30000</v>
      </c>
      <c r="E677" t="inlineStr">
        <is>
          <t>TC Mercado Pago</t>
        </is>
      </c>
      <c r="F677" t="inlineStr">
        <is>
          <t>SUSCRIPCIONES · IA · Vercel · gasto personal Sol · Vercel · TC Mercado Pago · cuota 1 de 3 · compra 2026-03-14</t>
        </is>
      </c>
    </row>
    <row r="678">
      <c r="A678" s="54" t="n">
        <v>46124</v>
      </c>
      <c r="B678" t="inlineStr">
        <is>
          <t>Abril</t>
        </is>
      </c>
      <c r="C678" t="inlineStr">
        <is>
          <t>SUSCRIPCIONES · IA</t>
        </is>
      </c>
      <c r="D678" t="n">
        <v>45000</v>
      </c>
      <c r="E678" t="inlineStr">
        <is>
          <t>TC Mercado Pago</t>
        </is>
      </c>
      <c r="F678" t="inlineStr">
        <is>
          <t>SUSCRIPCIONES · IA · Vercel · gasto personal Sol</t>
        </is>
      </c>
    </row>
    <row r="679">
      <c r="A679" s="54" t="n">
        <v>46124</v>
      </c>
      <c r="B679" t="inlineStr">
        <is>
          <t>Abril</t>
        </is>
      </c>
      <c r="C679" t="inlineStr">
        <is>
          <t>ROPA</t>
        </is>
      </c>
      <c r="D679" t="n">
        <v>528698</v>
      </c>
      <c r="E679" t="inlineStr">
        <is>
          <t>TC Mercado Pago</t>
        </is>
      </c>
      <c r="F679" t="inlineStr">
        <is>
          <t>ROPA · MERPAGO*CAMBIODEAIRES · TC Mercado Pago · compra 2026-03-19</t>
        </is>
      </c>
    </row>
    <row r="680">
      <c r="A680" s="54" t="n">
        <v>46124</v>
      </c>
      <c r="B680" t="inlineStr">
        <is>
          <t>Abril</t>
        </is>
      </c>
      <c r="C680" t="inlineStr">
        <is>
          <t>ROPA</t>
        </is>
      </c>
      <c r="D680" t="n">
        <v>41715</v>
      </c>
      <c r="E680" t="inlineStr">
        <is>
          <t>TC Mercado Pago</t>
        </is>
      </c>
      <c r="F680" t="inlineStr">
        <is>
          <t>ROPA · MERPAGO*LOCCITANE · TC Mercado Pago · cuota 1 de 6 · compra 2026-03-20</t>
        </is>
      </c>
    </row>
    <row r="681">
      <c r="A681" s="54" t="n">
        <v>46124</v>
      </c>
      <c r="B681" t="inlineStr">
        <is>
          <t>Abril</t>
        </is>
      </c>
      <c r="C681" t="inlineStr">
        <is>
          <t>MERCADO LIBRE</t>
        </is>
      </c>
      <c r="D681" t="n">
        <v>75000</v>
      </c>
      <c r="E681" t="inlineStr">
        <is>
          <t>TC Mercado Pago</t>
        </is>
      </c>
      <c r="F681" t="inlineStr">
        <is>
          <t>MERPAGO*MARTINA19 · TC Mercado Pago · compra 2026-03-21</t>
        </is>
      </c>
    </row>
    <row r="682">
      <c r="A682" s="54" t="n">
        <v>46124</v>
      </c>
      <c r="B682" t="inlineStr">
        <is>
          <t>Abril</t>
        </is>
      </c>
      <c r="C682" t="inlineStr">
        <is>
          <t>ROPA</t>
        </is>
      </c>
      <c r="D682" t="n">
        <v>67112</v>
      </c>
      <c r="E682" t="inlineStr">
        <is>
          <t>TC Mercado Pago</t>
        </is>
      </c>
      <c r="F682" t="inlineStr">
        <is>
          <t>ROPA · MERPAGO*AWADA · TC Mercado Pago · cuota 1 de 9 · compra 2026-03-23</t>
        </is>
      </c>
    </row>
    <row r="683">
      <c r="A683" s="54" t="n">
        <v>46124</v>
      </c>
      <c r="B683" t="inlineStr">
        <is>
          <t>Abril</t>
        </is>
      </c>
      <c r="C683" t="inlineStr">
        <is>
          <t>ROPA</t>
        </is>
      </c>
      <c r="D683" t="n">
        <v>23000</v>
      </c>
      <c r="E683" t="inlineStr">
        <is>
          <t>TC Mercado Pago</t>
        </is>
      </c>
      <c r="F683" t="inlineStr">
        <is>
          <t>ROPA · Adidas · TC Mercado Pago · cuota 1 de 6 · compra 2026-03-23</t>
        </is>
      </c>
    </row>
    <row r="684">
      <c r="A684" s="54" t="n">
        <v>46124</v>
      </c>
      <c r="B684" t="inlineStr">
        <is>
          <t>Abril</t>
        </is>
      </c>
      <c r="C684" t="inlineStr">
        <is>
          <t>COMPRAS</t>
        </is>
      </c>
      <c r="D684" t="n">
        <v>30097</v>
      </c>
      <c r="E684" t="inlineStr">
        <is>
          <t>TC Mercado Pago</t>
        </is>
      </c>
      <c r="F684" t="inlineStr">
        <is>
          <t>MERPAGO*GASTROHOGAR · TC Mercado Pago · cuota 1 de 2 · compra 2026-03-24 · ex `Gastrohogar · C.01/02`</t>
        </is>
      </c>
    </row>
    <row r="685">
      <c r="A685" s="54" t="n">
        <v>46124</v>
      </c>
      <c r="B685" t="inlineStr">
        <is>
          <t>Abril</t>
        </is>
      </c>
      <c r="C685" t="inlineStr">
        <is>
          <t>MERCADO LIBRE</t>
        </is>
      </c>
      <c r="D685" t="n">
        <v>50950</v>
      </c>
      <c r="E685" t="inlineStr">
        <is>
          <t>TC Mercado Pago</t>
        </is>
      </c>
      <c r="F685" t="inlineStr">
        <is>
          <t>Mercado Libre · TC Mercado Pago · cuota 1 de 2 · compra 2026-03-24 · ex `Mercado Libre · C.01/02`</t>
        </is>
      </c>
    </row>
    <row r="686">
      <c r="A686" s="54" t="n">
        <v>46124</v>
      </c>
      <c r="B686" t="inlineStr">
        <is>
          <t>Abril</t>
        </is>
      </c>
      <c r="C686" t="inlineStr">
        <is>
          <t>MERCADO LIBRE</t>
        </is>
      </c>
      <c r="D686" t="n">
        <v>125779</v>
      </c>
      <c r="E686" t="inlineStr">
        <is>
          <t>TC Mercado Pago</t>
        </is>
      </c>
      <c r="F686" t="inlineStr">
        <is>
          <t>Mercado Libre · TC Mercado Pago · cuota 1 de 3 · compra 2026-03-24 · ex `Mercado Libre · C.01/03`</t>
        </is>
      </c>
    </row>
    <row r="687">
      <c r="A687" s="54" t="n">
        <v>46124</v>
      </c>
      <c r="B687" t="inlineStr">
        <is>
          <t>Abril</t>
        </is>
      </c>
      <c r="C687" t="inlineStr">
        <is>
          <t>ROPA</t>
        </is>
      </c>
      <c r="D687" t="n">
        <v>41345</v>
      </c>
      <c r="E687" t="inlineStr">
        <is>
          <t>TC Mercado Pago</t>
        </is>
      </c>
      <c r="F687" t="inlineStr">
        <is>
          <t>ROPA · MERPAGO*LAPARFUMERIE · TC Mercado Pago · cuota 1 de 6 · compra 2026-03-30</t>
        </is>
      </c>
    </row>
    <row r="688">
      <c r="A688" s="54" t="n">
        <v>46124</v>
      </c>
      <c r="B688" t="inlineStr">
        <is>
          <t>Abril</t>
        </is>
      </c>
      <c r="C688" t="inlineStr">
        <is>
          <t>ROPA</t>
        </is>
      </c>
      <c r="D688" t="n">
        <v>142573</v>
      </c>
      <c r="E688" t="inlineStr">
        <is>
          <t>TC Mercado Pago</t>
        </is>
      </c>
      <c r="F688" t="inlineStr">
        <is>
          <t>ROPA · MERPAGO*MRPERFUMERIAS · TC Mercado Pago · cuota 1 de 3 · compra 2026-04-01</t>
        </is>
      </c>
    </row>
    <row r="689">
      <c r="A689" s="54" t="n">
        <v>46124</v>
      </c>
      <c r="B689" t="inlineStr">
        <is>
          <t>Abril</t>
        </is>
      </c>
      <c r="C689" t="inlineStr">
        <is>
          <t>ROPA</t>
        </is>
      </c>
      <c r="D689" t="n">
        <v>173147</v>
      </c>
      <c r="E689" t="inlineStr">
        <is>
          <t>TC Mercado Pago</t>
        </is>
      </c>
      <c r="F689" t="inlineStr">
        <is>
          <t>ROPA · MERPAGO*CAMBIODEAIRES · TC Mercado Pago · cuota 1 de 3 · compra 2026-04-04</t>
        </is>
      </c>
    </row>
    <row r="690">
      <c r="A690" s="54" t="n">
        <v>46124</v>
      </c>
      <c r="B690" t="inlineStr">
        <is>
          <t>Abril</t>
        </is>
      </c>
      <c r="C690" t="inlineStr">
        <is>
          <t>SALUD · Vitaminas</t>
        </is>
      </c>
      <c r="D690" t="n">
        <v>87900</v>
      </c>
      <c r="E690" t="inlineStr">
        <is>
          <t>TC Mercado Pago</t>
        </is>
      </c>
      <c r="F690" t="inlineStr">
        <is>
          <t>SALUD · Vitaminas · Promarine · TC Mercado Pago · C.01/06 · gasto personal Sol</t>
        </is>
      </c>
    </row>
    <row r="691">
      <c r="A691" s="54" t="n">
        <v>46124</v>
      </c>
      <c r="B691" t="inlineStr">
        <is>
          <t>Abril</t>
        </is>
      </c>
      <c r="C691" t="inlineStr">
        <is>
          <t>SUSCRIPCIONES · IA</t>
        </is>
      </c>
      <c r="E691" t="inlineStr">
        <is>
          <t>TC Mercado Pago · USD</t>
        </is>
      </c>
      <c r="F691" t="inlineStr">
        <is>
          <t>WordPress · TC Mercado Pago · USD · compra 2026-04-05 · US$ 228.0</t>
        </is>
      </c>
    </row>
    <row r="692">
      <c r="A692" s="54" t="n">
        <v>46124</v>
      </c>
      <c r="B692" t="inlineStr">
        <is>
          <t>Abril</t>
        </is>
      </c>
      <c r="C692" t="inlineStr">
        <is>
          <t>PERCEPCIÓN USD · IIBB · TC Mercado Pago</t>
        </is>
      </c>
      <c r="D692" t="n">
        <v>6248</v>
      </c>
      <c r="E692" t="inlineStr">
        <is>
          <t>TC Mercado Pago</t>
        </is>
      </c>
      <c r="F692" t="inlineStr">
        <is>
          <t>PERCEPCIÓN USD · IIBB · TC Mercado Pago · cierre 2026-04-12 · compra 2026-04-12</t>
        </is>
      </c>
    </row>
    <row r="693">
      <c r="A693" s="54" t="n">
        <v>46124</v>
      </c>
      <c r="B693" t="inlineStr">
        <is>
          <t>Abril</t>
        </is>
      </c>
      <c r="C693" t="inlineStr">
        <is>
          <t>PERCEPCIÓN USD · IVA RG 4240 · TC Mercado Pago</t>
        </is>
      </c>
      <c r="D693" t="n">
        <v>65596</v>
      </c>
      <c r="E693" t="inlineStr">
        <is>
          <t>TC Mercado Pago</t>
        </is>
      </c>
      <c r="F693" t="inlineStr">
        <is>
          <t>PERCEPCIÓN USD · IVA RG 4240 · TC Mercado Pago · cierre 2026-04-12 · compra 2026-04-12</t>
        </is>
      </c>
    </row>
    <row r="694">
      <c r="A694" s="54" t="n">
        <v>46124</v>
      </c>
      <c r="B694" t="inlineStr">
        <is>
          <t>Abril</t>
        </is>
      </c>
      <c r="C694" t="inlineStr">
        <is>
          <t>PERCEPCIÓN USD · DB RG 5617 · TC Mercado Pago</t>
        </is>
      </c>
      <c r="D694" t="n">
        <v>175908</v>
      </c>
      <c r="E694" t="inlineStr">
        <is>
          <t>TC Mercado Pago</t>
        </is>
      </c>
      <c r="F694" t="inlineStr">
        <is>
          <t>PERCEPCIÓN USD · DB RG 5617 · TC Mercado Pago · cierre 2026-04-12 · compra 2026-04-12</t>
        </is>
      </c>
    </row>
    <row r="695">
      <c r="A695" s="54" t="n">
        <v>46154</v>
      </c>
      <c r="B695" t="inlineStr">
        <is>
          <t>Mayo</t>
        </is>
      </c>
      <c r="C695" t="inlineStr">
        <is>
          <t>VESTIMENTA</t>
        </is>
      </c>
      <c r="D695" t="n">
        <v>63750</v>
      </c>
      <c r="E695" t="inlineStr">
        <is>
          <t>TC Mercado Pago</t>
        </is>
      </c>
      <c r="F695" t="inlineStr">
        <is>
          <t>VESTIMENTA · Longchamp · TC Mercado Pago · C.05/06 · gasto personal Sol</t>
        </is>
      </c>
    </row>
    <row r="696">
      <c r="A696" s="54" t="n">
        <v>46154</v>
      </c>
      <c r="B696" t="inlineStr">
        <is>
          <t>Mayo</t>
        </is>
      </c>
      <c r="C696" t="inlineStr">
        <is>
          <t>SALUD · Vitaminas</t>
        </is>
      </c>
      <c r="D696" t="n">
        <v>58334</v>
      </c>
      <c r="E696" t="inlineStr">
        <is>
          <t>TC Mercado Pago</t>
        </is>
      </c>
      <c r="F696" t="inlineStr">
        <is>
          <t>SALUD · Vitaminas · Promarine · TC Mercado Pago · C.05/06 · gasto personal Sol</t>
        </is>
      </c>
    </row>
    <row r="697">
      <c r="A697" s="54" t="n">
        <v>46154</v>
      </c>
      <c r="B697" t="inlineStr">
        <is>
          <t>Mayo</t>
        </is>
      </c>
      <c r="C697" t="inlineStr">
        <is>
          <t>SUSCRIPCIONES · IA</t>
        </is>
      </c>
      <c r="D697" t="n">
        <v>30000</v>
      </c>
      <c r="E697" t="inlineStr">
        <is>
          <t>TC Mercado Pago</t>
        </is>
      </c>
      <c r="F697" t="inlineStr">
        <is>
          <t>SUSCRIPCIONES · IA · Vercel · gasto personal Sol · Vercel · TC Mercado Pago · cuota 2 de 3 · compra 2026-03-14</t>
        </is>
      </c>
    </row>
    <row r="698">
      <c r="A698" s="54" t="n">
        <v>46154</v>
      </c>
      <c r="B698" t="inlineStr">
        <is>
          <t>Mayo</t>
        </is>
      </c>
      <c r="C698" t="inlineStr">
        <is>
          <t>ROPA</t>
        </is>
      </c>
      <c r="D698" t="n">
        <v>41715</v>
      </c>
      <c r="E698" t="inlineStr">
        <is>
          <t>TC Mercado Pago</t>
        </is>
      </c>
      <c r="F698" t="inlineStr">
        <is>
          <t>ROPA · MERPAGO*LOCCITANE · TC Mercado Pago · cuota 2 de 6 · compra 2026-03-20</t>
        </is>
      </c>
    </row>
    <row r="699">
      <c r="A699" s="54" t="n">
        <v>46154</v>
      </c>
      <c r="B699" t="inlineStr">
        <is>
          <t>Mayo</t>
        </is>
      </c>
      <c r="C699" t="inlineStr">
        <is>
          <t>ROPA</t>
        </is>
      </c>
      <c r="D699" t="n">
        <v>67112</v>
      </c>
      <c r="E699" t="inlineStr">
        <is>
          <t>TC Mercado Pago</t>
        </is>
      </c>
      <c r="F699" t="inlineStr">
        <is>
          <t>ROPA · MERPAGO*AWADA · TC Mercado Pago · cuota 2 de 9 · compra 2026-03-23</t>
        </is>
      </c>
    </row>
    <row r="700">
      <c r="A700" s="54" t="n">
        <v>46154</v>
      </c>
      <c r="B700" t="inlineStr">
        <is>
          <t>Mayo</t>
        </is>
      </c>
      <c r="C700" t="inlineStr">
        <is>
          <t>ROPA</t>
        </is>
      </c>
      <c r="D700" t="n">
        <v>23000</v>
      </c>
      <c r="E700" t="inlineStr">
        <is>
          <t>TC Mercado Pago</t>
        </is>
      </c>
      <c r="F700" t="inlineStr">
        <is>
          <t>ROPA · Adidas · TC Mercado Pago · cuota 2 de 6 · compra 2026-03-23</t>
        </is>
      </c>
    </row>
    <row r="701">
      <c r="A701" s="54" t="n">
        <v>46154</v>
      </c>
      <c r="B701" t="inlineStr">
        <is>
          <t>Mayo</t>
        </is>
      </c>
      <c r="C701" t="inlineStr">
        <is>
          <t>COMPRAS</t>
        </is>
      </c>
      <c r="D701" t="n">
        <v>30097</v>
      </c>
      <c r="E701" t="inlineStr">
        <is>
          <t>TC Mercado Pago</t>
        </is>
      </c>
      <c r="F701" t="inlineStr">
        <is>
          <t>MERPAGO*GASTROHOGAR · TC Mercado Pago · cuota 2 de 2 · compra 2026-03-24 · ex `Gastrohogar · C.02/02`</t>
        </is>
      </c>
    </row>
    <row r="702">
      <c r="A702" s="54" t="n">
        <v>46154</v>
      </c>
      <c r="B702" t="inlineStr">
        <is>
          <t>Mayo</t>
        </is>
      </c>
      <c r="C702" t="inlineStr">
        <is>
          <t>MERCADO LIBRE</t>
        </is>
      </c>
      <c r="D702" t="n">
        <v>50950</v>
      </c>
      <c r="E702" t="inlineStr">
        <is>
          <t>TC Mercado Pago</t>
        </is>
      </c>
      <c r="F702" t="inlineStr">
        <is>
          <t>Mercado Libre · TC Mercado Pago · cuota 2 de 2 · compra 2026-03-24 · ex `Mercado Libre · C.02/02`</t>
        </is>
      </c>
    </row>
    <row r="703">
      <c r="A703" s="54" t="n">
        <v>46154</v>
      </c>
      <c r="B703" t="inlineStr">
        <is>
          <t>Mayo</t>
        </is>
      </c>
      <c r="C703" t="inlineStr">
        <is>
          <t>MERCADO LIBRE</t>
        </is>
      </c>
      <c r="D703" t="n">
        <v>125779</v>
      </c>
      <c r="E703" t="inlineStr">
        <is>
          <t>TC Mercado Pago</t>
        </is>
      </c>
      <c r="F703" t="inlineStr">
        <is>
          <t>Mercado Libre · TC Mercado Pago · cuota 2 de 3 · compra 2026-03-24 · ex `Mercado Libre · C.02/03`</t>
        </is>
      </c>
    </row>
    <row r="704">
      <c r="A704" s="54" t="n">
        <v>46154</v>
      </c>
      <c r="B704" t="inlineStr">
        <is>
          <t>Mayo</t>
        </is>
      </c>
      <c r="C704" t="inlineStr">
        <is>
          <t>ROPA</t>
        </is>
      </c>
      <c r="D704" t="n">
        <v>41345</v>
      </c>
      <c r="E704" t="inlineStr">
        <is>
          <t>TC Mercado Pago</t>
        </is>
      </c>
      <c r="F704" t="inlineStr">
        <is>
          <t>ROPA · MERPAGO*LAPARFUMERIE · TC Mercado Pago · cuota 2 de 6 · compra 2026-03-30</t>
        </is>
      </c>
    </row>
    <row r="705">
      <c r="A705" s="54" t="n">
        <v>46154</v>
      </c>
      <c r="B705" t="inlineStr">
        <is>
          <t>Mayo</t>
        </is>
      </c>
      <c r="C705" t="inlineStr">
        <is>
          <t>ROPA</t>
        </is>
      </c>
      <c r="D705" t="n">
        <v>142573</v>
      </c>
      <c r="E705" t="inlineStr">
        <is>
          <t>TC Mercado Pago</t>
        </is>
      </c>
      <c r="F705" t="inlineStr">
        <is>
          <t>ROPA · MERPAGO*MRPERFUMERIAS · TC Mercado Pago · cuota 2 de 3 · compra 2026-04-01</t>
        </is>
      </c>
    </row>
    <row r="706">
      <c r="A706" s="54" t="n">
        <v>46154</v>
      </c>
      <c r="B706" t="inlineStr">
        <is>
          <t>Mayo</t>
        </is>
      </c>
      <c r="C706" t="inlineStr">
        <is>
          <t>ROPA</t>
        </is>
      </c>
      <c r="D706" t="n">
        <v>173147</v>
      </c>
      <c r="E706" t="inlineStr">
        <is>
          <t>TC Mercado Pago</t>
        </is>
      </c>
      <c r="F706" t="inlineStr">
        <is>
          <t>ROPA · MERPAGO*CAMBIODEAIRES · TC Mercado Pago · cuota 2 de 3 · compra 2026-04-04</t>
        </is>
      </c>
    </row>
    <row r="707">
      <c r="A707" s="54" t="n">
        <v>46154</v>
      </c>
      <c r="B707" t="inlineStr">
        <is>
          <t>Mayo</t>
        </is>
      </c>
      <c r="C707" t="inlineStr">
        <is>
          <t>SALUD · Vitaminas</t>
        </is>
      </c>
      <c r="D707" t="n">
        <v>87900</v>
      </c>
      <c r="E707" t="inlineStr">
        <is>
          <t>TC Mercado Pago</t>
        </is>
      </c>
      <c r="F707" t="inlineStr">
        <is>
          <t>SALUD · Vitaminas · Promarine · TC Mercado Pago · C.02/06 · gasto personal Sol</t>
        </is>
      </c>
    </row>
    <row r="708">
      <c r="A708" s="54" t="n">
        <v>46154</v>
      </c>
      <c r="B708" t="inlineStr">
        <is>
          <t>Mayo</t>
        </is>
      </c>
      <c r="C708" t="inlineStr">
        <is>
          <t>COMPRAS</t>
        </is>
      </c>
      <c r="D708" t="n">
        <v>52079</v>
      </c>
      <c r="E708" t="inlineStr">
        <is>
          <t>TC Mercado Pago</t>
        </is>
      </c>
      <c r="F708" t="inlineStr">
        <is>
          <t>SALUD · MERPAGO*SUPLEMENTOSCO · TC Mercado Pago · cuota 1 de 3 · compra 2026-04-20 · ex `SALUD · Suplementosco · C.01/03`</t>
        </is>
      </c>
    </row>
    <row r="709">
      <c r="A709" s="54" t="n">
        <v>46154</v>
      </c>
      <c r="B709" t="inlineStr">
        <is>
          <t>Mayo</t>
        </is>
      </c>
      <c r="C709" t="inlineStr">
        <is>
          <t>SALUD · Vitaminas</t>
        </is>
      </c>
      <c r="D709" t="n">
        <v>-527400</v>
      </c>
      <c r="E709" t="inlineStr">
        <is>
          <t>TC Mercado Pago</t>
        </is>
      </c>
      <c r="F709" t="inlineStr">
        <is>
          <t>REEMBOLSO · SALUD · Vitaminas · Promarine · TC Mercado Pago · gasto personal Sol</t>
        </is>
      </c>
    </row>
    <row r="710">
      <c r="A710" s="54" t="n">
        <v>46154</v>
      </c>
      <c r="B710" t="inlineStr">
        <is>
          <t>Mayo</t>
        </is>
      </c>
      <c r="C710" t="inlineStr">
        <is>
          <t>MERCADO LIBRE</t>
        </is>
      </c>
      <c r="D710" t="n">
        <v>2349995</v>
      </c>
      <c r="E710" t="inlineStr">
        <is>
          <t>TC Mercado Pago</t>
        </is>
      </c>
      <c r="F710" t="inlineStr">
        <is>
          <t>Mercado Libre · TC Mercado Pago · cuota 2 de 2 · compra 2026-05-09 · ex `Mercado Libre · C.02/02`</t>
        </is>
      </c>
    </row>
    <row r="711">
      <c r="A711" s="54" t="n">
        <v>46154</v>
      </c>
      <c r="B711" t="inlineStr">
        <is>
          <t>Mayo</t>
        </is>
      </c>
      <c r="C711" t="inlineStr">
        <is>
          <t>MERCADO LIBRE</t>
        </is>
      </c>
      <c r="D711" t="n">
        <v>2349995</v>
      </c>
      <c r="E711" t="inlineStr">
        <is>
          <t>TC Mercado Pago</t>
        </is>
      </c>
      <c r="F711" t="inlineStr">
        <is>
          <t>Mercado Libre · TC Mercado Pago · cuota 1 de 2 · compra 2026-05-09 · ex `Mercado Libre · C.01/02`</t>
        </is>
      </c>
    </row>
    <row r="712">
      <c r="A712" s="54" t="n">
        <v>46154</v>
      </c>
      <c r="B712" t="inlineStr">
        <is>
          <t>Mayo</t>
        </is>
      </c>
      <c r="C712" t="inlineStr">
        <is>
          <t>ROPA</t>
        </is>
      </c>
      <c r="D712" t="n">
        <v>88815</v>
      </c>
      <c r="E712" t="inlineStr">
        <is>
          <t>TC Mercado Pago</t>
        </is>
      </c>
      <c r="F712" t="inlineStr">
        <is>
          <t>ROPA · Tilgorita · MERPAGO*TILGORITA · TC Mercado Pago · cuota 1 de 3 · compra 2026-05-09</t>
        </is>
      </c>
    </row>
    <row r="713">
      <c r="A713" s="54" t="n">
        <v>46154</v>
      </c>
      <c r="B713" t="inlineStr">
        <is>
          <t>Mayo</t>
        </is>
      </c>
      <c r="C713" t="inlineStr">
        <is>
          <t>MERCADO LIBRE</t>
        </is>
      </c>
      <c r="D713" t="n">
        <v>-4699990</v>
      </c>
      <c r="E713" t="inlineStr">
        <is>
          <t>TC Mercado Pago</t>
        </is>
      </c>
      <c r="F713" t="inlineStr">
        <is>
          <t>REEMBOLSO · Mercado Libre · TC Mercado Pago · compra 2026-05-11</t>
        </is>
      </c>
    </row>
    <row r="714">
      <c r="A714" s="54" t="n">
        <v>46185</v>
      </c>
      <c r="B714" t="inlineStr">
        <is>
          <t>Junio</t>
        </is>
      </c>
      <c r="C714" t="inlineStr">
        <is>
          <t>SALUD · Vitaminas</t>
        </is>
      </c>
      <c r="D714" t="n">
        <v>58334</v>
      </c>
      <c r="E714" t="inlineStr">
        <is>
          <t>TC Mercado Pago</t>
        </is>
      </c>
      <c r="F714" t="inlineStr">
        <is>
          <t>SALUD · Vitaminas · Promarine · TC Mercado Pago · C.06/06 · gasto personal Sol</t>
        </is>
      </c>
    </row>
    <row r="715">
      <c r="A715" s="54" t="n">
        <v>46185</v>
      </c>
      <c r="B715" t="inlineStr">
        <is>
          <t>Junio</t>
        </is>
      </c>
      <c r="C715" t="inlineStr">
        <is>
          <t>SUSCRIPCIONES · IA</t>
        </is>
      </c>
      <c r="D715" t="n">
        <v>30000</v>
      </c>
      <c r="E715" t="inlineStr">
        <is>
          <t>TC Mercado Pago</t>
        </is>
      </c>
      <c r="F715" t="inlineStr">
        <is>
          <t>SUSCRIPCIONES · IA · Vercel · gasto personal Sol · Vercel · TC Mercado Pago · cuota 3 de 3 · compra 2026-03-14</t>
        </is>
      </c>
    </row>
    <row r="716">
      <c r="A716" s="54" t="n">
        <v>46185</v>
      </c>
      <c r="B716" t="inlineStr">
        <is>
          <t>Junio</t>
        </is>
      </c>
      <c r="C716" t="inlineStr">
        <is>
          <t>ROPA</t>
        </is>
      </c>
      <c r="D716" t="n">
        <v>41715</v>
      </c>
      <c r="E716" t="inlineStr">
        <is>
          <t>TC Mercado Pago</t>
        </is>
      </c>
      <c r="F716" t="inlineStr">
        <is>
          <t>ROPA · MERPAGO*LOCCITANE · TC Mercado Pago · cuota 3 de 6 · compra 2026-03-20</t>
        </is>
      </c>
    </row>
    <row r="717">
      <c r="A717" s="54" t="n">
        <v>46185</v>
      </c>
      <c r="B717" t="inlineStr">
        <is>
          <t>Junio</t>
        </is>
      </c>
      <c r="C717" t="inlineStr">
        <is>
          <t>ROPA</t>
        </is>
      </c>
      <c r="D717" t="n">
        <v>67112</v>
      </c>
      <c r="E717" t="inlineStr">
        <is>
          <t>TC Mercado Pago</t>
        </is>
      </c>
      <c r="F717" t="inlineStr">
        <is>
          <t>ROPA · MERPAGO*AWADA · TC Mercado Pago · cuota 3 de 9 · compra 2026-03-23</t>
        </is>
      </c>
    </row>
    <row r="718">
      <c r="A718" s="54" t="n">
        <v>46185</v>
      </c>
      <c r="B718" t="inlineStr">
        <is>
          <t>Junio</t>
        </is>
      </c>
      <c r="C718" t="inlineStr">
        <is>
          <t>ROPA</t>
        </is>
      </c>
      <c r="D718" t="n">
        <v>23000</v>
      </c>
      <c r="E718" t="inlineStr">
        <is>
          <t>TC Mercado Pago</t>
        </is>
      </c>
      <c r="F718" t="inlineStr">
        <is>
          <t>ROPA · Adidas · TC Mercado Pago · cuota 3 de 6 · compra 2026-03-23</t>
        </is>
      </c>
    </row>
    <row r="719">
      <c r="A719" s="54" t="n">
        <v>46185</v>
      </c>
      <c r="B719" t="inlineStr">
        <is>
          <t>Junio</t>
        </is>
      </c>
      <c r="C719" t="inlineStr">
        <is>
          <t>MERCADO LIBRE</t>
        </is>
      </c>
      <c r="D719" t="n">
        <v>125779</v>
      </c>
      <c r="E719" t="inlineStr">
        <is>
          <t>TC Mercado Pago</t>
        </is>
      </c>
      <c r="F719" t="inlineStr">
        <is>
          <t>Mercado Libre · TC Mercado Pago · cuota 3 de 3 · compra 2026-03-24 · ex `Mercado Libre · C.03/03`</t>
        </is>
      </c>
    </row>
    <row r="720">
      <c r="A720" s="54" t="n">
        <v>46185</v>
      </c>
      <c r="B720" t="inlineStr">
        <is>
          <t>Junio</t>
        </is>
      </c>
      <c r="C720" t="inlineStr">
        <is>
          <t>ROPA</t>
        </is>
      </c>
      <c r="D720" t="n">
        <v>41345</v>
      </c>
      <c r="E720" t="inlineStr">
        <is>
          <t>TC Mercado Pago</t>
        </is>
      </c>
      <c r="F720" t="inlineStr">
        <is>
          <t>ROPA · MERPAGO*LAPARFUMERIE · TC Mercado Pago · cuota 3 de 6 · compra 2026-03-30</t>
        </is>
      </c>
    </row>
    <row r="721">
      <c r="A721" s="54" t="n">
        <v>46185</v>
      </c>
      <c r="B721" t="inlineStr">
        <is>
          <t>Junio</t>
        </is>
      </c>
      <c r="C721" t="inlineStr">
        <is>
          <t>ROPA</t>
        </is>
      </c>
      <c r="D721" t="n">
        <v>142573</v>
      </c>
      <c r="E721" t="inlineStr">
        <is>
          <t>TC Mercado Pago</t>
        </is>
      </c>
      <c r="F721" t="inlineStr">
        <is>
          <t>ROPA · MERPAGO*MRPERFUMERIAS · TC Mercado Pago · cuota 3 de 3 · compra 2026-04-01</t>
        </is>
      </c>
    </row>
    <row r="722">
      <c r="A722" s="54" t="n">
        <v>46185</v>
      </c>
      <c r="B722" t="inlineStr">
        <is>
          <t>Junio</t>
        </is>
      </c>
      <c r="C722" t="inlineStr">
        <is>
          <t>ROPA</t>
        </is>
      </c>
      <c r="D722" t="n">
        <v>173147</v>
      </c>
      <c r="E722" t="inlineStr">
        <is>
          <t>TC Mercado Pago</t>
        </is>
      </c>
      <c r="F722" t="inlineStr">
        <is>
          <t>ROPA · MERPAGO*CAMBIODEAIRES · TC Mercado Pago · cuota 3 de 3 · compra 2026-04-04</t>
        </is>
      </c>
    </row>
    <row r="723">
      <c r="A723" s="54" t="n">
        <v>46185</v>
      </c>
      <c r="B723" t="inlineStr">
        <is>
          <t>Junio</t>
        </is>
      </c>
      <c r="C723" t="inlineStr">
        <is>
          <t>SALUD · Vitaminas</t>
        </is>
      </c>
      <c r="D723" t="n">
        <v>87900</v>
      </c>
      <c r="E723" t="inlineStr">
        <is>
          <t>TC Mercado Pago</t>
        </is>
      </c>
      <c r="F723" t="inlineStr">
        <is>
          <t>SALUD · Vitaminas · Promarine · TC Mercado Pago · C.03/06 · gasto personal Sol</t>
        </is>
      </c>
    </row>
    <row r="724">
      <c r="A724" s="54" t="n">
        <v>46185</v>
      </c>
      <c r="B724" t="inlineStr">
        <is>
          <t>Junio</t>
        </is>
      </c>
      <c r="C724" t="inlineStr">
        <is>
          <t>COMPRAS</t>
        </is>
      </c>
      <c r="D724" t="n">
        <v>52079</v>
      </c>
      <c r="E724" t="inlineStr">
        <is>
          <t>TC Mercado Pago</t>
        </is>
      </c>
      <c r="F724" t="inlineStr">
        <is>
          <t>SALUD · MERPAGO*SUPLEMENTOSCO · TC Mercado Pago · cuota 2 de 3 · compra 2026-04-20 · ex `SALUD · Suplementosco · C.02/03`</t>
        </is>
      </c>
    </row>
    <row r="725">
      <c r="A725" s="54" t="n">
        <v>46185</v>
      </c>
      <c r="B725" t="inlineStr">
        <is>
          <t>Junio</t>
        </is>
      </c>
      <c r="C725" t="inlineStr">
        <is>
          <t>ROPA</t>
        </is>
      </c>
      <c r="D725" t="n">
        <v>88815</v>
      </c>
      <c r="E725" t="inlineStr">
        <is>
          <t>TC Mercado Pago</t>
        </is>
      </c>
      <c r="F725" t="inlineStr">
        <is>
          <t>ROPA · Tilgorita · MERPAGO*TILGORITA · TC Mercado Pago · cuota 2 de 3 · compra 2026-05-09</t>
        </is>
      </c>
    </row>
    <row r="726">
      <c r="A726" s="54" t="n">
        <v>46185</v>
      </c>
      <c r="B726" t="inlineStr">
        <is>
          <t>Junio</t>
        </is>
      </c>
      <c r="C726" t="inlineStr">
        <is>
          <t>COMPRAS</t>
        </is>
      </c>
      <c r="D726" t="n">
        <v>44100</v>
      </c>
      <c r="E726" t="inlineStr">
        <is>
          <t>TC Mercado Pago</t>
        </is>
      </c>
      <c r="F726" t="inlineStr">
        <is>
          <t>MERPAGO*BIDCOM · TC Mercado Pago · cuota 1 de 3 · compra 2026-05-14 · ex `Bidcom · C.01/03`</t>
        </is>
      </c>
    </row>
    <row r="727">
      <c r="A727" s="54" t="n">
        <v>46185</v>
      </c>
      <c r="B727" t="inlineStr">
        <is>
          <t>Junio</t>
        </is>
      </c>
      <c r="C727" t="inlineStr">
        <is>
          <t>SUSCRIPCIONES · IA</t>
        </is>
      </c>
      <c r="D727" t="n">
        <v>16403</v>
      </c>
      <c r="E727" t="inlineStr">
        <is>
          <t>TC Mercado Pago · USD</t>
        </is>
      </c>
      <c r="F727" t="inlineStr">
        <is>
          <t>SUSCRIPCIONES · IA · Vercel Domains · USD 11.25 × TC MEP 1458.0 · gasto personal Sol</t>
        </is>
      </c>
    </row>
    <row r="728">
      <c r="A728" s="54" t="n">
        <v>46185</v>
      </c>
      <c r="B728" t="inlineStr">
        <is>
          <t>Junio</t>
        </is>
      </c>
      <c r="C728" t="inlineStr">
        <is>
          <t>SUSCRIPCIONES · IA</t>
        </is>
      </c>
      <c r="D728" t="n">
        <v>16403</v>
      </c>
      <c r="E728" t="inlineStr">
        <is>
          <t>TC Mercado Pago · USD</t>
        </is>
      </c>
      <c r="F728" t="inlineStr">
        <is>
          <t>SUSCRIPCIONES · IA · Vercel Domains · USD 11.25 × TC MEP 1458.0 · gasto personal Sol</t>
        </is>
      </c>
    </row>
    <row r="729">
      <c r="A729" s="54" t="n">
        <v>46185</v>
      </c>
      <c r="B729" t="inlineStr">
        <is>
          <t>Junio</t>
        </is>
      </c>
      <c r="C729" t="inlineStr">
        <is>
          <t>COMPRAS</t>
        </is>
      </c>
      <c r="D729" t="n">
        <v>268667</v>
      </c>
      <c r="E729" t="inlineStr">
        <is>
          <t>TC Mercado Pago</t>
        </is>
      </c>
      <c r="F729" t="inlineStr">
        <is>
          <t>MERPAGO*CASAGODOY · TC Mercado Pago · cuota 1 de 3 · compra 2026-06-11 · ex `Casagodoy · C.01/03`</t>
        </is>
      </c>
    </row>
    <row r="730">
      <c r="A730" s="54" t="n">
        <v>46185</v>
      </c>
      <c r="B730" t="inlineStr">
        <is>
          <t>Junio</t>
        </is>
      </c>
      <c r="C730" t="inlineStr">
        <is>
          <t>PERCEPCIÓN USD · DB RG 5617 · TC Mercado Pago</t>
        </is>
      </c>
      <c r="D730" t="n">
        <v>9639</v>
      </c>
      <c r="E730" t="inlineStr">
        <is>
          <t>TC Mercado Pago</t>
        </is>
      </c>
      <c r="F730" t="inlineStr">
        <is>
          <t>PERCEPCIÓN USD · DB RG 5617 · TC Mercado Pago · cierre 2026-06-12 · compra 2026-06-12</t>
        </is>
      </c>
    </row>
    <row r="731">
      <c r="A731" s="54" t="n">
        <v>46215</v>
      </c>
      <c r="B731" t="inlineStr">
        <is>
          <t>Julio</t>
        </is>
      </c>
      <c r="C731" t="inlineStr">
        <is>
          <t>ROPA</t>
        </is>
      </c>
      <c r="D731" t="n">
        <v>41715</v>
      </c>
      <c r="E731" t="inlineStr">
        <is>
          <t>TC Mercado Pago</t>
        </is>
      </c>
      <c r="F731" t="inlineStr">
        <is>
          <t>ROPA · MERPAGO*LOCCITANE · TC Mercado Pago · cuota 4 de 6 · compra 2026-03-20</t>
        </is>
      </c>
    </row>
    <row r="732">
      <c r="A732" s="54" t="n">
        <v>46215</v>
      </c>
      <c r="B732" t="inlineStr">
        <is>
          <t>Julio</t>
        </is>
      </c>
      <c r="C732" t="inlineStr">
        <is>
          <t>ROPA</t>
        </is>
      </c>
      <c r="D732" t="n">
        <v>67112</v>
      </c>
      <c r="E732" t="inlineStr">
        <is>
          <t>TC Mercado Pago</t>
        </is>
      </c>
      <c r="F732" t="inlineStr">
        <is>
          <t>ROPA · MERPAGO*AWADA · TC Mercado Pago · cuota 4 de 9 · compra 2026-03-23</t>
        </is>
      </c>
    </row>
    <row r="733">
      <c r="A733" s="54" t="n">
        <v>46215</v>
      </c>
      <c r="B733" t="inlineStr">
        <is>
          <t>Julio</t>
        </is>
      </c>
      <c r="C733" t="inlineStr">
        <is>
          <t>ROPA</t>
        </is>
      </c>
      <c r="D733" t="n">
        <v>23000</v>
      </c>
      <c r="E733" t="inlineStr">
        <is>
          <t>TC Mercado Pago</t>
        </is>
      </c>
      <c r="F733" t="inlineStr">
        <is>
          <t>ROPA · Adidas · TC Mercado Pago · cuota 4 de 6 · compra 2026-03-23</t>
        </is>
      </c>
    </row>
    <row r="734">
      <c r="A734" s="54" t="n">
        <v>46215</v>
      </c>
      <c r="B734" t="inlineStr">
        <is>
          <t>Julio</t>
        </is>
      </c>
      <c r="C734" t="inlineStr">
        <is>
          <t>ROPA</t>
        </is>
      </c>
      <c r="D734" t="n">
        <v>41345</v>
      </c>
      <c r="E734" t="inlineStr">
        <is>
          <t>TC Mercado Pago</t>
        </is>
      </c>
      <c r="F734" t="inlineStr">
        <is>
          <t>ROPA · MERPAGO*LAPARFUMERIE · TC Mercado Pago · cuota 4 de 6 · compra 2026-03-30</t>
        </is>
      </c>
    </row>
    <row r="735">
      <c r="A735" s="54" t="n">
        <v>46215</v>
      </c>
      <c r="B735" t="inlineStr">
        <is>
          <t>Julio</t>
        </is>
      </c>
      <c r="C735" t="inlineStr">
        <is>
          <t>COMPRAS</t>
        </is>
      </c>
      <c r="D735" t="n">
        <v>52079</v>
      </c>
      <c r="E735" t="inlineStr">
        <is>
          <t>TC Mercado Pago</t>
        </is>
      </c>
      <c r="F735" t="inlineStr">
        <is>
          <t>SALUD · MERPAGO*SUPLEMENTOSCO · TC Mercado Pago · cuota 3 de 3 · compra 2026-04-20 · ex `SALUD · Suplementosco · C.03/03`</t>
        </is>
      </c>
    </row>
    <row r="736">
      <c r="A736" s="54" t="n">
        <v>46215</v>
      </c>
      <c r="B736" t="inlineStr">
        <is>
          <t>Julio</t>
        </is>
      </c>
      <c r="C736" t="inlineStr">
        <is>
          <t>ROPA</t>
        </is>
      </c>
      <c r="D736" t="n">
        <v>88815</v>
      </c>
      <c r="E736" t="inlineStr">
        <is>
          <t>TC Mercado Pago</t>
        </is>
      </c>
      <c r="F736" t="inlineStr">
        <is>
          <t>ROPA · Tilgorita · MERPAGO*TILGORITA · TC Mercado Pago · cuota 3 de 3 · compra 2026-05-09</t>
        </is>
      </c>
    </row>
    <row r="737">
      <c r="A737" s="54" t="n">
        <v>46215</v>
      </c>
      <c r="B737" t="inlineStr">
        <is>
          <t>Julio</t>
        </is>
      </c>
      <c r="C737" t="inlineStr">
        <is>
          <t>COMPRAS</t>
        </is>
      </c>
      <c r="D737" t="n">
        <v>44100</v>
      </c>
      <c r="E737" t="inlineStr">
        <is>
          <t>TC Mercado Pago</t>
        </is>
      </c>
      <c r="F737" t="inlineStr">
        <is>
          <t>MERPAGO*BIDCOM · TC Mercado Pago · cuota 2 de 3 · compra 2026-05-14 · ex `Bidcom · C.02/03`</t>
        </is>
      </c>
    </row>
    <row r="738">
      <c r="A738" s="54" t="n">
        <v>46215</v>
      </c>
      <c r="B738" t="inlineStr">
        <is>
          <t>Julio</t>
        </is>
      </c>
      <c r="C738" t="inlineStr">
        <is>
          <t>COMPRAS</t>
        </is>
      </c>
      <c r="D738" t="n">
        <v>268667</v>
      </c>
      <c r="E738" t="inlineStr">
        <is>
          <t>TC Mercado Pago</t>
        </is>
      </c>
      <c r="F738" t="inlineStr">
        <is>
          <t>MERPAGO*CASAGODOY · TC Mercado Pago · cuota 2 de 3 · compra 2026-06-11 · ex `Casagodoy · C.02/03`</t>
        </is>
      </c>
    </row>
    <row r="739">
      <c r="A739" s="54" t="n">
        <v>46215</v>
      </c>
      <c r="B739" t="inlineStr">
        <is>
          <t>Julio</t>
        </is>
      </c>
      <c r="C739" t="inlineStr">
        <is>
          <t>MERCADO LIBRE</t>
        </is>
      </c>
      <c r="D739" t="n">
        <v>53000</v>
      </c>
      <c r="E739" t="inlineStr">
        <is>
          <t>TC Mercado Pago</t>
        </is>
      </c>
      <c r="F739" t="inlineStr">
        <is>
          <t>MERPAGO*MONPOULET · TC Mercado Pago · compra 2026-06-13</t>
        </is>
      </c>
    </row>
    <row r="740">
      <c r="A740" s="54" t="n">
        <v>46215</v>
      </c>
      <c r="B740" t="inlineStr">
        <is>
          <t>Julio</t>
        </is>
      </c>
      <c r="C740" t="inlineStr">
        <is>
          <t>VESTIMENTA</t>
        </is>
      </c>
      <c r="D740" t="n">
        <v>2542970</v>
      </c>
      <c r="E740" t="inlineStr">
        <is>
          <t>TC Mercado Pago</t>
        </is>
      </c>
      <c r="F740" t="inlineStr">
        <is>
          <t>VESTIMENTA · Itsclassic · TC Mercado Pago · gasto personal Sol</t>
        </is>
      </c>
    </row>
    <row r="741">
      <c r="A741" s="54" t="n">
        <v>46215</v>
      </c>
      <c r="B741" t="inlineStr">
        <is>
          <t>Julio</t>
        </is>
      </c>
      <c r="C741" t="inlineStr">
        <is>
          <t>REGALOS</t>
        </is>
      </c>
      <c r="D741" t="n">
        <v>33500</v>
      </c>
      <c r="E741" t="inlineStr">
        <is>
          <t>TC Mercado Pago</t>
        </is>
      </c>
      <c r="F741" t="inlineStr">
        <is>
          <t>REGALOS · Regalos Dalila · MERPAGO*REGALOSDALILA · TC Mercado Pago · cuota 1 de 2 · compra 2026-06-19</t>
        </is>
      </c>
    </row>
    <row r="742">
      <c r="A742" s="54" t="n">
        <v>46215</v>
      </c>
      <c r="B742" t="inlineStr">
        <is>
          <t>Julio</t>
        </is>
      </c>
      <c r="C742" t="inlineStr">
        <is>
          <t>SALUD</t>
        </is>
      </c>
      <c r="D742" t="n">
        <v>55707</v>
      </c>
      <c r="E742" t="inlineStr">
        <is>
          <t>TC Mercado Pago</t>
        </is>
      </c>
      <c r="F742" t="inlineStr">
        <is>
          <t>SALUD · Laboratorio · SALUD · MERPAGO*LABORATORIOBE · TC Mercado Pago · cuota 1 de 9 · compra 2026-06-23</t>
        </is>
      </c>
    </row>
    <row r="743">
      <c r="A743" s="54" t="n">
        <v>46215</v>
      </c>
      <c r="B743" t="inlineStr">
        <is>
          <t>Julio</t>
        </is>
      </c>
      <c r="C743" t="inlineStr">
        <is>
          <t>COMPRAS</t>
        </is>
      </c>
      <c r="D743" t="n">
        <v>58334</v>
      </c>
      <c r="E743" t="inlineStr">
        <is>
          <t>TC Mercado Pago</t>
        </is>
      </c>
      <c r="F743" t="inlineStr">
        <is>
          <t>SALUD · MERPAGO*BIODEPOT · TC Mercado Pago · cuota 1 de 3 · compra 2026-06-25 · ex `SALUD · Biodepot · C.01/03`</t>
        </is>
      </c>
    </row>
    <row r="744">
      <c r="A744" s="54" t="n">
        <v>46215</v>
      </c>
      <c r="B744" t="inlineStr">
        <is>
          <t>Julio</t>
        </is>
      </c>
      <c r="C744" t="inlineStr">
        <is>
          <t>ROPA</t>
        </is>
      </c>
      <c r="D744" t="n">
        <v>297891</v>
      </c>
      <c r="E744" t="inlineStr">
        <is>
          <t>TC Mercado Pago</t>
        </is>
      </c>
      <c r="F744" t="inlineStr">
        <is>
          <t>ROPA · Pandora · TC Mercado Pago · cuota 1 de 6 · compra 2026-07-09</t>
        </is>
      </c>
    </row>
    <row r="745">
      <c r="A745" s="54" t="n">
        <v>46060</v>
      </c>
      <c r="B745" t="inlineStr">
        <is>
          <t>Febrero</t>
        </is>
      </c>
      <c r="C745" t="inlineStr">
        <is>
          <t>TRANSFERENCIAS</t>
        </is>
      </c>
      <c r="D745" t="n">
        <v>7000</v>
      </c>
      <c r="E745" t="inlineStr">
        <is>
          <t>Mercado Pago</t>
        </is>
      </c>
      <c r="F745" t="inlineStr">
        <is>
          <t>transferencia · gasto personal Sol · MP cuenta · ex `Lenac`</t>
        </is>
      </c>
    </row>
    <row r="746">
      <c r="A746" s="54" t="n">
        <v>46102</v>
      </c>
      <c r="B746" t="inlineStr">
        <is>
          <t>Marzo</t>
        </is>
      </c>
      <c r="C746" t="inlineStr">
        <is>
          <t>COMPRAS</t>
        </is>
      </c>
      <c r="D746" t="n">
        <v>37000</v>
      </c>
      <c r="E746" t="inlineStr">
        <is>
          <t>Mercado Pago</t>
        </is>
      </c>
      <c r="F746" t="inlineStr">
        <is>
          <t>pago QR · gasto personal Sol · MP cuenta · ex `Joaquin Vazco`</t>
        </is>
      </c>
    </row>
    <row r="747">
      <c r="A747" s="54" t="n">
        <v>46106</v>
      </c>
      <c r="B747" t="inlineStr">
        <is>
          <t>Marzo</t>
        </is>
      </c>
      <c r="C747" t="inlineStr">
        <is>
          <t>COMPRAS</t>
        </is>
      </c>
      <c r="D747" t="n">
        <v>49999</v>
      </c>
      <c r="E747" t="inlineStr">
        <is>
          <t>Mercado Pago</t>
        </is>
      </c>
      <c r="F747" t="inlineStr">
        <is>
          <t>pago QR · gasto personal Sol · MP cuenta · ex `Enzo Cabildo`</t>
        </is>
      </c>
    </row>
    <row r="748">
      <c r="A748" s="54" t="n">
        <v>46122</v>
      </c>
      <c r="B748" t="inlineStr">
        <is>
          <t>Abril</t>
        </is>
      </c>
      <c r="C748" t="inlineStr">
        <is>
          <t>COMPRAS</t>
        </is>
      </c>
      <c r="D748" t="n">
        <v>560000</v>
      </c>
      <c r="E748" t="inlineStr">
        <is>
          <t>Mercado Pago</t>
        </is>
      </c>
      <c r="F748" t="inlineStr">
        <is>
          <t>pago QR · gasto personal Sol · MP cuenta · ex `Burtextil SRL`</t>
        </is>
      </c>
    </row>
    <row r="749">
      <c r="A749" s="54" t="n">
        <v>46130</v>
      </c>
      <c r="B749" t="inlineStr">
        <is>
          <t>Abril</t>
        </is>
      </c>
      <c r="C749" t="inlineStr">
        <is>
          <t>EDUCACIÓN</t>
        </is>
      </c>
      <c r="D749" t="n">
        <v>151214</v>
      </c>
      <c r="E749" t="inlineStr">
        <is>
          <t>Mercado Pago</t>
        </is>
      </c>
      <c r="F749" t="inlineStr">
        <is>
          <t>EDUCACIÓN · UADE · gasto personal Sol</t>
        </is>
      </c>
    </row>
    <row r="750">
      <c r="A750" s="54" t="n">
        <v>46130</v>
      </c>
      <c r="B750" t="inlineStr">
        <is>
          <t>Abril</t>
        </is>
      </c>
      <c r="C750" t="inlineStr">
        <is>
          <t>EDUCACIÓN</t>
        </is>
      </c>
      <c r="D750" t="n">
        <v>269460</v>
      </c>
      <c r="E750" t="inlineStr">
        <is>
          <t>Mercado Pago</t>
        </is>
      </c>
      <c r="F750" t="inlineStr">
        <is>
          <t>EDUCACIÓN · UADE · gasto personal Sol</t>
        </is>
      </c>
    </row>
    <row r="751">
      <c r="A751" s="54" t="n">
        <v>46130</v>
      </c>
      <c r="B751" t="inlineStr">
        <is>
          <t>Abril</t>
        </is>
      </c>
      <c r="C751" t="inlineStr">
        <is>
          <t>EDUCACIÓN</t>
        </is>
      </c>
      <c r="D751" t="n">
        <v>226820</v>
      </c>
      <c r="E751" t="inlineStr">
        <is>
          <t>Mercado Pago</t>
        </is>
      </c>
      <c r="F751" t="inlineStr">
        <is>
          <t>EDUCACIÓN · UADE · gasto personal Sol</t>
        </is>
      </c>
    </row>
    <row r="752">
      <c r="A752" s="54" t="n">
        <v>46138</v>
      </c>
      <c r="B752" t="inlineStr">
        <is>
          <t>Abril</t>
        </is>
      </c>
      <c r="C752" t="inlineStr">
        <is>
          <t>COMPRAS</t>
        </is>
      </c>
      <c r="D752" t="n">
        <v>21600</v>
      </c>
      <c r="E752" t="inlineStr">
        <is>
          <t>Mercado Pago</t>
        </is>
      </c>
      <c r="F752" t="inlineStr">
        <is>
          <t>pago QR · gasto personal Sol · MP cuenta</t>
        </is>
      </c>
    </row>
    <row r="753">
      <c r="A753" s="54" t="n">
        <v>46153</v>
      </c>
      <c r="B753" t="inlineStr">
        <is>
          <t>Mayo</t>
        </is>
      </c>
      <c r="C753" t="inlineStr">
        <is>
          <t>LIBRERÍA</t>
        </is>
      </c>
      <c r="D753" t="n">
        <v>16200</v>
      </c>
      <c r="E753" t="inlineStr">
        <is>
          <t>Mercado Pago</t>
        </is>
      </c>
      <c r="F753" t="inlineStr">
        <is>
          <t>librería · gasto personal Sol · MP cuenta</t>
        </is>
      </c>
    </row>
    <row r="754">
      <c r="A754" s="54" t="n">
        <v>46155</v>
      </c>
      <c r="B754" t="inlineStr">
        <is>
          <t>Mayo</t>
        </is>
      </c>
      <c r="C754" t="inlineStr">
        <is>
          <t>COMPRAS</t>
        </is>
      </c>
      <c r="D754" t="n">
        <v>6000</v>
      </c>
      <c r="E754" t="inlineStr">
        <is>
          <t>Mercado Pago</t>
        </is>
      </c>
      <c r="F754" t="inlineStr">
        <is>
          <t>pago QR · gasto personal Sol · MP cuenta · ex `Lenac`</t>
        </is>
      </c>
    </row>
    <row r="755">
      <c r="A755" s="54" t="n">
        <v>46193</v>
      </c>
      <c r="B755" t="inlineStr">
        <is>
          <t>Junio</t>
        </is>
      </c>
      <c r="C755" t="inlineStr">
        <is>
          <t>EDUCACIÓN</t>
        </is>
      </c>
      <c r="D755" t="n">
        <v>151214</v>
      </c>
      <c r="E755" t="inlineStr">
        <is>
          <t>Mercado Pago</t>
        </is>
      </c>
      <c r="F755" t="inlineStr">
        <is>
          <t>EDUCACIÓN · UADE · gasto personal Sol</t>
        </is>
      </c>
    </row>
    <row r="756">
      <c r="A756" s="54" t="n">
        <v>46193</v>
      </c>
      <c r="B756" t="inlineStr">
        <is>
          <t>Junio</t>
        </is>
      </c>
      <c r="C756" t="inlineStr">
        <is>
          <t>EDUCACIÓN</t>
        </is>
      </c>
      <c r="D756" t="n">
        <v>44048</v>
      </c>
      <c r="E756" t="inlineStr">
        <is>
          <t>Mercado Pago</t>
        </is>
      </c>
      <c r="F756" t="inlineStr">
        <is>
          <t>EDUCACIÓN · UADE · gasto personal Sol</t>
        </is>
      </c>
    </row>
    <row r="757">
      <c r="A757" s="54" t="n"/>
    </row>
    <row r="758">
      <c r="A758" s="54" t="n">
        <v>46203</v>
      </c>
      <c r="B758" t="inlineStr">
        <is>
          <t>Junio</t>
        </is>
      </c>
      <c r="C758" t="inlineStr">
        <is>
          <t>COMPRAS</t>
        </is>
      </c>
      <c r="D758" t="n">
        <v>61500</v>
      </c>
      <c r="E758" t="inlineStr">
        <is>
          <t>Mercado Pago</t>
        </is>
      </c>
      <c r="F758" t="inlineStr">
        <is>
          <t>COMPRAS · Dodoche · Dodoche · gasto personal Sol· MP cuenta</t>
        </is>
      </c>
    </row>
    <row r="759">
      <c r="A759" s="54" t="n">
        <v>46210</v>
      </c>
      <c r="B759" t="inlineStr">
        <is>
          <t>Julio</t>
        </is>
      </c>
      <c r="C759" t="inlineStr">
        <is>
          <t>COMPRAS</t>
        </is>
      </c>
      <c r="D759" t="n">
        <v>27900</v>
      </c>
      <c r="E759" t="inlineStr">
        <is>
          <t>Mercado Pago</t>
        </is>
      </c>
      <c r="F759" t="inlineStr">
        <is>
          <t>pago QR · gasto personal Sol · MP cuenta</t>
        </is>
      </c>
    </row>
    <row r="760">
      <c r="A760" s="54" t="n">
        <v>46212</v>
      </c>
      <c r="B760" t="inlineStr">
        <is>
          <t>Julio</t>
        </is>
      </c>
      <c r="C760" t="inlineStr">
        <is>
          <t>COMPRAS</t>
        </is>
      </c>
      <c r="D760" t="n">
        <v>164000</v>
      </c>
      <c r="E760" t="inlineStr">
        <is>
          <t>Mercado Pago</t>
        </is>
      </c>
      <c r="F760" t="inlineStr">
        <is>
          <t>pago QR · gasto personal Sol · MP cuenta · ex `David Rosental e Hijos SA`</t>
        </is>
      </c>
    </row>
    <row r="761">
      <c r="A761" s="54" t="n">
        <v>46032</v>
      </c>
      <c r="B761" t="inlineStr">
        <is>
          <t>Enero</t>
        </is>
      </c>
      <c r="C761" t="inlineStr">
        <is>
          <t>FARMACIA SALUD</t>
        </is>
      </c>
      <c r="D761" t="n">
        <v>116500</v>
      </c>
      <c r="E761" t="inlineStr">
        <is>
          <t>Mercado Pago</t>
        </is>
      </c>
      <c r="F761" t="inlineStr">
        <is>
          <t>FARMACIA SALUD · Farmacia Maure · resumen MP cuenta</t>
        </is>
      </c>
    </row>
    <row r="762">
      <c r="A762" s="54" t="n">
        <v>46073</v>
      </c>
      <c r="B762" t="inlineStr">
        <is>
          <t>Febrero</t>
        </is>
      </c>
      <c r="C762" t="inlineStr">
        <is>
          <t>FARMACIA SALUD</t>
        </is>
      </c>
      <c r="D762" t="n">
        <v>124100</v>
      </c>
      <c r="E762" t="inlineStr">
        <is>
          <t>Mercado Pago</t>
        </is>
      </c>
      <c r="F762" t="inlineStr">
        <is>
          <t>FARMACIA SALUD · Farmacia Maure · resumen MP cuenta</t>
        </is>
      </c>
    </row>
    <row r="763">
      <c r="A763" s="54" t="n">
        <v>46118</v>
      </c>
      <c r="B763" t="inlineStr">
        <is>
          <t>Abril</t>
        </is>
      </c>
      <c r="C763" t="inlineStr">
        <is>
          <t>FARMACIA SALUD</t>
        </is>
      </c>
      <c r="D763" t="n">
        <v>191500</v>
      </c>
      <c r="E763" t="inlineStr">
        <is>
          <t>Mercado Pago</t>
        </is>
      </c>
      <c r="F763" t="inlineStr">
        <is>
          <t>FARMACIA SALUD · Farmacia Maure · resumen MP cuenta</t>
        </is>
      </c>
    </row>
    <row r="764">
      <c r="A764" s="54" t="n">
        <v>46217</v>
      </c>
      <c r="B764" t="inlineStr">
        <is>
          <t>Julio</t>
        </is>
      </c>
      <c r="C764" t="inlineStr">
        <is>
          <t>FARMACIA SALUD</t>
        </is>
      </c>
      <c r="D764" t="n">
        <v>218500</v>
      </c>
      <c r="E764" t="inlineStr">
        <is>
          <t>Mercado Pago</t>
        </is>
      </c>
      <c r="F764" t="inlineStr">
        <is>
          <t>FARMACIA SALUD · Farmacia Maure · resumen MP cuenta</t>
        </is>
      </c>
    </row>
    <row r="765">
      <c r="A765" s="54" t="n">
        <v>46023</v>
      </c>
      <c r="B765" t="inlineStr">
        <is>
          <t>Enero</t>
        </is>
      </c>
      <c r="C765" t="inlineStr">
        <is>
          <t>FARMACIA SALUD</t>
        </is>
      </c>
      <c r="D765" t="n">
        <v>25259</v>
      </c>
      <c r="E765" t="inlineStr">
        <is>
          <t>BBVA VISA</t>
        </is>
      </c>
      <c r="F765" t="inlineStr">
        <is>
          <t>FARMACIA SALUD · Farmacia Selma · C.04/06 · cashflow BBVA PAGADO · gasto personal Sol</t>
        </is>
      </c>
    </row>
    <row r="766">
      <c r="A766" s="54" t="n">
        <v>46054</v>
      </c>
      <c r="B766" t="inlineStr">
        <is>
          <t>Febrero</t>
        </is>
      </c>
      <c r="C766" t="inlineStr">
        <is>
          <t>FARMACIA SALUD</t>
        </is>
      </c>
      <c r="D766" t="n">
        <v>25259</v>
      </c>
      <c r="E766" t="inlineStr">
        <is>
          <t>BBVA VISA</t>
        </is>
      </c>
      <c r="F766" t="inlineStr">
        <is>
          <t>FARMACIA SALUD · Farmacia Selma · C.05/06 · cashflow BBVA PAGADO · gasto personal Sol</t>
        </is>
      </c>
    </row>
    <row r="767">
      <c r="A767" s="54" t="n">
        <v>46116</v>
      </c>
      <c r="B767" t="inlineStr">
        <is>
          <t>Abril</t>
        </is>
      </c>
      <c r="C767" t="inlineStr">
        <is>
          <t>COMPRAS</t>
        </is>
      </c>
      <c r="D767" t="n">
        <v>115500</v>
      </c>
      <c r="E767" t="inlineStr">
        <is>
          <t>Mercado Pago</t>
        </is>
      </c>
      <c r="F767" t="inlineStr">
        <is>
          <t>pago QR TICORRICOSA · gasto personal Sol</t>
        </is>
      </c>
    </row>
    <row r="768">
      <c r="A768" s="54" t="n">
        <v>46150</v>
      </c>
      <c r="B768" t="inlineStr">
        <is>
          <t>Mayo</t>
        </is>
      </c>
      <c r="C768" t="inlineStr">
        <is>
          <t>COMPRAS</t>
        </is>
      </c>
      <c r="D768" t="n">
        <v>63000</v>
      </c>
      <c r="E768" t="inlineStr">
        <is>
          <t>Mercado Pago</t>
        </is>
      </c>
      <c r="F768" t="inlineStr">
        <is>
          <t>COMPRAS · Casareggia · pago QR CASAREGGIA · gasto personal Sol</t>
        </is>
      </c>
    </row>
    <row r="769">
      <c r="A769" s="54" t="n">
        <v>46099</v>
      </c>
      <c r="B769" t="inlineStr">
        <is>
          <t>Marzo</t>
        </is>
      </c>
      <c r="C769" t="inlineStr">
        <is>
          <t>COMPRAS</t>
        </is>
      </c>
      <c r="D769" t="n">
        <v>48334</v>
      </c>
      <c r="E769" t="inlineStr">
        <is>
          <t>Mercado Pago</t>
        </is>
      </c>
      <c r="F769" t="inlineStr">
        <is>
          <t>COMPRAS · Catore · pago QR CATORE · gasto personal Sol · resumen MP</t>
        </is>
      </c>
    </row>
    <row r="770">
      <c r="A770" s="54" t="n">
        <v>46025</v>
      </c>
      <c r="B770" t="inlineStr">
        <is>
          <t>Enero</t>
        </is>
      </c>
      <c r="C770" t="inlineStr">
        <is>
          <t>COMPRAS</t>
        </is>
      </c>
      <c r="D770" t="n">
        <v>21500</v>
      </c>
      <c r="E770" t="inlineStr">
        <is>
          <t>Mercado Pago</t>
        </is>
      </c>
      <c r="F770" t="inlineStr">
        <is>
          <t>COMPRAS · Recaudacion Gestion y Pagos · pago QR Recaudacion Gestion y Pagos · gasto personal Sol</t>
        </is>
      </c>
    </row>
    <row r="771">
      <c r="A771" s="54" t="n">
        <v>46024</v>
      </c>
      <c r="B771" t="inlineStr">
        <is>
          <t>Enero</t>
        </is>
      </c>
      <c r="C771" t="inlineStr">
        <is>
          <t>SUSCRIPCIONES · Apple</t>
        </is>
      </c>
      <c r="D771" t="n">
        <v>5621</v>
      </c>
      <c r="E771" t="inlineStr">
        <is>
          <t>Mercado Pago</t>
        </is>
      </c>
      <c r="F771" t="inlineStr">
        <is>
          <t>SUSCRIPCIONES · Apple · gasto personal Sol</t>
        </is>
      </c>
    </row>
    <row r="772">
      <c r="A772" s="54" t="n">
        <v>46024</v>
      </c>
      <c r="B772" t="inlineStr">
        <is>
          <t>Enero</t>
        </is>
      </c>
      <c r="C772" t="inlineStr">
        <is>
          <t>SUSCRIPCIONES · Apple</t>
        </is>
      </c>
      <c r="D772" t="n">
        <v>5621</v>
      </c>
      <c r="E772" t="inlineStr">
        <is>
          <t>Mercado Pago</t>
        </is>
      </c>
      <c r="F772" t="inlineStr">
        <is>
          <t>SUSCRIPCIONES · Apple · gasto personal Sol</t>
        </is>
      </c>
    </row>
    <row r="773">
      <c r="A773" s="62" t="n">
        <v>46057</v>
      </c>
      <c r="B773" s="34" t="inlineStr">
        <is>
          <t>Febrero</t>
        </is>
      </c>
      <c r="C773" s="34" t="inlineStr">
        <is>
          <t>SUSCRIPCIONES · IA</t>
        </is>
      </c>
      <c r="D773" s="34" t="n"/>
      <c r="E773" s="34" t="inlineStr">
        <is>
          <t>BBVA</t>
        </is>
      </c>
      <c r="F773" s="34" t="inlineStr">
        <is>
          <t>SUSCRIPCIONES · IA · ChatGPT / OpenAI · gasto personal Sol · NO ES GASTO · consumo/compra USD BBVA Mastercard · ver hoja Sol Dollar Mdp</t>
        </is>
      </c>
    </row>
    <row r="774">
      <c r="A774" s="62" t="n">
        <v>46081</v>
      </c>
      <c r="B774" s="34" t="inlineStr">
        <is>
          <t>Febrero</t>
        </is>
      </c>
      <c r="C774" s="34" t="inlineStr">
        <is>
          <t>SUSCRIPCIONES · IA</t>
        </is>
      </c>
      <c r="D774" s="34" t="n"/>
      <c r="E774" s="34" t="inlineStr">
        <is>
          <t>BBVA</t>
        </is>
      </c>
      <c r="F774" s="34" t="inlineStr">
        <is>
          <t>SUSCRIPCIONES · IA · ChatGPT / OpenAI · gasto personal Sol · NO ES GASTO · consumo/compra USD BBVA Mastercard · ver hoja Sol Dollar Mdp</t>
        </is>
      </c>
    </row>
    <row r="775">
      <c r="A775" s="62" t="n">
        <v>46117</v>
      </c>
      <c r="B775" s="34" t="inlineStr">
        <is>
          <t>Abril</t>
        </is>
      </c>
      <c r="C775" s="34" t="inlineStr">
        <is>
          <t>SUSCRIPCIONES · IA</t>
        </is>
      </c>
      <c r="D775" s="34" t="n"/>
      <c r="E775" s="34" t="inlineStr">
        <is>
          <t>BBVA</t>
        </is>
      </c>
      <c r="F775" s="34" t="inlineStr">
        <is>
          <t>SUSCRIPCIONES · IA · ChatGPT / OpenAI · gasto personal Sol · NO ES GASTO · consumo/compra USD BBVA Mastercard · ver hoja Sol Dollar Mdp</t>
        </is>
      </c>
    </row>
    <row r="776">
      <c r="A776" s="62" t="n">
        <v>46142</v>
      </c>
      <c r="B776" s="34" t="inlineStr">
        <is>
          <t>Abril</t>
        </is>
      </c>
      <c r="C776" s="34" t="inlineStr">
        <is>
          <t>SUSCRIPCIONES · IA</t>
        </is>
      </c>
      <c r="D776" s="34" t="n">
        <v>28681</v>
      </c>
      <c r="E776" s="34" t="inlineStr">
        <is>
          <t>BBVA</t>
        </is>
      </c>
      <c r="F776" s="34" t="inlineStr">
        <is>
          <t>SUSCRIPCIONES · IA · ChatGPT / OpenAI · gasto personal Sol</t>
        </is>
      </c>
    </row>
    <row r="777">
      <c r="A777" s="62" t="n">
        <v>46173</v>
      </c>
      <c r="B777" s="34" t="inlineStr">
        <is>
          <t>Mayo</t>
        </is>
      </c>
      <c r="C777" s="34" t="inlineStr">
        <is>
          <t>SUSCRIPCIONES · IA</t>
        </is>
      </c>
      <c r="D777" s="34" t="n">
        <v>28593</v>
      </c>
      <c r="E777" s="34" t="inlineStr">
        <is>
          <t>BBVA</t>
        </is>
      </c>
      <c r="F777" s="34" t="inlineStr">
        <is>
          <t>SUSCRIPCIONES · IA · ChatGPT / OpenAI · gasto personal Sol</t>
        </is>
      </c>
    </row>
    <row r="778">
      <c r="A778" s="62" t="n">
        <v>46203</v>
      </c>
      <c r="B778" s="34" t="inlineStr">
        <is>
          <t>Junio</t>
        </is>
      </c>
      <c r="C778" s="34" t="inlineStr">
        <is>
          <t>SUSCRIPCIONES · IA</t>
        </is>
      </c>
      <c r="D778" s="34" t="n">
        <v>29160</v>
      </c>
      <c r="E778" s="34" t="inlineStr">
        <is>
          <t>BBVA</t>
        </is>
      </c>
      <c r="F778" s="34" t="inlineStr">
        <is>
          <t>SUSCRIPCIONES · IA · ChatGPT / OpenAI · gasto personal Sol</t>
        </is>
      </c>
    </row>
    <row r="779">
      <c r="A779" s="62" t="n">
        <v>46046</v>
      </c>
      <c r="B779" s="34" t="inlineStr">
        <is>
          <t>Enero</t>
        </is>
      </c>
      <c r="C779" s="34" t="inlineStr">
        <is>
          <t>ENTRETENIMIENTO · Comidas</t>
        </is>
      </c>
      <c r="D779" s="34" t="n">
        <v>37767</v>
      </c>
      <c r="E779" s="34" t="inlineStr">
        <is>
          <t>Mercado Pago</t>
        </is>
      </c>
      <c r="F779" s="34" t="inlineStr">
        <is>
          <t>ENTRETENIMIENTO · Comidas · Oporto Almacen · gasto personal Sol</t>
        </is>
      </c>
    </row>
    <row r="780">
      <c r="A780" s="62" t="n">
        <v>46095</v>
      </c>
      <c r="B780" s="34" t="inlineStr">
        <is>
          <t>Marzo</t>
        </is>
      </c>
      <c r="C780" s="34" t="inlineStr">
        <is>
          <t>ENTRETENIMIENTO · Comidas</t>
        </is>
      </c>
      <c r="D780" s="34" t="n">
        <v>51920</v>
      </c>
      <c r="E780" s="34" t="inlineStr">
        <is>
          <t>Mercado Pago</t>
        </is>
      </c>
      <c r="F780" s="34" t="inlineStr">
        <is>
          <t>ENTRETENIMIENTO · Comidas · Oporto Almacen · gasto personal Sol</t>
        </is>
      </c>
    </row>
    <row r="781">
      <c r="A781" s="62" t="n">
        <v>46051</v>
      </c>
      <c r="B781" s="34" t="inlineStr">
        <is>
          <t>Enero</t>
        </is>
      </c>
      <c r="C781" s="34" t="inlineStr">
        <is>
          <t>COMIDA · Oficina</t>
        </is>
      </c>
      <c r="D781" s="34" t="n">
        <v>2150</v>
      </c>
      <c r="E781" s="34" t="inlineStr">
        <is>
          <t>Mercado Pago</t>
        </is>
      </c>
      <c r="F781" s="34" t="inlineStr">
        <is>
          <t>COMIDA · Oficina · Feed · gasto personal Sol</t>
        </is>
      </c>
    </row>
    <row r="782">
      <c r="A782" s="62" t="n">
        <v>46051</v>
      </c>
      <c r="B782" s="34" t="inlineStr">
        <is>
          <t>Enero</t>
        </is>
      </c>
      <c r="C782" s="34" t="inlineStr">
        <is>
          <t>COMIDA · Oficina</t>
        </is>
      </c>
      <c r="D782" s="34" t="n">
        <v>2350</v>
      </c>
      <c r="E782" s="34" t="inlineStr">
        <is>
          <t>Mercado Pago</t>
        </is>
      </c>
      <c r="F782" s="34" t="inlineStr">
        <is>
          <t>COMIDA · Oficina · Feed · gasto personal Sol</t>
        </is>
      </c>
    </row>
    <row r="783">
      <c r="A783" s="62" t="n">
        <v>46063</v>
      </c>
      <c r="B783" s="34" t="inlineStr">
        <is>
          <t>Febrero</t>
        </is>
      </c>
      <c r="C783" s="34" t="inlineStr">
        <is>
          <t>COMIDA · Oficina</t>
        </is>
      </c>
      <c r="D783" s="34" t="n">
        <v>645</v>
      </c>
      <c r="E783" s="34" t="inlineStr">
        <is>
          <t>Mercado Pago</t>
        </is>
      </c>
      <c r="F783" s="34" t="inlineStr">
        <is>
          <t>COMIDA · Oficina · Feed · gasto personal Sol</t>
        </is>
      </c>
    </row>
    <row r="784">
      <c r="A784" s="62" t="n">
        <v>46058</v>
      </c>
      <c r="B784" s="34" t="inlineStr">
        <is>
          <t>Febrero</t>
        </is>
      </c>
      <c r="C784" s="34" t="inlineStr">
        <is>
          <t>COMIDA · Oficina</t>
        </is>
      </c>
      <c r="D784" s="34" t="n">
        <v>645</v>
      </c>
      <c r="E784" s="34" t="inlineStr">
        <is>
          <t>Mercado Pago</t>
        </is>
      </c>
      <c r="F784" s="34" t="inlineStr">
        <is>
          <t>COMIDA · Oficina · Feed · gasto personal Sol</t>
        </is>
      </c>
    </row>
    <row r="785">
      <c r="A785" s="62" t="n">
        <v>46056</v>
      </c>
      <c r="B785" s="34" t="inlineStr">
        <is>
          <t>Febrero</t>
        </is>
      </c>
      <c r="C785" s="34" t="inlineStr">
        <is>
          <t>COMIDA · Oficina</t>
        </is>
      </c>
      <c r="D785" s="34" t="n">
        <v>645</v>
      </c>
      <c r="E785" s="34" t="inlineStr">
        <is>
          <t>Mercado Pago</t>
        </is>
      </c>
      <c r="F785" s="34" t="inlineStr">
        <is>
          <t>COMIDA · Oficina · Feed · gasto personal Sol</t>
        </is>
      </c>
    </row>
    <row r="786">
      <c r="A786" s="62" t="n">
        <v>46132</v>
      </c>
      <c r="B786" s="34" t="inlineStr">
        <is>
          <t>Abril</t>
        </is>
      </c>
      <c r="C786" s="34" t="inlineStr">
        <is>
          <t>COMIDA · Oficina</t>
        </is>
      </c>
      <c r="D786" s="34" t="n">
        <v>2400</v>
      </c>
      <c r="E786" s="34" t="inlineStr">
        <is>
          <t>Mercado Pago</t>
        </is>
      </c>
      <c r="F786" s="34" t="inlineStr">
        <is>
          <t>COMIDA · Oficina · Feed · gasto personal Sol</t>
        </is>
      </c>
    </row>
    <row r="787">
      <c r="A787" s="62" t="n">
        <v>46193</v>
      </c>
      <c r="B787" s="34" t="inlineStr">
        <is>
          <t>Junio</t>
        </is>
      </c>
      <c r="C787" s="34" t="inlineStr">
        <is>
          <t>EDUCACIÓN</t>
        </is>
      </c>
      <c r="D787" s="34" t="n">
        <v>81656</v>
      </c>
      <c r="E787" s="34" t="inlineStr">
        <is>
          <t>Mercado Pago</t>
        </is>
      </c>
      <c r="F787" s="34" t="inlineStr">
        <is>
          <t>EDUCACIÓN · UADE · gasto personal Sol</t>
        </is>
      </c>
    </row>
    <row r="788">
      <c r="A788" s="62" t="n">
        <v>46193</v>
      </c>
      <c r="B788" s="34" t="inlineStr">
        <is>
          <t>Junio</t>
        </is>
      </c>
      <c r="C788" s="34" t="inlineStr">
        <is>
          <t>EDUCACIÓN</t>
        </is>
      </c>
      <c r="D788" s="34" t="n">
        <v>5000</v>
      </c>
      <c r="E788" s="34" t="inlineStr">
        <is>
          <t>Mercado Pago</t>
        </is>
      </c>
      <c r="F788" s="34" t="inlineStr">
        <is>
          <t>EDUCACIÓN · UADE · gasto personal Sol</t>
        </is>
      </c>
    </row>
    <row r="789">
      <c r="A789" s="62" t="n">
        <v>46028</v>
      </c>
      <c r="B789" s="34" t="inlineStr">
        <is>
          <t>Enero</t>
        </is>
      </c>
      <c r="C789" s="34" t="inlineStr">
        <is>
          <t>COMIDA · Oficina</t>
        </is>
      </c>
      <c r="D789" s="34" t="n">
        <v>645</v>
      </c>
      <c r="E789" s="34" t="inlineStr">
        <is>
          <t>Mercado Pago</t>
        </is>
      </c>
      <c r="F789" s="34" t="inlineStr">
        <is>
          <t>COMIDA · Oficina · Copetin Catering · gasto personal Sol</t>
        </is>
      </c>
    </row>
    <row r="790">
      <c r="A790" s="62" t="n">
        <v>46030</v>
      </c>
      <c r="B790" s="34" t="inlineStr">
        <is>
          <t>Enero</t>
        </is>
      </c>
      <c r="C790" s="34" t="inlineStr">
        <is>
          <t>COMIDA · Oficina</t>
        </is>
      </c>
      <c r="D790" s="34" t="n">
        <v>3585</v>
      </c>
      <c r="E790" s="34" t="inlineStr">
        <is>
          <t>Mercado Pago</t>
        </is>
      </c>
      <c r="F790" s="34" t="inlineStr">
        <is>
          <t>COMIDA · Oficina · Copetin Catering · gasto personal Sol</t>
        </is>
      </c>
    </row>
    <row r="791">
      <c r="A791" s="62" t="n">
        <v>46035</v>
      </c>
      <c r="B791" s="34" t="inlineStr">
        <is>
          <t>Enero</t>
        </is>
      </c>
      <c r="C791" s="34" t="inlineStr">
        <is>
          <t>COMIDA · Oficina</t>
        </is>
      </c>
      <c r="D791" s="34" t="n">
        <v>2940</v>
      </c>
      <c r="E791" s="34" t="inlineStr">
        <is>
          <t>Mercado Pago</t>
        </is>
      </c>
      <c r="F791" s="34" t="inlineStr">
        <is>
          <t>COMIDA · Oficina · Copetin Catering · gasto personal Sol</t>
        </is>
      </c>
    </row>
    <row r="792">
      <c r="A792" s="62" t="n">
        <v>46041</v>
      </c>
      <c r="B792" s="34" t="inlineStr">
        <is>
          <t>Enero</t>
        </is>
      </c>
      <c r="C792" s="34" t="inlineStr">
        <is>
          <t>COMIDA · Oficina</t>
        </is>
      </c>
      <c r="D792" s="34" t="n">
        <v>3585</v>
      </c>
      <c r="E792" s="34" t="inlineStr">
        <is>
          <t>Mercado Pago</t>
        </is>
      </c>
      <c r="F792" s="34" t="inlineStr">
        <is>
          <t>COMIDA · Oficina · Copetin Catering · gasto personal Sol</t>
        </is>
      </c>
    </row>
    <row r="793">
      <c r="A793" s="62" t="n">
        <v>46042</v>
      </c>
      <c r="B793" s="34" t="inlineStr">
        <is>
          <t>Enero</t>
        </is>
      </c>
      <c r="C793" s="34" t="inlineStr">
        <is>
          <t>COMIDA · Oficina</t>
        </is>
      </c>
      <c r="D793" s="34" t="n">
        <v>3585</v>
      </c>
      <c r="E793" s="34" t="inlineStr">
        <is>
          <t>Mercado Pago</t>
        </is>
      </c>
      <c r="F793" s="34" t="inlineStr">
        <is>
          <t>COMIDA · Oficina · Copetin Catering · gasto personal Sol</t>
        </is>
      </c>
    </row>
    <row r="794">
      <c r="A794" s="62" t="n">
        <v>46044</v>
      </c>
      <c r="B794" s="34" t="inlineStr">
        <is>
          <t>Enero</t>
        </is>
      </c>
      <c r="C794" s="34" t="inlineStr">
        <is>
          <t>COMIDA · Oficina</t>
        </is>
      </c>
      <c r="D794" s="34" t="n">
        <v>11950</v>
      </c>
      <c r="E794" s="34" t="inlineStr">
        <is>
          <t>Mercado Pago</t>
        </is>
      </c>
      <c r="F794" s="34" t="inlineStr">
        <is>
          <t>COMIDA · Oficina · Copetin Catering · gasto personal Sol</t>
        </is>
      </c>
    </row>
    <row r="795">
      <c r="A795" s="62" t="n">
        <v>46051</v>
      </c>
      <c r="B795" s="34" t="inlineStr">
        <is>
          <t>Enero</t>
        </is>
      </c>
      <c r="C795" s="34" t="inlineStr">
        <is>
          <t>COMIDA · Oficina</t>
        </is>
      </c>
      <c r="D795" s="34" t="n">
        <v>9800</v>
      </c>
      <c r="E795" s="34" t="inlineStr">
        <is>
          <t>Mercado Pago</t>
        </is>
      </c>
      <c r="F795" s="34" t="inlineStr">
        <is>
          <t>COMIDA · Oficina · Copetin Catering · gasto personal Sol</t>
        </is>
      </c>
    </row>
    <row r="796">
      <c r="A796" s="62" t="n">
        <v>46056</v>
      </c>
      <c r="B796" s="34" t="inlineStr">
        <is>
          <t>Febrero</t>
        </is>
      </c>
      <c r="C796" s="34" t="inlineStr">
        <is>
          <t>COMIDA · Oficina</t>
        </is>
      </c>
      <c r="D796" s="34" t="n">
        <v>3585</v>
      </c>
      <c r="E796" s="34" t="inlineStr">
        <is>
          <t>Mercado Pago</t>
        </is>
      </c>
      <c r="F796" s="34" t="inlineStr">
        <is>
          <t>COMIDA · Oficina · Copetin Catering · gasto personal Sol</t>
        </is>
      </c>
    </row>
    <row r="797">
      <c r="A797" s="62" t="n">
        <v>46058</v>
      </c>
      <c r="B797" s="34" t="inlineStr">
        <is>
          <t>Febrero</t>
        </is>
      </c>
      <c r="C797" s="34" t="inlineStr">
        <is>
          <t>COMIDA · Oficina</t>
        </is>
      </c>
      <c r="D797" s="34" t="n">
        <v>2940</v>
      </c>
      <c r="E797" s="34" t="inlineStr">
        <is>
          <t>Mercado Pago</t>
        </is>
      </c>
      <c r="F797" s="34" t="inlineStr">
        <is>
          <t>COMIDA · Oficina · Copetin Catering · gasto personal Sol</t>
        </is>
      </c>
    </row>
    <row r="798">
      <c r="A798" s="62" t="n">
        <v>46063</v>
      </c>
      <c r="B798" s="34" t="inlineStr">
        <is>
          <t>Febrero</t>
        </is>
      </c>
      <c r="C798" s="34" t="inlineStr">
        <is>
          <t>COMIDA · Oficina</t>
        </is>
      </c>
      <c r="D798" s="34" t="n">
        <v>1770</v>
      </c>
      <c r="E798" s="34" t="inlineStr">
        <is>
          <t>Mercado Pago</t>
        </is>
      </c>
      <c r="F798" s="34" t="inlineStr">
        <is>
          <t>COMIDA · Oficina · Copetin Catering · gasto personal Sol</t>
        </is>
      </c>
    </row>
    <row r="799">
      <c r="A799" s="62" t="n">
        <v>46071</v>
      </c>
      <c r="B799" s="34" t="inlineStr">
        <is>
          <t>Febrero</t>
        </is>
      </c>
      <c r="C799" s="34" t="inlineStr">
        <is>
          <t>COMIDA · Oficina</t>
        </is>
      </c>
      <c r="D799" s="34" t="n">
        <v>2703</v>
      </c>
      <c r="E799" s="34" t="inlineStr">
        <is>
          <t>Mercado Pago</t>
        </is>
      </c>
      <c r="F799" s="34" t="inlineStr">
        <is>
          <t>COMIDA · Oficina · Copetin Catering · gasto personal Sol</t>
        </is>
      </c>
    </row>
    <row r="800">
      <c r="A800" s="62" t="n">
        <v>46077</v>
      </c>
      <c r="B800" s="34" t="inlineStr">
        <is>
          <t>Febrero</t>
        </is>
      </c>
      <c r="C800" s="34" t="inlineStr">
        <is>
          <t>COMIDA · Oficina</t>
        </is>
      </c>
      <c r="D800" s="34" t="n">
        <v>13500</v>
      </c>
      <c r="E800" s="34" t="inlineStr">
        <is>
          <t>Mercado Pago</t>
        </is>
      </c>
      <c r="F800" s="34" t="inlineStr">
        <is>
          <t>COMIDA · Oficina · Copetin Catering · gasto personal Sol</t>
        </is>
      </c>
    </row>
    <row r="801">
      <c r="A801" s="62" t="n">
        <v>46112</v>
      </c>
      <c r="B801" s="34" t="inlineStr">
        <is>
          <t>Marzo</t>
        </is>
      </c>
      <c r="C801" s="34" t="inlineStr">
        <is>
          <t>COMIDA · Oficina</t>
        </is>
      </c>
      <c r="D801" s="34" t="n">
        <v>13500</v>
      </c>
      <c r="E801" s="34" t="inlineStr">
        <is>
          <t>Mercado Pago</t>
        </is>
      </c>
      <c r="F801" s="34" t="inlineStr">
        <is>
          <t>COMIDA · Oficina · Copetin Catering · gasto personal Sol</t>
        </is>
      </c>
    </row>
    <row r="802">
      <c r="A802" s="62" t="n">
        <v>46118</v>
      </c>
      <c r="B802" s="34" t="inlineStr">
        <is>
          <t>Abril</t>
        </is>
      </c>
      <c r="C802" s="34" t="inlineStr">
        <is>
          <t>COMIDA · Oficina</t>
        </is>
      </c>
      <c r="D802" s="34" t="n">
        <v>12650</v>
      </c>
      <c r="E802" s="34" t="inlineStr">
        <is>
          <t>Mercado Pago</t>
        </is>
      </c>
      <c r="F802" s="34" t="inlineStr">
        <is>
          <t>COMIDA · Oficina · Copetin Catering · gasto personal Sol</t>
        </is>
      </c>
    </row>
    <row r="803">
      <c r="A803" s="62" t="n">
        <v>46120</v>
      </c>
      <c r="B803" s="34" t="inlineStr">
        <is>
          <t>Abril</t>
        </is>
      </c>
      <c r="C803" s="34" t="inlineStr">
        <is>
          <t>COMIDA · Oficina</t>
        </is>
      </c>
      <c r="D803" s="34" t="n">
        <v>17050</v>
      </c>
      <c r="E803" s="34" t="inlineStr">
        <is>
          <t>Mercado Pago</t>
        </is>
      </c>
      <c r="F803" s="34" t="inlineStr">
        <is>
          <t>COMIDA · Oficina · Copetin Catering · gasto personal Sol</t>
        </is>
      </c>
    </row>
    <row r="804">
      <c r="A804" s="62" t="n">
        <v>46132</v>
      </c>
      <c r="B804" s="34" t="inlineStr">
        <is>
          <t>Abril</t>
        </is>
      </c>
      <c r="C804" s="34" t="inlineStr">
        <is>
          <t>COMIDA · Oficina</t>
        </is>
      </c>
      <c r="D804" s="34" t="n">
        <v>12650</v>
      </c>
      <c r="E804" s="34" t="inlineStr">
        <is>
          <t>Mercado Pago</t>
        </is>
      </c>
      <c r="F804" s="34" t="inlineStr">
        <is>
          <t>COMIDA · Oficina · Copetin Catering · gasto personal Sol</t>
        </is>
      </c>
    </row>
    <row r="805">
      <c r="A805" s="62" t="n">
        <v>46174</v>
      </c>
      <c r="B805" s="34" t="inlineStr">
        <is>
          <t>Junio</t>
        </is>
      </c>
      <c r="C805" s="34" t="inlineStr">
        <is>
          <t>COMIDA · Oficina</t>
        </is>
      </c>
      <c r="D805" s="34" t="n">
        <v>2700</v>
      </c>
      <c r="E805" s="34" t="inlineStr">
        <is>
          <t>Mercado Pago</t>
        </is>
      </c>
      <c r="F805" s="34" t="inlineStr">
        <is>
          <t>COMIDA · Oficina · Copetin Catering · gasto personal Sol</t>
        </is>
      </c>
    </row>
    <row r="806">
      <c r="A806" s="62" t="n">
        <v>46209</v>
      </c>
      <c r="B806" s="34" t="inlineStr">
        <is>
          <t>Julio</t>
        </is>
      </c>
      <c r="C806" s="34" t="inlineStr">
        <is>
          <t>COMIDA · Oficina</t>
        </is>
      </c>
      <c r="D806" s="34" t="n">
        <v>765</v>
      </c>
      <c r="E806" s="34" t="inlineStr">
        <is>
          <t>Mercado Pago</t>
        </is>
      </c>
      <c r="F806" s="34" t="inlineStr">
        <is>
          <t>COMIDA · Oficina · Copetin Catering · gasto personal Sol</t>
        </is>
      </c>
    </row>
    <row r="807">
      <c r="A807" s="62" t="n">
        <v>46216</v>
      </c>
      <c r="B807" s="34" t="inlineStr">
        <is>
          <t>Julio</t>
        </is>
      </c>
      <c r="C807" s="34" t="inlineStr">
        <is>
          <t>COMIDA · Oficina</t>
        </is>
      </c>
      <c r="D807" s="34" t="n">
        <v>16150</v>
      </c>
      <c r="E807" s="34" t="inlineStr">
        <is>
          <t>Mercado Pago</t>
        </is>
      </c>
      <c r="F807" s="34" t="inlineStr">
        <is>
          <t>COMIDA · Oficina · Copetin Catering · gasto personal Sol</t>
        </is>
      </c>
    </row>
    <row r="808">
      <c r="A808" s="62" t="n">
        <v>46063</v>
      </c>
      <c r="B808" s="34" t="inlineStr">
        <is>
          <t>Febrero</t>
        </is>
      </c>
      <c r="C808" s="34" t="inlineStr">
        <is>
          <t>COMIDA · Oficina</t>
        </is>
      </c>
      <c r="D808" s="34" t="n">
        <v>2940</v>
      </c>
      <c r="E808" s="34" t="inlineStr">
        <is>
          <t>Mercado Pago</t>
        </is>
      </c>
      <c r="F808" s="34" t="inlineStr">
        <is>
          <t>COMIDA · Oficina · Copetin Catering · gasto personal Sol</t>
        </is>
      </c>
    </row>
    <row r="809">
      <c r="A809" s="62" t="n">
        <v>46044</v>
      </c>
      <c r="B809" s="34" t="inlineStr">
        <is>
          <t>Enero</t>
        </is>
      </c>
      <c r="C809" s="34" t="inlineStr">
        <is>
          <t>TRANSPORTE · Didi</t>
        </is>
      </c>
      <c r="D809" s="34" t="n">
        <v>3876</v>
      </c>
      <c r="E809" s="34" t="inlineStr">
        <is>
          <t>Mercado Pago</t>
        </is>
      </c>
      <c r="F809" s="34" t="inlineStr">
        <is>
          <t>TRANSPORTE · Didi · gasto personal Sol</t>
        </is>
      </c>
    </row>
    <row r="810">
      <c r="A810" s="62" t="n">
        <v>46077</v>
      </c>
      <c r="B810" s="34" t="inlineStr">
        <is>
          <t>Febrero</t>
        </is>
      </c>
      <c r="C810" s="34" t="inlineStr">
        <is>
          <t>TRANSPORTE · Uber</t>
        </is>
      </c>
      <c r="D810" s="34" t="n">
        <v>6167</v>
      </c>
      <c r="E810" s="34" t="inlineStr">
        <is>
          <t>Mercado Pago</t>
        </is>
      </c>
      <c r="F810" s="34" t="inlineStr">
        <is>
          <t>TRANSPORTE · Uber · Ebanx (=Uber) · gasto personal Sol</t>
        </is>
      </c>
    </row>
    <row r="811">
      <c r="A811" s="62" t="n">
        <v>46118</v>
      </c>
      <c r="B811" s="34" t="inlineStr">
        <is>
          <t>Abril</t>
        </is>
      </c>
      <c r="C811" s="34" t="inlineStr">
        <is>
          <t>TRANSPORTE · Uber</t>
        </is>
      </c>
      <c r="D811" s="34" t="n">
        <v>136</v>
      </c>
      <c r="E811" s="34" t="inlineStr">
        <is>
          <t>Mercado Pago</t>
        </is>
      </c>
      <c r="F811" s="34" t="inlineStr">
        <is>
          <t>TRANSPORTE · Uber · Ebanx (=Uber) · gasto personal Sol</t>
        </is>
      </c>
    </row>
    <row r="812">
      <c r="A812" s="62" t="n">
        <v>46128</v>
      </c>
      <c r="B812" s="34" t="inlineStr">
        <is>
          <t>Abril</t>
        </is>
      </c>
      <c r="C812" s="34" t="inlineStr">
        <is>
          <t>TRANSPORTE · Uber</t>
        </is>
      </c>
      <c r="D812" s="34" t="n">
        <v>67</v>
      </c>
      <c r="E812" s="34" t="inlineStr">
        <is>
          <t>Mercado Pago</t>
        </is>
      </c>
      <c r="F812" s="34" t="inlineStr">
        <is>
          <t>TRANSPORTE · Uber · Ebanx (=Uber) · gasto personal Sol</t>
        </is>
      </c>
    </row>
    <row r="813">
      <c r="A813" s="62" t="n">
        <v>46140</v>
      </c>
      <c r="B813" s="34" t="inlineStr">
        <is>
          <t>Abril</t>
        </is>
      </c>
      <c r="C813" s="34" t="inlineStr">
        <is>
          <t>TRANSPORTE · Uber</t>
        </is>
      </c>
      <c r="D813" s="34" t="n">
        <v>5273</v>
      </c>
      <c r="E813" s="34" t="inlineStr">
        <is>
          <t>Mercado Pago</t>
        </is>
      </c>
      <c r="F813" s="34" t="inlineStr">
        <is>
          <t>TRANSPORTE · Uber · Ebanx (=Uber) · gasto personal Sol</t>
        </is>
      </c>
    </row>
    <row r="814">
      <c r="A814" s="62" t="n">
        <v>46161</v>
      </c>
      <c r="B814" s="34" t="inlineStr">
        <is>
          <t>Mayo</t>
        </is>
      </c>
      <c r="C814" s="34" t="inlineStr">
        <is>
          <t>TRANSPORTE · Didi</t>
        </is>
      </c>
      <c r="D814" s="34" t="n">
        <v>5720</v>
      </c>
      <c r="E814" s="34" t="inlineStr">
        <is>
          <t>Mercado Pago</t>
        </is>
      </c>
      <c r="F814" s="34" t="inlineStr">
        <is>
          <t>TRANSPORTE · Didi · gasto personal Sol</t>
        </is>
      </c>
    </row>
    <row r="815">
      <c r="A815" s="62" t="n">
        <v>46197</v>
      </c>
      <c r="B815" s="34" t="inlineStr">
        <is>
          <t>Junio</t>
        </is>
      </c>
      <c r="C815" s="34" t="inlineStr">
        <is>
          <t>TRANSPORTE · Didi</t>
        </is>
      </c>
      <c r="D815" s="34" t="n">
        <v>3860</v>
      </c>
      <c r="E815" s="34" t="inlineStr">
        <is>
          <t>Mercado Pago</t>
        </is>
      </c>
      <c r="F815" s="34" t="inlineStr">
        <is>
          <t>TRANSPORTE · Didi · gasto personal Sol</t>
        </is>
      </c>
    </row>
    <row r="816">
      <c r="A816" s="62" t="n">
        <v>46209</v>
      </c>
      <c r="B816" s="34" t="inlineStr">
        <is>
          <t>Julio</t>
        </is>
      </c>
      <c r="C816" s="34" t="inlineStr">
        <is>
          <t>TRANSPORTE · Didi</t>
        </is>
      </c>
      <c r="D816" s="34" t="n">
        <v>8350</v>
      </c>
      <c r="E816" s="34" t="inlineStr">
        <is>
          <t>Mercado Pago</t>
        </is>
      </c>
      <c r="F816" s="34" t="inlineStr">
        <is>
          <t>TRANSPORTE · Didi · gasto personal Sol</t>
        </is>
      </c>
    </row>
    <row r="817">
      <c r="A817" s="62" t="n">
        <v>46209</v>
      </c>
      <c r="B817" s="34" t="inlineStr">
        <is>
          <t>Julio</t>
        </is>
      </c>
      <c r="C817" s="34" t="inlineStr">
        <is>
          <t>TRANSPORTE · Didi</t>
        </is>
      </c>
      <c r="D817" s="34" t="n">
        <v>150</v>
      </c>
      <c r="E817" s="34" t="inlineStr">
        <is>
          <t>Mercado Pago</t>
        </is>
      </c>
      <c r="F817" s="34" t="inlineStr">
        <is>
          <t>TRANSPORTE · Didi · gasto personal Sol</t>
        </is>
      </c>
    </row>
    <row r="818">
      <c r="A818" s="62" t="n">
        <v>46216</v>
      </c>
      <c r="B818" s="34" t="inlineStr">
        <is>
          <t>Julio</t>
        </is>
      </c>
      <c r="C818" s="34" t="inlineStr">
        <is>
          <t>TRANSPORTE · Uber</t>
        </is>
      </c>
      <c r="D818" s="34" t="n">
        <v>15</v>
      </c>
      <c r="E818" s="34" t="inlineStr">
        <is>
          <t>Mercado Pago</t>
        </is>
      </c>
      <c r="F818" s="34" t="inlineStr">
        <is>
          <t>TRANSPORTE · Uber · Ebanx (=Uber) · gasto personal Sol</t>
        </is>
      </c>
    </row>
    <row r="819">
      <c r="A819" s="62" t="n">
        <v>46024</v>
      </c>
      <c r="B819" s="34" t="inlineStr">
        <is>
          <t>Enero</t>
        </is>
      </c>
      <c r="C819" s="34" t="inlineStr">
        <is>
          <t>MERCADO LIBRE</t>
        </is>
      </c>
      <c r="D819" s="34" t="n">
        <v>232640</v>
      </c>
      <c r="E819" s="34" t="inlineStr">
        <is>
          <t>Mercado Pago</t>
        </is>
      </c>
      <c r="F819" s="34" t="inlineStr">
        <is>
          <t>MERCADO LIBRE · gasto personal Sol</t>
        </is>
      </c>
    </row>
    <row r="820">
      <c r="A820" s="62" t="n">
        <v>46070</v>
      </c>
      <c r="B820" s="34" t="inlineStr">
        <is>
          <t>Febrero</t>
        </is>
      </c>
      <c r="C820" s="34" t="inlineStr">
        <is>
          <t>MERCADO LIBRE</t>
        </is>
      </c>
      <c r="D820" s="34" t="n">
        <v>35070</v>
      </c>
      <c r="E820" s="34" t="inlineStr">
        <is>
          <t>BBVA MASTERCARD</t>
        </is>
      </c>
      <c r="F820" s="34" t="inlineStr">
        <is>
          <t>MERCADO LIBRE · gasto personal Sol</t>
        </is>
      </c>
    </row>
    <row r="821">
      <c r="A821" s="62" t="n">
        <v>46106</v>
      </c>
      <c r="B821" s="34" t="inlineStr">
        <is>
          <t>Marzo</t>
        </is>
      </c>
      <c r="C821" s="34" t="inlineStr">
        <is>
          <t>COMPRAS</t>
        </is>
      </c>
      <c r="D821" s="34" t="n">
        <v>84400</v>
      </c>
      <c r="E821" s="34" t="inlineStr">
        <is>
          <t>Mercado Pago</t>
        </is>
      </c>
      <c r="F821" s="34" t="inlineStr">
        <is>
          <t>COMPRAS · BDM Proyects · pago QR BDM PROYECTS · gasto personal Sol</t>
        </is>
      </c>
    </row>
    <row r="822">
      <c r="A822" s="62" t="n">
        <v>46167</v>
      </c>
      <c r="B822" s="34" t="inlineStr">
        <is>
          <t>Mayo</t>
        </is>
      </c>
      <c r="C822" s="34" t="inlineStr">
        <is>
          <t>TRANSFERENCIAS</t>
        </is>
      </c>
      <c r="D822" s="34" t="n">
        <v>16990</v>
      </c>
      <c r="E822" s="34" t="inlineStr">
        <is>
          <t>Mercado Pago</t>
        </is>
      </c>
      <c r="F822" s="34" t="inlineStr">
        <is>
          <t>transferencia Guillermo Galarraga · gasto personal Sol · ex `TRANSFERENCIA`</t>
        </is>
      </c>
    </row>
    <row r="823">
      <c r="A823" s="62" t="n">
        <v>46205</v>
      </c>
      <c r="B823" s="34" t="inlineStr">
        <is>
          <t>Julio</t>
        </is>
      </c>
      <c r="C823" s="34" t="inlineStr">
        <is>
          <t>COMPRAS</t>
        </is>
      </c>
      <c r="D823" s="34" t="n">
        <v>5990</v>
      </c>
      <c r="E823" s="34" t="inlineStr">
        <is>
          <t>Mercado Pago</t>
        </is>
      </c>
      <c r="F823" s="34" t="inlineStr">
        <is>
          <t>COMPRAS · Fabricio Bollonine · pago QR Fabricio Bollonine · gasto personal Sol</t>
        </is>
      </c>
    </row>
    <row r="824">
      <c r="A824" s="62" t="n">
        <v>46039</v>
      </c>
      <c r="B824" s="34" t="inlineStr">
        <is>
          <t>Enero</t>
        </is>
      </c>
      <c r="C824" s="34" t="inlineStr">
        <is>
          <t>COMPRAS</t>
        </is>
      </c>
      <c r="D824" s="34" t="n">
        <v>4100</v>
      </c>
      <c r="E824" s="34" t="inlineStr">
        <is>
          <t>Mercado Pago</t>
        </is>
      </c>
      <c r="F824" s="34" t="inlineStr">
        <is>
          <t>COMPRAS · Estefania Ibanez · pago QR Victoria Estefania Ibanez · gasto personal Sol</t>
        </is>
      </c>
    </row>
    <row r="825">
      <c r="A825" s="62" t="n">
        <v>46124</v>
      </c>
      <c r="B825" s="34" t="inlineStr">
        <is>
          <t>Abril</t>
        </is>
      </c>
      <c r="C825" s="34" t="inlineStr">
        <is>
          <t>SUSCRIPCIONES · IA</t>
        </is>
      </c>
      <c r="D825" s="34" t="n"/>
      <c r="E825" s="34" t="inlineStr">
        <is>
          <t>BBVA MASTERCARD</t>
        </is>
      </c>
      <c r="F825" s="34" t="inlineStr">
        <is>
          <t>SUSCRIPCIONES · IA · metricscheck.com · REVISAR · metricscheck.com · posible cargo prueba USD · gasto personal Sol · NO ES GASTO · consumo/compra USD BBVA Mastercard · ver hoja Sol Dollar Mdp</t>
        </is>
      </c>
    </row>
    <row r="826">
      <c r="A826" s="62" t="n">
        <v>46124</v>
      </c>
      <c r="B826" s="34" t="inlineStr">
        <is>
          <t>Abril</t>
        </is>
      </c>
      <c r="C826" s="34" t="inlineStr">
        <is>
          <t>SUSCRIPCIONES · IA</t>
        </is>
      </c>
      <c r="D826" s="34" t="n"/>
      <c r="E826" s="34" t="inlineStr">
        <is>
          <t>BBVA MASTERCARD</t>
        </is>
      </c>
      <c r="F826" s="34" t="inlineStr">
        <is>
          <t>SUSCRIPCIONES · IA · metricscheck.com · REVISAR · metricscheck.com · posible cargo prueba USD · gasto personal Sol · NO ES GASTO · consumo/compra USD BBVA Mastercard · ver hoja Sol Dollar Mdp</t>
        </is>
      </c>
    </row>
    <row r="827">
      <c r="A827" s="62" t="n">
        <v>46185</v>
      </c>
      <c r="B827" s="34" t="inlineStr">
        <is>
          <t>Junio</t>
        </is>
      </c>
      <c r="C827" s="34" t="inlineStr">
        <is>
          <t>VESTIMENTA</t>
        </is>
      </c>
      <c r="D827" s="34" t="n">
        <v>63750</v>
      </c>
      <c r="E827" s="34" t="inlineStr">
        <is>
          <t>TC Mercado Pago</t>
        </is>
      </c>
      <c r="F827" s="34" t="inlineStr">
        <is>
          <t>VESTIMENTA · Longchamp · TC Mercado Pago · C.06/06 · gasto personal Sol</t>
        </is>
      </c>
    </row>
    <row r="828">
      <c r="A828" s="62" t="n">
        <v>46215</v>
      </c>
      <c r="B828" s="34" t="inlineStr">
        <is>
          <t>Julio</t>
        </is>
      </c>
      <c r="C828" s="34" t="inlineStr">
        <is>
          <t>SALUD · Vitaminas</t>
        </is>
      </c>
      <c r="D828" s="34" t="n">
        <v>87900</v>
      </c>
      <c r="E828" s="34" t="inlineStr">
        <is>
          <t>TC Mercado Pago</t>
        </is>
      </c>
      <c r="F828" s="34" t="inlineStr">
        <is>
          <t>SALUD · Vitaminas · Promarine · TC Mercado Pago · C.04/06 · gasto personal Sol</t>
        </is>
      </c>
    </row>
    <row r="829">
      <c r="A829" s="52" t="n">
        <v>46269</v>
      </c>
      <c r="B829" t="inlineStr">
        <is>
          <t>Septiembre</t>
        </is>
      </c>
      <c r="C829" t="inlineStr">
        <is>
          <t>AVA Fideicomiso</t>
        </is>
      </c>
      <c r="D829" t="n">
        <v>3134720</v>
      </c>
      <c r="E829" t="inlineStr">
        <is>
          <t>Mercado Pago / Transferencia</t>
        </is>
      </c>
      <c r="F829" t="inlineStr">
        <is>
          <t>AVA Fideicomiso · cuota 10 · vto 2026-09-04 · total 6269440 · TC MEP venta 1525.39 · USD 4110.06 · 50% Sol · Gmail factura/recibo 07/09</t>
        </is>
      </c>
    </row>
    <row r="830">
      <c r="A830" s="52" t="n">
        <v>46284</v>
      </c>
      <c r="B830" t="inlineStr">
        <is>
          <t>Septiembre</t>
        </is>
      </c>
      <c r="C830" t="inlineStr">
        <is>
          <t>SALUD · Vitaminas</t>
        </is>
      </c>
      <c r="D830" t="n">
        <v>530100</v>
      </c>
      <c r="E830" t="inlineStr">
        <is>
          <t>TC Mercado Pago</t>
        </is>
      </c>
      <c r="F830" t="inlineStr">
        <is>
          <t>SALUD · Vitaminas · Promarine · TC Mercado Pago · 6 cuotas · Gmail Pago aprobado · REVISAR vs resumen TC MP · post-cierre 12/09 → confirmar en resumen TC MP octubre</t>
        </is>
      </c>
    </row>
    <row r="831">
      <c r="A831" s="52" t="n">
        <v>46282</v>
      </c>
      <c r="B831" t="inlineStr">
        <is>
          <t>Septiembre</t>
        </is>
      </c>
      <c r="C831" t="inlineStr">
        <is>
          <t>VESTIMENTA</t>
        </is>
      </c>
      <c r="D831" t="n">
        <v>719990</v>
      </c>
      <c r="E831" t="inlineStr">
        <is>
          <t>TC Mercado Pago</t>
        </is>
      </c>
      <c r="F831" t="inlineStr">
        <is>
          <t>VESTIMENTA · Itsclassic · TC Mercado Pago · Gmail Pago aprobado · REVISAR (también alerta BBVA MERPAGO*ITSCLASSIC) · post-cierre 12/09 → confirmar en resumen TC MP octubre</t>
        </is>
      </c>
    </row>
    <row r="832">
      <c r="A832" s="52" t="n">
        <v>46284</v>
      </c>
      <c r="B832" t="inlineStr">
        <is>
          <t>Septiembre</t>
        </is>
      </c>
      <c r="C832" t="inlineStr">
        <is>
          <t>EDUCACIÓN</t>
        </is>
      </c>
      <c r="D832" t="n">
        <v>127196</v>
      </c>
      <c r="E832" t="inlineStr">
        <is>
          <t>TC Mercado Pago</t>
        </is>
      </c>
      <c r="F832" t="inlineStr">
        <is>
          <t>EDUCACIÓN · EducaciónIT · Automatización Claude · TC Mercado Pago · 3 cuotas · Gmail · post-cierre 12/09 → confirmar en resumen TC MP octubre</t>
        </is>
      </c>
    </row>
    <row r="833">
      <c r="A833" s="52" t="n">
        <v>46267</v>
      </c>
      <c r="B833" t="inlineStr">
        <is>
          <t>Septiembre</t>
        </is>
      </c>
      <c r="C833" t="inlineStr">
        <is>
          <t>COMIDA · Oficina</t>
        </is>
      </c>
      <c r="D833" t="n">
        <v>4080</v>
      </c>
      <c r="E833" t="inlineStr">
        <is>
          <t>Mercado Pago</t>
        </is>
      </c>
      <c r="F833" t="inlineStr">
        <is>
          <t>COMIDA · Oficina · Copetin Catering · Gmail Pago aprobado · REVISAR vs settlement</t>
        </is>
      </c>
    </row>
    <row r="834">
      <c r="A834" s="52" t="n">
        <v>46266</v>
      </c>
      <c r="B834" t="inlineStr">
        <is>
          <t>Septiembre</t>
        </is>
      </c>
      <c r="C834" t="inlineStr">
        <is>
          <t>TRANSFERENCIAS</t>
        </is>
      </c>
      <c r="D834" t="n">
        <v>45000</v>
      </c>
      <c r="E834" t="inlineStr">
        <is>
          <t>Mercado Pago</t>
        </is>
      </c>
      <c r="F834" t="inlineStr">
        <is>
          <t>Facundo Lisandro Marin · Transferencia enviada · gasto personal Sol · dinero en cuenta MP screenshot</t>
        </is>
      </c>
    </row>
    <row r="835">
      <c r="A835" s="52" t="n">
        <v>46266</v>
      </c>
      <c r="B835" t="inlineStr">
        <is>
          <t>Septiembre</t>
        </is>
      </c>
      <c r="C835" t="inlineStr">
        <is>
          <t>SUSCRIPCIONES · Apple</t>
        </is>
      </c>
      <c r="D835" t="n">
        <v>81961</v>
      </c>
      <c r="E835" t="inlineStr">
        <is>
          <t>Mercado Pago</t>
        </is>
      </c>
      <c r="F835" t="inlineStr">
        <is>
          <t>SUSCRIPCIONES · Apple · Mercado Pago · gasto personal Sol · dinero en cuenta MP screenshot</t>
        </is>
      </c>
    </row>
    <row r="836">
      <c r="A836" s="52" t="n">
        <v>46267</v>
      </c>
      <c r="B836" t="inlineStr">
        <is>
          <t>Septiembre</t>
        </is>
      </c>
      <c r="C836" t="inlineStr">
        <is>
          <t>TRANSPORTE · Uber</t>
        </is>
      </c>
      <c r="D836" t="n">
        <v>6094</v>
      </c>
      <c r="E836" t="inlineStr">
        <is>
          <t>Mercado Pago</t>
        </is>
      </c>
      <c r="F836" t="inlineStr">
        <is>
          <t>TRANSPORTE · Uber · Ebanx (=Uber) · gasto personal Sol · dinero en cuenta MP screenshot</t>
        </is>
      </c>
    </row>
    <row r="837">
      <c r="A837" s="52" t="n"/>
    </row>
    <row r="838">
      <c r="A838" s="52" t="n">
        <v>46267</v>
      </c>
      <c r="B838" t="inlineStr">
        <is>
          <t>Septiembre</t>
        </is>
      </c>
      <c r="C838" t="inlineStr">
        <is>
          <t>TRANSFERENCIAS</t>
        </is>
      </c>
      <c r="D838" t="n">
        <v>863600</v>
      </c>
      <c r="E838" t="inlineStr">
        <is>
          <t>Mercado Pago</t>
        </is>
      </c>
      <c r="F838" t="inlineStr">
        <is>
          <t>Neira Martina · Transferencia enviada · gasto personal Sol · dinero en cuenta MP screenshot</t>
        </is>
      </c>
    </row>
    <row r="839">
      <c r="A839" s="52" t="n"/>
    </row>
    <row r="840">
      <c r="A840" s="52" t="n">
        <v>46267</v>
      </c>
      <c r="B840" t="inlineStr">
        <is>
          <t>Septiembre</t>
        </is>
      </c>
      <c r="C840" t="inlineStr">
        <is>
          <t>TRANSPORTE · Uber</t>
        </is>
      </c>
      <c r="D840" t="n">
        <v>6607</v>
      </c>
      <c r="E840" t="inlineStr">
        <is>
          <t>Mercado Pago</t>
        </is>
      </c>
      <c r="F840" t="inlineStr">
        <is>
          <t>TRANSPORTE · Uber · Ebanx (=Uber) · gasto personal Sol · dinero en cuenta MP screenshot</t>
        </is>
      </c>
    </row>
    <row r="841">
      <c r="A841" s="52" t="n">
        <v>46267</v>
      </c>
      <c r="B841" t="inlineStr">
        <is>
          <t>Septiembre</t>
        </is>
      </c>
      <c r="C841" t="inlineStr">
        <is>
          <t>COMPRAS</t>
        </is>
      </c>
      <c r="D841" t="n">
        <v>4000</v>
      </c>
      <c r="E841" t="inlineStr">
        <is>
          <t>Mercado Pago</t>
        </is>
      </c>
      <c r="F841" t="inlineStr">
        <is>
          <t>COMPRAS · Kiosk Store · gasto personal Sol · REVISAR ítem · dinero en cuenta MP screenshot</t>
        </is>
      </c>
    </row>
    <row r="842">
      <c r="A842" s="52" t="n">
        <v>46267</v>
      </c>
      <c r="B842" t="inlineStr">
        <is>
          <t>Septiembre</t>
        </is>
      </c>
      <c r="C842" t="inlineStr">
        <is>
          <t>ENVÍOS</t>
        </is>
      </c>
      <c r="D842" t="n">
        <v>24000</v>
      </c>
      <c r="E842" t="inlineStr">
        <is>
          <t>Mercado Pago</t>
        </is>
      </c>
      <c r="F842" t="inlineStr">
        <is>
          <t>ENVÍOS · Correo Oficial · gasto personal Sol · dinero en cuenta MP screenshot</t>
        </is>
      </c>
    </row>
    <row r="843">
      <c r="A843" s="52" t="n">
        <v>46268</v>
      </c>
      <c r="B843" t="inlineStr">
        <is>
          <t>Septiembre</t>
        </is>
      </c>
      <c r="C843" t="inlineStr">
        <is>
          <t>TRANSPORTE · Uber</t>
        </is>
      </c>
      <c r="D843" t="n">
        <v>7520</v>
      </c>
      <c r="E843" t="inlineStr">
        <is>
          <t>Mercado Pago</t>
        </is>
      </c>
      <c r="F843" t="inlineStr">
        <is>
          <t>TRANSPORTE · Uber · Ebanx (=Uber) · gasto personal Sol · dinero en cuenta MP screenshot</t>
        </is>
      </c>
    </row>
    <row r="844">
      <c r="A844" s="52" t="n">
        <v>46268</v>
      </c>
      <c r="B844" t="inlineStr">
        <is>
          <t>Septiembre</t>
        </is>
      </c>
      <c r="C844" t="inlineStr">
        <is>
          <t>TRANSPORTE · Didi</t>
        </is>
      </c>
      <c r="D844" t="n">
        <v>4900</v>
      </c>
      <c r="E844" t="inlineStr">
        <is>
          <t>Mercado Pago</t>
        </is>
      </c>
      <c r="F844" t="inlineStr">
        <is>
          <t>TRANSPORTE · Didi · gasto personal Sol · dinero en cuenta MP screenshot</t>
        </is>
      </c>
    </row>
    <row r="845">
      <c r="A845" s="52" t="n">
        <v>46270</v>
      </c>
      <c r="B845" t="inlineStr">
        <is>
          <t>Septiembre</t>
        </is>
      </c>
      <c r="C845" t="inlineStr">
        <is>
          <t>TRANSFERENCIAS</t>
        </is>
      </c>
      <c r="D845" t="n">
        <v>10800</v>
      </c>
      <c r="E845" t="inlineStr">
        <is>
          <t>Mercado Pago</t>
        </is>
      </c>
      <c r="F845" t="inlineStr">
        <is>
          <t>Digno Lopez · Transferencia enviada · gasto personal Sol · dinero en cuenta MP screenshot</t>
        </is>
      </c>
    </row>
    <row r="846">
      <c r="A846" s="52" t="n">
        <v>46270</v>
      </c>
      <c r="B846" t="inlineStr">
        <is>
          <t>Septiembre</t>
        </is>
      </c>
      <c r="C846" t="inlineStr">
        <is>
          <t>IMPUESTOS · ARCA</t>
        </is>
      </c>
      <c r="D846" t="n">
        <v>10000</v>
      </c>
      <c r="E846" t="inlineStr">
        <is>
          <t>Mercado Pago</t>
        </is>
      </c>
      <c r="F846" t="inlineStr">
        <is>
          <t>IMPUESTOS · ARCA / AFIP · MP 2026-09-05 · gasto personal Sol · dinero en cuenta MP screenshot</t>
        </is>
      </c>
    </row>
    <row r="847">
      <c r="A847" s="52" t="n">
        <v>46270</v>
      </c>
      <c r="B847" t="inlineStr">
        <is>
          <t>Septiembre</t>
        </is>
      </c>
      <c r="C847" t="inlineStr">
        <is>
          <t>IMPUESTOS · ARCA</t>
        </is>
      </c>
      <c r="D847" t="n">
        <v>10000</v>
      </c>
      <c r="E847" t="inlineStr">
        <is>
          <t>Mercado Pago</t>
        </is>
      </c>
      <c r="F847" t="inlineStr">
        <is>
          <t>IMPUESTOS · ARCA / AFIP · MP 2026-09-05 · gasto personal Sol · dinero en cuenta MP screenshot</t>
        </is>
      </c>
    </row>
    <row r="848">
      <c r="A848" s="52" t="n">
        <v>46271</v>
      </c>
      <c r="B848" t="inlineStr">
        <is>
          <t>Septiembre</t>
        </is>
      </c>
      <c r="C848" t="inlineStr">
        <is>
          <t>Servicio - Telefonía</t>
        </is>
      </c>
      <c r="D848" t="n">
        <v>18300</v>
      </c>
      <c r="E848" t="inlineStr">
        <is>
          <t>Mercado Pago</t>
        </is>
      </c>
      <c r="F848" t="inlineStr">
        <is>
          <t>Servicio - Telefonía · Tuenti · gasto personal Sol · dinero en cuenta MP screenshot</t>
        </is>
      </c>
    </row>
    <row r="849">
      <c r="A849" s="52" t="n">
        <v>46271</v>
      </c>
      <c r="B849" t="inlineStr">
        <is>
          <t>Septiembre</t>
        </is>
      </c>
      <c r="C849" t="inlineStr">
        <is>
          <t>TRANSPORTE · SUBE</t>
        </is>
      </c>
      <c r="D849" t="n">
        <v>987</v>
      </c>
      <c r="E849" t="inlineStr">
        <is>
          <t>Mercado Pago</t>
        </is>
      </c>
      <c r="F849" t="inlineStr">
        <is>
          <t>TRANSPORTE · SUBE · gasto personal Sol · dinero en cuenta MP screenshot</t>
        </is>
      </c>
    </row>
    <row r="850">
      <c r="A850" s="52" t="n">
        <v>46272</v>
      </c>
      <c r="B850" t="inlineStr">
        <is>
          <t>Septiembre</t>
        </is>
      </c>
      <c r="C850" t="inlineStr">
        <is>
          <t>TRANSPORTE · Uber</t>
        </is>
      </c>
      <c r="D850" t="n">
        <v>6948</v>
      </c>
      <c r="E850" t="inlineStr">
        <is>
          <t>Mercado Pago</t>
        </is>
      </c>
      <c r="F850" t="inlineStr">
        <is>
          <t>TRANSPORTE · Uber · Ebanx (=Uber) · gasto personal Sol · dinero en cuenta MP screenshot</t>
        </is>
      </c>
    </row>
    <row r="851">
      <c r="A851" s="52" t="n">
        <v>46272</v>
      </c>
      <c r="B851" t="inlineStr">
        <is>
          <t>Septiembre</t>
        </is>
      </c>
      <c r="C851" t="inlineStr">
        <is>
          <t>COMIDA · Oficina</t>
        </is>
      </c>
      <c r="D851" t="n">
        <v>1350</v>
      </c>
      <c r="E851" t="inlineStr">
        <is>
          <t>Mercado Pago</t>
        </is>
      </c>
      <c r="F851" t="inlineStr">
        <is>
          <t>COMIDA · Oficina · Feed · gasto personal Sol · dinero en cuenta MP screenshot</t>
        </is>
      </c>
    </row>
    <row r="852">
      <c r="A852" s="52" t="n">
        <v>46272</v>
      </c>
      <c r="B852" t="inlineStr">
        <is>
          <t>Septiembre</t>
        </is>
      </c>
      <c r="C852" t="inlineStr">
        <is>
          <t>IMPUESTOS · ARCA</t>
        </is>
      </c>
      <c r="D852" t="n">
        <v>58118</v>
      </c>
      <c r="E852" t="inlineStr">
        <is>
          <t>Mercado Pago</t>
        </is>
      </c>
      <c r="F852" t="inlineStr">
        <is>
          <t>IMPUESTOS · ARCA / AFIP · MP 2026-09-07 · gasto personal Sol · dinero en cuenta MP screenshot</t>
        </is>
      </c>
    </row>
    <row r="853">
      <c r="A853" s="52" t="n">
        <v>46272</v>
      </c>
      <c r="B853" t="inlineStr">
        <is>
          <t>Septiembre</t>
        </is>
      </c>
      <c r="C853" t="inlineStr">
        <is>
          <t>IMPUESTOS · ARCA</t>
        </is>
      </c>
      <c r="D853" t="n">
        <v>43038</v>
      </c>
      <c r="E853" t="inlineStr">
        <is>
          <t>Mercado Pago</t>
        </is>
      </c>
      <c r="F853" t="inlineStr">
        <is>
          <t>IMPUESTOS · ARCA / AFIP · MP 2026-09-07 · gasto personal Sol · dinero en cuenta MP screenshot</t>
        </is>
      </c>
    </row>
    <row r="854">
      <c r="A854" s="52" t="n">
        <v>46272</v>
      </c>
      <c r="B854" t="inlineStr">
        <is>
          <t>Septiembre</t>
        </is>
      </c>
      <c r="C854" t="inlineStr">
        <is>
          <t>TRANSPORTE · Didi</t>
        </is>
      </c>
      <c r="D854" t="n">
        <v>6700</v>
      </c>
      <c r="E854" t="inlineStr">
        <is>
          <t>Mercado Pago</t>
        </is>
      </c>
      <c r="F854" t="inlineStr">
        <is>
          <t>TRANSPORTE · Didi · gasto personal Sol · dinero en cuenta MP screenshot</t>
        </is>
      </c>
    </row>
    <row r="855">
      <c r="A855" s="52" t="n">
        <v>46273</v>
      </c>
      <c r="B855" t="inlineStr">
        <is>
          <t>Septiembre</t>
        </is>
      </c>
      <c r="C855" t="inlineStr">
        <is>
          <t>IMPUESTOS · ARCA</t>
        </is>
      </c>
      <c r="D855" t="n">
        <v>4866</v>
      </c>
      <c r="E855" t="inlineStr">
        <is>
          <t>Mercado Pago</t>
        </is>
      </c>
      <c r="F855" t="inlineStr">
        <is>
          <t>IMPUESTOS · ARCA / AFIP · MP 2026-09-08 · gasto personal Sol · dinero en cuenta MP screenshot</t>
        </is>
      </c>
    </row>
    <row r="856">
      <c r="A856" s="52" t="n">
        <v>46273</v>
      </c>
      <c r="B856" t="inlineStr">
        <is>
          <t>Septiembre</t>
        </is>
      </c>
      <c r="C856" t="inlineStr">
        <is>
          <t>VESTIMENTA</t>
        </is>
      </c>
      <c r="D856" t="n">
        <v>28199</v>
      </c>
      <c r="E856" t="inlineStr">
        <is>
          <t>Mercado Pago</t>
        </is>
      </c>
      <c r="F856" t="inlineStr">
        <is>
          <t>VESTIMENTA · OZZ · gasto personal Sol · dinero en cuenta MP screenshot</t>
        </is>
      </c>
    </row>
    <row r="857">
      <c r="A857" s="52" t="n">
        <v>46275</v>
      </c>
      <c r="B857" t="inlineStr">
        <is>
          <t>Septiembre</t>
        </is>
      </c>
      <c r="C857" t="inlineStr">
        <is>
          <t>IMPUESTOS · ARCA</t>
        </is>
      </c>
      <c r="D857" t="n">
        <v>43083</v>
      </c>
      <c r="E857" t="inlineStr">
        <is>
          <t>Mercado Pago</t>
        </is>
      </c>
      <c r="F857" t="inlineStr">
        <is>
          <t>IMPUESTOS · ARCA / AFIP · MP 2026-09-10 · gasto personal Sol · dinero en cuenta MP screenshot</t>
        </is>
      </c>
    </row>
    <row r="858">
      <c r="A858" s="52" t="n">
        <v>46275</v>
      </c>
      <c r="B858" t="inlineStr">
        <is>
          <t>Septiembre</t>
        </is>
      </c>
      <c r="C858" t="inlineStr">
        <is>
          <t>TRANSPORTE · Uber</t>
        </is>
      </c>
      <c r="D858" t="n">
        <v>5612</v>
      </c>
      <c r="E858" t="inlineStr">
        <is>
          <t>Mercado Pago</t>
        </is>
      </c>
      <c r="F858" t="inlineStr">
        <is>
          <t>TRANSPORTE · Uber · Ebanx (=Uber) · gasto personal Sol · dinero en cuenta MP screenshot</t>
        </is>
      </c>
    </row>
    <row r="859">
      <c r="A859" s="52" t="n">
        <v>46275</v>
      </c>
      <c r="B859" t="inlineStr">
        <is>
          <t>Septiembre</t>
        </is>
      </c>
      <c r="C859" t="inlineStr">
        <is>
          <t>TRANSPORTE · Uber</t>
        </is>
      </c>
      <c r="D859" t="n">
        <v>7155</v>
      </c>
      <c r="E859" t="inlineStr">
        <is>
          <t>Mercado Pago</t>
        </is>
      </c>
      <c r="F859" t="inlineStr">
        <is>
          <t>TRANSPORTE · Uber · Ebanx (=Uber) · gasto personal Sol · dinero en cuenta MP screenshot</t>
        </is>
      </c>
    </row>
    <row r="860">
      <c r="A860" s="52" t="n">
        <v>46275</v>
      </c>
      <c r="B860" t="inlineStr">
        <is>
          <t>Septiembre</t>
        </is>
      </c>
      <c r="C860" t="inlineStr">
        <is>
          <t>TRANSPORTE · Uber</t>
        </is>
      </c>
      <c r="D860" t="n">
        <v>81</v>
      </c>
      <c r="E860" t="inlineStr">
        <is>
          <t>Mercado Pago</t>
        </is>
      </c>
      <c r="F860" t="inlineStr">
        <is>
          <t>TRANSPORTE · Uber · Ebanx (=Uber) · gasto personal Sol · dinero en cuenta MP screenshot</t>
        </is>
      </c>
    </row>
    <row r="861">
      <c r="A861" s="52" t="n">
        <v>46275</v>
      </c>
      <c r="B861" t="inlineStr">
        <is>
          <t>Septiembre</t>
        </is>
      </c>
      <c r="C861" t="inlineStr">
        <is>
          <t>TRANSFERENCIAS</t>
        </is>
      </c>
      <c r="D861" t="n">
        <v>131000</v>
      </c>
      <c r="E861" t="inlineStr">
        <is>
          <t>Mercado Pago</t>
        </is>
      </c>
      <c r="F861" t="inlineStr">
        <is>
          <t>Cova Abreu Gibiana Del Valle · Transferencia enviada · gasto personal Sol · dinero en cuenta MP screenshot</t>
        </is>
      </c>
    </row>
    <row r="862">
      <c r="A862" s="52" t="n">
        <v>46275</v>
      </c>
      <c r="B862" t="inlineStr">
        <is>
          <t>Septiembre</t>
        </is>
      </c>
      <c r="C862" t="inlineStr">
        <is>
          <t>COMPRAS</t>
        </is>
      </c>
      <c r="D862" t="n">
        <v>163350</v>
      </c>
      <c r="E862" t="inlineStr">
        <is>
          <t>Mercado Pago</t>
        </is>
      </c>
      <c r="F862" t="inlineStr">
        <is>
          <t>COMPRAS · ZILVER SA · gasto personal Sol · REVISAR ítem · dinero en cuenta MP screenshot</t>
        </is>
      </c>
    </row>
    <row r="863">
      <c r="A863" s="52" t="n">
        <v>46276</v>
      </c>
      <c r="B863" t="inlineStr">
        <is>
          <t>Septiembre</t>
        </is>
      </c>
      <c r="C863" t="inlineStr">
        <is>
          <t>SUSCRIPCIONES · Apple</t>
        </is>
      </c>
      <c r="D863" t="n">
        <v>29331</v>
      </c>
      <c r="E863" t="inlineStr">
        <is>
          <t>Mercado Pago</t>
        </is>
      </c>
      <c r="F863" t="inlineStr">
        <is>
          <t>SUSCRIPCIONES · Apple · Mercado Pago · gasto personal Sol · dinero en cuenta MP screenshot</t>
        </is>
      </c>
    </row>
    <row r="864">
      <c r="A864" s="52" t="n">
        <v>46276</v>
      </c>
      <c r="B864" t="inlineStr">
        <is>
          <t>Septiembre</t>
        </is>
      </c>
      <c r="C864" t="inlineStr">
        <is>
          <t>TRANSPORTE · Didi</t>
        </is>
      </c>
      <c r="D864" t="n">
        <v>5800</v>
      </c>
      <c r="E864" t="inlineStr">
        <is>
          <t>Mercado Pago</t>
        </is>
      </c>
      <c r="F864" t="inlineStr">
        <is>
          <t>TRANSPORTE · Didi · gasto personal Sol · dinero en cuenta MP screenshot</t>
        </is>
      </c>
    </row>
    <row r="865">
      <c r="A865" s="52" t="n">
        <v>46276</v>
      </c>
      <c r="B865" t="inlineStr">
        <is>
          <t>Septiembre</t>
        </is>
      </c>
      <c r="C865" t="inlineStr">
        <is>
          <t>TRANSPORTE · Didi</t>
        </is>
      </c>
      <c r="D865" t="n">
        <v>4500</v>
      </c>
      <c r="E865" t="inlineStr">
        <is>
          <t>Mercado Pago</t>
        </is>
      </c>
      <c r="F865" t="inlineStr">
        <is>
          <t>TRANSPORTE · Didi · gasto personal Sol · dinero en cuenta MP screenshot</t>
        </is>
      </c>
    </row>
    <row r="866">
      <c r="A866" s="52" t="n">
        <v>46276</v>
      </c>
      <c r="B866" t="inlineStr">
        <is>
          <t>Septiembre</t>
        </is>
      </c>
      <c r="C866" t="inlineStr">
        <is>
          <t>TRANSPORTE · Uber</t>
        </is>
      </c>
      <c r="D866" t="n">
        <v>7758</v>
      </c>
      <c r="E866" t="inlineStr">
        <is>
          <t>Mercado Pago</t>
        </is>
      </c>
      <c r="F866" t="inlineStr">
        <is>
          <t>TRANSPORTE · Uber · Ebanx (=Uber) · gasto personal Sol · dinero en cuenta MP screenshot</t>
        </is>
      </c>
    </row>
    <row r="867">
      <c r="A867" s="52" t="n">
        <v>46276</v>
      </c>
      <c r="B867" t="inlineStr">
        <is>
          <t>Septiembre</t>
        </is>
      </c>
      <c r="C867" t="inlineStr">
        <is>
          <t>TRANSFERENCIAS</t>
        </is>
      </c>
      <c r="D867" t="n">
        <v>185288</v>
      </c>
      <c r="E867" t="inlineStr">
        <is>
          <t>Mercado Pago</t>
        </is>
      </c>
      <c r="F867" t="inlineStr">
        <is>
          <t>Sanbras oficial · Transferencia enviada · gasto personal Sol · dinero en cuenta MP screenshot</t>
        </is>
      </c>
    </row>
    <row r="868">
      <c r="A868" s="52" t="n">
        <v>46276</v>
      </c>
      <c r="B868" t="inlineStr">
        <is>
          <t>Septiembre</t>
        </is>
      </c>
      <c r="C868" t="inlineStr">
        <is>
          <t>TRANSFERENCIAS</t>
        </is>
      </c>
      <c r="D868" t="n">
        <v>135000</v>
      </c>
      <c r="E868" t="inlineStr">
        <is>
          <t>Mercado Pago</t>
        </is>
      </c>
      <c r="F868" t="inlineStr">
        <is>
          <t>Paula Carolina Fasanella · Transferencia enviada · gasto personal Sol · dinero en cuenta MP screenshot</t>
        </is>
      </c>
    </row>
    <row r="869">
      <c r="A869" s="52" t="n">
        <v>46277</v>
      </c>
      <c r="B869" t="inlineStr">
        <is>
          <t>Septiembre</t>
        </is>
      </c>
      <c r="C869" t="inlineStr">
        <is>
          <t>SUSCRIPCIONES · Apple</t>
        </is>
      </c>
      <c r="D869" t="n">
        <v>19749</v>
      </c>
      <c r="E869" t="inlineStr">
        <is>
          <t>Mercado Pago</t>
        </is>
      </c>
      <c r="F869" t="inlineStr">
        <is>
          <t>SUSCRIPCIONES · Apple · Mercado Pago · gasto personal Sol · dinero en cuenta MP screenshot</t>
        </is>
      </c>
    </row>
    <row r="870">
      <c r="A870" s="52" t="n">
        <v>46277</v>
      </c>
      <c r="B870" t="inlineStr">
        <is>
          <t>Septiembre</t>
        </is>
      </c>
      <c r="C870" t="inlineStr">
        <is>
          <t>TRANSFERENCIAS</t>
        </is>
      </c>
      <c r="D870" t="n">
        <v>140000</v>
      </c>
      <c r="E870" t="inlineStr">
        <is>
          <t>Mercado Pago</t>
        </is>
      </c>
      <c r="F870" t="inlineStr">
        <is>
          <t>Eva Graciela Zarate Valdovino · Transferencia enviada · gasto personal Sol · dinero en cuenta MP screenshot</t>
        </is>
      </c>
    </row>
    <row r="871">
      <c r="A871" s="52" t="n">
        <v>46278</v>
      </c>
      <c r="B871" t="inlineStr">
        <is>
          <t>Septiembre</t>
        </is>
      </c>
      <c r="C871" t="inlineStr">
        <is>
          <t>COMPRAS</t>
        </is>
      </c>
      <c r="D871" t="n">
        <v>176509</v>
      </c>
      <c r="E871" t="inlineStr">
        <is>
          <t>Mercado Pago</t>
        </is>
      </c>
      <c r="F871" t="inlineStr">
        <is>
          <t>COMPRAS · El Bazar Digital · gasto personal Sol · REVISAR ítem · dinero en cuenta MP screenshot</t>
        </is>
      </c>
    </row>
    <row r="872">
      <c r="A872" s="52" t="n">
        <v>46278</v>
      </c>
      <c r="B872" t="inlineStr">
        <is>
          <t>Septiembre</t>
        </is>
      </c>
      <c r="C872" t="inlineStr">
        <is>
          <t>PELUQUERÍA</t>
        </is>
      </c>
      <c r="D872" t="n">
        <v>12720</v>
      </c>
      <c r="E872" t="inlineStr">
        <is>
          <t>Mercado Pago</t>
        </is>
      </c>
      <c r="F872" t="inlineStr">
        <is>
          <t>PELUQUERÍA · Megapeluquerías CABA · gasto personal Sol · dinero en cuenta MP screenshot</t>
        </is>
      </c>
    </row>
    <row r="873">
      <c r="A873" s="52" t="n">
        <v>46278</v>
      </c>
      <c r="B873" t="inlineStr">
        <is>
          <t>Septiembre</t>
        </is>
      </c>
      <c r="C873" t="inlineStr">
        <is>
          <t>COMPRAS</t>
        </is>
      </c>
      <c r="D873" t="n">
        <v>71250</v>
      </c>
      <c r="E873" t="inlineStr">
        <is>
          <t>Mercado Pago</t>
        </is>
      </c>
      <c r="F873" t="inlineStr">
        <is>
          <t>Pago · Pago · gasto personal Sol · REVISAR ítem · dinero en cuenta MP screenshot</t>
        </is>
      </c>
    </row>
    <row r="874">
      <c r="A874" s="52" t="n">
        <v>46278</v>
      </c>
      <c r="B874" t="inlineStr">
        <is>
          <t>Septiembre</t>
        </is>
      </c>
      <c r="C874" t="inlineStr">
        <is>
          <t>COMPRAS</t>
        </is>
      </c>
      <c r="D874" t="n">
        <v>76742</v>
      </c>
      <c r="E874" t="inlineStr">
        <is>
          <t>Mercado Pago</t>
        </is>
      </c>
      <c r="F874" t="inlineStr">
        <is>
          <t>Pago · Pago · gasto personal Sol · REVISAR ítem · dinero en cuenta MP screenshot</t>
        </is>
      </c>
    </row>
    <row r="875">
      <c r="A875" s="52" t="n">
        <v>46279</v>
      </c>
      <c r="B875" t="inlineStr">
        <is>
          <t>Septiembre</t>
        </is>
      </c>
      <c r="C875" t="inlineStr">
        <is>
          <t>TRANSFERENCIAS</t>
        </is>
      </c>
      <c r="D875" t="n">
        <v>85000</v>
      </c>
      <c r="E875" t="inlineStr">
        <is>
          <t>Mercado Pago</t>
        </is>
      </c>
      <c r="F875" t="inlineStr">
        <is>
          <t>Maria Celeste Gonzalez · Transferencia enviada · gasto personal Sol · dinero en cuenta MP screenshot</t>
        </is>
      </c>
    </row>
    <row r="876">
      <c r="A876" s="52" t="n">
        <v>46279</v>
      </c>
      <c r="B876" t="inlineStr">
        <is>
          <t>Septiembre</t>
        </is>
      </c>
      <c r="C876" t="inlineStr">
        <is>
          <t>TRANSFERENCIAS</t>
        </is>
      </c>
      <c r="D876" t="n">
        <v>1000</v>
      </c>
      <c r="E876" t="inlineStr">
        <is>
          <t>Mercado Pago</t>
        </is>
      </c>
      <c r="F876" t="inlineStr">
        <is>
          <t>Mariano Morales · Transferencia enviada · gasto personal Sol · dinero en cuenta MP screenshot</t>
        </is>
      </c>
    </row>
    <row r="877">
      <c r="A877" s="52" t="n">
        <v>46280</v>
      </c>
      <c r="B877" t="inlineStr">
        <is>
          <t>Septiembre</t>
        </is>
      </c>
      <c r="C877" t="inlineStr">
        <is>
          <t>TRANSPORTE · Uber</t>
        </is>
      </c>
      <c r="D877" t="n">
        <v>4980</v>
      </c>
      <c r="E877" t="inlineStr">
        <is>
          <t>Mercado Pago</t>
        </is>
      </c>
      <c r="F877" t="inlineStr">
        <is>
          <t>TRANSPORTE · Uber · Ebanx (=Uber) · gasto personal Sol · dinero en cuenta MP screenshot</t>
        </is>
      </c>
    </row>
    <row r="878">
      <c r="A878" s="52" t="n">
        <v>46280</v>
      </c>
      <c r="B878" t="inlineStr">
        <is>
          <t>Septiembre</t>
        </is>
      </c>
      <c r="C878" t="inlineStr">
        <is>
          <t>COMPRAS</t>
        </is>
      </c>
      <c r="D878" t="n">
        <v>40900</v>
      </c>
      <c r="E878" t="inlineStr">
        <is>
          <t>Mercado Pago</t>
        </is>
      </c>
      <c r="F878" t="inlineStr">
        <is>
          <t>COMPRAS · Happy buy · gasto personal Sol · REVISAR ítem · dinero en cuenta MP screenshot</t>
        </is>
      </c>
    </row>
    <row r="879">
      <c r="A879" s="52" t="n">
        <v>46280</v>
      </c>
      <c r="B879" t="inlineStr">
        <is>
          <t>Septiembre</t>
        </is>
      </c>
      <c r="C879" t="inlineStr">
        <is>
          <t>TRANSPORTE · Didi</t>
        </is>
      </c>
      <c r="D879" t="n">
        <v>5500</v>
      </c>
      <c r="E879" t="inlineStr">
        <is>
          <t>Mercado Pago</t>
        </is>
      </c>
      <c r="F879" t="inlineStr">
        <is>
          <t>TRANSPORTE · Didi · gasto personal Sol · dinero en cuenta MP screenshot</t>
        </is>
      </c>
    </row>
    <row r="880">
      <c r="A880" s="52" t="n">
        <v>46280</v>
      </c>
      <c r="B880" t="inlineStr">
        <is>
          <t>Septiembre</t>
        </is>
      </c>
      <c r="C880" t="inlineStr">
        <is>
          <t>IMPUESTOS · Epagos</t>
        </is>
      </c>
      <c r="D880" t="n">
        <v>10150</v>
      </c>
      <c r="E880" t="inlineStr">
        <is>
          <t>Mercado Pago</t>
        </is>
      </c>
      <c r="F880" t="inlineStr">
        <is>
          <t>IMPUESTOS · Epagos · gasto personal Sol · dinero en cuenta MP screenshot</t>
        </is>
      </c>
    </row>
    <row r="881">
      <c r="A881" s="52" t="n">
        <v>46280</v>
      </c>
      <c r="B881" t="inlineStr">
        <is>
          <t>Septiembre</t>
        </is>
      </c>
      <c r="C881" t="inlineStr">
        <is>
          <t>TRANSFERENCIAS</t>
        </is>
      </c>
      <c r="D881" t="n">
        <v>4000</v>
      </c>
      <c r="E881" t="inlineStr">
        <is>
          <t>Mercado Pago</t>
        </is>
      </c>
      <c r="F881" t="inlineStr">
        <is>
          <t>Gaston Osvaldo Roca · Transferencia enviada · gasto personal Sol · dinero en cuenta MP screenshot</t>
        </is>
      </c>
    </row>
    <row r="882">
      <c r="A882" s="52" t="n">
        <v>46282</v>
      </c>
      <c r="B882" t="inlineStr">
        <is>
          <t>Septiembre</t>
        </is>
      </c>
      <c r="C882" t="inlineStr">
        <is>
          <t>TRANSPORTE · Uber</t>
        </is>
      </c>
      <c r="D882" t="n">
        <v>7257</v>
      </c>
      <c r="E882" t="inlineStr">
        <is>
          <t>Mercado Pago</t>
        </is>
      </c>
      <c r="F882" t="inlineStr">
        <is>
          <t>TRANSPORTE · Uber · Ebanx (=Uber) · gasto personal Sol · dinero en cuenta MP screenshot</t>
        </is>
      </c>
    </row>
    <row r="883">
      <c r="A883" s="52" t="n">
        <v>46282</v>
      </c>
      <c r="B883" t="inlineStr">
        <is>
          <t>Septiembre</t>
        </is>
      </c>
      <c r="C883" t="inlineStr">
        <is>
          <t>TRANSPORTE · Didi</t>
        </is>
      </c>
      <c r="D883" t="n">
        <v>6200</v>
      </c>
      <c r="E883" t="inlineStr">
        <is>
          <t>Mercado Pago</t>
        </is>
      </c>
      <c r="F883" t="inlineStr">
        <is>
          <t>TRANSPORTE · Didi · gasto personal Sol · dinero en cuenta MP screenshot</t>
        </is>
      </c>
    </row>
    <row r="884">
      <c r="A884" s="52" t="n"/>
    </row>
    <row r="885">
      <c r="A885" s="52" t="n">
        <v>46283</v>
      </c>
      <c r="B885" t="inlineStr">
        <is>
          <t>Septiembre</t>
        </is>
      </c>
      <c r="C885" t="inlineStr">
        <is>
          <t>TRANSPORTE · Didi</t>
        </is>
      </c>
      <c r="D885" t="n">
        <v>4900</v>
      </c>
      <c r="E885" t="inlineStr">
        <is>
          <t>Mercado Pago</t>
        </is>
      </c>
      <c r="F885" t="inlineStr">
        <is>
          <t>TRANSPORTE · Didi · gasto personal Sol · dinero en cuenta MP screenshot</t>
        </is>
      </c>
    </row>
    <row r="886">
      <c r="A886" s="52" t="n">
        <v>46283</v>
      </c>
      <c r="B886" t="inlineStr">
        <is>
          <t>Septiembre</t>
        </is>
      </c>
      <c r="C886" t="inlineStr">
        <is>
          <t>TRANSPORTE · Uber</t>
        </is>
      </c>
      <c r="D886" t="n">
        <v>6478</v>
      </c>
      <c r="E886" t="inlineStr">
        <is>
          <t>Mercado Pago</t>
        </is>
      </c>
      <c r="F886" t="inlineStr">
        <is>
          <t>TRANSPORTE · Uber · Ebanx (=Uber) · gasto personal Sol · dinero en cuenta MP screenshot</t>
        </is>
      </c>
    </row>
    <row r="887">
      <c r="A887" s="52" t="n">
        <v>46284</v>
      </c>
      <c r="B887" t="inlineStr">
        <is>
          <t>Septiembre</t>
        </is>
      </c>
      <c r="C887" t="inlineStr">
        <is>
          <t>TRANSPORTE · SUBE</t>
        </is>
      </c>
      <c r="D887" t="n">
        <v>862</v>
      </c>
      <c r="E887" t="inlineStr">
        <is>
          <t>Mercado Pago</t>
        </is>
      </c>
      <c r="F887" t="inlineStr">
        <is>
          <t>TRANSPORTE · SUBE · gasto personal Sol · dinero en cuenta MP screenshot</t>
        </is>
      </c>
    </row>
    <row r="888">
      <c r="A888" s="52" t="n">
        <v>46287</v>
      </c>
      <c r="B888" t="inlineStr">
        <is>
          <t>Septiembre</t>
        </is>
      </c>
      <c r="C888" t="inlineStr">
        <is>
          <t>TRANSPORTE · Uber</t>
        </is>
      </c>
      <c r="D888" t="n">
        <v>5393</v>
      </c>
      <c r="E888" t="inlineStr">
        <is>
          <t>Mercado Pago</t>
        </is>
      </c>
      <c r="F888" t="inlineStr">
        <is>
          <t>TRANSPORTE · Uber · Ebanx (=Uber) · gasto personal Sol · dinero en cuenta MP screenshot</t>
        </is>
      </c>
    </row>
    <row r="889">
      <c r="A889" s="52" t="n">
        <v>46287</v>
      </c>
      <c r="B889" t="inlineStr">
        <is>
          <t>Septiembre</t>
        </is>
      </c>
      <c r="C889" t="inlineStr">
        <is>
          <t>TRANSPORTE · Didi</t>
        </is>
      </c>
      <c r="D889" t="n">
        <v>3300</v>
      </c>
      <c r="E889" t="inlineStr">
        <is>
          <t>Mercado Pago</t>
        </is>
      </c>
      <c r="F889" t="inlineStr">
        <is>
          <t>TRANSPORTE · Didi · gasto personal Sol · dinero en cuenta MP screenshot</t>
        </is>
      </c>
    </row>
    <row r="890">
      <c r="A890" s="52" t="n">
        <v>46288</v>
      </c>
      <c r="B890" t="inlineStr">
        <is>
          <t>Septiembre</t>
        </is>
      </c>
      <c r="C890" t="inlineStr">
        <is>
          <t>COMPRAS</t>
        </is>
      </c>
      <c r="D890" t="n">
        <v>63514</v>
      </c>
      <c r="E890" t="inlineStr">
        <is>
          <t>Mercado Pago</t>
        </is>
      </c>
      <c r="F890" t="inlineStr">
        <is>
          <t>Randy Kopeles · Pago · gasto personal Sol · dinero en cuenta MP screenshot</t>
        </is>
      </c>
    </row>
    <row r="891">
      <c r="A891" s="52" t="n">
        <v>46288</v>
      </c>
      <c r="B891" t="inlineStr">
        <is>
          <t>Septiembre</t>
        </is>
      </c>
      <c r="C891" t="inlineStr">
        <is>
          <t>TRANSPORTE · Uber</t>
        </is>
      </c>
      <c r="D891" t="n">
        <v>7016</v>
      </c>
      <c r="E891" t="inlineStr">
        <is>
          <t>Mercado Pago</t>
        </is>
      </c>
      <c r="F891" t="inlineStr">
        <is>
          <t>TRANSPORTE · Uber · Ebanx (=Uber) · gasto personal Sol · dinero en cuenta MP screenshot</t>
        </is>
      </c>
    </row>
    <row r="892">
      <c r="A892" s="52" t="n">
        <v>46288</v>
      </c>
      <c r="B892" t="inlineStr">
        <is>
          <t>Septiembre</t>
        </is>
      </c>
      <c r="C892" t="inlineStr">
        <is>
          <t>TRANSPORTE · Uber</t>
        </is>
      </c>
      <c r="D892" t="n">
        <v>153</v>
      </c>
      <c r="E892" t="inlineStr">
        <is>
          <t>Mercado Pago</t>
        </is>
      </c>
      <c r="F892" t="inlineStr">
        <is>
          <t>TRANSPORTE · Uber · Ebanx (=Uber) · gasto personal Sol · dinero en cuenta MP screenshot</t>
        </is>
      </c>
    </row>
    <row r="893">
      <c r="A893" s="52" t="n">
        <v>46288</v>
      </c>
      <c r="B893" t="inlineStr">
        <is>
          <t>Septiembre</t>
        </is>
      </c>
      <c r="C893" t="inlineStr">
        <is>
          <t>SALUD</t>
        </is>
      </c>
      <c r="D893" t="n">
        <v>50000</v>
      </c>
      <c r="E893" t="inlineStr">
        <is>
          <t>Mercado Pago</t>
        </is>
      </c>
      <c r="F893" t="inlineStr">
        <is>
          <t>SALUD · Clinicas Altamirao · gasto personal Sol · dinero en cuenta MP screenshot</t>
        </is>
      </c>
    </row>
    <row r="894">
      <c r="A894" s="52" t="n">
        <v>46288</v>
      </c>
      <c r="B894" t="inlineStr">
        <is>
          <t>Septiembre</t>
        </is>
      </c>
      <c r="C894" t="inlineStr">
        <is>
          <t>TRANSPORTE · Didi</t>
        </is>
      </c>
      <c r="D894" t="n">
        <v>3200</v>
      </c>
      <c r="E894" t="inlineStr">
        <is>
          <t>Mercado Pago</t>
        </is>
      </c>
      <c r="F894" t="inlineStr">
        <is>
          <t>TRANSPORTE · Didi · gasto personal Sol · dinero en cuenta MP screenshot</t>
        </is>
      </c>
    </row>
    <row r="895">
      <c r="A895" s="52" t="n">
        <v>46288</v>
      </c>
      <c r="B895" t="inlineStr">
        <is>
          <t>Septiembre</t>
        </is>
      </c>
      <c r="C895" t="inlineStr">
        <is>
          <t>COMPRAS</t>
        </is>
      </c>
      <c r="D895" t="n">
        <v>72999</v>
      </c>
      <c r="E895" t="inlineStr">
        <is>
          <t>Mercado Pago</t>
        </is>
      </c>
      <c r="F895" t="inlineStr">
        <is>
          <t>Tatiana Aylén Gonzalez · Pago · gasto personal Sol · dinero en cuenta MP screenshot</t>
        </is>
      </c>
    </row>
    <row r="896">
      <c r="A896" s="52" t="n">
        <v>46290</v>
      </c>
      <c r="B896" t="inlineStr">
        <is>
          <t>Septiembre</t>
        </is>
      </c>
      <c r="C896" t="inlineStr">
        <is>
          <t>TRANSPORTE · Didi</t>
        </is>
      </c>
      <c r="D896" t="n">
        <v>4800</v>
      </c>
      <c r="E896" t="inlineStr">
        <is>
          <t>Mercado Pago</t>
        </is>
      </c>
      <c r="F896" t="inlineStr">
        <is>
          <t>TRANSPORTE · Didi · gasto personal Sol · dinero en cuenta MP screenshot</t>
        </is>
      </c>
    </row>
    <row r="897">
      <c r="A897" s="52" t="n">
        <v>46290</v>
      </c>
      <c r="B897" t="inlineStr">
        <is>
          <t>Septiembre</t>
        </is>
      </c>
      <c r="C897" t="inlineStr">
        <is>
          <t>TRANSPORTE · Didi</t>
        </is>
      </c>
      <c r="D897" t="n">
        <v>6800</v>
      </c>
      <c r="E897" t="inlineStr">
        <is>
          <t>Mercado Pago</t>
        </is>
      </c>
      <c r="F897" t="inlineStr">
        <is>
          <t>TRANSPORTE · Didi · gasto personal Sol · dinero en cuenta MP screenshot</t>
        </is>
      </c>
    </row>
    <row r="898">
      <c r="A898" s="52" t="n">
        <v>46292</v>
      </c>
      <c r="B898" t="inlineStr">
        <is>
          <t>Septiembre</t>
        </is>
      </c>
      <c r="C898" t="inlineStr">
        <is>
          <t>ENVÍOS</t>
        </is>
      </c>
      <c r="D898" t="n">
        <v>13288</v>
      </c>
      <c r="E898" t="inlineStr">
        <is>
          <t>Mercado Pago</t>
        </is>
      </c>
      <c r="F898" t="inlineStr">
        <is>
          <t>ENVÍOS · DHL Express · gasto personal Sol · dinero en cuenta MP screenshot</t>
        </is>
      </c>
    </row>
    <row r="899">
      <c r="A899" s="52" t="n">
        <v>46277</v>
      </c>
      <c r="B899" t="inlineStr">
        <is>
          <t>Septiembre</t>
        </is>
      </c>
      <c r="C899" t="inlineStr">
        <is>
          <t>ROPA</t>
        </is>
      </c>
      <c r="D899" t="n">
        <v>41715</v>
      </c>
      <c r="E899" t="inlineStr">
        <is>
          <t>TC Mercado Pago</t>
        </is>
      </c>
      <c r="F899" t="inlineStr">
        <is>
          <t>ROPA · Loccitane · TC Mercado Pago · C.6/6 · compra 2026-03-20 · cierre 2026-09-12</t>
        </is>
      </c>
    </row>
    <row r="900">
      <c r="A900" s="52" t="n">
        <v>46277</v>
      </c>
      <c r="B900" t="inlineStr">
        <is>
          <t>Septiembre</t>
        </is>
      </c>
      <c r="C900" t="inlineStr">
        <is>
          <t>ROPA</t>
        </is>
      </c>
      <c r="D900" t="n">
        <v>23000</v>
      </c>
      <c r="E900" t="inlineStr">
        <is>
          <t>TC Mercado Pago</t>
        </is>
      </c>
      <c r="F900" t="inlineStr">
        <is>
          <t>ROPA · Adidas · TC Mercado Pago · C.6/6 · compra 2026-03-23 · cierre 2026-09-12</t>
        </is>
      </c>
    </row>
    <row r="901">
      <c r="A901" s="52" t="n">
        <v>46277</v>
      </c>
      <c r="B901" t="inlineStr">
        <is>
          <t>Septiembre</t>
        </is>
      </c>
      <c r="C901" t="inlineStr">
        <is>
          <t>ROPA</t>
        </is>
      </c>
      <c r="D901" t="n">
        <v>67112</v>
      </c>
      <c r="E901" t="inlineStr">
        <is>
          <t>TC Mercado Pago</t>
        </is>
      </c>
      <c r="F901" t="inlineStr">
        <is>
          <t>ROPA · Awada · TC Mercado Pago · C.6/9 · compra 2026-03-23 · cierre 2026-09-12</t>
        </is>
      </c>
    </row>
    <row r="902">
      <c r="A902" s="52" t="n">
        <v>46277</v>
      </c>
      <c r="B902" t="inlineStr">
        <is>
          <t>Septiembre</t>
        </is>
      </c>
      <c r="C902" t="inlineStr">
        <is>
          <t>ROPA</t>
        </is>
      </c>
      <c r="D902" t="n">
        <v>41345</v>
      </c>
      <c r="E902" t="inlineStr">
        <is>
          <t>TC Mercado Pago</t>
        </is>
      </c>
      <c r="F902" t="inlineStr">
        <is>
          <t>ROPA · Laparfumerie · TC Mercado Pago · C.6/6 · compra 2026-03-30 · cierre 2026-09-12</t>
        </is>
      </c>
    </row>
    <row r="903">
      <c r="A903" s="52" t="n">
        <v>46277</v>
      </c>
      <c r="B903" t="inlineStr">
        <is>
          <t>Septiembre</t>
        </is>
      </c>
      <c r="C903" t="inlineStr">
        <is>
          <t>SALUD · Vitaminas</t>
        </is>
      </c>
      <c r="D903" t="n">
        <v>87900</v>
      </c>
      <c r="E903" t="inlineStr">
        <is>
          <t>TC Mercado Pago</t>
        </is>
      </c>
      <c r="F903" t="inlineStr">
        <is>
          <t>SALUD · Vitaminas · Promarine · TC Mercado Pago · C.6/6 · compra 2026-04-04 · cierre 2026-09-12</t>
        </is>
      </c>
    </row>
    <row r="904">
      <c r="A904" s="52" t="n">
        <v>46277</v>
      </c>
      <c r="B904" t="inlineStr">
        <is>
          <t>Septiembre</t>
        </is>
      </c>
      <c r="C904" t="inlineStr">
        <is>
          <t>SALUD</t>
        </is>
      </c>
      <c r="D904" t="n">
        <v>55707</v>
      </c>
      <c r="E904" t="inlineStr">
        <is>
          <t>TC Mercado Pago</t>
        </is>
      </c>
      <c r="F904" t="inlineStr">
        <is>
          <t>SALUD · Laboratorio · TC Mercado Pago · C.3/9 · compra 2026-06-23 · cierre 2026-09-12</t>
        </is>
      </c>
    </row>
    <row r="905">
      <c r="A905" s="52" t="n">
        <v>46277</v>
      </c>
      <c r="B905" t="inlineStr">
        <is>
          <t>Septiembre</t>
        </is>
      </c>
      <c r="C905" t="inlineStr">
        <is>
          <t>SALUD</t>
        </is>
      </c>
      <c r="D905" t="n">
        <v>58334</v>
      </c>
      <c r="E905" t="inlineStr">
        <is>
          <t>TC Mercado Pago</t>
        </is>
      </c>
      <c r="F905" t="inlineStr">
        <is>
          <t>SALUD · Biodepot · TC Mercado Pago · C.3/3 · compra 2026-06-25 · cierre 2026-09-12</t>
        </is>
      </c>
    </row>
    <row r="906">
      <c r="A906" s="52" t="n">
        <v>46277</v>
      </c>
      <c r="B906" t="inlineStr">
        <is>
          <t>Septiembre</t>
        </is>
      </c>
      <c r="C906" t="inlineStr">
        <is>
          <t>ROPA</t>
        </is>
      </c>
      <c r="D906" t="n">
        <v>297891</v>
      </c>
      <c r="E906" t="inlineStr">
        <is>
          <t>TC Mercado Pago</t>
        </is>
      </c>
      <c r="F906" t="inlineStr">
        <is>
          <t>ROPA · Pandora · TC Mercado Pago · C.3/6 · compra 2026-07-09 · cierre 2026-09-12</t>
        </is>
      </c>
    </row>
    <row r="907">
      <c r="A907" s="52" t="n">
        <v>46277</v>
      </c>
      <c r="B907" t="inlineStr">
        <is>
          <t>Septiembre</t>
        </is>
      </c>
      <c r="C907" t="inlineStr">
        <is>
          <t>COMPRAS</t>
        </is>
      </c>
      <c r="D907" t="n">
        <v>31450</v>
      </c>
      <c r="E907" t="inlineStr">
        <is>
          <t>TC Mercado Pago</t>
        </is>
      </c>
      <c r="F907" t="inlineStr">
        <is>
          <t>COMPRAS · PPNL · TC Mercado Pago · C.2/2 · REVISAR ítem · compra 2026-07-16 · cierre 2026-09-12</t>
        </is>
      </c>
    </row>
    <row r="908">
      <c r="A908" s="52" t="n">
        <v>46277</v>
      </c>
      <c r="B908" t="inlineStr">
        <is>
          <t>Septiembre</t>
        </is>
      </c>
      <c r="C908" t="inlineStr">
        <is>
          <t>COMPRAS</t>
        </is>
      </c>
      <c r="D908" t="n">
        <v>126325</v>
      </c>
      <c r="E908" t="inlineStr">
        <is>
          <t>TC Mercado Pago</t>
        </is>
      </c>
      <c r="F908" t="inlineStr">
        <is>
          <t>COMPRAS · LG Distribuidor · TC Mercado Pago · C.2/3 · REVISAR ítem · compra 2026-07-29 · cierre 2026-09-12</t>
        </is>
      </c>
    </row>
    <row r="909">
      <c r="A909" s="52" t="n">
        <v>46277</v>
      </c>
      <c r="B909" t="inlineStr">
        <is>
          <t>Septiembre</t>
        </is>
      </c>
      <c r="C909" t="inlineStr">
        <is>
          <t>REGALOS</t>
        </is>
      </c>
      <c r="D909" t="n">
        <v>33500</v>
      </c>
      <c r="E909" t="inlineStr">
        <is>
          <t>TC Mercado Pago</t>
        </is>
      </c>
      <c r="F909" t="inlineStr">
        <is>
          <t>REGALOS · Regalos Dalila · TC Mercado Pago · C.2/2 · compra 2026-07-31 · cierre 2026-09-12</t>
        </is>
      </c>
    </row>
    <row r="910">
      <c r="A910" s="52" t="n">
        <v>46277</v>
      </c>
      <c r="B910" t="inlineStr">
        <is>
          <t>Septiembre</t>
        </is>
      </c>
      <c r="C910" t="inlineStr">
        <is>
          <t>REGALOS</t>
        </is>
      </c>
      <c r="D910" t="n">
        <v>546850</v>
      </c>
      <c r="E910" t="inlineStr">
        <is>
          <t>TC Mercado Pago</t>
        </is>
      </c>
      <c r="F910" t="inlineStr">
        <is>
          <t>REGALOS · Regalos Dalila · TC Mercado Pago · C.2/2 · compra 2026-07-31 · cierre 2026-09-12</t>
        </is>
      </c>
    </row>
    <row r="911">
      <c r="A911" s="52" t="n">
        <v>46277</v>
      </c>
      <c r="B911" t="inlineStr">
        <is>
          <t>Septiembre</t>
        </is>
      </c>
      <c r="C911" t="inlineStr">
        <is>
          <t>REGALOS</t>
        </is>
      </c>
      <c r="D911" t="n">
        <v>62500</v>
      </c>
      <c r="E911" t="inlineStr">
        <is>
          <t>TC Mercado Pago</t>
        </is>
      </c>
      <c r="F911" t="inlineStr">
        <is>
          <t>REGALOS · Regalos Dalila · TC Mercado Pago · C.2/2 · compra 2026-07-31 · cierre 2026-09-12</t>
        </is>
      </c>
    </row>
    <row r="912">
      <c r="A912" s="52" t="n">
        <v>46277</v>
      </c>
      <c r="B912" t="inlineStr">
        <is>
          <t>Septiembre</t>
        </is>
      </c>
      <c r="C912" t="inlineStr">
        <is>
          <t>COMPRAS</t>
        </is>
      </c>
      <c r="D912" t="n">
        <v>58430</v>
      </c>
      <c r="E912" t="inlineStr">
        <is>
          <t>TC Mercado Pago</t>
        </is>
      </c>
      <c r="F912" t="inlineStr">
        <is>
          <t>COMPRAS · Central Store · TC Mercado Pago · C.2/6 · compra 2026-08-01 · cierre 2026-09-12</t>
        </is>
      </c>
    </row>
    <row r="913">
      <c r="A913" s="52" t="n">
        <v>46277</v>
      </c>
      <c r="B913" t="inlineStr">
        <is>
          <t>Septiembre</t>
        </is>
      </c>
      <c r="C913" t="inlineStr">
        <is>
          <t>ROPA</t>
        </is>
      </c>
      <c r="D913" t="n">
        <v>82742</v>
      </c>
      <c r="E913" t="inlineStr">
        <is>
          <t>TC Mercado Pago</t>
        </is>
      </c>
      <c r="F913" t="inlineStr">
        <is>
          <t>ROPA · Monofuk · TC Mercado Pago · C.2/12 · compra 2026-08-04 · cierre 2026-09-12</t>
        </is>
      </c>
    </row>
    <row r="914">
      <c r="A914" s="52" t="n">
        <v>46277</v>
      </c>
      <c r="B914" t="inlineStr">
        <is>
          <t>Septiembre</t>
        </is>
      </c>
      <c r="C914" t="inlineStr">
        <is>
          <t>COMPRAS</t>
        </is>
      </c>
      <c r="D914" t="n">
        <v>290000</v>
      </c>
      <c r="E914" t="inlineStr">
        <is>
          <t>TC Mercado Pago</t>
        </is>
      </c>
      <c r="F914" t="inlineStr">
        <is>
          <t>COMPRAS · Mac Station · TC Mercado Pago · C.1/2 · compra 2026-08-13 · cierre 2026-09-12</t>
        </is>
      </c>
    </row>
    <row r="915">
      <c r="A915" s="52" t="n">
        <v>46277</v>
      </c>
      <c r="B915" t="inlineStr">
        <is>
          <t>Septiembre</t>
        </is>
      </c>
      <c r="C915" t="inlineStr">
        <is>
          <t>COMPRAS</t>
        </is>
      </c>
      <c r="D915" t="n">
        <v>52624</v>
      </c>
      <c r="E915" t="inlineStr">
        <is>
          <t>TC Mercado Pago</t>
        </is>
      </c>
      <c r="F915" t="inlineStr">
        <is>
          <t>COMPRAS · Mac Station · TC Mercado Pago · C.1/2 · compra 2026-08-13 · cierre 2026-09-12</t>
        </is>
      </c>
    </row>
    <row r="916">
      <c r="A916" s="52" t="n">
        <v>46277</v>
      </c>
      <c r="B916" t="inlineStr">
        <is>
          <t>Septiembre</t>
        </is>
      </c>
      <c r="C916" t="inlineStr">
        <is>
          <t>HOGAR</t>
        </is>
      </c>
      <c r="D916" t="n">
        <v>256862</v>
      </c>
      <c r="E916" t="inlineStr">
        <is>
          <t>TC Mercado Pago</t>
        </is>
      </c>
      <c r="F916" t="inlineStr">
        <is>
          <t>HOGAR · Banchero Sanitarios · TC Mercado Pago · C.1/3 · compra 2026-08-18 · cierre 2026-09-12</t>
        </is>
      </c>
    </row>
    <row r="917">
      <c r="A917" s="52" t="n">
        <v>46277</v>
      </c>
      <c r="B917" t="inlineStr">
        <is>
          <t>Septiembre</t>
        </is>
      </c>
      <c r="C917" t="inlineStr">
        <is>
          <t>VIAJES</t>
        </is>
      </c>
      <c r="D917" t="n">
        <v>1633555</v>
      </c>
      <c r="E917" t="inlineStr">
        <is>
          <t>TC Mercado Pago</t>
        </is>
      </c>
      <c r="F917" t="inlineStr">
        <is>
          <t>VIAJES · Aerolíneas Argentinas · TC Mercado Pago · compra 2026-08-22 · cierre 2026-09-12</t>
        </is>
      </c>
    </row>
    <row r="918">
      <c r="A918" s="52" t="n">
        <v>46277</v>
      </c>
      <c r="B918" t="inlineStr">
        <is>
          <t>Septiembre</t>
        </is>
      </c>
      <c r="C918" t="inlineStr">
        <is>
          <t>MERCADO LIBRE</t>
        </is>
      </c>
      <c r="D918" t="n">
        <v>107500</v>
      </c>
      <c r="E918" t="inlineStr">
        <is>
          <t>TC Mercado Pago</t>
        </is>
      </c>
      <c r="F918" t="inlineStr">
        <is>
          <t>Mercado Libre · TC Mercado Pago · C.1/2 · compra 2026-08-22 · cierre 2026-09-12</t>
        </is>
      </c>
    </row>
    <row r="919">
      <c r="A919" s="52" t="n">
        <v>46277</v>
      </c>
      <c r="B919" t="inlineStr">
        <is>
          <t>Septiembre</t>
        </is>
      </c>
      <c r="C919" t="inlineStr">
        <is>
          <t>COMPRAS</t>
        </is>
      </c>
      <c r="D919" t="n">
        <v>40000</v>
      </c>
      <c r="E919" t="inlineStr">
        <is>
          <t>TC Mercado Pago</t>
        </is>
      </c>
      <c r="F919" t="inlineStr">
        <is>
          <t>COMPRAS · Celugadgets · TC Mercado Pago · compra 2026-08-22 · cierre 2026-09-12</t>
        </is>
      </c>
    </row>
    <row r="920">
      <c r="A920" s="52" t="n">
        <v>46277</v>
      </c>
      <c r="B920" t="inlineStr">
        <is>
          <t>Septiembre</t>
        </is>
      </c>
      <c r="C920" t="inlineStr">
        <is>
          <t>VESTIMENTA</t>
        </is>
      </c>
      <c r="D920" t="n">
        <v>72000</v>
      </c>
      <c r="E920" t="inlineStr">
        <is>
          <t>TC Mercado Pago</t>
        </is>
      </c>
      <c r="F920" t="inlineStr">
        <is>
          <t>VESTIMENTA · Etiqueta Negra · TC Mercado Pago · C.1/6 · compra 2026-08-25 · cierre 2026-09-12</t>
        </is>
      </c>
    </row>
    <row r="921">
      <c r="A921" s="52" t="n">
        <v>46277</v>
      </c>
      <c r="B921" t="inlineStr">
        <is>
          <t>Septiembre</t>
        </is>
      </c>
      <c r="C921" t="inlineStr">
        <is>
          <t>COMPRAS</t>
        </is>
      </c>
      <c r="D921" t="n">
        <v>57725</v>
      </c>
      <c r="E921" t="inlineStr">
        <is>
          <t>TC Mercado Pago</t>
        </is>
      </c>
      <c r="F921" t="inlineStr">
        <is>
          <t>COMPRAS · Juan Cornacchi · TC Mercado Pago · REVISAR ítem · compra 2026-08-27 · cierre 2026-09-12</t>
        </is>
      </c>
    </row>
    <row r="922">
      <c r="A922" s="52" t="n">
        <v>46277</v>
      </c>
      <c r="B922" t="inlineStr">
        <is>
          <t>Septiembre</t>
        </is>
      </c>
      <c r="C922" t="inlineStr">
        <is>
          <t>COMPRAS</t>
        </is>
      </c>
      <c r="D922" t="n">
        <v>39000</v>
      </c>
      <c r="E922" t="inlineStr">
        <is>
          <t>TC Mercado Pago</t>
        </is>
      </c>
      <c r="F922" t="inlineStr">
        <is>
          <t>COMPRAS · Megaventas HM · TC Mercado Pago · compra 2026-08-27 · cierre 2026-09-12</t>
        </is>
      </c>
    </row>
    <row r="923">
      <c r="A923" s="52" t="n">
        <v>46277</v>
      </c>
      <c r="B923" t="inlineStr">
        <is>
          <t>Septiembre</t>
        </is>
      </c>
      <c r="C923" t="inlineStr">
        <is>
          <t>ROPA</t>
        </is>
      </c>
      <c r="D923" t="n">
        <v>418000</v>
      </c>
      <c r="E923" t="inlineStr">
        <is>
          <t>TC Mercado Pago</t>
        </is>
      </c>
      <c r="F923" t="inlineStr">
        <is>
          <t>ROPA · Galeon Joyas · TC Mercado Pago · C.1/3 · compra 2026-09-10 · cierre 2026-09-12</t>
        </is>
      </c>
    </row>
    <row r="924">
      <c r="A924" s="52" t="n">
        <v>46277</v>
      </c>
      <c r="B924" t="inlineStr">
        <is>
          <t>Septiembre</t>
        </is>
      </c>
      <c r="C924" t="inlineStr">
        <is>
          <t>ROPA</t>
        </is>
      </c>
      <c r="D924" t="n">
        <v>-795614</v>
      </c>
      <c r="E924" t="inlineStr">
        <is>
          <t>TC Mercado Pago</t>
        </is>
      </c>
      <c r="F924" t="inlineStr">
        <is>
          <t>REEMBOLSO · ROPA · Zara · TC Mercado Pago · compra 2026-08-19 · cierre 2026-09-12</t>
        </is>
      </c>
    </row>
    <row r="925">
      <c r="A925" s="52" t="n">
        <v>46277</v>
      </c>
      <c r="B925" t="inlineStr">
        <is>
          <t>Septiembre</t>
        </is>
      </c>
      <c r="C925" t="inlineStr">
        <is>
          <t>COMPRAS</t>
        </is>
      </c>
      <c r="D925" t="n">
        <v>-39000</v>
      </c>
      <c r="E925" t="inlineStr">
        <is>
          <t>TC Mercado Pago</t>
        </is>
      </c>
      <c r="F925" t="inlineStr">
        <is>
          <t>REEMBOLSO · COMPRAS · Megaventas HM · TC Mercado Pago · compra 2026-08-27 · cierre 2026-09-12</t>
        </is>
      </c>
    </row>
    <row r="926">
      <c r="A926" s="52" t="n">
        <v>46269</v>
      </c>
      <c r="B926" t="inlineStr">
        <is>
          <t>Septiembre</t>
        </is>
      </c>
      <c r="C926" t="inlineStr">
        <is>
          <t>COMPRAS</t>
        </is>
      </c>
      <c r="D926" t="n">
        <v>580320</v>
      </c>
      <c r="E926" t="inlineStr">
        <is>
          <t>BBVA VISA</t>
        </is>
      </c>
      <c r="F926" t="inlineStr">
        <is>
          <t>COMPRAS · dhgate.com · BBVA VISA · USD 380.44 × TC MEP 1525.39 · importación · alerta Gmail Compra aprobada · REVISAR vs resumen BBVA</t>
        </is>
      </c>
    </row>
    <row r="927">
      <c r="A927" s="52" t="n">
        <v>46278</v>
      </c>
      <c r="B927" t="inlineStr">
        <is>
          <t>Septiembre</t>
        </is>
      </c>
      <c r="C927" t="inlineStr">
        <is>
          <t>COMPRAS</t>
        </is>
      </c>
      <c r="D927" t="n">
        <v>629985</v>
      </c>
      <c r="E927" t="inlineStr">
        <is>
          <t>BBVA VISA</t>
        </is>
      </c>
      <c r="F927" t="inlineStr">
        <is>
          <t>COMPRAS · dhgate.com · BBVA VISA · USD 409.57 × TC MEP 1538.16 · importación · MEP 11/09 (13/09 domingo) · alerta Gmail Compra aprobada · REVISAR vs resumen BBVA</t>
        </is>
      </c>
    </row>
    <row r="928">
      <c r="A928" s="52" t="n">
        <v>46287</v>
      </c>
      <c r="B928" t="inlineStr">
        <is>
          <t>Septiembre</t>
        </is>
      </c>
      <c r="C928" t="inlineStr">
        <is>
          <t>SUSCRIPCIONES · IA</t>
        </is>
      </c>
      <c r="D928" t="n">
        <v>7668</v>
      </c>
      <c r="E928" t="inlineStr">
        <is>
          <t>BBVA VISA</t>
        </is>
      </c>
      <c r="F928" t="inlineStr">
        <is>
          <t>SUSCRIPCIONES · IA · Google One / Gemini · BBVA VISA · USD 4.99 × TC MEP 1536.51 · alerta Gmail Compra aprobada · REVISAR vs resumen BBVA</t>
        </is>
      </c>
    </row>
    <row r="929">
      <c r="A929" s="52" t="n">
        <v>46292</v>
      </c>
      <c r="B929" t="inlineStr">
        <is>
          <t>Septiembre</t>
        </is>
      </c>
      <c r="C929" t="inlineStr">
        <is>
          <t>SUSCRIPCIONES · IA</t>
        </is>
      </c>
      <c r="D929" t="n">
        <v>93150</v>
      </c>
      <c r="E929" t="inlineStr">
        <is>
          <t>BBVA VISA</t>
        </is>
      </c>
      <c r="F929" t="inlineStr">
        <is>
          <t>SUSCRIPCIONES · IA · Cursor · BBVA VISA · USD 60.00 × TC MEP 1552.5 · MEP 25/09 (27/09 domingo) · alerta Gmail Compra aprobada · REVISAR vs resumen BBVA</t>
        </is>
      </c>
    </row>
    <row r="930">
      <c r="A930" s="52" t="n">
        <v>46295</v>
      </c>
      <c r="B930" t="inlineStr">
        <is>
          <t>Septiembre</t>
        </is>
      </c>
      <c r="C930" t="inlineStr">
        <is>
          <t>SUSCRIPCIONES · IA</t>
        </is>
      </c>
      <c r="D930" t="n">
        <v>30852</v>
      </c>
      <c r="E930" t="inlineStr">
        <is>
          <t>BBVA VISA</t>
        </is>
      </c>
      <c r="F930" t="inlineStr">
        <is>
          <t>SUSCRIPCIONES · IA · ChatGPT / OpenAI · BBVA VISA · USD 20.00 × TC MEP 1542.56 · alerta Gmail Compra aprobada · REVISAR vs resumen BBVA</t>
        </is>
      </c>
    </row>
    <row r="931">
      <c r="A931" s="52" t="n">
        <v>46272</v>
      </c>
      <c r="B931" t="inlineStr">
        <is>
          <t>Septiembre</t>
        </is>
      </c>
      <c r="C931" t="inlineStr">
        <is>
          <t>VESTIMENTA</t>
        </is>
      </c>
      <c r="D931" t="n">
        <v>809200</v>
      </c>
      <c r="E931" t="inlineStr">
        <is>
          <t>BBVA VISA</t>
        </is>
      </c>
      <c r="F931" t="inlineStr">
        <is>
          <t>VESTIMENTA · Markova · BBVA VISA · MERPAGO*MARKOVA · alerta Gmail · REVISAR ítem</t>
        </is>
      </c>
    </row>
    <row r="932">
      <c r="A932" s="52" t="n">
        <v>46272</v>
      </c>
      <c r="B932" t="inlineStr">
        <is>
          <t>Septiembre</t>
        </is>
      </c>
      <c r="C932" t="inlineStr">
        <is>
          <t>HOGAR</t>
        </is>
      </c>
      <c r="D932" t="n">
        <v>186300</v>
      </c>
      <c r="E932" t="inlineStr">
        <is>
          <t>BBVA VISA</t>
        </is>
      </c>
      <c r="F932" t="inlineStr">
        <is>
          <t>HOGAR · Luna Hogar · BBVA VISA · MERPAGO*LUNAHOGAR · alerta Gmail</t>
        </is>
      </c>
    </row>
    <row r="933">
      <c r="A933" s="52" t="n">
        <v>46279</v>
      </c>
      <c r="B933" t="inlineStr">
        <is>
          <t>Septiembre</t>
        </is>
      </c>
      <c r="C933" t="inlineStr">
        <is>
          <t>COMPRAS</t>
        </is>
      </c>
      <c r="D933" t="n">
        <v>8520</v>
      </c>
      <c r="E933" t="inlineStr">
        <is>
          <t>BBVA VISA</t>
        </is>
      </c>
      <c r="F933" t="inlineStr">
        <is>
          <t>COMPRAS · La Obanesad · BBVA VISA · MERPAGO*LAOBANESAD · alerta Gmail · REVISAR ítem</t>
        </is>
      </c>
    </row>
    <row r="934">
      <c r="A934" s="52" t="n">
        <v>46292</v>
      </c>
      <c r="B934" t="inlineStr">
        <is>
          <t>Septiembre</t>
        </is>
      </c>
      <c r="C934" t="inlineStr">
        <is>
          <t>VESTIMENTA</t>
        </is>
      </c>
      <c r="D934" t="n">
        <v>334288</v>
      </c>
      <c r="E934" t="inlineStr">
        <is>
          <t>BBVA VISA</t>
        </is>
      </c>
      <c r="F934" t="inlineStr">
        <is>
          <t>VESTIMENTA · Luxodia · BBVA VISA · MERPAGO*LUXODIA · alerta Gmail · REVISAR ítem</t>
        </is>
      </c>
    </row>
    <row r="935">
      <c r="A935" s="52" t="n">
        <v>46292</v>
      </c>
      <c r="B935" t="inlineStr">
        <is>
          <t>Septiembre</t>
        </is>
      </c>
      <c r="C935" t="inlineStr">
        <is>
          <t>VESTIMENTA</t>
        </is>
      </c>
      <c r="D935" t="n">
        <v>49492</v>
      </c>
      <c r="E935" t="inlineStr">
        <is>
          <t>BBVA VISA</t>
        </is>
      </c>
      <c r="F935" t="inlineStr">
        <is>
          <t>VESTIMENTA · Luxodia · BBVA VISA · MERPAGO*LUXODIA · alerta Gmail · REVISAR ítem</t>
        </is>
      </c>
    </row>
    <row r="936">
      <c r="A936" s="52" t="n">
        <v>46285</v>
      </c>
      <c r="B936" t="inlineStr">
        <is>
          <t>Septiembre</t>
        </is>
      </c>
      <c r="C936" t="inlineStr">
        <is>
          <t>COMPRAS</t>
        </is>
      </c>
      <c r="D936" t="n">
        <v>89998</v>
      </c>
      <c r="E936" t="inlineStr">
        <is>
          <t>TC Mercado Pago</t>
        </is>
      </c>
      <c r="F936" t="inlineStr">
        <is>
          <t>COMPRAS · Yenny El Ateneo · TC Mercado Pago · Gmail Pago aprobado · post-cierre 12/09 → confirmar resumen octubre</t>
        </is>
      </c>
    </row>
    <row r="937">
      <c r="A937" s="52" t="n">
        <v>46294</v>
      </c>
      <c r="B937" t="inlineStr">
        <is>
          <t>Septiembre</t>
        </is>
      </c>
      <c r="C937" t="inlineStr">
        <is>
          <t>HOGAR</t>
        </is>
      </c>
      <c r="D937" t="n">
        <v>134572</v>
      </c>
      <c r="E937" t="inlineStr">
        <is>
          <t>TC Mercado Pago</t>
        </is>
      </c>
      <c r="F937" t="inlineStr">
        <is>
          <t>HOGAR · ViennaHogar · TC Mercado Pago · 3 cuotas · Gmail Pago aprobado · post-cierre 12/09 → confirmar resumen octubre</t>
        </is>
      </c>
    </row>
    <row r="938">
      <c r="A938" s="52" t="n">
        <v>46293</v>
      </c>
      <c r="B938" t="inlineStr">
        <is>
          <t>Septiembre</t>
        </is>
      </c>
      <c r="C938" t="inlineStr">
        <is>
          <t>TRANSFERENCIAS</t>
        </is>
      </c>
      <c r="D938" t="n">
        <v>69900</v>
      </c>
      <c r="E938" t="inlineStr">
        <is>
          <t>Mercado Pago</t>
        </is>
      </c>
      <c r="F938" t="inlineStr">
        <is>
          <t>TRANSFERENCIAS · Camilo Carlos Ihan · REVISAR ítem · resumen oficial cuenta MP 1–30 sep 2026</t>
        </is>
      </c>
    </row>
    <row r="939">
      <c r="A939" s="52" t="n">
        <v>46294</v>
      </c>
      <c r="B939" t="inlineStr">
        <is>
          <t>Septiembre</t>
        </is>
      </c>
      <c r="C939" t="inlineStr">
        <is>
          <t>TRANSPORTE · Uber</t>
        </is>
      </c>
      <c r="D939" t="n">
        <v>7230</v>
      </c>
      <c r="E939" t="inlineStr">
        <is>
          <t>Mercado Pago</t>
        </is>
      </c>
      <c r="F939" t="inlineStr">
        <is>
          <t>TRANSPORTE · Uber · Ebanx (=Uber) · resumen oficial cuenta MP 1–30 sep 2026</t>
        </is>
      </c>
    </row>
    <row r="940">
      <c r="A940" s="52" t="n">
        <v>46294</v>
      </c>
      <c r="B940" t="inlineStr">
        <is>
          <t>Septiembre</t>
        </is>
      </c>
      <c r="C940" t="inlineStr">
        <is>
          <t>TRANSPORTE · Didi</t>
        </is>
      </c>
      <c r="D940" t="n">
        <v>5700</v>
      </c>
      <c r="E940" t="inlineStr">
        <is>
          <t>Mercado Pago</t>
        </is>
      </c>
      <c r="F940" t="inlineStr">
        <is>
          <t>TRANSPORTE · Didi · resumen oficial cuenta MP 1–30 sep 2026</t>
        </is>
      </c>
    </row>
    <row r="941">
      <c r="A941" s="52" t="n">
        <v>46294</v>
      </c>
      <c r="B941" t="inlineStr">
        <is>
          <t>Septiembre</t>
        </is>
      </c>
      <c r="C941" t="inlineStr">
        <is>
          <t>TRANSPORTE · Didi</t>
        </is>
      </c>
      <c r="D941" t="n">
        <v>4000</v>
      </c>
      <c r="E941" t="inlineStr">
        <is>
          <t>Mercado Pago</t>
        </is>
      </c>
      <c r="F941" t="inlineStr">
        <is>
          <t>TRANSPORTE · Didi · resumen oficial cuenta MP 1–30 sep 2026</t>
        </is>
      </c>
    </row>
    <row r="942">
      <c r="A942" s="52" t="n">
        <v>46295</v>
      </c>
      <c r="B942" t="inlineStr">
        <is>
          <t>Septiembre</t>
        </is>
      </c>
      <c r="C942" t="inlineStr">
        <is>
          <t>Sol Estética</t>
        </is>
      </c>
      <c r="D942" t="n">
        <v>20000</v>
      </c>
      <c r="E942" t="inlineStr">
        <is>
          <t>Mercado Pago</t>
        </is>
      </c>
      <c r="F942" t="inlineStr">
        <is>
          <t>Sol Estética · Kelly · $20.000 · resumen oficial cuenta MP 1–30 sep 2026</t>
        </is>
      </c>
    </row>
    <row r="943">
      <c r="A943" s="52" t="n">
        <v>46295</v>
      </c>
      <c r="B943" t="inlineStr">
        <is>
          <t>Septiembre</t>
        </is>
      </c>
      <c r="C943" t="inlineStr">
        <is>
          <t>Sol Estética</t>
        </is>
      </c>
      <c r="D943" t="n">
        <v>86000</v>
      </c>
      <c r="E943" t="inlineStr">
        <is>
          <t>Mercado Pago</t>
        </is>
      </c>
      <c r="F943" t="inlineStr">
        <is>
          <t>Sol Estética · Kelly · $86.000 · resumen oficial cuenta MP 1–30 sep 2026</t>
        </is>
      </c>
    </row>
  </sheetData>
  <mergeCells count="2">
    <mergeCell ref="A2:F2"/>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282"/>
  <sheetViews>
    <sheetView workbookViewId="0">
      <selection activeCell="A1" sqref="A1"/>
    </sheetView>
  </sheetViews>
  <sheetFormatPr baseColWidth="8" defaultRowHeight="15"/>
  <cols>
    <col width="16" customWidth="1" min="1" max="1"/>
    <col width="16" customWidth="1" min="2" max="2"/>
    <col width="40"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60" customWidth="1" min="11" max="11"/>
    <col width="16" customWidth="1" min="12" max="12"/>
  </cols>
  <sheetData>
    <row r="1">
      <c r="A1" s="60" t="inlineStr">
        <is>
          <t>Fuente</t>
        </is>
      </c>
      <c r="B1" s="60" t="inlineStr">
        <is>
          <t>Compra / Vencimiento</t>
        </is>
      </c>
      <c r="C1" s="60" t="inlineStr">
        <is>
          <t>Concepto</t>
        </is>
      </c>
      <c r="D1" s="60" t="inlineStr">
        <is>
          <t>Categoría</t>
        </is>
      </c>
      <c r="E1" s="60" t="inlineStr">
        <is>
          <t>Cuota</t>
        </is>
      </c>
      <c r="F1" s="60" t="inlineStr">
        <is>
          <t>De</t>
        </is>
      </c>
      <c r="G1" s="60" t="inlineStr">
        <is>
          <t>Monto (ARS)</t>
        </is>
      </c>
      <c r="H1" s="60" t="inlineStr">
        <is>
          <t>Mes</t>
        </is>
      </c>
      <c r="I1" s="60" t="inlineStr">
        <is>
          <t>Año-Mes</t>
        </is>
      </c>
      <c r="J1" s="60" t="inlineStr">
        <is>
          <t>Estado</t>
        </is>
      </c>
      <c r="K1" s="60" t="inlineStr">
        <is>
          <t>Comentario</t>
        </is>
      </c>
      <c r="L1" s="60" t="inlineStr">
        <is>
          <t>Responsable</t>
        </is>
      </c>
    </row>
    <row r="2">
      <c r="A2" t="inlineStr">
        <is>
          <t>BBVA TC</t>
        </is>
      </c>
      <c r="B2" s="52" t="n">
        <v>45789</v>
      </c>
      <c r="C2" t="inlineStr">
        <is>
          <t>DIEGOJULIANKOZ</t>
        </is>
      </c>
      <c r="D2" t="inlineStr">
        <is>
          <t>Personal</t>
        </is>
      </c>
      <c r="E2" t="n">
        <v>1</v>
      </c>
      <c r="F2" t="n">
        <v>9</v>
      </c>
      <c r="G2" t="n">
        <v>84906</v>
      </c>
      <c r="H2" t="inlineStr">
        <is>
          <t>Mayo 2025</t>
        </is>
      </c>
      <c r="I2" t="inlineStr">
        <is>
          <t>2025-05</t>
        </is>
      </c>
      <c r="J2" t="inlineStr">
        <is>
          <t>PAGADO</t>
        </is>
      </c>
      <c r="K2" t="inlineStr">
        <is>
          <t>C.01/09 · cashflow BBVA · gasto personal Sol</t>
        </is>
      </c>
      <c r="L2" t="inlineStr">
        <is>
          <t>Sol</t>
        </is>
      </c>
    </row>
    <row r="3">
      <c r="A3" t="inlineStr">
        <is>
          <t>BBVA TC</t>
        </is>
      </c>
      <c r="B3" s="52" t="n">
        <v>45789</v>
      </c>
      <c r="C3" t="inlineStr">
        <is>
          <t>DIEGOJULIANKOZ</t>
        </is>
      </c>
      <c r="D3" t="inlineStr">
        <is>
          <t>Personal</t>
        </is>
      </c>
      <c r="E3" t="n">
        <v>2</v>
      </c>
      <c r="F3" t="n">
        <v>9</v>
      </c>
      <c r="G3" t="n">
        <v>84906</v>
      </c>
      <c r="H3" t="inlineStr">
        <is>
          <t>Junio 2025</t>
        </is>
      </c>
      <c r="I3" t="inlineStr">
        <is>
          <t>2025-06</t>
        </is>
      </c>
      <c r="J3" t="inlineStr">
        <is>
          <t>PAGADO</t>
        </is>
      </c>
      <c r="K3" t="inlineStr">
        <is>
          <t>C.02/09 · cashflow BBVA · gasto personal Sol</t>
        </is>
      </c>
      <c r="L3" t="inlineStr">
        <is>
          <t>Sol</t>
        </is>
      </c>
    </row>
    <row r="4">
      <c r="A4" t="inlineStr">
        <is>
          <t>BBVA TC</t>
        </is>
      </c>
      <c r="B4" s="52" t="n">
        <v>45827</v>
      </c>
      <c r="C4" t="inlineStr">
        <is>
          <t>ELCACOSMETICOSINC</t>
        </is>
      </c>
      <c r="D4" t="inlineStr">
        <is>
          <t>Personal</t>
        </is>
      </c>
      <c r="E4" t="n">
        <v>1</v>
      </c>
      <c r="F4" t="n">
        <v>9</v>
      </c>
      <c r="G4" t="n">
        <v>15054</v>
      </c>
      <c r="H4" t="inlineStr">
        <is>
          <t>Junio 2025</t>
        </is>
      </c>
      <c r="I4" t="inlineStr">
        <is>
          <t>2025-06</t>
        </is>
      </c>
      <c r="J4" t="inlineStr">
        <is>
          <t>PAGADO</t>
        </is>
      </c>
      <c r="K4" t="inlineStr">
        <is>
          <t>C.01/09 · cashflow BBVA · gasto personal Sol</t>
        </is>
      </c>
      <c r="L4" t="inlineStr">
        <is>
          <t>Sol</t>
        </is>
      </c>
    </row>
    <row r="5">
      <c r="A5" t="inlineStr">
        <is>
          <t>BBVA TC</t>
        </is>
      </c>
      <c r="B5" s="52" t="n">
        <v>45815</v>
      </c>
      <c r="C5" t="inlineStr">
        <is>
          <t>MONSERVO</t>
        </is>
      </c>
      <c r="D5" t="inlineStr">
        <is>
          <t>Personal</t>
        </is>
      </c>
      <c r="E5" t="n">
        <v>1</v>
      </c>
      <c r="F5" t="n">
        <v>9</v>
      </c>
      <c r="G5" t="n">
        <v>6665</v>
      </c>
      <c r="H5" t="inlineStr">
        <is>
          <t>Junio 2025</t>
        </is>
      </c>
      <c r="I5" t="inlineStr">
        <is>
          <t>2025-06</t>
        </is>
      </c>
      <c r="J5" t="inlineStr">
        <is>
          <t>PAGADO</t>
        </is>
      </c>
      <c r="K5" t="inlineStr">
        <is>
          <t>C.01/09 · cashflow BBVA · gasto personal Sol</t>
        </is>
      </c>
      <c r="L5" t="inlineStr">
        <is>
          <t>Sol</t>
        </is>
      </c>
    </row>
    <row r="6">
      <c r="A6" t="inlineStr">
        <is>
          <t>BBVA TC</t>
        </is>
      </c>
      <c r="B6" s="52" t="n">
        <v>45865</v>
      </c>
      <c r="C6" t="inlineStr">
        <is>
          <t>3PRODUCTOS</t>
        </is>
      </c>
      <c r="D6" t="inlineStr">
        <is>
          <t>Personal</t>
        </is>
      </c>
      <c r="E6" t="n">
        <v>1</v>
      </c>
      <c r="F6" t="n">
        <v>9</v>
      </c>
      <c r="G6" t="n">
        <v>5445</v>
      </c>
      <c r="H6" t="inlineStr">
        <is>
          <t>Julio 2025</t>
        </is>
      </c>
      <c r="I6" t="inlineStr">
        <is>
          <t>2025-07</t>
        </is>
      </c>
      <c r="J6" t="inlineStr">
        <is>
          <t>PAGADO</t>
        </is>
      </c>
      <c r="K6" t="inlineStr">
        <is>
          <t>C.01/09 · cashflow BBVA · gasto personal Sol</t>
        </is>
      </c>
      <c r="L6" t="inlineStr">
        <is>
          <t>Sol</t>
        </is>
      </c>
    </row>
    <row r="7">
      <c r="A7" t="inlineStr">
        <is>
          <t>BBVA TC</t>
        </is>
      </c>
      <c r="B7" s="52" t="n">
        <v>45789</v>
      </c>
      <c r="C7" t="inlineStr">
        <is>
          <t>DIEGOJULIANKOZ</t>
        </is>
      </c>
      <c r="D7" t="inlineStr">
        <is>
          <t>Personal</t>
        </is>
      </c>
      <c r="E7" t="n">
        <v>3</v>
      </c>
      <c r="F7" t="n">
        <v>9</v>
      </c>
      <c r="G7" t="n">
        <v>84906</v>
      </c>
      <c r="H7" t="inlineStr">
        <is>
          <t>Julio 2025</t>
        </is>
      </c>
      <c r="I7" t="inlineStr">
        <is>
          <t>2025-07</t>
        </is>
      </c>
      <c r="J7" t="inlineStr">
        <is>
          <t>PAGADO</t>
        </is>
      </c>
      <c r="K7" t="inlineStr">
        <is>
          <t>C.03/09 · cashflow BBVA · gasto personal Sol</t>
        </is>
      </c>
      <c r="L7" t="inlineStr">
        <is>
          <t>Sol</t>
        </is>
      </c>
    </row>
    <row r="8">
      <c r="A8" t="inlineStr">
        <is>
          <t>BBVA TC</t>
        </is>
      </c>
      <c r="B8" s="52" t="n">
        <v>45827</v>
      </c>
      <c r="C8" t="inlineStr">
        <is>
          <t>ELCACOSMETICOSINC</t>
        </is>
      </c>
      <c r="D8" t="inlineStr">
        <is>
          <t>Personal</t>
        </is>
      </c>
      <c r="E8" t="n">
        <v>2</v>
      </c>
      <c r="F8" t="n">
        <v>9</v>
      </c>
      <c r="G8" t="n">
        <v>15054</v>
      </c>
      <c r="H8" t="inlineStr">
        <is>
          <t>Julio 2025</t>
        </is>
      </c>
      <c r="I8" t="inlineStr">
        <is>
          <t>2025-07</t>
        </is>
      </c>
      <c r="J8" t="inlineStr">
        <is>
          <t>PAGADO</t>
        </is>
      </c>
      <c r="K8" t="inlineStr">
        <is>
          <t>C.02/09 · cashflow BBVA · gasto personal Sol</t>
        </is>
      </c>
      <c r="L8" t="inlineStr">
        <is>
          <t>Sol</t>
        </is>
      </c>
    </row>
    <row r="9">
      <c r="A9" t="inlineStr">
        <is>
          <t>BBVA TC</t>
        </is>
      </c>
      <c r="B9" s="52" t="n">
        <v>45815</v>
      </c>
      <c r="C9" t="inlineStr">
        <is>
          <t>MONSERVO</t>
        </is>
      </c>
      <c r="D9" t="inlineStr">
        <is>
          <t>Personal</t>
        </is>
      </c>
      <c r="E9" t="n">
        <v>2</v>
      </c>
      <c r="F9" t="n">
        <v>9</v>
      </c>
      <c r="G9" t="n">
        <v>6665</v>
      </c>
      <c r="H9" t="inlineStr">
        <is>
          <t>Julio 2025</t>
        </is>
      </c>
      <c r="I9" t="inlineStr">
        <is>
          <t>2025-07</t>
        </is>
      </c>
      <c r="J9" t="inlineStr">
        <is>
          <t>PAGADO</t>
        </is>
      </c>
      <c r="K9" t="inlineStr">
        <is>
          <t>C.02/09 · cashflow BBVA · gasto personal Sol</t>
        </is>
      </c>
      <c r="L9" t="inlineStr">
        <is>
          <t>Sol</t>
        </is>
      </c>
    </row>
    <row r="10">
      <c r="A10" t="inlineStr">
        <is>
          <t>BBVA TC</t>
        </is>
      </c>
      <c r="B10" s="52" t="n">
        <v>45865</v>
      </c>
      <c r="C10" t="inlineStr">
        <is>
          <t>3PRODUCTOS</t>
        </is>
      </c>
      <c r="D10" t="inlineStr">
        <is>
          <t>Personal</t>
        </is>
      </c>
      <c r="E10" t="n">
        <v>2</v>
      </c>
      <c r="F10" t="n">
        <v>9</v>
      </c>
      <c r="G10" t="n">
        <v>5445</v>
      </c>
      <c r="H10" t="inlineStr">
        <is>
          <t>Agosto 2025</t>
        </is>
      </c>
      <c r="I10" t="inlineStr">
        <is>
          <t>2025-08</t>
        </is>
      </c>
      <c r="J10" t="inlineStr">
        <is>
          <t>PAGADO</t>
        </is>
      </c>
      <c r="K10" t="inlineStr">
        <is>
          <t>C.02/09 · cashflow BBVA · gasto personal Sol</t>
        </is>
      </c>
      <c r="L10" t="inlineStr">
        <is>
          <t>Sol</t>
        </is>
      </c>
    </row>
    <row r="11">
      <c r="A11" t="inlineStr">
        <is>
          <t>BBVA TC</t>
        </is>
      </c>
      <c r="B11" s="52" t="n">
        <v>45789</v>
      </c>
      <c r="C11" t="inlineStr">
        <is>
          <t>DIEGOJULIANKOZ</t>
        </is>
      </c>
      <c r="D11" t="inlineStr">
        <is>
          <t>Personal</t>
        </is>
      </c>
      <c r="E11" t="n">
        <v>4</v>
      </c>
      <c r="F11" t="n">
        <v>9</v>
      </c>
      <c r="G11" t="n">
        <v>84906</v>
      </c>
      <c r="H11" t="inlineStr">
        <is>
          <t>Agosto 2025</t>
        </is>
      </c>
      <c r="I11" t="inlineStr">
        <is>
          <t>2025-08</t>
        </is>
      </c>
      <c r="J11" t="inlineStr">
        <is>
          <t>PAGADO</t>
        </is>
      </c>
      <c r="K11" t="inlineStr">
        <is>
          <t>C.04/09 · cashflow BBVA · gasto personal Sol</t>
        </is>
      </c>
      <c r="L11" t="inlineStr">
        <is>
          <t>Sol</t>
        </is>
      </c>
    </row>
    <row r="12">
      <c r="A12" t="inlineStr">
        <is>
          <t>BBVA TC</t>
        </is>
      </c>
      <c r="B12" s="52" t="n">
        <v>45827</v>
      </c>
      <c r="C12" t="inlineStr">
        <is>
          <t>ELCACOSMETICOSINC</t>
        </is>
      </c>
      <c r="D12" t="inlineStr">
        <is>
          <t>Personal</t>
        </is>
      </c>
      <c r="E12" t="n">
        <v>3</v>
      </c>
      <c r="F12" t="n">
        <v>9</v>
      </c>
      <c r="G12" t="n">
        <v>15054</v>
      </c>
      <c r="H12" t="inlineStr">
        <is>
          <t>Agosto 2025</t>
        </is>
      </c>
      <c r="I12" t="inlineStr">
        <is>
          <t>2025-08</t>
        </is>
      </c>
      <c r="J12" t="inlineStr">
        <is>
          <t>PAGADO</t>
        </is>
      </c>
      <c r="K12" t="inlineStr">
        <is>
          <t>C.03/09 · cashflow BBVA · gasto personal Sol</t>
        </is>
      </c>
      <c r="L12" t="inlineStr">
        <is>
          <t>Sol</t>
        </is>
      </c>
    </row>
    <row r="13">
      <c r="A13" t="inlineStr">
        <is>
          <t>BBVA TC</t>
        </is>
      </c>
      <c r="B13" s="52" t="n">
        <v>45890</v>
      </c>
      <c r="C13" t="inlineStr">
        <is>
          <t>JACKIESMITH</t>
        </is>
      </c>
      <c r="D13" t="inlineStr">
        <is>
          <t>Personal</t>
        </is>
      </c>
      <c r="E13" t="n">
        <v>1</v>
      </c>
      <c r="F13" t="n">
        <v>6</v>
      </c>
      <c r="G13" t="n">
        <v>10970</v>
      </c>
      <c r="H13" t="inlineStr">
        <is>
          <t>Agosto 2025</t>
        </is>
      </c>
      <c r="I13" t="inlineStr">
        <is>
          <t>2025-08</t>
        </is>
      </c>
      <c r="J13" t="inlineStr">
        <is>
          <t>PAGADO</t>
        </is>
      </c>
      <c r="K13" t="inlineStr">
        <is>
          <t>C.01/06 · cashflow BBVA · gasto personal Sol</t>
        </is>
      </c>
      <c r="L13" t="inlineStr">
        <is>
          <t>Sol</t>
        </is>
      </c>
    </row>
    <row r="14">
      <c r="A14" t="inlineStr">
        <is>
          <t>BBVA TC</t>
        </is>
      </c>
      <c r="B14" s="52" t="n">
        <v>45895</v>
      </c>
      <c r="C14" t="inlineStr">
        <is>
          <t>MERCADOLIBRE</t>
        </is>
      </c>
      <c r="D14" t="inlineStr">
        <is>
          <t>Mercado Libre</t>
        </is>
      </c>
      <c r="E14" t="n">
        <v>1</v>
      </c>
      <c r="F14" t="n">
        <v>6</v>
      </c>
      <c r="G14" t="n">
        <v>22460</v>
      </c>
      <c r="H14" t="inlineStr">
        <is>
          <t>Agosto 2025</t>
        </is>
      </c>
      <c r="I14" t="inlineStr">
        <is>
          <t>2025-08</t>
        </is>
      </c>
      <c r="J14" t="inlineStr">
        <is>
          <t>PAGADO</t>
        </is>
      </c>
      <c r="K14" t="inlineStr">
        <is>
          <t>C.01/06 · cashflow BBVA · gasto personal Sol</t>
        </is>
      </c>
      <c r="L14" t="inlineStr">
        <is>
          <t>Sol</t>
        </is>
      </c>
    </row>
    <row r="15">
      <c r="A15" t="inlineStr">
        <is>
          <t>BBVA TC</t>
        </is>
      </c>
      <c r="B15" s="52" t="n">
        <v>45815</v>
      </c>
      <c r="C15" t="inlineStr">
        <is>
          <t>MONSERVO</t>
        </is>
      </c>
      <c r="D15" t="inlineStr">
        <is>
          <t>Personal</t>
        </is>
      </c>
      <c r="E15" t="n">
        <v>3</v>
      </c>
      <c r="F15" t="n">
        <v>9</v>
      </c>
      <c r="G15" t="n">
        <v>6665</v>
      </c>
      <c r="H15" t="inlineStr">
        <is>
          <t>Agosto 2025</t>
        </is>
      </c>
      <c r="I15" t="inlineStr">
        <is>
          <t>2025-08</t>
        </is>
      </c>
      <c r="J15" t="inlineStr">
        <is>
          <t>PAGADO</t>
        </is>
      </c>
      <c r="K15" t="inlineStr">
        <is>
          <t>C.03/09 · cashflow BBVA · gasto personal Sol</t>
        </is>
      </c>
      <c r="L15" t="inlineStr">
        <is>
          <t>Sol</t>
        </is>
      </c>
    </row>
    <row r="16">
      <c r="A16" t="inlineStr">
        <is>
          <t>BBVA TC</t>
        </is>
      </c>
      <c r="B16" s="52" t="n">
        <v>45865</v>
      </c>
      <c r="C16" t="inlineStr">
        <is>
          <t>3PRODUCTOS</t>
        </is>
      </c>
      <c r="D16" t="inlineStr">
        <is>
          <t>Personal</t>
        </is>
      </c>
      <c r="E16" t="n">
        <v>3</v>
      </c>
      <c r="F16" t="n">
        <v>9</v>
      </c>
      <c r="G16" t="n">
        <v>5445</v>
      </c>
      <c r="H16" t="inlineStr">
        <is>
          <t>Septiembre 2025</t>
        </is>
      </c>
      <c r="I16" t="inlineStr">
        <is>
          <t>2025-09</t>
        </is>
      </c>
      <c r="J16" t="inlineStr">
        <is>
          <t>PAGADO</t>
        </is>
      </c>
      <c r="K16" t="inlineStr">
        <is>
          <t>C.03/09 · cashflow BBVA · gasto personal Sol</t>
        </is>
      </c>
      <c r="L16" t="inlineStr">
        <is>
          <t>Sol</t>
        </is>
      </c>
    </row>
    <row r="17">
      <c r="A17" t="inlineStr">
        <is>
          <t>BBVA TC</t>
        </is>
      </c>
      <c r="B17" s="52" t="n">
        <v>45912</v>
      </c>
      <c r="C17" t="inlineStr">
        <is>
          <t>4PRODUCTOS</t>
        </is>
      </c>
      <c r="D17" t="inlineStr">
        <is>
          <t>Personal</t>
        </is>
      </c>
      <c r="E17" t="n">
        <v>1</v>
      </c>
      <c r="F17" t="n">
        <v>6</v>
      </c>
      <c r="G17" t="n">
        <v>13735</v>
      </c>
      <c r="H17" t="inlineStr">
        <is>
          <t>Septiembre 2025</t>
        </is>
      </c>
      <c r="I17" t="inlineStr">
        <is>
          <t>2025-09</t>
        </is>
      </c>
      <c r="J17" t="inlineStr">
        <is>
          <t>PAGADO</t>
        </is>
      </c>
      <c r="K17" t="inlineStr">
        <is>
          <t>C.01/06 · cashflow BBVA · gasto personal Sol</t>
        </is>
      </c>
      <c r="L17" t="inlineStr">
        <is>
          <t>Sol</t>
        </is>
      </c>
    </row>
    <row r="18">
      <c r="A18" t="inlineStr">
        <is>
          <t>BBVA TC</t>
        </is>
      </c>
      <c r="B18" s="52" t="n">
        <v>45918</v>
      </c>
      <c r="C18" t="inlineStr">
        <is>
          <t>BOSSRECOVERY</t>
        </is>
      </c>
      <c r="D18" t="inlineStr">
        <is>
          <t>Personal</t>
        </is>
      </c>
      <c r="E18" t="n">
        <v>1</v>
      </c>
      <c r="F18" t="n">
        <v>6</v>
      </c>
      <c r="G18" t="n">
        <v>299834</v>
      </c>
      <c r="H18" t="inlineStr">
        <is>
          <t>Septiembre 2025</t>
        </is>
      </c>
      <c r="I18" t="inlineStr">
        <is>
          <t>2025-09</t>
        </is>
      </c>
      <c r="J18" t="inlineStr">
        <is>
          <t>PAGADO</t>
        </is>
      </c>
      <c r="K18" t="inlineStr">
        <is>
          <t>C.01/06 · cashflow BBVA · gasto personal Sol</t>
        </is>
      </c>
      <c r="L18" t="inlineStr">
        <is>
          <t>Sol</t>
        </is>
      </c>
    </row>
    <row r="19">
      <c r="A19" t="inlineStr">
        <is>
          <t>BBVA TC</t>
        </is>
      </c>
      <c r="B19" s="52" t="n">
        <v>45789</v>
      </c>
      <c r="C19" t="inlineStr">
        <is>
          <t>DIEGOJULIANKOZ</t>
        </is>
      </c>
      <c r="D19" t="inlineStr">
        <is>
          <t>Personal</t>
        </is>
      </c>
      <c r="E19" t="n">
        <v>5</v>
      </c>
      <c r="F19" t="n">
        <v>9</v>
      </c>
      <c r="G19" t="n">
        <v>84906</v>
      </c>
      <c r="H19" t="inlineStr">
        <is>
          <t>Septiembre 2025</t>
        </is>
      </c>
      <c r="I19" t="inlineStr">
        <is>
          <t>2025-09</t>
        </is>
      </c>
      <c r="J19" t="inlineStr">
        <is>
          <t>PAGADO</t>
        </is>
      </c>
      <c r="K19" t="inlineStr">
        <is>
          <t>C.05/09 · cashflow BBVA · gasto personal Sol</t>
        </is>
      </c>
      <c r="L19" t="inlineStr">
        <is>
          <t>Sol</t>
        </is>
      </c>
    </row>
    <row r="20">
      <c r="A20" t="inlineStr">
        <is>
          <t>BBVA TC</t>
        </is>
      </c>
      <c r="B20" s="52" t="n">
        <v>45827</v>
      </c>
      <c r="C20" t="inlineStr">
        <is>
          <t>ELCACOSMETICOSINC</t>
        </is>
      </c>
      <c r="D20" t="inlineStr">
        <is>
          <t>Personal</t>
        </is>
      </c>
      <c r="E20" t="n">
        <v>4</v>
      </c>
      <c r="F20" t="n">
        <v>9</v>
      </c>
      <c r="G20" t="n">
        <v>15054</v>
      </c>
      <c r="H20" t="inlineStr">
        <is>
          <t>Septiembre 2025</t>
        </is>
      </c>
      <c r="I20" t="inlineStr">
        <is>
          <t>2025-09</t>
        </is>
      </c>
      <c r="J20" t="inlineStr">
        <is>
          <t>PAGADO</t>
        </is>
      </c>
      <c r="K20" t="inlineStr">
        <is>
          <t>C.04/09 · cashflow BBVA · gasto personal Sol</t>
        </is>
      </c>
      <c r="L20" t="inlineStr">
        <is>
          <t>Sol</t>
        </is>
      </c>
    </row>
    <row r="21">
      <c r="A21" t="inlineStr">
        <is>
          <t>BBVA TC</t>
        </is>
      </c>
      <c r="B21" s="52" t="n">
        <v>45890</v>
      </c>
      <c r="C21" t="inlineStr">
        <is>
          <t>JACKIESMITH</t>
        </is>
      </c>
      <c r="D21" t="inlineStr">
        <is>
          <t>Personal</t>
        </is>
      </c>
      <c r="E21" t="n">
        <v>2</v>
      </c>
      <c r="F21" t="n">
        <v>6</v>
      </c>
      <c r="G21" t="n">
        <v>10970</v>
      </c>
      <c r="H21" t="inlineStr">
        <is>
          <t>Septiembre 2025</t>
        </is>
      </c>
      <c r="I21" t="inlineStr">
        <is>
          <t>2025-09</t>
        </is>
      </c>
      <c r="J21" t="inlineStr">
        <is>
          <t>PAGADO</t>
        </is>
      </c>
      <c r="K21" t="inlineStr">
        <is>
          <t>C.02/06 · cashflow BBVA · gasto personal Sol</t>
        </is>
      </c>
      <c r="L21" t="inlineStr">
        <is>
          <t>Sol</t>
        </is>
      </c>
    </row>
    <row r="22">
      <c r="A22" t="inlineStr">
        <is>
          <t>BBVA TC</t>
        </is>
      </c>
      <c r="B22" s="52" t="n">
        <v>45895</v>
      </c>
      <c r="C22" t="inlineStr">
        <is>
          <t>MERCADOLIBRE</t>
        </is>
      </c>
      <c r="D22" t="inlineStr">
        <is>
          <t>Mercado Libre</t>
        </is>
      </c>
      <c r="E22" t="n">
        <v>2</v>
      </c>
      <c r="F22" t="n">
        <v>6</v>
      </c>
      <c r="G22" t="n">
        <v>22460</v>
      </c>
      <c r="H22" t="inlineStr">
        <is>
          <t>Septiembre 2025</t>
        </is>
      </c>
      <c r="I22" t="inlineStr">
        <is>
          <t>2025-09</t>
        </is>
      </c>
      <c r="J22" t="inlineStr">
        <is>
          <t>PAGADO</t>
        </is>
      </c>
      <c r="K22" t="inlineStr">
        <is>
          <t>C.02/06 · cashflow BBVA · gasto personal Sol</t>
        </is>
      </c>
      <c r="L22" t="inlineStr">
        <is>
          <t>Sol</t>
        </is>
      </c>
    </row>
    <row r="23">
      <c r="A23" t="inlineStr">
        <is>
          <t>BBVA TC</t>
        </is>
      </c>
      <c r="B23" s="52" t="n">
        <v>45815</v>
      </c>
      <c r="C23" t="inlineStr">
        <is>
          <t>MONSERVO</t>
        </is>
      </c>
      <c r="D23" t="inlineStr">
        <is>
          <t>Personal</t>
        </is>
      </c>
      <c r="E23" t="n">
        <v>4</v>
      </c>
      <c r="F23" t="n">
        <v>9</v>
      </c>
      <c r="G23" t="n">
        <v>6665</v>
      </c>
      <c r="H23" t="inlineStr">
        <is>
          <t>Septiembre 2025</t>
        </is>
      </c>
      <c r="I23" t="inlineStr">
        <is>
          <t>2025-09</t>
        </is>
      </c>
      <c r="J23" t="inlineStr">
        <is>
          <t>PAGADO</t>
        </is>
      </c>
      <c r="K23" t="inlineStr">
        <is>
          <t>C.04/09 · cashflow BBVA · gasto personal Sol</t>
        </is>
      </c>
      <c r="L23" t="inlineStr">
        <is>
          <t>Sol</t>
        </is>
      </c>
    </row>
    <row r="24">
      <c r="A24" t="inlineStr">
        <is>
          <t>BBVA TC</t>
        </is>
      </c>
      <c r="B24" s="52" t="n">
        <v>45953</v>
      </c>
      <c r="C24" t="inlineStr">
        <is>
          <t>2PRODUCTOS</t>
        </is>
      </c>
      <c r="D24" t="inlineStr">
        <is>
          <t>Personal</t>
        </is>
      </c>
      <c r="E24" t="n">
        <v>1</v>
      </c>
      <c r="F24" t="n">
        <v>9</v>
      </c>
      <c r="G24" t="n">
        <v>7367</v>
      </c>
      <c r="H24" t="inlineStr">
        <is>
          <t>Octubre 2025</t>
        </is>
      </c>
      <c r="I24" t="inlineStr">
        <is>
          <t>2025-10</t>
        </is>
      </c>
      <c r="J24" t="inlineStr">
        <is>
          <t>PAGADO</t>
        </is>
      </c>
      <c r="K24" t="inlineStr">
        <is>
          <t>C.01/09 · cashflow BBVA · gasto personal Sol</t>
        </is>
      </c>
      <c r="L24" t="inlineStr">
        <is>
          <t>Sol</t>
        </is>
      </c>
    </row>
    <row r="25">
      <c r="A25" t="inlineStr">
        <is>
          <t>BBVA TC</t>
        </is>
      </c>
      <c r="B25" s="52" t="n">
        <v>45865</v>
      </c>
      <c r="C25" t="inlineStr">
        <is>
          <t>3PRODUCTOS</t>
        </is>
      </c>
      <c r="D25" t="inlineStr">
        <is>
          <t>Personal</t>
        </is>
      </c>
      <c r="E25" t="n">
        <v>4</v>
      </c>
      <c r="F25" t="n">
        <v>9</v>
      </c>
      <c r="G25" t="n">
        <v>5445</v>
      </c>
      <c r="H25" t="inlineStr">
        <is>
          <t>Octubre 2025</t>
        </is>
      </c>
      <c r="I25" t="inlineStr">
        <is>
          <t>2025-10</t>
        </is>
      </c>
      <c r="J25" t="inlineStr">
        <is>
          <t>PAGADO</t>
        </is>
      </c>
      <c r="K25" t="inlineStr">
        <is>
          <t>C.04/09 · cashflow BBVA · gasto personal Sol</t>
        </is>
      </c>
      <c r="L25" t="inlineStr">
        <is>
          <t>Sol</t>
        </is>
      </c>
    </row>
    <row r="26">
      <c r="A26" t="inlineStr">
        <is>
          <t>BBVA TC</t>
        </is>
      </c>
      <c r="B26" s="52" t="n">
        <v>45912</v>
      </c>
      <c r="C26" t="inlineStr">
        <is>
          <t>4PRODUCTOS</t>
        </is>
      </c>
      <c r="D26" t="inlineStr">
        <is>
          <t>Personal</t>
        </is>
      </c>
      <c r="E26" t="n">
        <v>2</v>
      </c>
      <c r="F26" t="n">
        <v>6</v>
      </c>
      <c r="G26" t="n">
        <v>13735</v>
      </c>
      <c r="H26" t="inlineStr">
        <is>
          <t>Octubre 2025</t>
        </is>
      </c>
      <c r="I26" t="inlineStr">
        <is>
          <t>2025-10</t>
        </is>
      </c>
      <c r="J26" t="inlineStr">
        <is>
          <t>PAGADO</t>
        </is>
      </c>
      <c r="K26" t="inlineStr">
        <is>
          <t>C.02/06 · cashflow BBVA · gasto personal Sol</t>
        </is>
      </c>
      <c r="L26" t="inlineStr">
        <is>
          <t>Sol</t>
        </is>
      </c>
    </row>
    <row r="27">
      <c r="A27" t="inlineStr">
        <is>
          <t>BBVA TC</t>
        </is>
      </c>
      <c r="B27" s="52" t="n">
        <v>45918</v>
      </c>
      <c r="C27" t="inlineStr">
        <is>
          <t>BOSSRECOVERY</t>
        </is>
      </c>
      <c r="D27" t="inlineStr">
        <is>
          <t>Personal</t>
        </is>
      </c>
      <c r="E27" t="n">
        <v>2</v>
      </c>
      <c r="F27" t="n">
        <v>6</v>
      </c>
      <c r="G27" t="n">
        <v>299834</v>
      </c>
      <c r="H27" t="inlineStr">
        <is>
          <t>Octubre 2025</t>
        </is>
      </c>
      <c r="I27" t="inlineStr">
        <is>
          <t>2025-10</t>
        </is>
      </c>
      <c r="J27" t="inlineStr">
        <is>
          <t>PAGADO</t>
        </is>
      </c>
      <c r="K27" t="inlineStr">
        <is>
          <t>C.02/06 · cashflow BBVA · gasto personal Sol</t>
        </is>
      </c>
      <c r="L27" t="inlineStr">
        <is>
          <t>Sol</t>
        </is>
      </c>
    </row>
    <row r="28">
      <c r="A28" t="inlineStr">
        <is>
          <t>BBVA TC</t>
        </is>
      </c>
      <c r="B28" s="52" t="n">
        <v>45789</v>
      </c>
      <c r="C28" t="inlineStr">
        <is>
          <t>DIEGOJULIANKOZ</t>
        </is>
      </c>
      <c r="D28" t="inlineStr">
        <is>
          <t>Personal</t>
        </is>
      </c>
      <c r="E28" t="n">
        <v>6</v>
      </c>
      <c r="F28" t="n">
        <v>9</v>
      </c>
      <c r="G28" t="n">
        <v>84906</v>
      </c>
      <c r="H28" t="inlineStr">
        <is>
          <t>Octubre 2025</t>
        </is>
      </c>
      <c r="I28" t="inlineStr">
        <is>
          <t>2025-10</t>
        </is>
      </c>
      <c r="J28" t="inlineStr">
        <is>
          <t>PAGADO</t>
        </is>
      </c>
      <c r="K28" t="inlineStr">
        <is>
          <t>C.06/09 · cashflow BBVA · gasto personal Sol</t>
        </is>
      </c>
      <c r="L28" t="inlineStr">
        <is>
          <t>Sol</t>
        </is>
      </c>
    </row>
    <row r="29">
      <c r="A29" t="inlineStr">
        <is>
          <t>BBVA TC</t>
        </is>
      </c>
      <c r="B29" s="52" t="n">
        <v>45827</v>
      </c>
      <c r="C29" t="inlineStr">
        <is>
          <t>ELCACOSMETICOSINC</t>
        </is>
      </c>
      <c r="D29" t="inlineStr">
        <is>
          <t>Personal</t>
        </is>
      </c>
      <c r="E29" t="n">
        <v>5</v>
      </c>
      <c r="F29" t="n">
        <v>9</v>
      </c>
      <c r="G29" t="n">
        <v>15054</v>
      </c>
      <c r="H29" t="inlineStr">
        <is>
          <t>Octubre 2025</t>
        </is>
      </c>
      <c r="I29" t="inlineStr">
        <is>
          <t>2025-10</t>
        </is>
      </c>
      <c r="J29" t="inlineStr">
        <is>
          <t>PAGADO</t>
        </is>
      </c>
      <c r="K29" t="inlineStr">
        <is>
          <t>C.05/09 · cashflow BBVA · gasto personal Sol</t>
        </is>
      </c>
      <c r="L29" t="inlineStr">
        <is>
          <t>Sol</t>
        </is>
      </c>
    </row>
    <row r="30">
      <c r="A30" t="inlineStr">
        <is>
          <t>BBVA TC</t>
        </is>
      </c>
      <c r="B30" s="52" t="n">
        <v>45890</v>
      </c>
      <c r="C30" t="inlineStr">
        <is>
          <t>JACKIESMITH</t>
        </is>
      </c>
      <c r="D30" t="inlineStr">
        <is>
          <t>Personal</t>
        </is>
      </c>
      <c r="E30" t="n">
        <v>3</v>
      </c>
      <c r="F30" t="n">
        <v>6</v>
      </c>
      <c r="G30" t="n">
        <v>10970</v>
      </c>
      <c r="H30" t="inlineStr">
        <is>
          <t>Octubre 2025</t>
        </is>
      </c>
      <c r="I30" t="inlineStr">
        <is>
          <t>2025-10</t>
        </is>
      </c>
      <c r="J30" t="inlineStr">
        <is>
          <t>PAGADO</t>
        </is>
      </c>
      <c r="K30" t="inlineStr">
        <is>
          <t>C.03/06 · cashflow BBVA · gasto personal Sol</t>
        </is>
      </c>
      <c r="L30" t="inlineStr">
        <is>
          <t>Sol</t>
        </is>
      </c>
    </row>
    <row r="31">
      <c r="A31" t="inlineStr">
        <is>
          <t>BBVA TC</t>
        </is>
      </c>
      <c r="B31" s="52" t="n">
        <v>45895</v>
      </c>
      <c r="C31" t="inlineStr">
        <is>
          <t>MERCADOLIBRE</t>
        </is>
      </c>
      <c r="D31" t="inlineStr">
        <is>
          <t>Mercado Libre</t>
        </is>
      </c>
      <c r="E31" t="n">
        <v>3</v>
      </c>
      <c r="F31" t="n">
        <v>6</v>
      </c>
      <c r="G31" t="n">
        <v>22460</v>
      </c>
      <c r="H31" t="inlineStr">
        <is>
          <t>Octubre 2025</t>
        </is>
      </c>
      <c r="I31" t="inlineStr">
        <is>
          <t>2025-10</t>
        </is>
      </c>
      <c r="J31" t="inlineStr">
        <is>
          <t>PAGADO</t>
        </is>
      </c>
      <c r="K31" t="inlineStr">
        <is>
          <t>C.03/06 · cashflow BBVA · gasto personal Sol</t>
        </is>
      </c>
      <c r="L31" t="inlineStr">
        <is>
          <t>Sol</t>
        </is>
      </c>
    </row>
    <row r="32">
      <c r="A32" t="inlineStr">
        <is>
          <t>BBVA TC</t>
        </is>
      </c>
      <c r="B32" s="52" t="n">
        <v>45815</v>
      </c>
      <c r="C32" t="inlineStr">
        <is>
          <t>MONSERVO</t>
        </is>
      </c>
      <c r="D32" t="inlineStr">
        <is>
          <t>Personal</t>
        </is>
      </c>
      <c r="E32" t="n">
        <v>5</v>
      </c>
      <c r="F32" t="n">
        <v>9</v>
      </c>
      <c r="G32" t="n">
        <v>6665</v>
      </c>
      <c r="H32" t="inlineStr">
        <is>
          <t>Octubre 2025</t>
        </is>
      </c>
      <c r="I32" t="inlineStr">
        <is>
          <t>2025-10</t>
        </is>
      </c>
      <c r="J32" t="inlineStr">
        <is>
          <t>PAGADO</t>
        </is>
      </c>
      <c r="K32" t="inlineStr">
        <is>
          <t>C.05/09 · cashflow BBVA · gasto personal Sol</t>
        </is>
      </c>
      <c r="L32" t="inlineStr">
        <is>
          <t>Sol</t>
        </is>
      </c>
    </row>
    <row r="33">
      <c r="A33" t="inlineStr">
        <is>
          <t>BBVA TC</t>
        </is>
      </c>
      <c r="B33" s="52" t="n">
        <v>45949</v>
      </c>
      <c r="C33" t="inlineStr">
        <is>
          <t>SELMAMARTINEZ</t>
        </is>
      </c>
      <c r="D33" t="inlineStr">
        <is>
          <t>Personal</t>
        </is>
      </c>
      <c r="E33" t="n">
        <v>1</v>
      </c>
      <c r="F33" t="n">
        <v>6</v>
      </c>
      <c r="G33" t="n">
        <v>25259</v>
      </c>
      <c r="H33" t="inlineStr">
        <is>
          <t>Octubre 2025</t>
        </is>
      </c>
      <c r="I33" t="inlineStr">
        <is>
          <t>2025-10</t>
        </is>
      </c>
      <c r="J33" t="inlineStr">
        <is>
          <t>PAGADO</t>
        </is>
      </c>
      <c r="K33" t="inlineStr">
        <is>
          <t>C.01/06 · cashflow BBVA · gasto personal Sol</t>
        </is>
      </c>
      <c r="L33" t="inlineStr">
        <is>
          <t>Sol</t>
        </is>
      </c>
    </row>
    <row r="34">
      <c r="A34" t="inlineStr">
        <is>
          <t>BBVA TC</t>
        </is>
      </c>
      <c r="B34" s="52" t="n">
        <v>45953</v>
      </c>
      <c r="C34" t="inlineStr">
        <is>
          <t>2PRODUCTOS</t>
        </is>
      </c>
      <c r="D34" t="inlineStr">
        <is>
          <t>Personal</t>
        </is>
      </c>
      <c r="E34" t="n">
        <v>2</v>
      </c>
      <c r="F34" t="n">
        <v>9</v>
      </c>
      <c r="G34" t="n">
        <v>7367</v>
      </c>
      <c r="H34" t="inlineStr">
        <is>
          <t>Noviembre 2025</t>
        </is>
      </c>
      <c r="I34" t="inlineStr">
        <is>
          <t>2025-11</t>
        </is>
      </c>
      <c r="J34" t="inlineStr">
        <is>
          <t>PAGADO</t>
        </is>
      </c>
      <c r="K34" t="inlineStr">
        <is>
          <t>C.02/09 · cashflow BBVA · gasto personal Sol</t>
        </is>
      </c>
      <c r="L34" t="inlineStr">
        <is>
          <t>Sol</t>
        </is>
      </c>
    </row>
    <row r="35">
      <c r="A35" t="inlineStr">
        <is>
          <t>BBVA TC</t>
        </is>
      </c>
      <c r="B35" s="52" t="n">
        <v>45865</v>
      </c>
      <c r="C35" t="inlineStr">
        <is>
          <t>3PRODUCTOS</t>
        </is>
      </c>
      <c r="D35" t="inlineStr">
        <is>
          <t>Personal</t>
        </is>
      </c>
      <c r="E35" t="n">
        <v>5</v>
      </c>
      <c r="F35" t="n">
        <v>9</v>
      </c>
      <c r="G35" t="n">
        <v>5445</v>
      </c>
      <c r="H35" t="inlineStr">
        <is>
          <t>Noviembre 2025</t>
        </is>
      </c>
      <c r="I35" t="inlineStr">
        <is>
          <t>2025-11</t>
        </is>
      </c>
      <c r="J35" t="inlineStr">
        <is>
          <t>PAGADO</t>
        </is>
      </c>
      <c r="K35" t="inlineStr">
        <is>
          <t>C.05/09 · cashflow BBVA · gasto personal Sol</t>
        </is>
      </c>
      <c r="L35" t="inlineStr">
        <is>
          <t>Sol</t>
        </is>
      </c>
    </row>
    <row r="36">
      <c r="A36" t="inlineStr">
        <is>
          <t>BBVA TC</t>
        </is>
      </c>
      <c r="B36" s="52" t="n">
        <v>45912</v>
      </c>
      <c r="C36" t="inlineStr">
        <is>
          <t>4PRODUCTOS</t>
        </is>
      </c>
      <c r="D36" t="inlineStr">
        <is>
          <t>Personal</t>
        </is>
      </c>
      <c r="E36" t="n">
        <v>3</v>
      </c>
      <c r="F36" t="n">
        <v>6</v>
      </c>
      <c r="G36" t="n">
        <v>13735</v>
      </c>
      <c r="H36" t="inlineStr">
        <is>
          <t>Noviembre 2025</t>
        </is>
      </c>
      <c r="I36" t="inlineStr">
        <is>
          <t>2025-11</t>
        </is>
      </c>
      <c r="J36" t="inlineStr">
        <is>
          <t>PAGADO</t>
        </is>
      </c>
      <c r="K36" t="inlineStr">
        <is>
          <t>C.03/06 · cashflow BBVA · gasto personal Sol</t>
        </is>
      </c>
      <c r="L36" t="inlineStr">
        <is>
          <t>Sol</t>
        </is>
      </c>
    </row>
    <row r="37">
      <c r="A37" t="inlineStr">
        <is>
          <t>BBVA TC</t>
        </is>
      </c>
      <c r="B37" s="52" t="n">
        <v>45918</v>
      </c>
      <c r="C37" t="inlineStr">
        <is>
          <t>BOSSRECOVERY</t>
        </is>
      </c>
      <c r="D37" t="inlineStr">
        <is>
          <t>Personal</t>
        </is>
      </c>
      <c r="E37" t="n">
        <v>3</v>
      </c>
      <c r="F37" t="n">
        <v>6</v>
      </c>
      <c r="G37" t="n">
        <v>299834</v>
      </c>
      <c r="H37" t="inlineStr">
        <is>
          <t>Noviembre 2025</t>
        </is>
      </c>
      <c r="I37" t="inlineStr">
        <is>
          <t>2025-11</t>
        </is>
      </c>
      <c r="J37" t="inlineStr">
        <is>
          <t>PAGADO</t>
        </is>
      </c>
      <c r="K37" t="inlineStr">
        <is>
          <t>C.03/06 · cashflow BBVA · gasto personal Sol</t>
        </is>
      </c>
      <c r="L37" t="inlineStr">
        <is>
          <t>Sol</t>
        </is>
      </c>
    </row>
    <row r="38">
      <c r="A38" t="inlineStr">
        <is>
          <t>BBVA TC</t>
        </is>
      </c>
      <c r="B38" s="52" t="n">
        <v>45789</v>
      </c>
      <c r="C38" t="inlineStr">
        <is>
          <t>DIEGOJULIANKOZ</t>
        </is>
      </c>
      <c r="D38" t="inlineStr">
        <is>
          <t>Personal</t>
        </is>
      </c>
      <c r="E38" t="n">
        <v>7</v>
      </c>
      <c r="F38" t="n">
        <v>9</v>
      </c>
      <c r="G38" t="n">
        <v>84906</v>
      </c>
      <c r="H38" t="inlineStr">
        <is>
          <t>Noviembre 2025</t>
        </is>
      </c>
      <c r="I38" t="inlineStr">
        <is>
          <t>2025-11</t>
        </is>
      </c>
      <c r="J38" t="inlineStr">
        <is>
          <t>PAGADO</t>
        </is>
      </c>
      <c r="K38" t="inlineStr">
        <is>
          <t>C.07/09 · cashflow BBVA · gasto personal Sol</t>
        </is>
      </c>
      <c r="L38" t="inlineStr">
        <is>
          <t>Sol</t>
        </is>
      </c>
    </row>
    <row r="39">
      <c r="A39" t="inlineStr">
        <is>
          <t>BBVA TC</t>
        </is>
      </c>
      <c r="B39" s="52" t="n">
        <v>45827</v>
      </c>
      <c r="C39" t="inlineStr">
        <is>
          <t>ELCACOSMETICOSINC</t>
        </is>
      </c>
      <c r="D39" t="inlineStr">
        <is>
          <t>Personal</t>
        </is>
      </c>
      <c r="E39" t="n">
        <v>6</v>
      </c>
      <c r="F39" t="n">
        <v>9</v>
      </c>
      <c r="G39" t="n">
        <v>15054</v>
      </c>
      <c r="H39" t="inlineStr">
        <is>
          <t>Noviembre 2025</t>
        </is>
      </c>
      <c r="I39" t="inlineStr">
        <is>
          <t>2025-11</t>
        </is>
      </c>
      <c r="J39" t="inlineStr">
        <is>
          <t>PAGADO</t>
        </is>
      </c>
      <c r="K39" t="inlineStr">
        <is>
          <t>C.06/09 · cashflow BBVA · gasto personal Sol</t>
        </is>
      </c>
      <c r="L39" t="inlineStr">
        <is>
          <t>Sol</t>
        </is>
      </c>
    </row>
    <row r="40">
      <c r="A40" t="inlineStr">
        <is>
          <t>BBVA TC</t>
        </is>
      </c>
      <c r="B40" s="52" t="n">
        <v>45890</v>
      </c>
      <c r="C40" t="inlineStr">
        <is>
          <t>JACKIESMITH</t>
        </is>
      </c>
      <c r="D40" t="inlineStr">
        <is>
          <t>Personal</t>
        </is>
      </c>
      <c r="E40" t="n">
        <v>4</v>
      </c>
      <c r="F40" t="n">
        <v>6</v>
      </c>
      <c r="G40" t="n">
        <v>10970</v>
      </c>
      <c r="H40" t="inlineStr">
        <is>
          <t>Noviembre 2025</t>
        </is>
      </c>
      <c r="I40" t="inlineStr">
        <is>
          <t>2025-11</t>
        </is>
      </c>
      <c r="J40" t="inlineStr">
        <is>
          <t>PAGADO</t>
        </is>
      </c>
      <c r="K40" t="inlineStr">
        <is>
          <t>C.04/06 · cashflow BBVA · gasto personal Sol</t>
        </is>
      </c>
      <c r="L40" t="inlineStr">
        <is>
          <t>Sol</t>
        </is>
      </c>
    </row>
    <row r="41">
      <c r="A41" t="inlineStr">
        <is>
          <t>BBVA TC</t>
        </is>
      </c>
      <c r="B41" s="52" t="n">
        <v>45895</v>
      </c>
      <c r="C41" t="inlineStr">
        <is>
          <t>MERCADOLIBRE</t>
        </is>
      </c>
      <c r="D41" t="inlineStr">
        <is>
          <t>Mercado Libre</t>
        </is>
      </c>
      <c r="E41" t="n">
        <v>4</v>
      </c>
      <c r="F41" t="n">
        <v>6</v>
      </c>
      <c r="G41" t="n">
        <v>22460</v>
      </c>
      <c r="H41" t="inlineStr">
        <is>
          <t>Noviembre 2025</t>
        </is>
      </c>
      <c r="I41" t="inlineStr">
        <is>
          <t>2025-11</t>
        </is>
      </c>
      <c r="J41" t="inlineStr">
        <is>
          <t>PAGADO</t>
        </is>
      </c>
      <c r="K41" t="inlineStr">
        <is>
          <t>C.04/06 · cashflow BBVA · gasto personal Sol</t>
        </is>
      </c>
      <c r="L41" t="inlineStr">
        <is>
          <t>Sol</t>
        </is>
      </c>
    </row>
    <row r="42">
      <c r="A42" t="inlineStr">
        <is>
          <t>BBVA TC</t>
        </is>
      </c>
      <c r="B42" s="52" t="n">
        <v>45815</v>
      </c>
      <c r="C42" t="inlineStr">
        <is>
          <t>MONSERVO</t>
        </is>
      </c>
      <c r="D42" t="inlineStr">
        <is>
          <t>Personal</t>
        </is>
      </c>
      <c r="E42" t="n">
        <v>6</v>
      </c>
      <c r="F42" t="n">
        <v>9</v>
      </c>
      <c r="G42" t="n">
        <v>6665</v>
      </c>
      <c r="H42" t="inlineStr">
        <is>
          <t>Noviembre 2025</t>
        </is>
      </c>
      <c r="I42" t="inlineStr">
        <is>
          <t>2025-11</t>
        </is>
      </c>
      <c r="J42" t="inlineStr">
        <is>
          <t>PAGADO</t>
        </is>
      </c>
      <c r="K42" t="inlineStr">
        <is>
          <t>C.06/09 · cashflow BBVA · gasto personal Sol</t>
        </is>
      </c>
      <c r="L42" t="inlineStr">
        <is>
          <t>Sol</t>
        </is>
      </c>
    </row>
    <row r="43">
      <c r="A43" t="inlineStr">
        <is>
          <t>BBVA TC</t>
        </is>
      </c>
      <c r="B43" s="52" t="n">
        <v>45949</v>
      </c>
      <c r="C43" t="inlineStr">
        <is>
          <t>SELMAMARTINEZ</t>
        </is>
      </c>
      <c r="D43" t="inlineStr">
        <is>
          <t>Personal</t>
        </is>
      </c>
      <c r="E43" t="n">
        <v>2</v>
      </c>
      <c r="F43" t="n">
        <v>6</v>
      </c>
      <c r="G43" t="n">
        <v>25259</v>
      </c>
      <c r="H43" t="inlineStr">
        <is>
          <t>Noviembre 2025</t>
        </is>
      </c>
      <c r="I43" t="inlineStr">
        <is>
          <t>2025-11</t>
        </is>
      </c>
      <c r="J43" t="inlineStr">
        <is>
          <t>PAGADO</t>
        </is>
      </c>
      <c r="K43" t="inlineStr">
        <is>
          <t>C.02/06 · cashflow BBVA · gasto personal Sol</t>
        </is>
      </c>
      <c r="L43" t="inlineStr">
        <is>
          <t>Sol</t>
        </is>
      </c>
    </row>
    <row r="44">
      <c r="A44" t="inlineStr">
        <is>
          <t>BBVA TC</t>
        </is>
      </c>
      <c r="B44" s="52" t="n">
        <v>45970</v>
      </c>
      <c r="C44" t="inlineStr">
        <is>
          <t>THECANDLESHOP</t>
        </is>
      </c>
      <c r="D44" t="inlineStr">
        <is>
          <t>Personal</t>
        </is>
      </c>
      <c r="E44" t="n">
        <v>1</v>
      </c>
      <c r="F44" t="n">
        <v>3</v>
      </c>
      <c r="G44" t="n">
        <v>71230</v>
      </c>
      <c r="H44" t="inlineStr">
        <is>
          <t>Noviembre 2025</t>
        </is>
      </c>
      <c r="I44" t="inlineStr">
        <is>
          <t>2025-11</t>
        </is>
      </c>
      <c r="J44" t="inlineStr">
        <is>
          <t>PAGADO</t>
        </is>
      </c>
      <c r="K44" t="inlineStr">
        <is>
          <t>C.01/03 · cashflow BBVA · gasto personal Sol</t>
        </is>
      </c>
      <c r="L44" t="inlineStr">
        <is>
          <t>Sol</t>
        </is>
      </c>
    </row>
    <row r="45">
      <c r="A45" t="inlineStr">
        <is>
          <t>BBVA TC</t>
        </is>
      </c>
      <c r="B45" s="52" t="n">
        <v>45953</v>
      </c>
      <c r="C45" t="inlineStr">
        <is>
          <t>2PRODUCTOS</t>
        </is>
      </c>
      <c r="D45" t="inlineStr">
        <is>
          <t>Personal</t>
        </is>
      </c>
      <c r="E45" t="n">
        <v>3</v>
      </c>
      <c r="F45" t="n">
        <v>9</v>
      </c>
      <c r="G45" t="n">
        <v>7367</v>
      </c>
      <c r="H45" t="inlineStr">
        <is>
          <t>Diciembre 2025</t>
        </is>
      </c>
      <c r="I45" t="inlineStr">
        <is>
          <t>2025-12</t>
        </is>
      </c>
      <c r="J45" t="inlineStr">
        <is>
          <t>PAGADO</t>
        </is>
      </c>
      <c r="K45" t="inlineStr">
        <is>
          <t>C.03/09 · cashflow BBVA · gasto personal Sol</t>
        </is>
      </c>
      <c r="L45" t="inlineStr">
        <is>
          <t>Sol</t>
        </is>
      </c>
    </row>
    <row r="46">
      <c r="A46" t="inlineStr">
        <is>
          <t>BBVA TC</t>
        </is>
      </c>
      <c r="B46" s="52" t="n">
        <v>45865</v>
      </c>
      <c r="C46" t="inlineStr">
        <is>
          <t>3PRODUCTOS</t>
        </is>
      </c>
      <c r="D46" t="inlineStr">
        <is>
          <t>Personal</t>
        </is>
      </c>
      <c r="E46" t="n">
        <v>6</v>
      </c>
      <c r="F46" t="n">
        <v>9</v>
      </c>
      <c r="G46" t="n">
        <v>5445</v>
      </c>
      <c r="H46" t="inlineStr">
        <is>
          <t>Diciembre 2025</t>
        </is>
      </c>
      <c r="I46" t="inlineStr">
        <is>
          <t>2025-12</t>
        </is>
      </c>
      <c r="J46" t="inlineStr">
        <is>
          <t>PAGADO</t>
        </is>
      </c>
      <c r="K46" t="inlineStr">
        <is>
          <t>C.06/09 · cashflow BBVA · gasto personal Sol</t>
        </is>
      </c>
      <c r="L46" t="inlineStr">
        <is>
          <t>Sol</t>
        </is>
      </c>
    </row>
    <row r="47">
      <c r="A47" t="inlineStr">
        <is>
          <t>BBVA TC</t>
        </is>
      </c>
      <c r="B47" s="52" t="n">
        <v>45912</v>
      </c>
      <c r="C47" t="inlineStr">
        <is>
          <t>4PRODUCTOS</t>
        </is>
      </c>
      <c r="D47" t="inlineStr">
        <is>
          <t>Personal</t>
        </is>
      </c>
      <c r="E47" t="n">
        <v>4</v>
      </c>
      <c r="F47" t="n">
        <v>6</v>
      </c>
      <c r="G47" t="n">
        <v>13735</v>
      </c>
      <c r="H47" t="inlineStr">
        <is>
          <t>Diciembre 2025</t>
        </is>
      </c>
      <c r="I47" t="inlineStr">
        <is>
          <t>2025-12</t>
        </is>
      </c>
      <c r="J47" t="inlineStr">
        <is>
          <t>PAGADO</t>
        </is>
      </c>
      <c r="K47" t="inlineStr">
        <is>
          <t>C.04/06 · cashflow BBVA · gasto personal Sol</t>
        </is>
      </c>
      <c r="L47" t="inlineStr">
        <is>
          <t>Sol</t>
        </is>
      </c>
    </row>
    <row r="48">
      <c r="A48" t="inlineStr">
        <is>
          <t>BBVA TC</t>
        </is>
      </c>
      <c r="B48" s="52" t="n">
        <v>45918</v>
      </c>
      <c r="C48" t="inlineStr">
        <is>
          <t>BOSSRECOVERY</t>
        </is>
      </c>
      <c r="D48" t="inlineStr">
        <is>
          <t>Personal</t>
        </is>
      </c>
      <c r="E48" t="n">
        <v>4</v>
      </c>
      <c r="F48" t="n">
        <v>6</v>
      </c>
      <c r="G48" t="n">
        <v>299834</v>
      </c>
      <c r="H48" t="inlineStr">
        <is>
          <t>Diciembre 2025</t>
        </is>
      </c>
      <c r="I48" t="inlineStr">
        <is>
          <t>2025-12</t>
        </is>
      </c>
      <c r="J48" t="inlineStr">
        <is>
          <t>PAGADO</t>
        </is>
      </c>
      <c r="K48" t="inlineStr">
        <is>
          <t>C.04/06 · cashflow BBVA · gasto personal Sol</t>
        </is>
      </c>
      <c r="L48" t="inlineStr">
        <is>
          <t>Sol</t>
        </is>
      </c>
    </row>
    <row r="49">
      <c r="A49" t="inlineStr">
        <is>
          <t>BBVA TC</t>
        </is>
      </c>
      <c r="B49" s="52" t="n">
        <v>45789</v>
      </c>
      <c r="C49" t="inlineStr">
        <is>
          <t>DIEGOJULIANKOZ</t>
        </is>
      </c>
      <c r="D49" t="inlineStr">
        <is>
          <t>Personal</t>
        </is>
      </c>
      <c r="E49" t="n">
        <v>8</v>
      </c>
      <c r="F49" t="n">
        <v>9</v>
      </c>
      <c r="G49" t="n">
        <v>84906</v>
      </c>
      <c r="H49" t="inlineStr">
        <is>
          <t>Diciembre 2025</t>
        </is>
      </c>
      <c r="I49" t="inlineStr">
        <is>
          <t>2025-12</t>
        </is>
      </c>
      <c r="J49" t="inlineStr">
        <is>
          <t>PAGADO</t>
        </is>
      </c>
      <c r="K49" t="inlineStr">
        <is>
          <t>C.08/09 · cashflow BBVA · gasto personal Sol</t>
        </is>
      </c>
      <c r="L49" t="inlineStr">
        <is>
          <t>Sol</t>
        </is>
      </c>
    </row>
    <row r="50">
      <c r="A50" t="inlineStr">
        <is>
          <t>BBVA TC</t>
        </is>
      </c>
      <c r="B50" s="52" t="n">
        <v>45827</v>
      </c>
      <c r="C50" t="inlineStr">
        <is>
          <t>ELCACOSMETICOSINC</t>
        </is>
      </c>
      <c r="D50" t="inlineStr">
        <is>
          <t>Personal</t>
        </is>
      </c>
      <c r="E50" t="n">
        <v>7</v>
      </c>
      <c r="F50" t="n">
        <v>9</v>
      </c>
      <c r="G50" t="n">
        <v>15054</v>
      </c>
      <c r="H50" t="inlineStr">
        <is>
          <t>Diciembre 2025</t>
        </is>
      </c>
      <c r="I50" t="inlineStr">
        <is>
          <t>2025-12</t>
        </is>
      </c>
      <c r="J50" t="inlineStr">
        <is>
          <t>PAGADO</t>
        </is>
      </c>
      <c r="K50" t="inlineStr">
        <is>
          <t>C.07/09 · cashflow BBVA · gasto personal Sol</t>
        </is>
      </c>
      <c r="L50" t="inlineStr">
        <is>
          <t>Sol</t>
        </is>
      </c>
    </row>
    <row r="51">
      <c r="A51" t="inlineStr">
        <is>
          <t>BBVA TC</t>
        </is>
      </c>
      <c r="B51" s="52" t="n">
        <v>45890</v>
      </c>
      <c r="C51" t="inlineStr">
        <is>
          <t>JACKIESMITH</t>
        </is>
      </c>
      <c r="D51" t="inlineStr">
        <is>
          <t>Personal</t>
        </is>
      </c>
      <c r="E51" t="n">
        <v>5</v>
      </c>
      <c r="F51" t="n">
        <v>6</v>
      </c>
      <c r="G51" t="n">
        <v>10970</v>
      </c>
      <c r="H51" t="inlineStr">
        <is>
          <t>Diciembre 2025</t>
        </is>
      </c>
      <c r="I51" t="inlineStr">
        <is>
          <t>2025-12</t>
        </is>
      </c>
      <c r="J51" t="inlineStr">
        <is>
          <t>PAGADO</t>
        </is>
      </c>
      <c r="K51" t="inlineStr">
        <is>
          <t>C.05/06 · cashflow BBVA · gasto personal Sol</t>
        </is>
      </c>
      <c r="L51" t="inlineStr">
        <is>
          <t>Sol</t>
        </is>
      </c>
    </row>
    <row r="52">
      <c r="A52" t="inlineStr">
        <is>
          <t>BBVA TC</t>
        </is>
      </c>
      <c r="B52" s="52" t="n">
        <v>45895</v>
      </c>
      <c r="C52" t="inlineStr">
        <is>
          <t>MERCADOLIBRE</t>
        </is>
      </c>
      <c r="D52" t="inlineStr">
        <is>
          <t>Mercado Libre</t>
        </is>
      </c>
      <c r="E52" t="n">
        <v>5</v>
      </c>
      <c r="F52" t="n">
        <v>6</v>
      </c>
      <c r="G52" t="n">
        <v>22460</v>
      </c>
      <c r="H52" t="inlineStr">
        <is>
          <t>Diciembre 2025</t>
        </is>
      </c>
      <c r="I52" t="inlineStr">
        <is>
          <t>2025-12</t>
        </is>
      </c>
      <c r="J52" t="inlineStr">
        <is>
          <t>PAGADO</t>
        </is>
      </c>
      <c r="K52" t="inlineStr">
        <is>
          <t>C.05/06 · cashflow BBVA · gasto personal Sol</t>
        </is>
      </c>
      <c r="L52" t="inlineStr">
        <is>
          <t>Sol</t>
        </is>
      </c>
    </row>
    <row r="53">
      <c r="A53" t="inlineStr">
        <is>
          <t>BBVA TC</t>
        </is>
      </c>
      <c r="B53" s="52" t="n">
        <v>45815</v>
      </c>
      <c r="C53" t="inlineStr">
        <is>
          <t>MONSERVO</t>
        </is>
      </c>
      <c r="D53" t="inlineStr">
        <is>
          <t>Personal</t>
        </is>
      </c>
      <c r="E53" t="n">
        <v>7</v>
      </c>
      <c r="F53" t="n">
        <v>9</v>
      </c>
      <c r="G53" t="n">
        <v>6665</v>
      </c>
      <c r="H53" t="inlineStr">
        <is>
          <t>Diciembre 2025</t>
        </is>
      </c>
      <c r="I53" t="inlineStr">
        <is>
          <t>2025-12</t>
        </is>
      </c>
      <c r="J53" t="inlineStr">
        <is>
          <t>PAGADO</t>
        </is>
      </c>
      <c r="K53" t="inlineStr">
        <is>
          <t>C.07/09 · cashflow BBVA · gasto personal Sol</t>
        </is>
      </c>
      <c r="L53" t="inlineStr">
        <is>
          <t>Sol</t>
        </is>
      </c>
    </row>
    <row r="54">
      <c r="A54" t="inlineStr">
        <is>
          <t>BBVA TC</t>
        </is>
      </c>
      <c r="B54" s="52" t="n">
        <v>46016</v>
      </c>
      <c r="C54" t="inlineStr">
        <is>
          <t>PANALESENOFER</t>
        </is>
      </c>
      <c r="D54" t="inlineStr">
        <is>
          <t>Personal</t>
        </is>
      </c>
      <c r="E54" t="n">
        <v>1</v>
      </c>
      <c r="F54" t="n">
        <v>2</v>
      </c>
      <c r="G54" t="n">
        <v>16335</v>
      </c>
      <c r="H54" t="inlineStr">
        <is>
          <t>Diciembre 2025</t>
        </is>
      </c>
      <c r="I54" t="inlineStr">
        <is>
          <t>2025-12</t>
        </is>
      </c>
      <c r="J54" t="inlineStr">
        <is>
          <t>PAGADO</t>
        </is>
      </c>
      <c r="K54" t="inlineStr">
        <is>
          <t>C.01/02 · cashflow BBVA · gasto personal Sol</t>
        </is>
      </c>
      <c r="L54" t="inlineStr">
        <is>
          <t>Sol</t>
        </is>
      </c>
    </row>
    <row r="55">
      <c r="A55" t="inlineStr">
        <is>
          <t>BBVA TC</t>
        </is>
      </c>
      <c r="B55" s="52" t="n">
        <v>45949</v>
      </c>
      <c r="C55" t="inlineStr">
        <is>
          <t>SELMAMARTINEZ</t>
        </is>
      </c>
      <c r="D55" t="inlineStr">
        <is>
          <t>Personal</t>
        </is>
      </c>
      <c r="E55" t="n">
        <v>3</v>
      </c>
      <c r="F55" t="n">
        <v>6</v>
      </c>
      <c r="G55" t="n">
        <v>25259</v>
      </c>
      <c r="H55" t="inlineStr">
        <is>
          <t>Diciembre 2025</t>
        </is>
      </c>
      <c r="I55" t="inlineStr">
        <is>
          <t>2025-12</t>
        </is>
      </c>
      <c r="J55" t="inlineStr">
        <is>
          <t>PAGADO</t>
        </is>
      </c>
      <c r="K55" t="inlineStr">
        <is>
          <t>C.03/06 · cashflow BBVA · gasto personal Sol</t>
        </is>
      </c>
      <c r="L55" t="inlineStr">
        <is>
          <t>Sol</t>
        </is>
      </c>
    </row>
    <row r="56">
      <c r="A56" t="inlineStr">
        <is>
          <t>BBVA TC</t>
        </is>
      </c>
      <c r="B56" s="52" t="n">
        <v>45970</v>
      </c>
      <c r="C56" t="inlineStr">
        <is>
          <t>THECANDLESHOP</t>
        </is>
      </c>
      <c r="D56" t="inlineStr">
        <is>
          <t>Personal</t>
        </is>
      </c>
      <c r="E56" t="n">
        <v>2</v>
      </c>
      <c r="F56" t="n">
        <v>3</v>
      </c>
      <c r="G56" t="n">
        <v>71230</v>
      </c>
      <c r="H56" t="inlineStr">
        <is>
          <t>Diciembre 2025</t>
        </is>
      </c>
      <c r="I56" t="inlineStr">
        <is>
          <t>2025-12</t>
        </is>
      </c>
      <c r="J56" t="inlineStr">
        <is>
          <t>PAGADO</t>
        </is>
      </c>
      <c r="K56" t="inlineStr">
        <is>
          <t>C.02/03 · cashflow BBVA · gasto personal Sol</t>
        </is>
      </c>
      <c r="L56" t="inlineStr">
        <is>
          <t>Sol</t>
        </is>
      </c>
    </row>
    <row r="57">
      <c r="A57" t="inlineStr">
        <is>
          <t>BBVA TC</t>
        </is>
      </c>
      <c r="B57" s="52" t="n">
        <v>45953</v>
      </c>
      <c r="C57" t="inlineStr">
        <is>
          <t>2PRODUCTOS</t>
        </is>
      </c>
      <c r="D57" t="inlineStr">
        <is>
          <t>Personal</t>
        </is>
      </c>
      <c r="E57" t="n">
        <v>4</v>
      </c>
      <c r="F57" t="n">
        <v>9</v>
      </c>
      <c r="G57" t="n">
        <v>7367</v>
      </c>
      <c r="H57" t="inlineStr">
        <is>
          <t>Enero 2026</t>
        </is>
      </c>
      <c r="I57" t="inlineStr">
        <is>
          <t>2026-01</t>
        </is>
      </c>
      <c r="J57" t="inlineStr">
        <is>
          <t>PAGADO</t>
        </is>
      </c>
      <c r="K57" t="inlineStr">
        <is>
          <t>C.04/09 · cashflow BBVA · gasto personal Sol</t>
        </is>
      </c>
      <c r="L57" t="inlineStr">
        <is>
          <t>Sol</t>
        </is>
      </c>
    </row>
    <row r="58">
      <c r="A58" t="inlineStr">
        <is>
          <t>BBVA TC</t>
        </is>
      </c>
      <c r="B58" s="52" t="n">
        <v>45865</v>
      </c>
      <c r="C58" t="inlineStr">
        <is>
          <t>3PRODUCTOS</t>
        </is>
      </c>
      <c r="D58" t="inlineStr">
        <is>
          <t>Personal</t>
        </is>
      </c>
      <c r="E58" t="n">
        <v>7</v>
      </c>
      <c r="F58" t="n">
        <v>9</v>
      </c>
      <c r="G58" t="n">
        <v>5445</v>
      </c>
      <c r="H58" t="inlineStr">
        <is>
          <t>Enero 2026</t>
        </is>
      </c>
      <c r="I58" t="inlineStr">
        <is>
          <t>2026-01</t>
        </is>
      </c>
      <c r="J58" t="inlineStr">
        <is>
          <t>PAGADO</t>
        </is>
      </c>
      <c r="K58" t="inlineStr">
        <is>
          <t>C.07/09 · cashflow BBVA · gasto personal Sol</t>
        </is>
      </c>
      <c r="L58" t="inlineStr">
        <is>
          <t>Sol</t>
        </is>
      </c>
    </row>
    <row r="59">
      <c r="A59" t="inlineStr">
        <is>
          <t>BBVA TC</t>
        </is>
      </c>
      <c r="B59" s="52" t="n">
        <v>45912</v>
      </c>
      <c r="C59" t="inlineStr">
        <is>
          <t>4PRODUCTOS</t>
        </is>
      </c>
      <c r="D59" t="inlineStr">
        <is>
          <t>Personal</t>
        </is>
      </c>
      <c r="E59" t="n">
        <v>5</v>
      </c>
      <c r="F59" t="n">
        <v>6</v>
      </c>
      <c r="G59" t="n">
        <v>13735</v>
      </c>
      <c r="H59" t="inlineStr">
        <is>
          <t>Enero 2026</t>
        </is>
      </c>
      <c r="I59" t="inlineStr">
        <is>
          <t>2026-01</t>
        </is>
      </c>
      <c r="J59" t="inlineStr">
        <is>
          <t>PAGADO</t>
        </is>
      </c>
      <c r="K59" t="inlineStr">
        <is>
          <t>C.05/06 · cashflow BBVA · gasto personal Sol</t>
        </is>
      </c>
      <c r="L59" t="inlineStr">
        <is>
          <t>Sol</t>
        </is>
      </c>
    </row>
    <row r="60">
      <c r="A60" t="inlineStr">
        <is>
          <t>BBVA TC</t>
        </is>
      </c>
      <c r="B60" s="52" t="n">
        <v>46033</v>
      </c>
      <c r="C60" t="inlineStr">
        <is>
          <t>ARTEREGAL</t>
        </is>
      </c>
      <c r="D60" t="inlineStr">
        <is>
          <t>Personal</t>
        </is>
      </c>
      <c r="E60" t="n">
        <v>1</v>
      </c>
      <c r="F60" t="n">
        <v>3</v>
      </c>
      <c r="G60" t="n">
        <v>24800</v>
      </c>
      <c r="H60" t="inlineStr">
        <is>
          <t>Enero 2026</t>
        </is>
      </c>
      <c r="I60" t="inlineStr">
        <is>
          <t>2026-01</t>
        </is>
      </c>
      <c r="J60" t="inlineStr">
        <is>
          <t>PAGADO</t>
        </is>
      </c>
      <c r="K60" t="inlineStr">
        <is>
          <t>C.01/03 · cashflow BBVA · gasto personal Sol</t>
        </is>
      </c>
      <c r="L60" t="inlineStr">
        <is>
          <t>Sol</t>
        </is>
      </c>
    </row>
    <row r="61">
      <c r="A61" t="inlineStr">
        <is>
          <t>BBVA TC</t>
        </is>
      </c>
      <c r="B61" s="52" t="n">
        <v>45918</v>
      </c>
      <c r="C61" t="inlineStr">
        <is>
          <t>BOSSRECOVERY</t>
        </is>
      </c>
      <c r="D61" t="inlineStr">
        <is>
          <t>Personal</t>
        </is>
      </c>
      <c r="E61" t="n">
        <v>5</v>
      </c>
      <c r="F61" t="n">
        <v>6</v>
      </c>
      <c r="G61" t="n">
        <v>299834</v>
      </c>
      <c r="H61" t="inlineStr">
        <is>
          <t>Enero 2026</t>
        </is>
      </c>
      <c r="I61" t="inlineStr">
        <is>
          <t>2026-01</t>
        </is>
      </c>
      <c r="J61" t="inlineStr">
        <is>
          <t>PAGADO</t>
        </is>
      </c>
      <c r="K61" t="inlineStr">
        <is>
          <t>C.05/06 · cashflow BBVA · gasto personal Sol</t>
        </is>
      </c>
      <c r="L61" t="inlineStr">
        <is>
          <t>Sol</t>
        </is>
      </c>
    </row>
    <row r="62">
      <c r="A62" t="inlineStr">
        <is>
          <t>BBVA TC</t>
        </is>
      </c>
      <c r="B62" s="52" t="n">
        <v>45789</v>
      </c>
      <c r="C62" t="inlineStr">
        <is>
          <t>DIEGOJULIANKOZ</t>
        </is>
      </c>
      <c r="D62" t="inlineStr">
        <is>
          <t>Personal</t>
        </is>
      </c>
      <c r="E62" t="n">
        <v>9</v>
      </c>
      <c r="F62" t="n">
        <v>9</v>
      </c>
      <c r="G62" t="n">
        <v>84906</v>
      </c>
      <c r="H62" t="inlineStr">
        <is>
          <t>Enero 2026</t>
        </is>
      </c>
      <c r="I62" t="inlineStr">
        <is>
          <t>2026-01</t>
        </is>
      </c>
      <c r="J62" t="inlineStr">
        <is>
          <t>PAGADO</t>
        </is>
      </c>
      <c r="K62" t="inlineStr">
        <is>
          <t>C.09/09 · cashflow BBVA · gasto personal Sol</t>
        </is>
      </c>
      <c r="L62" t="inlineStr">
        <is>
          <t>Sol</t>
        </is>
      </c>
    </row>
    <row r="63">
      <c r="A63" t="inlineStr">
        <is>
          <t>BBVA TC</t>
        </is>
      </c>
      <c r="B63" s="52" t="n">
        <v>46032</v>
      </c>
      <c r="C63" t="inlineStr">
        <is>
          <t>DLO*SANBRAS</t>
        </is>
      </c>
      <c r="D63" t="inlineStr">
        <is>
          <t>Personal</t>
        </is>
      </c>
      <c r="E63" t="n">
        <v>1</v>
      </c>
      <c r="F63" t="n">
        <v>3</v>
      </c>
      <c r="G63" t="n">
        <v>40334</v>
      </c>
      <c r="H63" t="inlineStr">
        <is>
          <t>Enero 2026</t>
        </is>
      </c>
      <c r="I63" t="inlineStr">
        <is>
          <t>2026-01</t>
        </is>
      </c>
      <c r="J63" t="inlineStr">
        <is>
          <t>PAGADO</t>
        </is>
      </c>
      <c r="K63" t="inlineStr">
        <is>
          <t>C.01/03 · cashflow BBVA · gasto personal Sol</t>
        </is>
      </c>
      <c r="L63" t="inlineStr">
        <is>
          <t>Sol</t>
        </is>
      </c>
    </row>
    <row r="64">
      <c r="A64" t="inlineStr">
        <is>
          <t>BBVA TC</t>
        </is>
      </c>
      <c r="B64" s="52" t="n">
        <v>45827</v>
      </c>
      <c r="C64" t="inlineStr">
        <is>
          <t>ELCACOSMETICOSINC</t>
        </is>
      </c>
      <c r="D64" t="inlineStr">
        <is>
          <t>Personal</t>
        </is>
      </c>
      <c r="E64" t="n">
        <v>8</v>
      </c>
      <c r="F64" t="n">
        <v>9</v>
      </c>
      <c r="G64" t="n">
        <v>15054</v>
      </c>
      <c r="H64" t="inlineStr">
        <is>
          <t>Enero 2026</t>
        </is>
      </c>
      <c r="I64" t="inlineStr">
        <is>
          <t>2026-01</t>
        </is>
      </c>
      <c r="J64" t="inlineStr">
        <is>
          <t>PAGADO</t>
        </is>
      </c>
      <c r="K64" t="inlineStr">
        <is>
          <t>C.08/09 · cashflow BBVA · gasto personal Sol</t>
        </is>
      </c>
      <c r="L64" t="inlineStr">
        <is>
          <t>Sol</t>
        </is>
      </c>
    </row>
    <row r="65">
      <c r="A65" t="inlineStr">
        <is>
          <t>BBVA TC</t>
        </is>
      </c>
      <c r="B65" s="52" t="n">
        <v>45890</v>
      </c>
      <c r="C65" t="inlineStr">
        <is>
          <t>JACKIESMITH</t>
        </is>
      </c>
      <c r="D65" t="inlineStr">
        <is>
          <t>Personal</t>
        </is>
      </c>
      <c r="E65" t="n">
        <v>6</v>
      </c>
      <c r="F65" t="n">
        <v>6</v>
      </c>
      <c r="G65" t="n">
        <v>10970</v>
      </c>
      <c r="H65" t="inlineStr">
        <is>
          <t>Enero 2026</t>
        </is>
      </c>
      <c r="I65" t="inlineStr">
        <is>
          <t>2026-01</t>
        </is>
      </c>
      <c r="J65" t="inlineStr">
        <is>
          <t>PAGADO</t>
        </is>
      </c>
      <c r="K65" t="inlineStr">
        <is>
          <t>C.06/06 · cashflow BBVA · gasto personal Sol</t>
        </is>
      </c>
      <c r="L65" t="inlineStr">
        <is>
          <t>Sol</t>
        </is>
      </c>
    </row>
    <row r="66">
      <c r="A66" t="inlineStr">
        <is>
          <t>BBVA TC</t>
        </is>
      </c>
      <c r="B66" s="52" t="n">
        <v>46021</v>
      </c>
      <c r="C66" t="inlineStr">
        <is>
          <t>LONGCHAMP</t>
        </is>
      </c>
      <c r="D66" t="inlineStr">
        <is>
          <t>ROPA</t>
        </is>
      </c>
      <c r="E66" t="n">
        <v>1</v>
      </c>
      <c r="F66" t="n">
        <v>6</v>
      </c>
      <c r="G66" t="n">
        <v>63750</v>
      </c>
      <c r="H66" t="inlineStr">
        <is>
          <t>Enero 2026</t>
        </is>
      </c>
      <c r="I66" t="inlineStr">
        <is>
          <t>2026-01</t>
        </is>
      </c>
      <c r="J66" t="inlineStr">
        <is>
          <t>PAGADO</t>
        </is>
      </c>
      <c r="K66" t="inlineStr">
        <is>
          <t>C.01/06 · cashflow BBVA · gasto personal Sol</t>
        </is>
      </c>
      <c r="L66" t="inlineStr">
        <is>
          <t>Sol</t>
        </is>
      </c>
    </row>
    <row r="67">
      <c r="A67" t="inlineStr">
        <is>
          <t>BBVA TC</t>
        </is>
      </c>
      <c r="B67" s="52" t="n">
        <v>45895</v>
      </c>
      <c r="C67" t="inlineStr">
        <is>
          <t>MERCADOLIBRE</t>
        </is>
      </c>
      <c r="D67" t="inlineStr">
        <is>
          <t>Mercado Libre</t>
        </is>
      </c>
      <c r="E67" t="n">
        <v>6</v>
      </c>
      <c r="F67" t="n">
        <v>6</v>
      </c>
      <c r="G67" t="n">
        <v>22460</v>
      </c>
      <c r="H67" t="inlineStr">
        <is>
          <t>Enero 2026</t>
        </is>
      </c>
      <c r="I67" t="inlineStr">
        <is>
          <t>2026-01</t>
        </is>
      </c>
      <c r="J67" t="inlineStr">
        <is>
          <t>PAGADO</t>
        </is>
      </c>
      <c r="K67" t="inlineStr">
        <is>
          <t>C.06/06 · cashflow BBVA · gasto personal Sol</t>
        </is>
      </c>
      <c r="L67" t="inlineStr">
        <is>
          <t>Sol</t>
        </is>
      </c>
    </row>
    <row r="68">
      <c r="A68" t="inlineStr">
        <is>
          <t>BBVA TC</t>
        </is>
      </c>
      <c r="B68" s="52" t="n">
        <v>45815</v>
      </c>
      <c r="C68" t="inlineStr">
        <is>
          <t>MONSERVO</t>
        </is>
      </c>
      <c r="D68" t="inlineStr">
        <is>
          <t>Personal</t>
        </is>
      </c>
      <c r="E68" t="n">
        <v>8</v>
      </c>
      <c r="F68" t="n">
        <v>9</v>
      </c>
      <c r="G68" t="n">
        <v>6665</v>
      </c>
      <c r="H68" t="inlineStr">
        <is>
          <t>Enero 2026</t>
        </is>
      </c>
      <c r="I68" t="inlineStr">
        <is>
          <t>2026-01</t>
        </is>
      </c>
      <c r="J68" t="inlineStr">
        <is>
          <t>PAGADO</t>
        </is>
      </c>
      <c r="K68" t="inlineStr">
        <is>
          <t>C.08/09 · cashflow BBVA · gasto personal Sol</t>
        </is>
      </c>
      <c r="L68" t="inlineStr">
        <is>
          <t>Sol</t>
        </is>
      </c>
    </row>
    <row r="69">
      <c r="A69" t="inlineStr">
        <is>
          <t>BBVA TC</t>
        </is>
      </c>
      <c r="B69" s="52" t="n">
        <v>46016</v>
      </c>
      <c r="C69" t="inlineStr">
        <is>
          <t>PANALESENOFER</t>
        </is>
      </c>
      <c r="D69" t="inlineStr">
        <is>
          <t>Personal</t>
        </is>
      </c>
      <c r="E69" t="n">
        <v>2</v>
      </c>
      <c r="F69" t="n">
        <v>2</v>
      </c>
      <c r="G69" t="n">
        <v>16335</v>
      </c>
      <c r="H69" t="inlineStr">
        <is>
          <t>Enero 2026</t>
        </is>
      </c>
      <c r="I69" t="inlineStr">
        <is>
          <t>2026-01</t>
        </is>
      </c>
      <c r="J69" t="inlineStr">
        <is>
          <t>PAGADO</t>
        </is>
      </c>
      <c r="K69" t="inlineStr">
        <is>
          <t>C.02/02 · cashflow BBVA · gasto personal Sol</t>
        </is>
      </c>
      <c r="L69" t="inlineStr">
        <is>
          <t>Sol</t>
        </is>
      </c>
    </row>
    <row r="70">
      <c r="A70" t="inlineStr">
        <is>
          <t>BBVA TC</t>
        </is>
      </c>
      <c r="B70" s="52" t="n">
        <v>45949</v>
      </c>
      <c r="C70" t="inlineStr">
        <is>
          <t>SELMAMARTINEZ</t>
        </is>
      </c>
      <c r="D70" t="inlineStr">
        <is>
          <t>Personal</t>
        </is>
      </c>
      <c r="E70" t="n">
        <v>4</v>
      </c>
      <c r="F70" t="n">
        <v>6</v>
      </c>
      <c r="G70" t="n">
        <v>25259</v>
      </c>
      <c r="H70" t="inlineStr">
        <is>
          <t>Enero 2026</t>
        </is>
      </c>
      <c r="I70" t="inlineStr">
        <is>
          <t>2026-01</t>
        </is>
      </c>
      <c r="J70" t="inlineStr">
        <is>
          <t>PAGADO</t>
        </is>
      </c>
      <c r="K70" t="inlineStr">
        <is>
          <t>C.04/06 · cashflow BBVA · gasto personal Sol</t>
        </is>
      </c>
      <c r="L70" t="inlineStr">
        <is>
          <t>Sol</t>
        </is>
      </c>
    </row>
    <row r="71">
      <c r="A71" t="inlineStr">
        <is>
          <t>BBVA TC</t>
        </is>
      </c>
      <c r="B71" s="52" t="n">
        <v>45970</v>
      </c>
      <c r="C71" t="inlineStr">
        <is>
          <t>THECANDLESHOP</t>
        </is>
      </c>
      <c r="D71" t="inlineStr">
        <is>
          <t>Personal</t>
        </is>
      </c>
      <c r="E71" t="n">
        <v>3</v>
      </c>
      <c r="F71" t="n">
        <v>3</v>
      </c>
      <c r="G71" t="n">
        <v>71230</v>
      </c>
      <c r="H71" t="inlineStr">
        <is>
          <t>Enero 2026</t>
        </is>
      </c>
      <c r="I71" t="inlineStr">
        <is>
          <t>2026-01</t>
        </is>
      </c>
      <c r="J71" t="inlineStr">
        <is>
          <t>PAGADO</t>
        </is>
      </c>
      <c r="K71" t="inlineStr">
        <is>
          <t>C.03/03 · cashflow BBVA · gasto personal Sol</t>
        </is>
      </c>
      <c r="L71" t="inlineStr">
        <is>
          <t>Sol</t>
        </is>
      </c>
    </row>
    <row r="72">
      <c r="A72" t="inlineStr">
        <is>
          <t>BBVA TC</t>
        </is>
      </c>
      <c r="B72" s="52" t="n">
        <v>46046</v>
      </c>
      <c r="C72" t="inlineStr">
        <is>
          <t>TODOVISION</t>
        </is>
      </c>
      <c r="D72" t="inlineStr">
        <is>
          <t>Personal</t>
        </is>
      </c>
      <c r="E72" t="n">
        <v>1</v>
      </c>
      <c r="F72" t="n">
        <v>2</v>
      </c>
      <c r="G72" t="n">
        <v>28999</v>
      </c>
      <c r="H72" t="inlineStr">
        <is>
          <t>Enero 2026</t>
        </is>
      </c>
      <c r="I72" t="inlineStr">
        <is>
          <t>2026-01</t>
        </is>
      </c>
      <c r="J72" t="inlineStr">
        <is>
          <t>PAGADO</t>
        </is>
      </c>
      <c r="K72" t="inlineStr">
        <is>
          <t>C.01/02 · cashflow BBVA · gasto personal Sol</t>
        </is>
      </c>
      <c r="L72" t="inlineStr">
        <is>
          <t>Sol</t>
        </is>
      </c>
    </row>
    <row r="73">
      <c r="A73" t="inlineStr">
        <is>
          <t>BBVA TC</t>
        </is>
      </c>
      <c r="B73" s="52" t="n">
        <v>45953</v>
      </c>
      <c r="C73" t="inlineStr">
        <is>
          <t>2PRODUCTOS</t>
        </is>
      </c>
      <c r="D73" t="inlineStr">
        <is>
          <t>Personal</t>
        </is>
      </c>
      <c r="E73" t="n">
        <v>5</v>
      </c>
      <c r="F73" t="n">
        <v>9</v>
      </c>
      <c r="G73" t="n">
        <v>7367</v>
      </c>
      <c r="H73" t="inlineStr">
        <is>
          <t>Febrero 2026</t>
        </is>
      </c>
      <c r="I73" t="inlineStr">
        <is>
          <t>2026-02</t>
        </is>
      </c>
      <c r="J73" t="inlineStr">
        <is>
          <t>PAGADO</t>
        </is>
      </c>
      <c r="K73" t="inlineStr">
        <is>
          <t>C.05/09 · cashflow BBVA · gasto personal Sol</t>
        </is>
      </c>
      <c r="L73" t="inlineStr">
        <is>
          <t>Sol</t>
        </is>
      </c>
    </row>
    <row r="74">
      <c r="A74" t="inlineStr">
        <is>
          <t>BBVA TC</t>
        </is>
      </c>
      <c r="B74" s="52" t="n">
        <v>45865</v>
      </c>
      <c r="C74" t="inlineStr">
        <is>
          <t>3PRODUCTOS</t>
        </is>
      </c>
      <c r="D74" t="inlineStr">
        <is>
          <t>Personal</t>
        </is>
      </c>
      <c r="E74" t="n">
        <v>8</v>
      </c>
      <c r="F74" t="n">
        <v>9</v>
      </c>
      <c r="G74" t="n">
        <v>5445</v>
      </c>
      <c r="H74" t="inlineStr">
        <is>
          <t>Febrero 2026</t>
        </is>
      </c>
      <c r="I74" t="inlineStr">
        <is>
          <t>2026-02</t>
        </is>
      </c>
      <c r="J74" t="inlineStr">
        <is>
          <t>PAGADO</t>
        </is>
      </c>
      <c r="K74" t="inlineStr">
        <is>
          <t>C.08/09 · cashflow BBVA · gasto personal Sol</t>
        </is>
      </c>
      <c r="L74" t="inlineStr">
        <is>
          <t>Sol</t>
        </is>
      </c>
    </row>
    <row r="75">
      <c r="A75" t="inlineStr">
        <is>
          <t>BBVA TC</t>
        </is>
      </c>
      <c r="B75" s="52" t="n">
        <v>45912</v>
      </c>
      <c r="C75" t="inlineStr">
        <is>
          <t>4PRODUCTOS</t>
        </is>
      </c>
      <c r="D75" t="inlineStr">
        <is>
          <t>Personal</t>
        </is>
      </c>
      <c r="E75" t="n">
        <v>6</v>
      </c>
      <c r="F75" t="n">
        <v>6</v>
      </c>
      <c r="G75" t="n">
        <v>13735</v>
      </c>
      <c r="H75" t="inlineStr">
        <is>
          <t>Febrero 2026</t>
        </is>
      </c>
      <c r="I75" t="inlineStr">
        <is>
          <t>2026-02</t>
        </is>
      </c>
      <c r="J75" t="inlineStr">
        <is>
          <t>PAGADO</t>
        </is>
      </c>
      <c r="K75" t="inlineStr">
        <is>
          <t>C.06/06 · cashflow BBVA · gasto personal Sol</t>
        </is>
      </c>
      <c r="L75" t="inlineStr">
        <is>
          <t>Sol</t>
        </is>
      </c>
    </row>
    <row r="76">
      <c r="A76" t="inlineStr">
        <is>
          <t>BBVA TC</t>
        </is>
      </c>
      <c r="B76" s="52" t="n">
        <v>46033</v>
      </c>
      <c r="C76" t="inlineStr">
        <is>
          <t>ARTEREGAL</t>
        </is>
      </c>
      <c r="D76" t="inlineStr">
        <is>
          <t>Personal</t>
        </is>
      </c>
      <c r="E76" t="n">
        <v>2</v>
      </c>
      <c r="F76" t="n">
        <v>3</v>
      </c>
      <c r="G76" t="n">
        <v>24800</v>
      </c>
      <c r="H76" t="inlineStr">
        <is>
          <t>Febrero 2026</t>
        </is>
      </c>
      <c r="I76" t="inlineStr">
        <is>
          <t>2026-02</t>
        </is>
      </c>
      <c r="J76" t="inlineStr">
        <is>
          <t>PAGADO</t>
        </is>
      </c>
      <c r="K76" t="inlineStr">
        <is>
          <t>C.02/03 · cashflow BBVA · gasto personal Sol</t>
        </is>
      </c>
      <c r="L76" t="inlineStr">
        <is>
          <t>Sol</t>
        </is>
      </c>
    </row>
    <row r="77">
      <c r="A77" t="inlineStr">
        <is>
          <t>BBVA TC</t>
        </is>
      </c>
      <c r="B77" s="52" t="n">
        <v>45918</v>
      </c>
      <c r="C77" t="inlineStr">
        <is>
          <t>BOSSRECOVERY</t>
        </is>
      </c>
      <c r="D77" t="inlineStr">
        <is>
          <t>Personal</t>
        </is>
      </c>
      <c r="E77" t="n">
        <v>6</v>
      </c>
      <c r="F77" t="n">
        <v>6</v>
      </c>
      <c r="G77" t="n">
        <v>299834</v>
      </c>
      <c r="H77" t="inlineStr">
        <is>
          <t>Febrero 2026</t>
        </is>
      </c>
      <c r="I77" t="inlineStr">
        <is>
          <t>2026-02</t>
        </is>
      </c>
      <c r="J77" t="inlineStr">
        <is>
          <t>PAGADO</t>
        </is>
      </c>
      <c r="K77" t="inlineStr">
        <is>
          <t>C.06/06 · cashflow BBVA · gasto personal Sol</t>
        </is>
      </c>
      <c r="L77" t="inlineStr">
        <is>
          <t>Sol</t>
        </is>
      </c>
    </row>
    <row r="78">
      <c r="A78" t="inlineStr">
        <is>
          <t>BBVA TC</t>
        </is>
      </c>
      <c r="B78" s="52" t="n">
        <v>46032</v>
      </c>
      <c r="C78" t="inlineStr">
        <is>
          <t>DLO*SANBRAS</t>
        </is>
      </c>
      <c r="D78" t="inlineStr">
        <is>
          <t>Personal</t>
        </is>
      </c>
      <c r="E78" t="n">
        <v>2</v>
      </c>
      <c r="F78" t="n">
        <v>3</v>
      </c>
      <c r="G78" t="n">
        <v>40334</v>
      </c>
      <c r="H78" t="inlineStr">
        <is>
          <t>Febrero 2026</t>
        </is>
      </c>
      <c r="I78" t="inlineStr">
        <is>
          <t>2026-02</t>
        </is>
      </c>
      <c r="J78" t="inlineStr">
        <is>
          <t>PAGADO</t>
        </is>
      </c>
      <c r="K78" t="inlineStr">
        <is>
          <t>C.02/03 · cashflow BBVA · gasto personal Sol</t>
        </is>
      </c>
      <c r="L78" t="inlineStr">
        <is>
          <t>Sol</t>
        </is>
      </c>
    </row>
    <row r="79">
      <c r="A79" t="inlineStr">
        <is>
          <t>BBVA TC</t>
        </is>
      </c>
      <c r="B79" s="52" t="n">
        <v>45827</v>
      </c>
      <c r="C79" t="inlineStr">
        <is>
          <t>ELCACOSMETICOSINC</t>
        </is>
      </c>
      <c r="D79" t="inlineStr">
        <is>
          <t>Personal</t>
        </is>
      </c>
      <c r="E79" t="n">
        <v>9</v>
      </c>
      <c r="F79" t="n">
        <v>9</v>
      </c>
      <c r="G79" t="n">
        <v>15054</v>
      </c>
      <c r="H79" t="inlineStr">
        <is>
          <t>Febrero 2026</t>
        </is>
      </c>
      <c r="I79" t="inlineStr">
        <is>
          <t>2026-02</t>
        </is>
      </c>
      <c r="J79" t="inlineStr">
        <is>
          <t>PAGADO</t>
        </is>
      </c>
      <c r="K79" t="inlineStr">
        <is>
          <t>C.09/09 · cashflow BBVA · gasto personal Sol</t>
        </is>
      </c>
      <c r="L79" t="inlineStr">
        <is>
          <t>Sol</t>
        </is>
      </c>
    </row>
    <row r="80">
      <c r="A80" t="inlineStr">
        <is>
          <t>BBVA TC</t>
        </is>
      </c>
      <c r="B80" s="52" t="n">
        <v>46069</v>
      </c>
      <c r="C80" t="inlineStr">
        <is>
          <t>HENRYCOLOMERA</t>
        </is>
      </c>
      <c r="D80" t="inlineStr">
        <is>
          <t>Personal</t>
        </is>
      </c>
      <c r="E80" t="n">
        <v>1</v>
      </c>
      <c r="F80" t="n">
        <v>3</v>
      </c>
      <c r="G80" t="n">
        <v>104260</v>
      </c>
      <c r="H80" t="inlineStr">
        <is>
          <t>Febrero 2026</t>
        </is>
      </c>
      <c r="I80" t="inlineStr">
        <is>
          <t>2026-02</t>
        </is>
      </c>
      <c r="J80" t="inlineStr">
        <is>
          <t>PAGADO</t>
        </is>
      </c>
      <c r="K80" t="inlineStr">
        <is>
          <t>C.01/03 · cashflow BBVA · gasto personal Sol</t>
        </is>
      </c>
      <c r="L80" t="inlineStr">
        <is>
          <t>Sol</t>
        </is>
      </c>
    </row>
    <row r="81">
      <c r="A81" t="inlineStr">
        <is>
          <t>BBVA TC</t>
        </is>
      </c>
      <c r="B81" s="52" t="n">
        <v>46061</v>
      </c>
      <c r="C81" t="inlineStr">
        <is>
          <t>LEVIS</t>
        </is>
      </c>
      <c r="D81" t="inlineStr">
        <is>
          <t>ROPA</t>
        </is>
      </c>
      <c r="E81" t="n">
        <v>1</v>
      </c>
      <c r="F81" t="n">
        <v>3</v>
      </c>
      <c r="G81" t="n">
        <v>74667</v>
      </c>
      <c r="H81" t="inlineStr">
        <is>
          <t>Febrero 2026</t>
        </is>
      </c>
      <c r="I81" t="inlineStr">
        <is>
          <t>2026-02</t>
        </is>
      </c>
      <c r="J81" t="inlineStr">
        <is>
          <t>PAGADO</t>
        </is>
      </c>
      <c r="K81" t="inlineStr">
        <is>
          <t>C.01/03 · cashflow BBVA · gasto personal Sol</t>
        </is>
      </c>
      <c r="L81" t="inlineStr">
        <is>
          <t>Sol</t>
        </is>
      </c>
    </row>
    <row r="82">
      <c r="A82" t="inlineStr">
        <is>
          <t>BBVA TC</t>
        </is>
      </c>
      <c r="B82" s="52" t="n">
        <v>46021</v>
      </c>
      <c r="C82" t="inlineStr">
        <is>
          <t>LONGCHAMP</t>
        </is>
      </c>
      <c r="D82" t="inlineStr">
        <is>
          <t>ROPA</t>
        </is>
      </c>
      <c r="E82" t="n">
        <v>2</v>
      </c>
      <c r="F82" t="n">
        <v>6</v>
      </c>
      <c r="G82" t="n">
        <v>63750</v>
      </c>
      <c r="H82" t="inlineStr">
        <is>
          <t>Febrero 2026</t>
        </is>
      </c>
      <c r="I82" t="inlineStr">
        <is>
          <t>2026-02</t>
        </is>
      </c>
      <c r="J82" t="inlineStr">
        <is>
          <t>PAGADO</t>
        </is>
      </c>
      <c r="K82" t="inlineStr">
        <is>
          <t>C.02/06 · cashflow BBVA · gasto personal Sol</t>
        </is>
      </c>
      <c r="L82" t="inlineStr">
        <is>
          <t>Sol</t>
        </is>
      </c>
    </row>
    <row r="83">
      <c r="A83" t="inlineStr">
        <is>
          <t>BBVA TC</t>
        </is>
      </c>
      <c r="B83" s="52" t="n">
        <v>46069</v>
      </c>
      <c r="C83" t="inlineStr">
        <is>
          <t>MERCADOLIBRE</t>
        </is>
      </c>
      <c r="D83" t="inlineStr">
        <is>
          <t>Mercado Libre</t>
        </is>
      </c>
      <c r="E83" t="n">
        <v>1</v>
      </c>
      <c r="F83" t="n">
        <v>9</v>
      </c>
      <c r="G83" t="n">
        <v>17360</v>
      </c>
      <c r="H83" t="inlineStr">
        <is>
          <t>Febrero 2026</t>
        </is>
      </c>
      <c r="I83" t="inlineStr">
        <is>
          <t>2026-02</t>
        </is>
      </c>
      <c r="J83" t="inlineStr">
        <is>
          <t>PAGADO</t>
        </is>
      </c>
      <c r="K83" t="inlineStr">
        <is>
          <t>C.01/09 · cashflow BBVA · gasto personal Sol</t>
        </is>
      </c>
      <c r="L83" t="inlineStr">
        <is>
          <t>Sol</t>
        </is>
      </c>
    </row>
    <row r="84">
      <c r="A84" t="inlineStr">
        <is>
          <t>BBVA TC</t>
        </is>
      </c>
      <c r="B84" s="52" t="n">
        <v>46077</v>
      </c>
      <c r="C84" t="inlineStr">
        <is>
          <t>MERCADOLIBRE</t>
        </is>
      </c>
      <c r="D84" t="inlineStr">
        <is>
          <t>Mercado Libre</t>
        </is>
      </c>
      <c r="E84" t="n">
        <v>1</v>
      </c>
      <c r="F84" t="n">
        <v>9</v>
      </c>
      <c r="G84" t="n">
        <v>16950</v>
      </c>
      <c r="H84" t="inlineStr">
        <is>
          <t>Febrero 2026</t>
        </is>
      </c>
      <c r="I84" t="inlineStr">
        <is>
          <t>2026-02</t>
        </is>
      </c>
      <c r="J84" t="inlineStr">
        <is>
          <t>PAGADO</t>
        </is>
      </c>
      <c r="K84" t="inlineStr">
        <is>
          <t>C.01/09 · cashflow BBVA · gasto personal Sol</t>
        </is>
      </c>
      <c r="L84" t="inlineStr">
        <is>
          <t>Sol</t>
        </is>
      </c>
    </row>
    <row r="85">
      <c r="A85" t="inlineStr">
        <is>
          <t>BBVA TC</t>
        </is>
      </c>
      <c r="B85" s="52" t="n">
        <v>45815</v>
      </c>
      <c r="C85" t="inlineStr">
        <is>
          <t>MONSERVO</t>
        </is>
      </c>
      <c r="D85" t="inlineStr">
        <is>
          <t>Personal</t>
        </is>
      </c>
      <c r="E85" t="n">
        <v>9</v>
      </c>
      <c r="F85" t="n">
        <v>9</v>
      </c>
      <c r="G85" t="n">
        <v>6665</v>
      </c>
      <c r="H85" t="inlineStr">
        <is>
          <t>Febrero 2026</t>
        </is>
      </c>
      <c r="I85" t="inlineStr">
        <is>
          <t>2026-02</t>
        </is>
      </c>
      <c r="J85" t="inlineStr">
        <is>
          <t>PAGADO</t>
        </is>
      </c>
      <c r="K85" t="inlineStr">
        <is>
          <t>C.09/09 · cashflow BBVA · gasto personal Sol</t>
        </is>
      </c>
      <c r="L85" t="inlineStr">
        <is>
          <t>Sol</t>
        </is>
      </c>
    </row>
    <row r="86">
      <c r="A86" t="inlineStr">
        <is>
          <t>BBVA TC</t>
        </is>
      </c>
      <c r="B86" s="52" t="n">
        <v>45949</v>
      </c>
      <c r="C86" t="inlineStr">
        <is>
          <t>SELMAMARTINEZ</t>
        </is>
      </c>
      <c r="D86" t="inlineStr">
        <is>
          <t>Personal</t>
        </is>
      </c>
      <c r="E86" t="n">
        <v>5</v>
      </c>
      <c r="F86" t="n">
        <v>6</v>
      </c>
      <c r="G86" t="n">
        <v>25259</v>
      </c>
      <c r="H86" t="inlineStr">
        <is>
          <t>Febrero 2026</t>
        </is>
      </c>
      <c r="I86" t="inlineStr">
        <is>
          <t>2026-02</t>
        </is>
      </c>
      <c r="J86" t="inlineStr">
        <is>
          <t>PAGADO</t>
        </is>
      </c>
      <c r="K86" t="inlineStr">
        <is>
          <t>C.05/06 · cashflow BBVA · gasto personal Sol</t>
        </is>
      </c>
      <c r="L86" t="inlineStr">
        <is>
          <t>Sol</t>
        </is>
      </c>
    </row>
    <row r="87">
      <c r="A87" t="inlineStr">
        <is>
          <t>BBVA TC</t>
        </is>
      </c>
      <c r="B87" s="52" t="n">
        <v>46046</v>
      </c>
      <c r="C87" t="inlineStr">
        <is>
          <t>TODOVISION</t>
        </is>
      </c>
      <c r="D87" t="inlineStr">
        <is>
          <t>Personal</t>
        </is>
      </c>
      <c r="E87" t="n">
        <v>2</v>
      </c>
      <c r="F87" t="n">
        <v>2</v>
      </c>
      <c r="G87" t="n">
        <v>28999</v>
      </c>
      <c r="H87" t="inlineStr">
        <is>
          <t>Febrero 2026</t>
        </is>
      </c>
      <c r="I87" t="inlineStr">
        <is>
          <t>2026-02</t>
        </is>
      </c>
      <c r="J87" t="inlineStr">
        <is>
          <t>PAGADO</t>
        </is>
      </c>
      <c r="K87" t="inlineStr">
        <is>
          <t>C.02/02 · cashflow BBVA · gasto personal Sol</t>
        </is>
      </c>
      <c r="L87" t="inlineStr">
        <is>
          <t>Sol</t>
        </is>
      </c>
    </row>
    <row r="88">
      <c r="A88" t="inlineStr">
        <is>
          <t>BBVA TC</t>
        </is>
      </c>
      <c r="B88" s="52" t="n">
        <v>45953</v>
      </c>
      <c r="C88" t="inlineStr">
        <is>
          <t>2PRODUCTOS</t>
        </is>
      </c>
      <c r="D88" t="inlineStr">
        <is>
          <t>Personal</t>
        </is>
      </c>
      <c r="E88" t="n">
        <v>6</v>
      </c>
      <c r="F88" t="n">
        <v>9</v>
      </c>
      <c r="G88" t="n">
        <v>7367</v>
      </c>
      <c r="H88" t="inlineStr">
        <is>
          <t>Marzo 2026</t>
        </is>
      </c>
      <c r="I88" t="inlineStr">
        <is>
          <t>2026-03</t>
        </is>
      </c>
      <c r="J88" t="inlineStr">
        <is>
          <t>PAGADO</t>
        </is>
      </c>
      <c r="K88" t="inlineStr">
        <is>
          <t>C.06/09 · cashflow BBVA · gasto personal Sol</t>
        </is>
      </c>
      <c r="L88" t="inlineStr">
        <is>
          <t>Sol</t>
        </is>
      </c>
    </row>
    <row r="89">
      <c r="A89" t="inlineStr">
        <is>
          <t>BBVA TC</t>
        </is>
      </c>
      <c r="B89" s="52" t="n">
        <v>46033</v>
      </c>
      <c r="C89" t="inlineStr">
        <is>
          <t>ARTEREGAL</t>
        </is>
      </c>
      <c r="D89" t="inlineStr">
        <is>
          <t>Personal</t>
        </is>
      </c>
      <c r="E89" t="n">
        <v>3</v>
      </c>
      <c r="F89" t="n">
        <v>3</v>
      </c>
      <c r="G89" t="n">
        <v>24800</v>
      </c>
      <c r="H89" t="inlineStr">
        <is>
          <t>Marzo 2026</t>
        </is>
      </c>
      <c r="I89" t="inlineStr">
        <is>
          <t>2026-03</t>
        </is>
      </c>
      <c r="J89" t="inlineStr">
        <is>
          <t>PAGADO</t>
        </is>
      </c>
      <c r="K89" t="inlineStr">
        <is>
          <t>C.03/03 · cashflow BBVA · gasto personal Sol</t>
        </is>
      </c>
      <c r="L89" t="inlineStr">
        <is>
          <t>Sol</t>
        </is>
      </c>
    </row>
    <row r="90">
      <c r="A90" t="inlineStr">
        <is>
          <t>BBVA TC</t>
        </is>
      </c>
      <c r="B90" s="52" t="n">
        <v>46032</v>
      </c>
      <c r="C90" t="inlineStr">
        <is>
          <t>DLO*SANBRAS</t>
        </is>
      </c>
      <c r="D90" t="inlineStr">
        <is>
          <t>Personal</t>
        </is>
      </c>
      <c r="E90" t="n">
        <v>3</v>
      </c>
      <c r="F90" t="n">
        <v>3</v>
      </c>
      <c r="G90" t="n">
        <v>40334</v>
      </c>
      <c r="H90" t="inlineStr">
        <is>
          <t>Marzo 2026</t>
        </is>
      </c>
      <c r="I90" t="inlineStr">
        <is>
          <t>2026-03</t>
        </is>
      </c>
      <c r="J90" t="inlineStr">
        <is>
          <t>PAGADO</t>
        </is>
      </c>
      <c r="K90" t="inlineStr">
        <is>
          <t>C.03/03 · cashflow BBVA · gasto personal Sol</t>
        </is>
      </c>
      <c r="L90" t="inlineStr">
        <is>
          <t>Sol</t>
        </is>
      </c>
    </row>
    <row r="91">
      <c r="A91" t="inlineStr">
        <is>
          <t>BBVA TC</t>
        </is>
      </c>
      <c r="B91" s="52" t="n">
        <v>46069</v>
      </c>
      <c r="C91" t="inlineStr">
        <is>
          <t>HENRYCOLOMERA</t>
        </is>
      </c>
      <c r="D91" t="inlineStr">
        <is>
          <t>Personal</t>
        </is>
      </c>
      <c r="E91" t="n">
        <v>2</v>
      </c>
      <c r="F91" t="n">
        <v>3</v>
      </c>
      <c r="G91" t="n">
        <v>104260</v>
      </c>
      <c r="H91" t="inlineStr">
        <is>
          <t>Marzo 2026</t>
        </is>
      </c>
      <c r="I91" t="inlineStr">
        <is>
          <t>2026-03</t>
        </is>
      </c>
      <c r="J91" t="inlineStr">
        <is>
          <t>PAGADO</t>
        </is>
      </c>
      <c r="K91" t="inlineStr">
        <is>
          <t>C.02/03 · cashflow BBVA · gasto personal Sol</t>
        </is>
      </c>
      <c r="L91" t="inlineStr">
        <is>
          <t>Sol</t>
        </is>
      </c>
    </row>
    <row r="92">
      <c r="A92" t="inlineStr">
        <is>
          <t>BBVA TC</t>
        </is>
      </c>
      <c r="B92" s="52" t="n">
        <v>46061</v>
      </c>
      <c r="C92" t="inlineStr">
        <is>
          <t>LEVIS</t>
        </is>
      </c>
      <c r="D92" t="inlineStr">
        <is>
          <t>ROPA</t>
        </is>
      </c>
      <c r="E92" t="n">
        <v>2</v>
      </c>
      <c r="F92" t="n">
        <v>3</v>
      </c>
      <c r="G92" t="n">
        <v>74667</v>
      </c>
      <c r="H92" t="inlineStr">
        <is>
          <t>Marzo 2026</t>
        </is>
      </c>
      <c r="I92" t="inlineStr">
        <is>
          <t>2026-03</t>
        </is>
      </c>
      <c r="J92" t="inlineStr">
        <is>
          <t>PAGADO</t>
        </is>
      </c>
      <c r="K92" t="inlineStr">
        <is>
          <t>C.02/03 · cashflow BBVA · gasto personal Sol</t>
        </is>
      </c>
      <c r="L92" t="inlineStr">
        <is>
          <t>Sol</t>
        </is>
      </c>
    </row>
    <row r="93">
      <c r="A93" t="inlineStr">
        <is>
          <t>BBVA TC</t>
        </is>
      </c>
      <c r="B93" s="52" t="n">
        <v>46021</v>
      </c>
      <c r="C93" t="inlineStr">
        <is>
          <t>LONGCHAMP</t>
        </is>
      </c>
      <c r="D93" t="inlineStr">
        <is>
          <t>ROPA</t>
        </is>
      </c>
      <c r="E93" t="n">
        <v>3</v>
      </c>
      <c r="F93" t="n">
        <v>6</v>
      </c>
      <c r="G93" t="n">
        <v>63750</v>
      </c>
      <c r="H93" t="inlineStr">
        <is>
          <t>Marzo 2026</t>
        </is>
      </c>
      <c r="I93" t="inlineStr">
        <is>
          <t>2026-03</t>
        </is>
      </c>
      <c r="J93" t="inlineStr">
        <is>
          <t>PAGADO</t>
        </is>
      </c>
      <c r="K93" t="inlineStr">
        <is>
          <t>C.03/06 · cashflow BBVA · gasto personal Sol</t>
        </is>
      </c>
      <c r="L93" t="inlineStr">
        <is>
          <t>Sol</t>
        </is>
      </c>
    </row>
    <row r="94">
      <c r="A94" t="inlineStr">
        <is>
          <t>BBVA TC</t>
        </is>
      </c>
      <c r="B94" s="52" t="n">
        <v>46094</v>
      </c>
      <c r="C94" t="inlineStr">
        <is>
          <t>MERCADOLIBRE</t>
        </is>
      </c>
      <c r="D94" t="inlineStr">
        <is>
          <t>Mercado Libre</t>
        </is>
      </c>
      <c r="E94" t="n">
        <v>1</v>
      </c>
      <c r="F94" t="n">
        <v>12</v>
      </c>
      <c r="G94" t="n">
        <v>275000</v>
      </c>
      <c r="H94" t="inlineStr">
        <is>
          <t>Marzo 2026</t>
        </is>
      </c>
      <c r="I94" t="inlineStr">
        <is>
          <t>2026-03</t>
        </is>
      </c>
      <c r="J94" t="inlineStr">
        <is>
          <t>PAGADO</t>
        </is>
      </c>
      <c r="K94" t="inlineStr">
        <is>
          <t>C.01/12 · cashflow BBVA · gasto personal Sol</t>
        </is>
      </c>
      <c r="L94" t="inlineStr">
        <is>
          <t>Sol</t>
        </is>
      </c>
    </row>
    <row r="95">
      <c r="A95" t="inlineStr">
        <is>
          <t>BBVA TC</t>
        </is>
      </c>
      <c r="B95" s="52" t="n">
        <v>46069</v>
      </c>
      <c r="C95" t="inlineStr">
        <is>
          <t>MERCADOLIBRE</t>
        </is>
      </c>
      <c r="D95" t="inlineStr">
        <is>
          <t>Mercado Libre</t>
        </is>
      </c>
      <c r="E95" t="n">
        <v>2</v>
      </c>
      <c r="F95" t="n">
        <v>9</v>
      </c>
      <c r="G95" t="n">
        <v>17360</v>
      </c>
      <c r="H95" t="inlineStr">
        <is>
          <t>Marzo 2026</t>
        </is>
      </c>
      <c r="I95" t="inlineStr">
        <is>
          <t>2026-03</t>
        </is>
      </c>
      <c r="J95" t="inlineStr">
        <is>
          <t>PAGADO</t>
        </is>
      </c>
      <c r="K95" t="inlineStr">
        <is>
          <t>C.02/09 · cashflow BBVA · gasto personal Sol</t>
        </is>
      </c>
      <c r="L95" t="inlineStr">
        <is>
          <t>Sol</t>
        </is>
      </c>
    </row>
    <row r="96">
      <c r="A96" t="inlineStr">
        <is>
          <t>BBVA TC</t>
        </is>
      </c>
      <c r="B96" s="52" t="n">
        <v>46077</v>
      </c>
      <c r="C96" t="inlineStr">
        <is>
          <t>MERCADOLIBRE</t>
        </is>
      </c>
      <c r="D96" t="inlineStr">
        <is>
          <t>Mercado Libre</t>
        </is>
      </c>
      <c r="E96" t="n">
        <v>2</v>
      </c>
      <c r="F96" t="n">
        <v>9</v>
      </c>
      <c r="G96" t="n">
        <v>16950</v>
      </c>
      <c r="H96" t="inlineStr">
        <is>
          <t>Marzo 2026</t>
        </is>
      </c>
      <c r="I96" t="inlineStr">
        <is>
          <t>2026-03</t>
        </is>
      </c>
      <c r="J96" t="inlineStr">
        <is>
          <t>PAGADO</t>
        </is>
      </c>
      <c r="K96" t="inlineStr">
        <is>
          <t>C.02/09 · cashflow BBVA · gasto personal Sol</t>
        </is>
      </c>
      <c r="L96" t="inlineStr">
        <is>
          <t>Sol</t>
        </is>
      </c>
    </row>
    <row r="97">
      <c r="A97" t="inlineStr">
        <is>
          <t>BBVA TC</t>
        </is>
      </c>
      <c r="B97" s="52" t="n">
        <v>45949</v>
      </c>
      <c r="C97" t="inlineStr">
        <is>
          <t>SELMAMARTINEZ</t>
        </is>
      </c>
      <c r="D97" t="inlineStr">
        <is>
          <t>Personal</t>
        </is>
      </c>
      <c r="E97" t="n">
        <v>6</v>
      </c>
      <c r="F97" t="n">
        <v>6</v>
      </c>
      <c r="G97" t="n">
        <v>25259</v>
      </c>
      <c r="H97" t="inlineStr">
        <is>
          <t>Marzo 2026</t>
        </is>
      </c>
      <c r="I97" t="inlineStr">
        <is>
          <t>2026-03</t>
        </is>
      </c>
      <c r="J97" t="inlineStr">
        <is>
          <t>PAGADO</t>
        </is>
      </c>
      <c r="K97" t="inlineStr">
        <is>
          <t>C.06/06 · cashflow BBVA · gasto personal Sol</t>
        </is>
      </c>
      <c r="L97" t="inlineStr">
        <is>
          <t>Sol</t>
        </is>
      </c>
    </row>
    <row r="98">
      <c r="A98" t="inlineStr">
        <is>
          <t>BBVA TC</t>
        </is>
      </c>
      <c r="B98" s="52" t="n">
        <v>45953</v>
      </c>
      <c r="C98" t="inlineStr">
        <is>
          <t>2PRODUCTOS</t>
        </is>
      </c>
      <c r="D98" t="inlineStr">
        <is>
          <t>Personal</t>
        </is>
      </c>
      <c r="E98" t="n">
        <v>7</v>
      </c>
      <c r="F98" t="n">
        <v>9</v>
      </c>
      <c r="G98" t="n">
        <v>7367</v>
      </c>
      <c r="H98" t="inlineStr">
        <is>
          <t>Abril 2026</t>
        </is>
      </c>
      <c r="I98" t="inlineStr">
        <is>
          <t>2026-04</t>
        </is>
      </c>
      <c r="J98" t="inlineStr">
        <is>
          <t>PAGADO</t>
        </is>
      </c>
      <c r="K98" t="inlineStr">
        <is>
          <t>C.07/09 · cashflow BBVA · gasto personal Sol</t>
        </is>
      </c>
      <c r="L98" t="inlineStr">
        <is>
          <t>Sol</t>
        </is>
      </c>
    </row>
    <row r="99">
      <c r="A99" t="inlineStr">
        <is>
          <t>BBVA TC</t>
        </is>
      </c>
      <c r="B99" s="52" t="n">
        <v>45865</v>
      </c>
      <c r="C99" t="inlineStr">
        <is>
          <t>3PRODUCTOS</t>
        </is>
      </c>
      <c r="D99" t="inlineStr">
        <is>
          <t>Personal</t>
        </is>
      </c>
      <c r="E99" t="n">
        <v>9</v>
      </c>
      <c r="F99" t="n">
        <v>9</v>
      </c>
      <c r="G99" t="n">
        <v>5445</v>
      </c>
      <c r="H99" t="inlineStr">
        <is>
          <t>Abril 2026</t>
        </is>
      </c>
      <c r="I99" t="inlineStr">
        <is>
          <t>2026-04</t>
        </is>
      </c>
      <c r="J99" t="inlineStr">
        <is>
          <t>PAGADO</t>
        </is>
      </c>
      <c r="K99" t="inlineStr">
        <is>
          <t>C.09/09 · cashflow BBVA · gasto personal Sol</t>
        </is>
      </c>
      <c r="L99" t="inlineStr">
        <is>
          <t>Sol</t>
        </is>
      </c>
    </row>
    <row r="100">
      <c r="A100" t="inlineStr">
        <is>
          <t>BBVA TC</t>
        </is>
      </c>
      <c r="B100" s="52" t="n">
        <v>46069</v>
      </c>
      <c r="C100" t="inlineStr">
        <is>
          <t>HENRYCOLOMERA</t>
        </is>
      </c>
      <c r="D100" t="inlineStr">
        <is>
          <t>Personal</t>
        </is>
      </c>
      <c r="E100" t="n">
        <v>3</v>
      </c>
      <c r="F100" t="n">
        <v>3</v>
      </c>
      <c r="G100" t="n">
        <v>104260</v>
      </c>
      <c r="H100" t="inlineStr">
        <is>
          <t>Abril 2026</t>
        </is>
      </c>
      <c r="I100" t="inlineStr">
        <is>
          <t>2026-04</t>
        </is>
      </c>
      <c r="J100" t="inlineStr">
        <is>
          <t>PAGADO</t>
        </is>
      </c>
      <c r="K100" t="inlineStr">
        <is>
          <t>C.03/03 · cashflow BBVA · gasto personal Sol</t>
        </is>
      </c>
      <c r="L100" t="inlineStr">
        <is>
          <t>Sol</t>
        </is>
      </c>
    </row>
    <row r="101">
      <c r="A101" t="inlineStr">
        <is>
          <t>BBVA TC</t>
        </is>
      </c>
      <c r="B101" s="52" t="n">
        <v>46132</v>
      </c>
      <c r="C101" t="inlineStr">
        <is>
          <t>LABORATORIOBE</t>
        </is>
      </c>
      <c r="D101" t="inlineStr">
        <is>
          <t>Personal</t>
        </is>
      </c>
      <c r="E101" t="n">
        <v>1</v>
      </c>
      <c r="F101" t="n">
        <v>6</v>
      </c>
      <c r="G101" t="n">
        <v>54033</v>
      </c>
      <c r="H101" t="inlineStr">
        <is>
          <t>Abril 2026</t>
        </is>
      </c>
      <c r="I101" t="inlineStr">
        <is>
          <t>2026-04</t>
        </is>
      </c>
      <c r="J101" t="inlineStr">
        <is>
          <t>PAGADO</t>
        </is>
      </c>
      <c r="K101" t="inlineStr">
        <is>
          <t>C.01/06 · cashflow BBVA · gasto personal Sol</t>
        </is>
      </c>
      <c r="L101" t="inlineStr">
        <is>
          <t>Sol</t>
        </is>
      </c>
    </row>
    <row r="102">
      <c r="A102" t="inlineStr">
        <is>
          <t>BBVA TC</t>
        </is>
      </c>
      <c r="B102" s="52" t="n">
        <v>46061</v>
      </c>
      <c r="C102" t="inlineStr">
        <is>
          <t>LEVIS</t>
        </is>
      </c>
      <c r="D102" t="inlineStr">
        <is>
          <t>ROPA</t>
        </is>
      </c>
      <c r="E102" t="n">
        <v>3</v>
      </c>
      <c r="F102" t="n">
        <v>3</v>
      </c>
      <c r="G102" t="n">
        <v>74667</v>
      </c>
      <c r="H102" t="inlineStr">
        <is>
          <t>Abril 2026</t>
        </is>
      </c>
      <c r="I102" t="inlineStr">
        <is>
          <t>2026-04</t>
        </is>
      </c>
      <c r="J102" t="inlineStr">
        <is>
          <t>PAGADO</t>
        </is>
      </c>
      <c r="K102" t="inlineStr">
        <is>
          <t>C.03/03 · cashflow BBVA · gasto personal Sol</t>
        </is>
      </c>
      <c r="L102" t="inlineStr">
        <is>
          <t>Sol</t>
        </is>
      </c>
    </row>
    <row r="103">
      <c r="A103" t="inlineStr">
        <is>
          <t>BBVA TC</t>
        </is>
      </c>
      <c r="B103" s="52" t="n">
        <v>46021</v>
      </c>
      <c r="C103" t="inlineStr">
        <is>
          <t>LONGCHAMP</t>
        </is>
      </c>
      <c r="D103" t="inlineStr">
        <is>
          <t>ROPA</t>
        </is>
      </c>
      <c r="E103" t="n">
        <v>4</v>
      </c>
      <c r="F103" t="n">
        <v>6</v>
      </c>
      <c r="G103" t="n">
        <v>63750</v>
      </c>
      <c r="H103" t="inlineStr">
        <is>
          <t>Abril 2026</t>
        </is>
      </c>
      <c r="I103" t="inlineStr">
        <is>
          <t>2026-04</t>
        </is>
      </c>
      <c r="J103" t="inlineStr">
        <is>
          <t>PAGADO</t>
        </is>
      </c>
      <c r="K103" t="inlineStr">
        <is>
          <t>C.04/06 · cashflow BBVA · gasto personal Sol</t>
        </is>
      </c>
      <c r="L103" t="inlineStr">
        <is>
          <t>Sol</t>
        </is>
      </c>
    </row>
    <row r="104">
      <c r="A104" t="inlineStr">
        <is>
          <t>BBVA TC</t>
        </is>
      </c>
      <c r="B104" s="52" t="n">
        <v>46094</v>
      </c>
      <c r="C104" t="inlineStr">
        <is>
          <t>MERCADOLIBRE</t>
        </is>
      </c>
      <c r="D104" t="inlineStr">
        <is>
          <t>Mercado Libre</t>
        </is>
      </c>
      <c r="E104" t="n">
        <v>2</v>
      </c>
      <c r="F104" t="n">
        <v>12</v>
      </c>
      <c r="G104" t="n">
        <v>275000</v>
      </c>
      <c r="H104" t="inlineStr">
        <is>
          <t>Abril 2026</t>
        </is>
      </c>
      <c r="I104" t="inlineStr">
        <is>
          <t>2026-04</t>
        </is>
      </c>
      <c r="J104" t="inlineStr">
        <is>
          <t>PAGADO</t>
        </is>
      </c>
      <c r="K104" t="inlineStr">
        <is>
          <t>C.02/12 · cashflow BBVA · gasto personal Sol</t>
        </is>
      </c>
      <c r="L104" t="inlineStr">
        <is>
          <t>Sol</t>
        </is>
      </c>
    </row>
    <row r="105">
      <c r="A105" t="inlineStr">
        <is>
          <t>BBVA TC</t>
        </is>
      </c>
      <c r="B105" s="52" t="n">
        <v>46069</v>
      </c>
      <c r="C105" t="inlineStr">
        <is>
          <t>MERCADOLIBRE</t>
        </is>
      </c>
      <c r="D105" t="inlineStr">
        <is>
          <t>Mercado Libre</t>
        </is>
      </c>
      <c r="E105" t="n">
        <v>3</v>
      </c>
      <c r="F105" t="n">
        <v>9</v>
      </c>
      <c r="G105" t="n">
        <v>17360</v>
      </c>
      <c r="H105" t="inlineStr">
        <is>
          <t>Abril 2026</t>
        </is>
      </c>
      <c r="I105" t="inlineStr">
        <is>
          <t>2026-04</t>
        </is>
      </c>
      <c r="J105" t="inlineStr">
        <is>
          <t>PAGADO</t>
        </is>
      </c>
      <c r="K105" t="inlineStr">
        <is>
          <t>C.03/09 · cashflow BBVA · gasto personal Sol</t>
        </is>
      </c>
      <c r="L105" t="inlineStr">
        <is>
          <t>Sol</t>
        </is>
      </c>
    </row>
    <row r="106">
      <c r="A106" t="inlineStr">
        <is>
          <t>BBVA TC</t>
        </is>
      </c>
      <c r="B106" s="52" t="n">
        <v>46125</v>
      </c>
      <c r="C106" t="inlineStr">
        <is>
          <t>MONOFUK</t>
        </is>
      </c>
      <c r="D106" t="inlineStr">
        <is>
          <t>Personal</t>
        </is>
      </c>
      <c r="E106" t="n">
        <v>1</v>
      </c>
      <c r="F106" t="n">
        <v>6</v>
      </c>
      <c r="G106" t="n">
        <v>95984</v>
      </c>
      <c r="H106" t="inlineStr">
        <is>
          <t>Abril 2026</t>
        </is>
      </c>
      <c r="I106" t="inlineStr">
        <is>
          <t>2026-04</t>
        </is>
      </c>
      <c r="J106" t="inlineStr">
        <is>
          <t>PAGADO</t>
        </is>
      </c>
      <c r="K106" t="inlineStr">
        <is>
          <t>C.01/06 · cashflow BBVA · gasto personal Sol</t>
        </is>
      </c>
      <c r="L106" t="inlineStr">
        <is>
          <t>Sol</t>
        </is>
      </c>
    </row>
    <row r="107">
      <c r="A107" t="inlineStr">
        <is>
          <t>BBVA TC</t>
        </is>
      </c>
      <c r="B107" s="52" t="n">
        <v>46138</v>
      </c>
      <c r="C107" t="inlineStr">
        <is>
          <t>PROMARINEANTIOXID</t>
        </is>
      </c>
      <c r="D107" t="inlineStr">
        <is>
          <t>SALUD</t>
        </is>
      </c>
      <c r="E107" t="n">
        <v>1</v>
      </c>
      <c r="F107" t="n">
        <v>6</v>
      </c>
      <c r="G107" t="n">
        <v>87900</v>
      </c>
      <c r="H107" t="inlineStr">
        <is>
          <t>Abril 2026</t>
        </is>
      </c>
      <c r="I107" t="inlineStr">
        <is>
          <t>2026-04</t>
        </is>
      </c>
      <c r="J107" t="inlineStr">
        <is>
          <t>PAGADO</t>
        </is>
      </c>
      <c r="K107" t="inlineStr">
        <is>
          <t>C.01/06 · cashflow BBVA · gasto personal Sol</t>
        </is>
      </c>
      <c r="L107" t="inlineStr">
        <is>
          <t>Sol</t>
        </is>
      </c>
    </row>
    <row r="108">
      <c r="A108" t="inlineStr">
        <is>
          <t>BBVA TC</t>
        </is>
      </c>
      <c r="B108" s="52" t="n">
        <v>46134</v>
      </c>
      <c r="C108" t="inlineStr">
        <is>
          <t>STANLEYARGENT</t>
        </is>
      </c>
      <c r="D108" t="inlineStr">
        <is>
          <t>Personal</t>
        </is>
      </c>
      <c r="E108" t="n">
        <v>1</v>
      </c>
      <c r="F108" t="n">
        <v>6</v>
      </c>
      <c r="G108" t="n">
        <v>18334</v>
      </c>
      <c r="H108" t="inlineStr">
        <is>
          <t>Abril 2026</t>
        </is>
      </c>
      <c r="I108" t="inlineStr">
        <is>
          <t>2026-04</t>
        </is>
      </c>
      <c r="J108" t="inlineStr">
        <is>
          <t>PAGADO</t>
        </is>
      </c>
      <c r="K108" t="inlineStr">
        <is>
          <t>C.01/06 · cashflow BBVA · gasto personal Sol</t>
        </is>
      </c>
      <c r="L108" t="inlineStr">
        <is>
          <t>Sol</t>
        </is>
      </c>
    </row>
    <row r="109">
      <c r="A109" t="inlineStr">
        <is>
          <t>BBVA TC</t>
        </is>
      </c>
      <c r="B109" s="52" t="n">
        <v>45953</v>
      </c>
      <c r="C109" t="inlineStr">
        <is>
          <t>2PRODUCTOS</t>
        </is>
      </c>
      <c r="D109" t="inlineStr">
        <is>
          <t>Personal</t>
        </is>
      </c>
      <c r="E109" t="n">
        <v>8</v>
      </c>
      <c r="F109" t="n">
        <v>9</v>
      </c>
      <c r="G109" t="n">
        <v>7367</v>
      </c>
      <c r="H109" t="inlineStr">
        <is>
          <t>Mayo 2026</t>
        </is>
      </c>
      <c r="I109" t="inlineStr">
        <is>
          <t>2026-05</t>
        </is>
      </c>
      <c r="J109" t="inlineStr">
        <is>
          <t>PAGADO</t>
        </is>
      </c>
      <c r="K109" t="inlineStr">
        <is>
          <t>C.08/09 · cashflow BBVA · gasto personal Sol</t>
        </is>
      </c>
      <c r="L109" t="inlineStr">
        <is>
          <t>Sol</t>
        </is>
      </c>
    </row>
    <row r="110">
      <c r="A110" t="inlineStr">
        <is>
          <t>BBVA TC</t>
        </is>
      </c>
      <c r="B110" s="52" t="n">
        <v>46166</v>
      </c>
      <c r="C110" t="inlineStr">
        <is>
          <t>BIMBAYLOLA</t>
        </is>
      </c>
      <c r="D110" t="inlineStr">
        <is>
          <t>ROPA</t>
        </is>
      </c>
      <c r="E110" t="n">
        <v>1</v>
      </c>
      <c r="F110" t="n">
        <v>6</v>
      </c>
      <c r="G110" t="n">
        <v>124667</v>
      </c>
      <c r="H110" t="inlineStr">
        <is>
          <t>Mayo 2026</t>
        </is>
      </c>
      <c r="I110" t="inlineStr">
        <is>
          <t>2026-05</t>
        </is>
      </c>
      <c r="J110" t="inlineStr">
        <is>
          <t>PAGADO</t>
        </is>
      </c>
      <c r="K110" t="inlineStr">
        <is>
          <t>C.01/06 · cashflow BBVA · gasto personal Sol</t>
        </is>
      </c>
      <c r="L110" t="inlineStr">
        <is>
          <t>Sol</t>
        </is>
      </c>
    </row>
    <row r="111">
      <c r="A111" t="inlineStr">
        <is>
          <t>BBVA TC</t>
        </is>
      </c>
      <c r="B111" s="52" t="n">
        <v>46158</v>
      </c>
      <c r="C111" t="inlineStr">
        <is>
          <t>BOKENVORENO</t>
        </is>
      </c>
      <c r="D111" t="inlineStr">
        <is>
          <t>Personal</t>
        </is>
      </c>
      <c r="E111" t="n">
        <v>1</v>
      </c>
      <c r="F111" t="n">
        <v>6</v>
      </c>
      <c r="G111" t="n">
        <v>98334</v>
      </c>
      <c r="H111" t="inlineStr">
        <is>
          <t>Mayo 2026</t>
        </is>
      </c>
      <c r="I111" t="inlineStr">
        <is>
          <t>2026-05</t>
        </is>
      </c>
      <c r="J111" t="inlineStr">
        <is>
          <t>PAGADO</t>
        </is>
      </c>
      <c r="K111" t="inlineStr">
        <is>
          <t>C.01/06 · cashflow BBVA · gasto personal Sol</t>
        </is>
      </c>
      <c r="L111" t="inlineStr">
        <is>
          <t>Sol</t>
        </is>
      </c>
    </row>
    <row r="112">
      <c r="A112" t="inlineStr">
        <is>
          <t>BBVA TC</t>
        </is>
      </c>
      <c r="B112" s="52" t="n">
        <v>46151</v>
      </c>
      <c r="C112" t="inlineStr">
        <is>
          <t>CAMBIODEAIRES</t>
        </is>
      </c>
      <c r="D112" t="inlineStr">
        <is>
          <t>Personal</t>
        </is>
      </c>
      <c r="E112" t="n">
        <v>1</v>
      </c>
      <c r="F112" t="n">
        <v>3</v>
      </c>
      <c r="G112" t="n">
        <v>329986</v>
      </c>
      <c r="H112" t="inlineStr">
        <is>
          <t>Mayo 2026</t>
        </is>
      </c>
      <c r="I112" t="inlineStr">
        <is>
          <t>2026-05</t>
        </is>
      </c>
      <c r="J112" t="inlineStr">
        <is>
          <t>PAGADO</t>
        </is>
      </c>
      <c r="K112" t="inlineStr">
        <is>
          <t>C.01/03 · cashflow BBVA · gasto personal Sol</t>
        </is>
      </c>
      <c r="L112" t="inlineStr">
        <is>
          <t>Sol</t>
        </is>
      </c>
    </row>
    <row r="113">
      <c r="A113" t="inlineStr">
        <is>
          <t>BBVA TC</t>
        </is>
      </c>
      <c r="B113" s="52" t="n">
        <v>46151</v>
      </c>
      <c r="C113" t="inlineStr">
        <is>
          <t>JUSTA OSADIA</t>
        </is>
      </c>
      <c r="D113" t="inlineStr">
        <is>
          <t>ROPA</t>
        </is>
      </c>
      <c r="E113" t="n">
        <v>1</v>
      </c>
      <c r="F113" t="n">
        <v>6</v>
      </c>
      <c r="G113" t="n">
        <v>80834</v>
      </c>
      <c r="H113" t="inlineStr">
        <is>
          <t>Mayo 2026</t>
        </is>
      </c>
      <c r="I113" t="inlineStr">
        <is>
          <t>2026-05</t>
        </is>
      </c>
      <c r="J113" t="inlineStr">
        <is>
          <t>PAGADO</t>
        </is>
      </c>
      <c r="K113" t="inlineStr">
        <is>
          <t>C.01/06 · cashflow BBVA · gasto personal Sol</t>
        </is>
      </c>
      <c r="L113" t="inlineStr">
        <is>
          <t>Sol</t>
        </is>
      </c>
    </row>
    <row r="114">
      <c r="A114" t="inlineStr">
        <is>
          <t>BBVA TC</t>
        </is>
      </c>
      <c r="B114" s="52" t="n">
        <v>46132</v>
      </c>
      <c r="C114" t="inlineStr">
        <is>
          <t>LABORATORIOBE</t>
        </is>
      </c>
      <c r="D114" t="inlineStr">
        <is>
          <t>Personal</t>
        </is>
      </c>
      <c r="E114" t="n">
        <v>2</v>
      </c>
      <c r="F114" t="n">
        <v>6</v>
      </c>
      <c r="G114" t="n">
        <v>54033</v>
      </c>
      <c r="H114" t="inlineStr">
        <is>
          <t>Mayo 2026</t>
        </is>
      </c>
      <c r="I114" t="inlineStr">
        <is>
          <t>2026-05</t>
        </is>
      </c>
      <c r="J114" t="inlineStr">
        <is>
          <t>PAGADO</t>
        </is>
      </c>
      <c r="K114" t="inlineStr">
        <is>
          <t>C.02/06 · cashflow BBVA · gasto personal Sol</t>
        </is>
      </c>
      <c r="L114" t="inlineStr">
        <is>
          <t>Sol</t>
        </is>
      </c>
    </row>
    <row r="115">
      <c r="A115" t="inlineStr">
        <is>
          <t>BBVA TC</t>
        </is>
      </c>
      <c r="B115" s="52" t="n">
        <v>46021</v>
      </c>
      <c r="C115" t="inlineStr">
        <is>
          <t>LONGCHAMP</t>
        </is>
      </c>
      <c r="D115" t="inlineStr">
        <is>
          <t>ROPA</t>
        </is>
      </c>
      <c r="E115" t="n">
        <v>5</v>
      </c>
      <c r="F115" t="n">
        <v>6</v>
      </c>
      <c r="G115" t="n">
        <v>63750</v>
      </c>
      <c r="H115" t="inlineStr">
        <is>
          <t>Mayo 2026</t>
        </is>
      </c>
      <c r="I115" t="inlineStr">
        <is>
          <t>2026-05</t>
        </is>
      </c>
      <c r="J115" t="inlineStr">
        <is>
          <t>PAGADO</t>
        </is>
      </c>
      <c r="K115" t="inlineStr">
        <is>
          <t>C.05/06 · cashflow BBVA · gasto personal Sol</t>
        </is>
      </c>
      <c r="L115" t="inlineStr">
        <is>
          <t>Sol</t>
        </is>
      </c>
    </row>
    <row r="116">
      <c r="A116" t="inlineStr">
        <is>
          <t>BBVA TC</t>
        </is>
      </c>
      <c r="B116" s="52" t="n">
        <v>46077</v>
      </c>
      <c r="C116" t="inlineStr">
        <is>
          <t>MERCADOLIBRE</t>
        </is>
      </c>
      <c r="D116" t="inlineStr">
        <is>
          <t>Mercado Libre</t>
        </is>
      </c>
      <c r="E116" t="n">
        <v>3</v>
      </c>
      <c r="F116" t="n">
        <v>9</v>
      </c>
      <c r="G116" t="n">
        <v>16950</v>
      </c>
      <c r="H116" t="inlineStr">
        <is>
          <t>Mayo 2026</t>
        </is>
      </c>
      <c r="I116" t="inlineStr">
        <is>
          <t>2026-05</t>
        </is>
      </c>
      <c r="J116" t="inlineStr">
        <is>
          <t>PAGADO</t>
        </is>
      </c>
      <c r="K116" t="inlineStr">
        <is>
          <t>C.03/09 · cashflow BBVA · gasto personal Sol</t>
        </is>
      </c>
      <c r="L116" t="inlineStr">
        <is>
          <t>Sol</t>
        </is>
      </c>
    </row>
    <row r="117">
      <c r="A117" t="inlineStr">
        <is>
          <t>BBVA TC</t>
        </is>
      </c>
      <c r="B117" s="52" t="n">
        <v>46094</v>
      </c>
      <c r="C117" t="inlineStr">
        <is>
          <t>MERCADOLIBRE</t>
        </is>
      </c>
      <c r="D117" t="inlineStr">
        <is>
          <t>Mercado Libre</t>
        </is>
      </c>
      <c r="E117" t="n">
        <v>3</v>
      </c>
      <c r="F117" t="n">
        <v>12</v>
      </c>
      <c r="G117" t="n">
        <v>275000</v>
      </c>
      <c r="H117" t="inlineStr">
        <is>
          <t>Mayo 2026</t>
        </is>
      </c>
      <c r="I117" t="inlineStr">
        <is>
          <t>2026-05</t>
        </is>
      </c>
      <c r="J117" t="inlineStr">
        <is>
          <t>PAGADO</t>
        </is>
      </c>
      <c r="K117" t="inlineStr">
        <is>
          <t>C.03/12 · cashflow BBVA · gasto personal Sol</t>
        </is>
      </c>
      <c r="L117" t="inlineStr">
        <is>
          <t>Sol</t>
        </is>
      </c>
    </row>
    <row r="118">
      <c r="A118" t="inlineStr">
        <is>
          <t>BBVA TC</t>
        </is>
      </c>
      <c r="B118" s="52" t="n">
        <v>46069</v>
      </c>
      <c r="C118" t="inlineStr">
        <is>
          <t>MERCADOLIBRE</t>
        </is>
      </c>
      <c r="D118" t="inlineStr">
        <is>
          <t>Mercado Libre</t>
        </is>
      </c>
      <c r="E118" t="n">
        <v>4</v>
      </c>
      <c r="F118" t="n">
        <v>9</v>
      </c>
      <c r="G118" t="n">
        <v>17360</v>
      </c>
      <c r="H118" t="inlineStr">
        <is>
          <t>Mayo 2026</t>
        </is>
      </c>
      <c r="I118" t="inlineStr">
        <is>
          <t>2026-05</t>
        </is>
      </c>
      <c r="J118" t="inlineStr">
        <is>
          <t>PAGADO</t>
        </is>
      </c>
      <c r="K118" t="inlineStr">
        <is>
          <t>C.04/09 · cashflow BBVA · gasto personal Sol</t>
        </is>
      </c>
      <c r="L118" t="inlineStr">
        <is>
          <t>Sol</t>
        </is>
      </c>
    </row>
    <row r="119">
      <c r="A119" t="inlineStr">
        <is>
          <t>BBVA TC</t>
        </is>
      </c>
      <c r="B119" s="52" t="n">
        <v>46125</v>
      </c>
      <c r="C119" t="inlineStr">
        <is>
          <t>MONOFUK</t>
        </is>
      </c>
      <c r="D119" t="inlineStr">
        <is>
          <t>Personal</t>
        </is>
      </c>
      <c r="E119" t="n">
        <v>2</v>
      </c>
      <c r="F119" t="n">
        <v>6</v>
      </c>
      <c r="G119" t="n">
        <v>95984</v>
      </c>
      <c r="H119" t="inlineStr">
        <is>
          <t>Mayo 2026</t>
        </is>
      </c>
      <c r="I119" t="inlineStr">
        <is>
          <t>2026-05</t>
        </is>
      </c>
      <c r="J119" t="inlineStr">
        <is>
          <t>PAGADO</t>
        </is>
      </c>
      <c r="K119" t="inlineStr">
        <is>
          <t>C.02/06 · cashflow BBVA · gasto personal Sol</t>
        </is>
      </c>
      <c r="L119" t="inlineStr">
        <is>
          <t>Sol</t>
        </is>
      </c>
    </row>
    <row r="120">
      <c r="A120" t="inlineStr">
        <is>
          <t>BBVA TC</t>
        </is>
      </c>
      <c r="B120" s="52" t="n">
        <v>46145</v>
      </c>
      <c r="C120" t="inlineStr">
        <is>
          <t>PAYU*AR*ADIDAS</t>
        </is>
      </c>
      <c r="D120" t="inlineStr">
        <is>
          <t>ROPA</t>
        </is>
      </c>
      <c r="E120" t="n">
        <v>1</v>
      </c>
      <c r="F120" t="n">
        <v>3</v>
      </c>
      <c r="G120" t="n">
        <v>73333</v>
      </c>
      <c r="H120" t="inlineStr">
        <is>
          <t>Mayo 2026</t>
        </is>
      </c>
      <c r="I120" t="inlineStr">
        <is>
          <t>2026-05</t>
        </is>
      </c>
      <c r="J120" t="inlineStr">
        <is>
          <t>PAGADO</t>
        </is>
      </c>
      <c r="K120" t="inlineStr">
        <is>
          <t>C.01/03 · cashflow BBVA · gasto personal Sol</t>
        </is>
      </c>
      <c r="L120" t="inlineStr">
        <is>
          <t>Sol</t>
        </is>
      </c>
    </row>
    <row r="121">
      <c r="A121" t="inlineStr">
        <is>
          <t>BBVA TC</t>
        </is>
      </c>
      <c r="B121" s="52" t="n">
        <v>46138</v>
      </c>
      <c r="C121" t="inlineStr">
        <is>
          <t>PROMARINEANTIOXID</t>
        </is>
      </c>
      <c r="D121" t="inlineStr">
        <is>
          <t>SALUD</t>
        </is>
      </c>
      <c r="E121" t="n">
        <v>2</v>
      </c>
      <c r="F121" t="n">
        <v>6</v>
      </c>
      <c r="G121" t="n">
        <v>87900</v>
      </c>
      <c r="H121" t="inlineStr">
        <is>
          <t>Mayo 2026</t>
        </is>
      </c>
      <c r="I121" t="inlineStr">
        <is>
          <t>2026-05</t>
        </is>
      </c>
      <c r="J121" t="inlineStr">
        <is>
          <t>PAGADO</t>
        </is>
      </c>
      <c r="K121" t="inlineStr">
        <is>
          <t>C.02/06 · cashflow BBVA · gasto personal Sol</t>
        </is>
      </c>
      <c r="L121" t="inlineStr">
        <is>
          <t>Sol</t>
        </is>
      </c>
    </row>
    <row r="122">
      <c r="A122" t="inlineStr">
        <is>
          <t>BBVA TC</t>
        </is>
      </c>
      <c r="B122" s="52" t="n">
        <v>46144</v>
      </c>
      <c r="C122" t="inlineStr">
        <is>
          <t>SPORTING</t>
        </is>
      </c>
      <c r="D122" t="inlineStr">
        <is>
          <t>ROPA</t>
        </is>
      </c>
      <c r="E122" t="n">
        <v>1</v>
      </c>
      <c r="F122" t="n">
        <v>6</v>
      </c>
      <c r="G122" t="n">
        <v>36667</v>
      </c>
      <c r="H122" t="inlineStr">
        <is>
          <t>Mayo 2026</t>
        </is>
      </c>
      <c r="I122" t="inlineStr">
        <is>
          <t>2026-05</t>
        </is>
      </c>
      <c r="J122" t="inlineStr">
        <is>
          <t>PAGADO</t>
        </is>
      </c>
      <c r="K122" t="inlineStr">
        <is>
          <t>C.01/06 · cashflow BBVA · gasto personal Sol</t>
        </is>
      </c>
      <c r="L122" t="inlineStr">
        <is>
          <t>Sol</t>
        </is>
      </c>
    </row>
    <row r="123">
      <c r="A123" t="inlineStr">
        <is>
          <t>BBVA TC</t>
        </is>
      </c>
      <c r="B123" s="52" t="n">
        <v>46134</v>
      </c>
      <c r="C123" t="inlineStr">
        <is>
          <t>STANLEYARGENT</t>
        </is>
      </c>
      <c r="D123" t="inlineStr">
        <is>
          <t>Personal</t>
        </is>
      </c>
      <c r="E123" t="n">
        <v>2</v>
      </c>
      <c r="F123" t="n">
        <v>6</v>
      </c>
      <c r="G123" t="n">
        <v>18334</v>
      </c>
      <c r="H123" t="inlineStr">
        <is>
          <t>Mayo 2026</t>
        </is>
      </c>
      <c r="I123" t="inlineStr">
        <is>
          <t>2026-05</t>
        </is>
      </c>
      <c r="J123" t="inlineStr">
        <is>
          <t>PAGADO</t>
        </is>
      </c>
      <c r="K123" t="inlineStr">
        <is>
          <t>C.02/06 · cashflow BBVA · gasto personal Sol</t>
        </is>
      </c>
      <c r="L123" t="inlineStr">
        <is>
          <t>Sol</t>
        </is>
      </c>
    </row>
    <row r="124">
      <c r="A124" t="inlineStr">
        <is>
          <t>BBVA TC</t>
        </is>
      </c>
      <c r="B124" s="52" t="n">
        <v>46152</v>
      </c>
      <c r="C124" t="inlineStr">
        <is>
          <t>TIENDARIVER</t>
        </is>
      </c>
      <c r="D124" t="inlineStr">
        <is>
          <t>ROPA</t>
        </is>
      </c>
      <c r="E124" t="n">
        <v>1</v>
      </c>
      <c r="F124" t="n">
        <v>3</v>
      </c>
      <c r="G124" t="n">
        <v>84216</v>
      </c>
      <c r="H124" t="inlineStr">
        <is>
          <t>Mayo 2026</t>
        </is>
      </c>
      <c r="I124" t="inlineStr">
        <is>
          <t>2026-05</t>
        </is>
      </c>
      <c r="J124" t="inlineStr">
        <is>
          <t>PAGADO</t>
        </is>
      </c>
      <c r="K124" t="inlineStr">
        <is>
          <t>C.01/03 · cashflow BBVA · gasto personal Sol</t>
        </is>
      </c>
      <c r="L124" t="inlineStr">
        <is>
          <t>Sol</t>
        </is>
      </c>
    </row>
    <row r="125">
      <c r="A125" t="inlineStr">
        <is>
          <t>BBVA TC</t>
        </is>
      </c>
      <c r="B125" s="52" t="n">
        <v>46148</v>
      </c>
      <c r="C125" t="inlineStr">
        <is>
          <t>ZADIG</t>
        </is>
      </c>
      <c r="D125" t="inlineStr">
        <is>
          <t>ROPA</t>
        </is>
      </c>
      <c r="E125" t="n">
        <v>1</v>
      </c>
      <c r="F125" t="n">
        <v>12</v>
      </c>
      <c r="G125" t="n">
        <v>60917</v>
      </c>
      <c r="H125" t="inlineStr">
        <is>
          <t>Mayo 2026</t>
        </is>
      </c>
      <c r="I125" t="inlineStr">
        <is>
          <t>2026-05</t>
        </is>
      </c>
      <c r="J125" t="inlineStr">
        <is>
          <t>PAGADO</t>
        </is>
      </c>
      <c r="K125" t="inlineStr">
        <is>
          <t>C.01/12 · cashflow BBVA · gasto personal Sol</t>
        </is>
      </c>
      <c r="L125" t="inlineStr">
        <is>
          <t>Sol</t>
        </is>
      </c>
    </row>
    <row r="126">
      <c r="A126" t="inlineStr">
        <is>
          <t>BBVA TC</t>
        </is>
      </c>
      <c r="B126" s="52" t="n">
        <v>46151</v>
      </c>
      <c r="C126" t="inlineStr">
        <is>
          <t>ZADIG</t>
        </is>
      </c>
      <c r="D126" t="inlineStr">
        <is>
          <t>ROPA</t>
        </is>
      </c>
      <c r="E126" t="n">
        <v>1</v>
      </c>
      <c r="F126" t="n">
        <v>12</v>
      </c>
      <c r="G126" t="n">
        <v>69750</v>
      </c>
      <c r="H126" t="inlineStr">
        <is>
          <t>Mayo 2026</t>
        </is>
      </c>
      <c r="I126" t="inlineStr">
        <is>
          <t>2026-05</t>
        </is>
      </c>
      <c r="J126" t="inlineStr">
        <is>
          <t>PAGADO</t>
        </is>
      </c>
      <c r="K126" t="inlineStr">
        <is>
          <t>C.01/12 · cashflow BBVA · gasto personal Sol</t>
        </is>
      </c>
      <c r="L126" t="inlineStr">
        <is>
          <t>Sol</t>
        </is>
      </c>
    </row>
    <row r="127">
      <c r="A127" t="inlineStr">
        <is>
          <t>BBVA TC</t>
        </is>
      </c>
      <c r="B127" s="52" t="n">
        <v>46159</v>
      </c>
      <c r="C127" t="inlineStr">
        <is>
          <t>ZARA</t>
        </is>
      </c>
      <c r="D127" t="inlineStr">
        <is>
          <t>ROPA</t>
        </is>
      </c>
      <c r="E127" t="n">
        <v>1</v>
      </c>
      <c r="F127" t="n">
        <v>3</v>
      </c>
      <c r="G127" t="n">
        <v>40004</v>
      </c>
      <c r="H127" t="inlineStr">
        <is>
          <t>Mayo 2026</t>
        </is>
      </c>
      <c r="I127" t="inlineStr">
        <is>
          <t>2026-05</t>
        </is>
      </c>
      <c r="J127" t="inlineStr">
        <is>
          <t>PAGADO</t>
        </is>
      </c>
      <c r="K127" t="inlineStr">
        <is>
          <t>C.01/03 · cashflow BBVA · gasto personal Sol</t>
        </is>
      </c>
      <c r="L127" t="inlineStr">
        <is>
          <t>Sol</t>
        </is>
      </c>
    </row>
    <row r="128">
      <c r="A128" t="inlineStr">
        <is>
          <t>BBVA TC</t>
        </is>
      </c>
      <c r="B128" s="52" t="n">
        <v>46077</v>
      </c>
      <c r="C128" t="inlineStr">
        <is>
          <t>MERCADOLIBRE</t>
        </is>
      </c>
      <c r="D128" t="inlineStr">
        <is>
          <t>Mercado Libre</t>
        </is>
      </c>
      <c r="E128" t="n">
        <v>5</v>
      </c>
      <c r="F128" t="n">
        <v>9</v>
      </c>
      <c r="G128" t="n">
        <v>16950</v>
      </c>
      <c r="H128" t="inlineStr">
        <is>
          <t>Junio 2026</t>
        </is>
      </c>
      <c r="I128" t="inlineStr">
        <is>
          <t>2026-06</t>
        </is>
      </c>
      <c r="J128" t="inlineStr">
        <is>
          <t>PENDIENTE</t>
        </is>
      </c>
      <c r="K128" t="inlineStr">
        <is>
          <t>C.05/09 · cashflow BBVA · gasto personal Sol</t>
        </is>
      </c>
      <c r="L128" t="inlineStr">
        <is>
          <t>Sol</t>
        </is>
      </c>
    </row>
    <row r="129">
      <c r="A129" t="inlineStr">
        <is>
          <t>BBVA TC</t>
        </is>
      </c>
      <c r="B129" s="52" t="n">
        <v>46145</v>
      </c>
      <c r="C129" t="inlineStr">
        <is>
          <t>PAYU*AR*ADIDAS</t>
        </is>
      </c>
      <c r="D129" t="inlineStr">
        <is>
          <t>ROPA</t>
        </is>
      </c>
      <c r="E129" t="n">
        <v>2</v>
      </c>
      <c r="F129" t="n">
        <v>3</v>
      </c>
      <c r="G129" t="n">
        <v>73333</v>
      </c>
      <c r="H129" t="inlineStr">
        <is>
          <t>Junio 2026</t>
        </is>
      </c>
      <c r="I129" t="inlineStr">
        <is>
          <t>2026-06</t>
        </is>
      </c>
      <c r="J129" t="inlineStr">
        <is>
          <t>PENDIENTE</t>
        </is>
      </c>
      <c r="K129" t="inlineStr">
        <is>
          <t>C.02/03 · cashflow BBVA · gasto personal Sol</t>
        </is>
      </c>
      <c r="L129" t="inlineStr">
        <is>
          <t>Sol</t>
        </is>
      </c>
    </row>
    <row r="130">
      <c r="A130" t="inlineStr">
        <is>
          <t>BBVA TC</t>
        </is>
      </c>
      <c r="B130" s="52" t="n">
        <v>45953</v>
      </c>
      <c r="C130" t="inlineStr">
        <is>
          <t>2PRODUCTOS</t>
        </is>
      </c>
      <c r="D130" t="inlineStr">
        <is>
          <t>Personal</t>
        </is>
      </c>
      <c r="E130" t="n">
        <v>9</v>
      </c>
      <c r="F130" t="n">
        <v>9</v>
      </c>
      <c r="G130" t="n">
        <v>7367</v>
      </c>
      <c r="H130" t="inlineStr">
        <is>
          <t>Julio 2026</t>
        </is>
      </c>
      <c r="I130" t="inlineStr">
        <is>
          <t>2026-07</t>
        </is>
      </c>
      <c r="J130" t="inlineStr">
        <is>
          <t>PAGADO</t>
        </is>
      </c>
      <c r="K130" t="inlineStr">
        <is>
          <t>C.09/09 · cashflow BBVA · gasto personal Sol</t>
        </is>
      </c>
      <c r="L130" t="inlineStr">
        <is>
          <t>Sol</t>
        </is>
      </c>
    </row>
    <row r="131">
      <c r="A131" t="inlineStr">
        <is>
          <t>BBVA TC</t>
        </is>
      </c>
      <c r="B131" s="52" t="n">
        <v>46166</v>
      </c>
      <c r="C131" t="inlineStr">
        <is>
          <t>BIMBAYLOLA</t>
        </is>
      </c>
      <c r="D131" t="inlineStr">
        <is>
          <t>ROPA</t>
        </is>
      </c>
      <c r="E131" t="n">
        <v>2</v>
      </c>
      <c r="F131" t="n">
        <v>6</v>
      </c>
      <c r="G131" t="n">
        <v>124667</v>
      </c>
      <c r="H131" t="inlineStr">
        <is>
          <t>Julio 2026</t>
        </is>
      </c>
      <c r="I131" t="inlineStr">
        <is>
          <t>2026-07</t>
        </is>
      </c>
      <c r="J131" t="inlineStr">
        <is>
          <t>PAGADO</t>
        </is>
      </c>
      <c r="K131" t="inlineStr">
        <is>
          <t>C.02/06 · cashflow BBVA · gasto personal Sol</t>
        </is>
      </c>
      <c r="L131" t="inlineStr">
        <is>
          <t>Sol</t>
        </is>
      </c>
    </row>
    <row r="132">
      <c r="A132" t="inlineStr">
        <is>
          <t>BBVA TC</t>
        </is>
      </c>
      <c r="B132" s="52" t="n">
        <v>46166</v>
      </c>
      <c r="C132" t="inlineStr">
        <is>
          <t>BIMBAYLOLA</t>
        </is>
      </c>
      <c r="D132" t="inlineStr">
        <is>
          <t>ROPA</t>
        </is>
      </c>
      <c r="E132" t="n">
        <v>3</v>
      </c>
      <c r="F132" t="n">
        <v>6</v>
      </c>
      <c r="G132" t="n">
        <v>124667</v>
      </c>
      <c r="H132" t="inlineStr">
        <is>
          <t>Julio 2026</t>
        </is>
      </c>
      <c r="I132" t="inlineStr">
        <is>
          <t>2026-07</t>
        </is>
      </c>
      <c r="J132" t="inlineStr">
        <is>
          <t>PENDIENTE</t>
        </is>
      </c>
      <c r="K132" t="inlineStr">
        <is>
          <t>C.03/06 · cashflow BBVA · gasto personal Sol</t>
        </is>
      </c>
      <c r="L132" t="inlineStr">
        <is>
          <t>Sol</t>
        </is>
      </c>
    </row>
    <row r="133">
      <c r="A133" t="inlineStr">
        <is>
          <t>BBVA TC</t>
        </is>
      </c>
      <c r="B133" s="52" t="n">
        <v>46158</v>
      </c>
      <c r="C133" t="inlineStr">
        <is>
          <t>BOKENVORENO</t>
        </is>
      </c>
      <c r="D133" t="inlineStr">
        <is>
          <t>Personal</t>
        </is>
      </c>
      <c r="E133" t="n">
        <v>2</v>
      </c>
      <c r="F133" t="n">
        <v>6</v>
      </c>
      <c r="G133" t="n">
        <v>98334</v>
      </c>
      <c r="H133" t="inlineStr">
        <is>
          <t>Julio 2026</t>
        </is>
      </c>
      <c r="I133" t="inlineStr">
        <is>
          <t>2026-07</t>
        </is>
      </c>
      <c r="J133" t="inlineStr">
        <is>
          <t>PAGADO</t>
        </is>
      </c>
      <c r="K133" t="inlineStr">
        <is>
          <t>C.02/06 · cashflow BBVA · gasto personal Sol</t>
        </is>
      </c>
      <c r="L133" t="inlineStr">
        <is>
          <t>Sol</t>
        </is>
      </c>
    </row>
    <row r="134">
      <c r="A134" t="inlineStr">
        <is>
          <t>BBVA TC</t>
        </is>
      </c>
      <c r="B134" s="52" t="n">
        <v>46158</v>
      </c>
      <c r="C134" t="inlineStr">
        <is>
          <t>BOKENVORENO</t>
        </is>
      </c>
      <c r="D134" t="inlineStr">
        <is>
          <t>Personal</t>
        </is>
      </c>
      <c r="E134" t="n">
        <v>3</v>
      </c>
      <c r="F134" t="n">
        <v>6</v>
      </c>
      <c r="G134" t="n">
        <v>98334</v>
      </c>
      <c r="H134" t="inlineStr">
        <is>
          <t>Julio 2026</t>
        </is>
      </c>
      <c r="I134" t="inlineStr">
        <is>
          <t>2026-07</t>
        </is>
      </c>
      <c r="J134" t="inlineStr">
        <is>
          <t>PENDIENTE</t>
        </is>
      </c>
      <c r="K134" t="inlineStr">
        <is>
          <t>C.03/06 · cashflow BBVA · gasto personal Sol</t>
        </is>
      </c>
      <c r="L134" t="inlineStr">
        <is>
          <t>Sol</t>
        </is>
      </c>
    </row>
    <row r="135">
      <c r="A135" t="inlineStr">
        <is>
          <t>BBVA TC</t>
        </is>
      </c>
      <c r="B135" s="52" t="n">
        <v>46151</v>
      </c>
      <c r="C135" t="inlineStr">
        <is>
          <t>CAMBIODEAIRES</t>
        </is>
      </c>
      <c r="D135" t="inlineStr">
        <is>
          <t>Personal</t>
        </is>
      </c>
      <c r="E135" t="n">
        <v>2</v>
      </c>
      <c r="F135" t="n">
        <v>3</v>
      </c>
      <c r="G135" t="n">
        <v>329986</v>
      </c>
      <c r="H135" t="inlineStr">
        <is>
          <t>Julio 2026</t>
        </is>
      </c>
      <c r="I135" t="inlineStr">
        <is>
          <t>2026-07</t>
        </is>
      </c>
      <c r="J135" t="inlineStr">
        <is>
          <t>PAGADO</t>
        </is>
      </c>
      <c r="K135" t="inlineStr">
        <is>
          <t>C.02/03 · cashflow BBVA · gasto personal Sol</t>
        </is>
      </c>
      <c r="L135" t="inlineStr">
        <is>
          <t>Sol</t>
        </is>
      </c>
    </row>
    <row r="136">
      <c r="A136" t="inlineStr">
        <is>
          <t>BBVA TC</t>
        </is>
      </c>
      <c r="B136" s="52" t="n">
        <v>46151</v>
      </c>
      <c r="C136" t="inlineStr">
        <is>
          <t>CAMBIODEAIRES</t>
        </is>
      </c>
      <c r="D136" t="inlineStr">
        <is>
          <t>Personal</t>
        </is>
      </c>
      <c r="E136" t="n">
        <v>3</v>
      </c>
      <c r="F136" t="n">
        <v>3</v>
      </c>
      <c r="G136" t="n">
        <v>329986</v>
      </c>
      <c r="H136" t="inlineStr">
        <is>
          <t>Julio 2026</t>
        </is>
      </c>
      <c r="I136" t="inlineStr">
        <is>
          <t>2026-07</t>
        </is>
      </c>
      <c r="J136" t="inlineStr">
        <is>
          <t>PENDIENTE</t>
        </is>
      </c>
      <c r="K136" t="inlineStr">
        <is>
          <t>C.03/03 · cashflow BBVA · gasto personal Sol</t>
        </is>
      </c>
      <c r="L136" t="inlineStr">
        <is>
          <t>Sol</t>
        </is>
      </c>
    </row>
    <row r="137">
      <c r="A137" t="inlineStr">
        <is>
          <t>BBVA TC</t>
        </is>
      </c>
      <c r="B137" s="52" t="n">
        <v>46201</v>
      </c>
      <c r="C137" t="inlineStr">
        <is>
          <t>FRIVILLI</t>
        </is>
      </c>
      <c r="D137" t="inlineStr">
        <is>
          <t>Personal</t>
        </is>
      </c>
      <c r="E137" t="n">
        <v>1</v>
      </c>
      <c r="F137" t="n">
        <v>3</v>
      </c>
      <c r="G137" t="n">
        <v>31700</v>
      </c>
      <c r="H137" t="inlineStr">
        <is>
          <t>Julio 2026</t>
        </is>
      </c>
      <c r="I137" t="inlineStr">
        <is>
          <t>2026-07</t>
        </is>
      </c>
      <c r="J137" t="inlineStr">
        <is>
          <t>PAGADO</t>
        </is>
      </c>
      <c r="K137" t="inlineStr">
        <is>
          <t>C.01/03 · cashflow BBVA · gasto personal Sol</t>
        </is>
      </c>
      <c r="L137" t="inlineStr">
        <is>
          <t>Sol</t>
        </is>
      </c>
    </row>
    <row r="138">
      <c r="A138" t="inlineStr">
        <is>
          <t>BBVA TC</t>
        </is>
      </c>
      <c r="B138" s="52" t="n">
        <v>46151</v>
      </c>
      <c r="C138" t="inlineStr">
        <is>
          <t>JUSTA OSADIA</t>
        </is>
      </c>
      <c r="D138" t="inlineStr">
        <is>
          <t>ROPA</t>
        </is>
      </c>
      <c r="E138" t="n">
        <v>2</v>
      </c>
      <c r="F138" t="n">
        <v>6</v>
      </c>
      <c r="G138" t="n">
        <v>80834</v>
      </c>
      <c r="H138" t="inlineStr">
        <is>
          <t>Julio 2026</t>
        </is>
      </c>
      <c r="I138" t="inlineStr">
        <is>
          <t>2026-07</t>
        </is>
      </c>
      <c r="J138" t="inlineStr">
        <is>
          <t>PAGADO</t>
        </is>
      </c>
      <c r="K138" t="inlineStr">
        <is>
          <t>C.02/06 · cashflow BBVA · gasto personal Sol</t>
        </is>
      </c>
      <c r="L138" t="inlineStr">
        <is>
          <t>Sol</t>
        </is>
      </c>
    </row>
    <row r="139">
      <c r="A139" t="inlineStr">
        <is>
          <t>BBVA TC</t>
        </is>
      </c>
      <c r="B139" s="52" t="n">
        <v>46151</v>
      </c>
      <c r="C139" t="inlineStr">
        <is>
          <t>JUSTA OSADIA</t>
        </is>
      </c>
      <c r="D139" t="inlineStr">
        <is>
          <t>ROPA</t>
        </is>
      </c>
      <c r="E139" t="n">
        <v>3</v>
      </c>
      <c r="F139" t="n">
        <v>6</v>
      </c>
      <c r="G139" t="n">
        <v>80834</v>
      </c>
      <c r="H139" t="inlineStr">
        <is>
          <t>Julio 2026</t>
        </is>
      </c>
      <c r="I139" t="inlineStr">
        <is>
          <t>2026-07</t>
        </is>
      </c>
      <c r="J139" t="inlineStr">
        <is>
          <t>PENDIENTE</t>
        </is>
      </c>
      <c r="K139" t="inlineStr">
        <is>
          <t>C.03/06 · cashflow BBVA · gasto personal Sol</t>
        </is>
      </c>
      <c r="L139" t="inlineStr">
        <is>
          <t>Sol</t>
        </is>
      </c>
    </row>
    <row r="140">
      <c r="A140" t="inlineStr">
        <is>
          <t>BBVA TC</t>
        </is>
      </c>
      <c r="B140" s="52" t="n">
        <v>46132</v>
      </c>
      <c r="C140" t="inlineStr">
        <is>
          <t>LABORATORIOBE</t>
        </is>
      </c>
      <c r="D140" t="inlineStr">
        <is>
          <t>Personal</t>
        </is>
      </c>
      <c r="E140" t="n">
        <v>3</v>
      </c>
      <c r="F140" t="n">
        <v>6</v>
      </c>
      <c r="G140" t="n">
        <v>54033</v>
      </c>
      <c r="H140" t="inlineStr">
        <is>
          <t>Julio 2026</t>
        </is>
      </c>
      <c r="I140" t="inlineStr">
        <is>
          <t>2026-07</t>
        </is>
      </c>
      <c r="J140" t="inlineStr">
        <is>
          <t>PAGADO</t>
        </is>
      </c>
      <c r="K140" t="inlineStr">
        <is>
          <t>C.03/06 · cashflow BBVA · gasto personal Sol</t>
        </is>
      </c>
      <c r="L140" t="inlineStr">
        <is>
          <t>Sol</t>
        </is>
      </c>
    </row>
    <row r="141">
      <c r="A141" t="inlineStr">
        <is>
          <t>BBVA TC</t>
        </is>
      </c>
      <c r="B141" s="52" t="n">
        <v>46132</v>
      </c>
      <c r="C141" t="inlineStr">
        <is>
          <t>LABORATORIOBE</t>
        </is>
      </c>
      <c r="D141" t="inlineStr">
        <is>
          <t>Personal</t>
        </is>
      </c>
      <c r="E141" t="n">
        <v>4</v>
      </c>
      <c r="F141" t="n">
        <v>6</v>
      </c>
      <c r="G141" t="n">
        <v>54033</v>
      </c>
      <c r="H141" t="inlineStr">
        <is>
          <t>Julio 2026</t>
        </is>
      </c>
      <c r="I141" t="inlineStr">
        <is>
          <t>2026-07</t>
        </is>
      </c>
      <c r="J141" t="inlineStr">
        <is>
          <t>PENDIENTE</t>
        </is>
      </c>
      <c r="K141" t="inlineStr">
        <is>
          <t>C.04/06 · cashflow BBVA · gasto personal Sol</t>
        </is>
      </c>
      <c r="L141" t="inlineStr">
        <is>
          <t>Sol</t>
        </is>
      </c>
    </row>
    <row r="142">
      <c r="A142" t="inlineStr">
        <is>
          <t>BBVA TC</t>
        </is>
      </c>
      <c r="B142" s="52" t="n">
        <v>46021</v>
      </c>
      <c r="C142" t="inlineStr">
        <is>
          <t>LONGCHAMP</t>
        </is>
      </c>
      <c r="D142" t="inlineStr">
        <is>
          <t>ROPA</t>
        </is>
      </c>
      <c r="E142" t="n">
        <v>6</v>
      </c>
      <c r="F142" t="n">
        <v>6</v>
      </c>
      <c r="G142" t="n">
        <v>63750</v>
      </c>
      <c r="H142" t="inlineStr">
        <is>
          <t>Julio 2026</t>
        </is>
      </c>
      <c r="I142" t="inlineStr">
        <is>
          <t>2026-07</t>
        </is>
      </c>
      <c r="J142" t="inlineStr">
        <is>
          <t>PAGADO</t>
        </is>
      </c>
      <c r="K142" t="inlineStr">
        <is>
          <t>C.06/06 · cashflow BBVA · gasto personal Sol</t>
        </is>
      </c>
      <c r="L142" t="inlineStr">
        <is>
          <t>Sol</t>
        </is>
      </c>
    </row>
    <row r="143">
      <c r="A143" t="inlineStr">
        <is>
          <t>BBVA TC</t>
        </is>
      </c>
      <c r="B143" s="52" t="n">
        <v>46198</v>
      </c>
      <c r="C143" t="inlineStr">
        <is>
          <t>MERCADOLIBRE</t>
        </is>
      </c>
      <c r="D143" t="inlineStr">
        <is>
          <t>Mercado Libre</t>
        </is>
      </c>
      <c r="E143" t="n">
        <v>1</v>
      </c>
      <c r="F143" t="n">
        <v>6</v>
      </c>
      <c r="G143" t="n">
        <v>12084</v>
      </c>
      <c r="H143" t="inlineStr">
        <is>
          <t>Julio 2026</t>
        </is>
      </c>
      <c r="I143" t="inlineStr">
        <is>
          <t>2026-07</t>
        </is>
      </c>
      <c r="J143" t="inlineStr">
        <is>
          <t>PAGADO</t>
        </is>
      </c>
      <c r="K143" t="inlineStr">
        <is>
          <t>C.01/06 · cashflow BBVA · gasto personal Sol</t>
        </is>
      </c>
      <c r="L143" t="inlineStr">
        <is>
          <t>Sol</t>
        </is>
      </c>
    </row>
    <row r="144">
      <c r="A144" t="inlineStr">
        <is>
          <t>BBVA TC</t>
        </is>
      </c>
      <c r="B144" s="52" t="n">
        <v>46077</v>
      </c>
      <c r="C144" t="inlineStr">
        <is>
          <t>MERCADOLIBRE</t>
        </is>
      </c>
      <c r="D144" t="inlineStr">
        <is>
          <t>Mercado Libre</t>
        </is>
      </c>
      <c r="E144" t="n">
        <v>4</v>
      </c>
      <c r="F144" t="n">
        <v>9</v>
      </c>
      <c r="G144" t="n">
        <v>16950</v>
      </c>
      <c r="H144" t="inlineStr">
        <is>
          <t>Julio 2026</t>
        </is>
      </c>
      <c r="I144" t="inlineStr">
        <is>
          <t>2026-07</t>
        </is>
      </c>
      <c r="J144" t="inlineStr">
        <is>
          <t>PAGADO</t>
        </is>
      </c>
      <c r="K144" t="inlineStr">
        <is>
          <t>C.04/09 · cashflow BBVA · gasto personal Sol</t>
        </is>
      </c>
      <c r="L144" t="inlineStr">
        <is>
          <t>Sol</t>
        </is>
      </c>
    </row>
    <row r="145">
      <c r="A145" t="inlineStr">
        <is>
          <t>BBVA TC</t>
        </is>
      </c>
      <c r="B145" s="52" t="n">
        <v>46094</v>
      </c>
      <c r="C145" t="inlineStr">
        <is>
          <t>MERCADOLIBRE</t>
        </is>
      </c>
      <c r="D145" t="inlineStr">
        <is>
          <t>Mercado Libre</t>
        </is>
      </c>
      <c r="E145" t="n">
        <v>4</v>
      </c>
      <c r="F145" t="n">
        <v>12</v>
      </c>
      <c r="G145" t="n">
        <v>275000</v>
      </c>
      <c r="H145" t="inlineStr">
        <is>
          <t>Julio 2026</t>
        </is>
      </c>
      <c r="I145" t="inlineStr">
        <is>
          <t>2026-07</t>
        </is>
      </c>
      <c r="J145" t="inlineStr">
        <is>
          <t>PAGADO</t>
        </is>
      </c>
      <c r="K145" t="inlineStr">
        <is>
          <t>C.04/12 · cashflow BBVA · gasto personal Sol</t>
        </is>
      </c>
      <c r="L145" t="inlineStr">
        <is>
          <t>Sol</t>
        </is>
      </c>
    </row>
    <row r="146">
      <c r="A146" t="inlineStr">
        <is>
          <t>BBVA TC</t>
        </is>
      </c>
      <c r="B146" s="52" t="n">
        <v>46069</v>
      </c>
      <c r="C146" t="inlineStr">
        <is>
          <t>MERCADOLIBRE</t>
        </is>
      </c>
      <c r="D146" t="inlineStr">
        <is>
          <t>Mercado Libre</t>
        </is>
      </c>
      <c r="E146" t="n">
        <v>5</v>
      </c>
      <c r="F146" t="n">
        <v>9</v>
      </c>
      <c r="G146" t="n">
        <v>17360</v>
      </c>
      <c r="H146" t="inlineStr">
        <is>
          <t>Julio 2026</t>
        </is>
      </c>
      <c r="I146" t="inlineStr">
        <is>
          <t>2026-07</t>
        </is>
      </c>
      <c r="J146" t="inlineStr">
        <is>
          <t>PAGADO</t>
        </is>
      </c>
      <c r="K146" t="inlineStr">
        <is>
          <t>C.05/09 · cashflow BBVA · gasto personal Sol</t>
        </is>
      </c>
      <c r="L146" t="inlineStr">
        <is>
          <t>Sol</t>
        </is>
      </c>
    </row>
    <row r="147">
      <c r="A147" t="inlineStr">
        <is>
          <t>BBVA TC</t>
        </is>
      </c>
      <c r="B147" s="52" t="n">
        <v>46094</v>
      </c>
      <c r="C147" t="inlineStr">
        <is>
          <t>MERCADOLIBRE</t>
        </is>
      </c>
      <c r="D147" t="inlineStr">
        <is>
          <t>Mercado Libre</t>
        </is>
      </c>
      <c r="E147" t="n">
        <v>5</v>
      </c>
      <c r="F147" t="n">
        <v>12</v>
      </c>
      <c r="G147" t="n">
        <v>275000</v>
      </c>
      <c r="H147" t="inlineStr">
        <is>
          <t>Julio 2026</t>
        </is>
      </c>
      <c r="I147" t="inlineStr">
        <is>
          <t>2026-07</t>
        </is>
      </c>
      <c r="J147" t="inlineStr">
        <is>
          <t>PENDIENTE</t>
        </is>
      </c>
      <c r="K147" t="inlineStr">
        <is>
          <t>C.05/12 · cashflow BBVA · gasto personal Sol</t>
        </is>
      </c>
      <c r="L147" t="inlineStr">
        <is>
          <t>Sol</t>
        </is>
      </c>
    </row>
    <row r="148">
      <c r="A148" t="inlineStr">
        <is>
          <t>BBVA TC</t>
        </is>
      </c>
      <c r="B148" s="52" t="n">
        <v>46069</v>
      </c>
      <c r="C148" t="inlineStr">
        <is>
          <t>MERCADOLIBRE</t>
        </is>
      </c>
      <c r="D148" t="inlineStr">
        <is>
          <t>Mercado Libre</t>
        </is>
      </c>
      <c r="E148" t="n">
        <v>6</v>
      </c>
      <c r="F148" t="n">
        <v>9</v>
      </c>
      <c r="G148" t="n">
        <v>17360</v>
      </c>
      <c r="H148" t="inlineStr">
        <is>
          <t>Julio 2026</t>
        </is>
      </c>
      <c r="I148" t="inlineStr">
        <is>
          <t>2026-07</t>
        </is>
      </c>
      <c r="J148" t="inlineStr">
        <is>
          <t>PENDIENTE</t>
        </is>
      </c>
      <c r="K148" t="inlineStr">
        <is>
          <t>C.06/09 · cashflow BBVA · gasto personal Sol</t>
        </is>
      </c>
      <c r="L148" t="inlineStr">
        <is>
          <t>Sol</t>
        </is>
      </c>
    </row>
    <row r="149">
      <c r="A149" t="inlineStr">
        <is>
          <t>BBVA TC</t>
        </is>
      </c>
      <c r="B149" s="52" t="n">
        <v>46077</v>
      </c>
      <c r="C149" t="inlineStr">
        <is>
          <t>MERCADOLIBRE</t>
        </is>
      </c>
      <c r="D149" t="inlineStr">
        <is>
          <t>Mercado Libre</t>
        </is>
      </c>
      <c r="E149" t="n">
        <v>6</v>
      </c>
      <c r="F149" t="n">
        <v>9</v>
      </c>
      <c r="G149" t="n">
        <v>16950</v>
      </c>
      <c r="H149" t="inlineStr">
        <is>
          <t>Julio 2026</t>
        </is>
      </c>
      <c r="I149" t="inlineStr">
        <is>
          <t>2026-07</t>
        </is>
      </c>
      <c r="J149" t="inlineStr">
        <is>
          <t>PENDIENTE</t>
        </is>
      </c>
      <c r="K149" t="inlineStr">
        <is>
          <t>C.06/09 · cashflow BBVA · gasto personal Sol</t>
        </is>
      </c>
      <c r="L149" t="inlineStr">
        <is>
          <t>Sol</t>
        </is>
      </c>
    </row>
    <row r="150">
      <c r="A150" t="inlineStr">
        <is>
          <t>BBVA TC</t>
        </is>
      </c>
      <c r="B150" s="52" t="n">
        <v>46125</v>
      </c>
      <c r="C150" t="inlineStr">
        <is>
          <t>MONOFUK</t>
        </is>
      </c>
      <c r="D150" t="inlineStr">
        <is>
          <t>Personal</t>
        </is>
      </c>
      <c r="E150" t="n">
        <v>3</v>
      </c>
      <c r="F150" t="n">
        <v>6</v>
      </c>
      <c r="G150" t="n">
        <v>95984</v>
      </c>
      <c r="H150" t="inlineStr">
        <is>
          <t>Julio 2026</t>
        </is>
      </c>
      <c r="I150" t="inlineStr">
        <is>
          <t>2026-07</t>
        </is>
      </c>
      <c r="J150" t="inlineStr">
        <is>
          <t>PAGADO</t>
        </is>
      </c>
      <c r="K150" t="inlineStr">
        <is>
          <t>C.03/06 · cashflow BBVA · gasto personal Sol</t>
        </is>
      </c>
      <c r="L150" t="inlineStr">
        <is>
          <t>Sol</t>
        </is>
      </c>
    </row>
    <row r="151">
      <c r="A151" t="inlineStr">
        <is>
          <t>BBVA TC</t>
        </is>
      </c>
      <c r="B151" s="52" t="n">
        <v>46125</v>
      </c>
      <c r="C151" t="inlineStr">
        <is>
          <t>MONOFUK</t>
        </is>
      </c>
      <c r="D151" t="inlineStr">
        <is>
          <t>Personal</t>
        </is>
      </c>
      <c r="E151" t="n">
        <v>4</v>
      </c>
      <c r="F151" t="n">
        <v>6</v>
      </c>
      <c r="G151" t="n">
        <v>95984</v>
      </c>
      <c r="H151" t="inlineStr">
        <is>
          <t>Julio 2026</t>
        </is>
      </c>
      <c r="I151" t="inlineStr">
        <is>
          <t>2026-07</t>
        </is>
      </c>
      <c r="J151" t="inlineStr">
        <is>
          <t>PENDIENTE</t>
        </is>
      </c>
      <c r="K151" t="inlineStr">
        <is>
          <t>C.04/06 · cashflow BBVA · gasto personal Sol</t>
        </is>
      </c>
      <c r="L151" t="inlineStr">
        <is>
          <t>Sol</t>
        </is>
      </c>
    </row>
    <row r="152">
      <c r="A152" t="inlineStr">
        <is>
          <t>BBVA TC</t>
        </is>
      </c>
      <c r="B152" s="52" t="n">
        <v>46176</v>
      </c>
      <c r="C152" t="inlineStr">
        <is>
          <t>PANDORA</t>
        </is>
      </c>
      <c r="D152" t="inlineStr">
        <is>
          <t>ROPA</t>
        </is>
      </c>
      <c r="E152" t="n">
        <v>1</v>
      </c>
      <c r="F152" t="n">
        <v>6</v>
      </c>
      <c r="G152" t="n">
        <v>284794</v>
      </c>
      <c r="H152" t="inlineStr">
        <is>
          <t>Julio 2026</t>
        </is>
      </c>
      <c r="I152" t="inlineStr">
        <is>
          <t>2026-07</t>
        </is>
      </c>
      <c r="J152" t="inlineStr">
        <is>
          <t>PAGADO</t>
        </is>
      </c>
      <c r="K152" t="inlineStr">
        <is>
          <t>C.01/06 · cashflow BBVA · gasto personal Sol</t>
        </is>
      </c>
      <c r="L152" t="inlineStr">
        <is>
          <t>Sol</t>
        </is>
      </c>
    </row>
    <row r="153">
      <c r="A153" t="inlineStr">
        <is>
          <t>BBVA TC</t>
        </is>
      </c>
      <c r="B153" s="52" t="n">
        <v>46174</v>
      </c>
      <c r="C153" t="inlineStr">
        <is>
          <t>PANDORA</t>
        </is>
      </c>
      <c r="D153" t="inlineStr">
        <is>
          <t>ROPA</t>
        </is>
      </c>
      <c r="E153" t="n">
        <v>1</v>
      </c>
      <c r="F153" t="n">
        <v>6</v>
      </c>
      <c r="G153" t="n">
        <v>73600</v>
      </c>
      <c r="H153" t="inlineStr">
        <is>
          <t>Julio 2026</t>
        </is>
      </c>
      <c r="I153" t="inlineStr">
        <is>
          <t>2026-07</t>
        </is>
      </c>
      <c r="J153" t="inlineStr">
        <is>
          <t>PAGADO</t>
        </is>
      </c>
      <c r="K153" t="inlineStr">
        <is>
          <t>C.01/06 · cashflow BBVA · gasto personal Sol</t>
        </is>
      </c>
      <c r="L153" t="inlineStr">
        <is>
          <t>Sol</t>
        </is>
      </c>
    </row>
    <row r="154">
      <c r="A154" t="inlineStr">
        <is>
          <t>BBVA TC</t>
        </is>
      </c>
      <c r="B154" s="52" t="n">
        <v>46145</v>
      </c>
      <c r="C154" t="inlineStr">
        <is>
          <t>PAYU*AR*ADIDAS</t>
        </is>
      </c>
      <c r="D154" t="inlineStr">
        <is>
          <t>ROPA</t>
        </is>
      </c>
      <c r="E154" t="n">
        <v>3</v>
      </c>
      <c r="F154" t="n">
        <v>3</v>
      </c>
      <c r="G154" t="n">
        <v>73333</v>
      </c>
      <c r="H154" t="inlineStr">
        <is>
          <t>Julio 2026</t>
        </is>
      </c>
      <c r="I154" t="inlineStr">
        <is>
          <t>2026-07</t>
        </is>
      </c>
      <c r="J154" t="inlineStr">
        <is>
          <t>PENDIENTE</t>
        </is>
      </c>
      <c r="K154" t="inlineStr">
        <is>
          <t>C.03/03 · cashflow BBVA · gasto personal Sol</t>
        </is>
      </c>
      <c r="L154" t="inlineStr">
        <is>
          <t>Sol</t>
        </is>
      </c>
    </row>
    <row r="155">
      <c r="A155" t="inlineStr">
        <is>
          <t>BBVA TC</t>
        </is>
      </c>
      <c r="B155" s="52" t="n">
        <v>46138</v>
      </c>
      <c r="C155" t="inlineStr">
        <is>
          <t>PROMARINEANTIOXID</t>
        </is>
      </c>
      <c r="D155" t="inlineStr">
        <is>
          <t>SALUD</t>
        </is>
      </c>
      <c r="E155" t="n">
        <v>3</v>
      </c>
      <c r="F155" t="n">
        <v>6</v>
      </c>
      <c r="G155" t="n">
        <v>87900</v>
      </c>
      <c r="H155" t="inlineStr">
        <is>
          <t>Julio 2026</t>
        </is>
      </c>
      <c r="I155" t="inlineStr">
        <is>
          <t>2026-07</t>
        </is>
      </c>
      <c r="J155" t="inlineStr">
        <is>
          <t>PAGADO</t>
        </is>
      </c>
      <c r="K155" t="inlineStr">
        <is>
          <t>C.03/06 · cashflow BBVA · gasto personal Sol</t>
        </is>
      </c>
      <c r="L155" t="inlineStr">
        <is>
          <t>Sol</t>
        </is>
      </c>
    </row>
    <row r="156">
      <c r="A156" t="inlineStr">
        <is>
          <t>BBVA TC</t>
        </is>
      </c>
      <c r="B156" s="52" t="n">
        <v>46138</v>
      </c>
      <c r="C156" t="inlineStr">
        <is>
          <t>PROMARINEANTIOXID</t>
        </is>
      </c>
      <c r="D156" t="inlineStr">
        <is>
          <t>SALUD</t>
        </is>
      </c>
      <c r="E156" t="n">
        <v>4</v>
      </c>
      <c r="F156" t="n">
        <v>6</v>
      </c>
      <c r="G156" t="n">
        <v>87900</v>
      </c>
      <c r="H156" t="inlineStr">
        <is>
          <t>Julio 2026</t>
        </is>
      </c>
      <c r="I156" t="inlineStr">
        <is>
          <t>2026-07</t>
        </is>
      </c>
      <c r="J156" t="inlineStr">
        <is>
          <t>PENDIENTE</t>
        </is>
      </c>
      <c r="K156" t="inlineStr">
        <is>
          <t>C.04/06 · cashflow BBVA · gasto personal Sol</t>
        </is>
      </c>
      <c r="L156" t="inlineStr">
        <is>
          <t>Sol</t>
        </is>
      </c>
    </row>
    <row r="157">
      <c r="A157" t="inlineStr">
        <is>
          <t>BBVA TC</t>
        </is>
      </c>
      <c r="B157" s="52" t="n">
        <v>46144</v>
      </c>
      <c r="C157" t="inlineStr">
        <is>
          <t>SPORTING</t>
        </is>
      </c>
      <c r="D157" t="inlineStr">
        <is>
          <t>ROPA</t>
        </is>
      </c>
      <c r="E157" t="n">
        <v>2</v>
      </c>
      <c r="F157" t="n">
        <v>6</v>
      </c>
      <c r="G157" t="n">
        <v>36667</v>
      </c>
      <c r="H157" t="inlineStr">
        <is>
          <t>Julio 2026</t>
        </is>
      </c>
      <c r="I157" t="inlineStr">
        <is>
          <t>2026-07</t>
        </is>
      </c>
      <c r="J157" t="inlineStr">
        <is>
          <t>PAGADO</t>
        </is>
      </c>
      <c r="K157" t="inlineStr">
        <is>
          <t>C.02/06 · cashflow BBVA · gasto personal Sol</t>
        </is>
      </c>
      <c r="L157" t="inlineStr">
        <is>
          <t>Sol</t>
        </is>
      </c>
    </row>
    <row r="158">
      <c r="A158" t="inlineStr">
        <is>
          <t>BBVA TC</t>
        </is>
      </c>
      <c r="B158" s="52" t="n">
        <v>46144</v>
      </c>
      <c r="C158" t="inlineStr">
        <is>
          <t>SPORTING</t>
        </is>
      </c>
      <c r="D158" t="inlineStr">
        <is>
          <t>ROPA</t>
        </is>
      </c>
      <c r="E158" t="n">
        <v>3</v>
      </c>
      <c r="F158" t="n">
        <v>6</v>
      </c>
      <c r="G158" t="n">
        <v>36667</v>
      </c>
      <c r="H158" t="inlineStr">
        <is>
          <t>Julio 2026</t>
        </is>
      </c>
      <c r="I158" t="inlineStr">
        <is>
          <t>2026-07</t>
        </is>
      </c>
      <c r="J158" t="inlineStr">
        <is>
          <t>PENDIENTE</t>
        </is>
      </c>
      <c r="K158" t="inlineStr">
        <is>
          <t>C.03/06 · cashflow BBVA · gasto personal Sol</t>
        </is>
      </c>
      <c r="L158" t="inlineStr">
        <is>
          <t>Sol</t>
        </is>
      </c>
    </row>
    <row r="159">
      <c r="A159" t="inlineStr">
        <is>
          <t>BBVA TC</t>
        </is>
      </c>
      <c r="B159" s="52" t="n">
        <v>46134</v>
      </c>
      <c r="C159" t="inlineStr">
        <is>
          <t>STANLEYARGENT</t>
        </is>
      </c>
      <c r="D159" t="inlineStr">
        <is>
          <t>Personal</t>
        </is>
      </c>
      <c r="E159" t="n">
        <v>3</v>
      </c>
      <c r="F159" t="n">
        <v>6</v>
      </c>
      <c r="G159" t="n">
        <v>18334</v>
      </c>
      <c r="H159" t="inlineStr">
        <is>
          <t>Julio 2026</t>
        </is>
      </c>
      <c r="I159" t="inlineStr">
        <is>
          <t>2026-07</t>
        </is>
      </c>
      <c r="J159" t="inlineStr">
        <is>
          <t>PAGADO</t>
        </is>
      </c>
      <c r="K159" t="inlineStr">
        <is>
          <t>C.03/06 · cashflow BBVA · gasto personal Sol</t>
        </is>
      </c>
      <c r="L159" t="inlineStr">
        <is>
          <t>Sol</t>
        </is>
      </c>
    </row>
    <row r="160">
      <c r="A160" t="inlineStr">
        <is>
          <t>BBVA TC</t>
        </is>
      </c>
      <c r="B160" s="52" t="n">
        <v>46134</v>
      </c>
      <c r="C160" t="inlineStr">
        <is>
          <t>STANLEYARGENT</t>
        </is>
      </c>
      <c r="D160" t="inlineStr">
        <is>
          <t>Personal</t>
        </is>
      </c>
      <c r="E160" t="n">
        <v>4</v>
      </c>
      <c r="F160" t="n">
        <v>6</v>
      </c>
      <c r="G160" t="n">
        <v>18334</v>
      </c>
      <c r="H160" t="inlineStr">
        <is>
          <t>Julio 2026</t>
        </is>
      </c>
      <c r="I160" t="inlineStr">
        <is>
          <t>2026-07</t>
        </is>
      </c>
      <c r="J160" t="inlineStr">
        <is>
          <t>PENDIENTE</t>
        </is>
      </c>
      <c r="K160" t="inlineStr">
        <is>
          <t>C.04/06 · cashflow BBVA · gasto personal Sol</t>
        </is>
      </c>
      <c r="L160" t="inlineStr">
        <is>
          <t>Sol</t>
        </is>
      </c>
    </row>
    <row r="161">
      <c r="A161" t="inlineStr">
        <is>
          <t>BBVA TC</t>
        </is>
      </c>
      <c r="B161" s="52" t="n">
        <v>46152</v>
      </c>
      <c r="C161" t="inlineStr">
        <is>
          <t>TIENDARIVER</t>
        </is>
      </c>
      <c r="D161" t="inlineStr">
        <is>
          <t>ROPA</t>
        </is>
      </c>
      <c r="E161" t="n">
        <v>2</v>
      </c>
      <c r="F161" t="n">
        <v>3</v>
      </c>
      <c r="G161" t="n">
        <v>84216</v>
      </c>
      <c r="H161" t="inlineStr">
        <is>
          <t>Julio 2026</t>
        </is>
      </c>
      <c r="I161" t="inlineStr">
        <is>
          <t>2026-07</t>
        </is>
      </c>
      <c r="J161" t="inlineStr">
        <is>
          <t>PAGADO</t>
        </is>
      </c>
      <c r="K161" t="inlineStr">
        <is>
          <t>C.02/03 · cashflow BBVA · gasto personal Sol</t>
        </is>
      </c>
      <c r="L161" t="inlineStr">
        <is>
          <t>Sol</t>
        </is>
      </c>
    </row>
    <row r="162">
      <c r="A162" t="inlineStr">
        <is>
          <t>BBVA TC</t>
        </is>
      </c>
      <c r="B162" s="52" t="n">
        <v>46152</v>
      </c>
      <c r="C162" t="inlineStr">
        <is>
          <t>TIENDARIVER</t>
        </is>
      </c>
      <c r="D162" t="inlineStr">
        <is>
          <t>ROPA</t>
        </is>
      </c>
      <c r="E162" t="n">
        <v>3</v>
      </c>
      <c r="F162" t="n">
        <v>3</v>
      </c>
      <c r="G162" t="n">
        <v>84216</v>
      </c>
      <c r="H162" t="inlineStr">
        <is>
          <t>Julio 2026</t>
        </is>
      </c>
      <c r="I162" t="inlineStr">
        <is>
          <t>2026-07</t>
        </is>
      </c>
      <c r="J162" t="inlineStr">
        <is>
          <t>PENDIENTE</t>
        </is>
      </c>
      <c r="K162" t="inlineStr">
        <is>
          <t>C.03/03 · cashflow BBVA · gasto personal Sol</t>
        </is>
      </c>
      <c r="L162" t="inlineStr">
        <is>
          <t>Sol</t>
        </is>
      </c>
    </row>
    <row r="163">
      <c r="A163" t="inlineStr">
        <is>
          <t>BBVA TC</t>
        </is>
      </c>
      <c r="B163" s="52" t="n">
        <v>46198</v>
      </c>
      <c r="C163" t="inlineStr">
        <is>
          <t>TLM CARP</t>
        </is>
      </c>
      <c r="D163" t="inlineStr">
        <is>
          <t>Eventos deportivos - River</t>
        </is>
      </c>
      <c r="E163" t="n">
        <v>1</v>
      </c>
      <c r="F163" t="n">
        <v>6</v>
      </c>
      <c r="G163" t="n">
        <v>169667</v>
      </c>
      <c r="H163" t="inlineStr">
        <is>
          <t>Julio 2026</t>
        </is>
      </c>
      <c r="I163" t="inlineStr">
        <is>
          <t>2026-07</t>
        </is>
      </c>
      <c r="J163" t="inlineStr">
        <is>
          <t>PAGADO</t>
        </is>
      </c>
      <c r="K163" t="inlineStr">
        <is>
          <t>C.01/06 · cashflow BBVA · gasto personal Sol</t>
        </is>
      </c>
      <c r="L163" t="inlineStr">
        <is>
          <t>Sol</t>
        </is>
      </c>
    </row>
    <row r="164">
      <c r="A164" t="inlineStr">
        <is>
          <t>BBVA TC</t>
        </is>
      </c>
      <c r="B164" s="52" t="n">
        <v>46148</v>
      </c>
      <c r="C164" t="inlineStr">
        <is>
          <t>ZADIG</t>
        </is>
      </c>
      <c r="D164" t="inlineStr">
        <is>
          <t>ROPA</t>
        </is>
      </c>
      <c r="E164" t="n">
        <v>2</v>
      </c>
      <c r="F164" t="n">
        <v>12</v>
      </c>
      <c r="G164" t="n">
        <v>60917</v>
      </c>
      <c r="H164" t="inlineStr">
        <is>
          <t>Julio 2026</t>
        </is>
      </c>
      <c r="I164" t="inlineStr">
        <is>
          <t>2026-07</t>
        </is>
      </c>
      <c r="J164" t="inlineStr">
        <is>
          <t>PAGADO</t>
        </is>
      </c>
      <c r="K164" t="inlineStr">
        <is>
          <t>C.02/12 · cashflow BBVA · gasto personal Sol</t>
        </is>
      </c>
      <c r="L164" t="inlineStr">
        <is>
          <t>Sol</t>
        </is>
      </c>
    </row>
    <row r="165">
      <c r="A165" t="inlineStr">
        <is>
          <t>BBVA TC</t>
        </is>
      </c>
      <c r="B165" s="52" t="n">
        <v>46151</v>
      </c>
      <c r="C165" t="inlineStr">
        <is>
          <t>ZADIG</t>
        </is>
      </c>
      <c r="D165" t="inlineStr">
        <is>
          <t>ROPA</t>
        </is>
      </c>
      <c r="E165" t="n">
        <v>2</v>
      </c>
      <c r="F165" t="n">
        <v>12</v>
      </c>
      <c r="G165" t="n">
        <v>69750</v>
      </c>
      <c r="H165" t="inlineStr">
        <is>
          <t>Julio 2026</t>
        </is>
      </c>
      <c r="I165" t="inlineStr">
        <is>
          <t>2026-07</t>
        </is>
      </c>
      <c r="J165" t="inlineStr">
        <is>
          <t>PAGADO</t>
        </is>
      </c>
      <c r="K165" t="inlineStr">
        <is>
          <t>C.02/12 · cashflow BBVA · gasto personal Sol</t>
        </is>
      </c>
      <c r="L165" t="inlineStr">
        <is>
          <t>Sol</t>
        </is>
      </c>
    </row>
    <row r="166">
      <c r="A166" t="inlineStr">
        <is>
          <t>BBVA TC</t>
        </is>
      </c>
      <c r="B166" s="52" t="n">
        <v>46148</v>
      </c>
      <c r="C166" t="inlineStr">
        <is>
          <t>ZADIG</t>
        </is>
      </c>
      <c r="D166" t="inlineStr">
        <is>
          <t>ROPA</t>
        </is>
      </c>
      <c r="E166" t="n">
        <v>3</v>
      </c>
      <c r="F166" t="n">
        <v>12</v>
      </c>
      <c r="G166" t="n">
        <v>60917</v>
      </c>
      <c r="H166" t="inlineStr">
        <is>
          <t>Julio 2026</t>
        </is>
      </c>
      <c r="I166" t="inlineStr">
        <is>
          <t>2026-07</t>
        </is>
      </c>
      <c r="J166" t="inlineStr">
        <is>
          <t>PENDIENTE</t>
        </is>
      </c>
      <c r="K166" t="inlineStr">
        <is>
          <t>C.03/12 · cashflow BBVA · gasto personal Sol</t>
        </is>
      </c>
      <c r="L166" t="inlineStr">
        <is>
          <t>Sol</t>
        </is>
      </c>
    </row>
    <row r="167">
      <c r="A167" t="inlineStr">
        <is>
          <t>BBVA TC</t>
        </is>
      </c>
      <c r="B167" s="52" t="n">
        <v>46151</v>
      </c>
      <c r="C167" t="inlineStr">
        <is>
          <t>ZADIG</t>
        </is>
      </c>
      <c r="D167" t="inlineStr">
        <is>
          <t>ROPA</t>
        </is>
      </c>
      <c r="E167" t="n">
        <v>3</v>
      </c>
      <c r="F167" t="n">
        <v>12</v>
      </c>
      <c r="G167" t="n">
        <v>69750</v>
      </c>
      <c r="H167" t="inlineStr">
        <is>
          <t>Julio 2026</t>
        </is>
      </c>
      <c r="I167" t="inlineStr">
        <is>
          <t>2026-07</t>
        </is>
      </c>
      <c r="J167" t="inlineStr">
        <is>
          <t>PENDIENTE</t>
        </is>
      </c>
      <c r="K167" t="inlineStr">
        <is>
          <t>C.03/12 · cashflow BBVA · gasto personal Sol</t>
        </is>
      </c>
      <c r="L167" t="inlineStr">
        <is>
          <t>Sol</t>
        </is>
      </c>
    </row>
    <row r="168">
      <c r="A168" t="inlineStr">
        <is>
          <t>BBVA TC</t>
        </is>
      </c>
      <c r="B168" s="52" t="n">
        <v>46159</v>
      </c>
      <c r="C168" t="inlineStr">
        <is>
          <t>ZARA</t>
        </is>
      </c>
      <c r="D168" t="inlineStr">
        <is>
          <t>ROPA</t>
        </is>
      </c>
      <c r="E168" t="n">
        <v>2</v>
      </c>
      <c r="F168" t="n">
        <v>3</v>
      </c>
      <c r="G168" t="n">
        <v>40004</v>
      </c>
      <c r="H168" t="inlineStr">
        <is>
          <t>Julio 2026</t>
        </is>
      </c>
      <c r="I168" t="inlineStr">
        <is>
          <t>2026-07</t>
        </is>
      </c>
      <c r="J168" t="inlineStr">
        <is>
          <t>PAGADO</t>
        </is>
      </c>
      <c r="K168" t="inlineStr">
        <is>
          <t>C.02/03 · cashflow BBVA · gasto personal Sol</t>
        </is>
      </c>
      <c r="L168" t="inlineStr">
        <is>
          <t>Sol</t>
        </is>
      </c>
    </row>
    <row r="169">
      <c r="A169" t="inlineStr">
        <is>
          <t>BBVA TC</t>
        </is>
      </c>
      <c r="B169" s="52" t="n">
        <v>46159</v>
      </c>
      <c r="C169" t="inlineStr">
        <is>
          <t>ZARA</t>
        </is>
      </c>
      <c r="D169" t="inlineStr">
        <is>
          <t>ROPA</t>
        </is>
      </c>
      <c r="E169" t="n">
        <v>3</v>
      </c>
      <c r="F169" t="n">
        <v>3</v>
      </c>
      <c r="G169" t="n">
        <v>40004</v>
      </c>
      <c r="H169" t="inlineStr">
        <is>
          <t>Julio 2026</t>
        </is>
      </c>
      <c r="I169" t="inlineStr">
        <is>
          <t>2026-07</t>
        </is>
      </c>
      <c r="J169" t="inlineStr">
        <is>
          <t>PENDIENTE</t>
        </is>
      </c>
      <c r="K169" t="inlineStr">
        <is>
          <t>C.03/03 · cashflow BBVA · gasto personal Sol</t>
        </is>
      </c>
      <c r="L169" t="inlineStr">
        <is>
          <t>Sol</t>
        </is>
      </c>
    </row>
    <row r="170">
      <c r="A170" t="inlineStr">
        <is>
          <t>BBVA TC</t>
        </is>
      </c>
      <c r="B170" s="52" t="n">
        <v>46166</v>
      </c>
      <c r="C170" t="inlineStr">
        <is>
          <t>BIMBAYLOLA</t>
        </is>
      </c>
      <c r="D170" t="inlineStr">
        <is>
          <t>ROPA</t>
        </is>
      </c>
      <c r="E170" t="n">
        <v>4</v>
      </c>
      <c r="F170" t="n">
        <v>6</v>
      </c>
      <c r="G170" t="n">
        <v>124667</v>
      </c>
      <c r="H170" t="inlineStr">
        <is>
          <t>Agosto 2026</t>
        </is>
      </c>
      <c r="I170" t="inlineStr">
        <is>
          <t>2026-08</t>
        </is>
      </c>
      <c r="J170" t="inlineStr">
        <is>
          <t>PENDIENTE</t>
        </is>
      </c>
      <c r="K170" t="inlineStr">
        <is>
          <t>C.04/06 · cashflow BBVA · gasto personal Sol</t>
        </is>
      </c>
      <c r="L170" t="inlineStr">
        <is>
          <t>Sol</t>
        </is>
      </c>
    </row>
    <row r="171">
      <c r="A171" t="inlineStr">
        <is>
          <t>BBVA TC</t>
        </is>
      </c>
      <c r="B171" s="52" t="n">
        <v>46158</v>
      </c>
      <c r="C171" t="inlineStr">
        <is>
          <t>BOKENVORENO</t>
        </is>
      </c>
      <c r="D171" t="inlineStr">
        <is>
          <t>Personal</t>
        </is>
      </c>
      <c r="E171" t="n">
        <v>4</v>
      </c>
      <c r="F171" t="n">
        <v>6</v>
      </c>
      <c r="G171" t="n">
        <v>98334</v>
      </c>
      <c r="H171" t="inlineStr">
        <is>
          <t>Agosto 2026</t>
        </is>
      </c>
      <c r="I171" t="inlineStr">
        <is>
          <t>2026-08</t>
        </is>
      </c>
      <c r="J171" t="inlineStr">
        <is>
          <t>PENDIENTE</t>
        </is>
      </c>
      <c r="K171" t="inlineStr">
        <is>
          <t>C.04/06 · cashflow BBVA · gasto personal Sol</t>
        </is>
      </c>
      <c r="L171" t="inlineStr">
        <is>
          <t>Sol</t>
        </is>
      </c>
    </row>
    <row r="172">
      <c r="A172" t="inlineStr">
        <is>
          <t>BBVA TC</t>
        </is>
      </c>
      <c r="B172" s="52" t="n">
        <v>46201</v>
      </c>
      <c r="C172" t="inlineStr">
        <is>
          <t>FRIVILLI</t>
        </is>
      </c>
      <c r="D172" t="inlineStr">
        <is>
          <t>Personal</t>
        </is>
      </c>
      <c r="E172" t="n">
        <v>2</v>
      </c>
      <c r="F172" t="n">
        <v>3</v>
      </c>
      <c r="G172" t="n">
        <v>31700</v>
      </c>
      <c r="H172" t="inlineStr">
        <is>
          <t>Agosto 2026</t>
        </is>
      </c>
      <c r="I172" t="inlineStr">
        <is>
          <t>2026-08</t>
        </is>
      </c>
      <c r="J172" t="inlineStr">
        <is>
          <t>PENDIENTE</t>
        </is>
      </c>
      <c r="K172" t="inlineStr">
        <is>
          <t>C.02/03 · cashflow BBVA · gasto personal Sol</t>
        </is>
      </c>
      <c r="L172" t="inlineStr">
        <is>
          <t>Sol</t>
        </is>
      </c>
    </row>
    <row r="173">
      <c r="A173" t="inlineStr">
        <is>
          <t>BBVA TC</t>
        </is>
      </c>
      <c r="B173" s="52" t="n">
        <v>46151</v>
      </c>
      <c r="C173" t="inlineStr">
        <is>
          <t>JUSTA OSADIA</t>
        </is>
      </c>
      <c r="D173" t="inlineStr">
        <is>
          <t>ROPA</t>
        </is>
      </c>
      <c r="E173" t="n">
        <v>4</v>
      </c>
      <c r="F173" t="n">
        <v>6</v>
      </c>
      <c r="G173" t="n">
        <v>80834</v>
      </c>
      <c r="H173" t="inlineStr">
        <is>
          <t>Agosto 2026</t>
        </is>
      </c>
      <c r="I173" t="inlineStr">
        <is>
          <t>2026-08</t>
        </is>
      </c>
      <c r="J173" t="inlineStr">
        <is>
          <t>PENDIENTE</t>
        </is>
      </c>
      <c r="K173" t="inlineStr">
        <is>
          <t>C.04/06 · cashflow BBVA · gasto personal Sol</t>
        </is>
      </c>
      <c r="L173" t="inlineStr">
        <is>
          <t>Sol</t>
        </is>
      </c>
    </row>
    <row r="174">
      <c r="A174" t="inlineStr">
        <is>
          <t>BBVA TC</t>
        </is>
      </c>
      <c r="B174" s="52" t="n">
        <v>46132</v>
      </c>
      <c r="C174" t="inlineStr">
        <is>
          <t>LABORATORIOBE</t>
        </is>
      </c>
      <c r="D174" t="inlineStr">
        <is>
          <t>Personal</t>
        </is>
      </c>
      <c r="E174" t="n">
        <v>5</v>
      </c>
      <c r="F174" t="n">
        <v>6</v>
      </c>
      <c r="G174" t="n">
        <v>54033</v>
      </c>
      <c r="H174" t="inlineStr">
        <is>
          <t>Agosto 2026</t>
        </is>
      </c>
      <c r="I174" t="inlineStr">
        <is>
          <t>2026-08</t>
        </is>
      </c>
      <c r="J174" t="inlineStr">
        <is>
          <t>PENDIENTE</t>
        </is>
      </c>
      <c r="K174" t="inlineStr">
        <is>
          <t>C.05/06 · cashflow BBVA · gasto personal Sol</t>
        </is>
      </c>
      <c r="L174" t="inlineStr">
        <is>
          <t>Sol</t>
        </is>
      </c>
    </row>
    <row r="175">
      <c r="A175" t="inlineStr">
        <is>
          <t>BBVA TC</t>
        </is>
      </c>
      <c r="B175" s="52" t="n">
        <v>46198</v>
      </c>
      <c r="C175" t="inlineStr">
        <is>
          <t>MERCADOLIBRE</t>
        </is>
      </c>
      <c r="D175" t="inlineStr">
        <is>
          <t>Mercado Libre</t>
        </is>
      </c>
      <c r="E175" t="n">
        <v>2</v>
      </c>
      <c r="F175" t="n">
        <v>6</v>
      </c>
      <c r="G175" t="n">
        <v>12084</v>
      </c>
      <c r="H175" t="inlineStr">
        <is>
          <t>Agosto 2026</t>
        </is>
      </c>
      <c r="I175" t="inlineStr">
        <is>
          <t>2026-08</t>
        </is>
      </c>
      <c r="J175" t="inlineStr">
        <is>
          <t>PENDIENTE</t>
        </is>
      </c>
      <c r="K175" t="inlineStr">
        <is>
          <t>C.02/06 · cashflow BBVA · gasto personal Sol</t>
        </is>
      </c>
      <c r="L175" t="inlineStr">
        <is>
          <t>Sol</t>
        </is>
      </c>
    </row>
    <row r="176">
      <c r="A176" t="inlineStr">
        <is>
          <t>BBVA TC</t>
        </is>
      </c>
      <c r="B176" s="52" t="n">
        <v>46094</v>
      </c>
      <c r="C176" t="inlineStr">
        <is>
          <t>MERCADOLIBRE</t>
        </is>
      </c>
      <c r="D176" t="inlineStr">
        <is>
          <t>Mercado Libre</t>
        </is>
      </c>
      <c r="E176" t="n">
        <v>6</v>
      </c>
      <c r="F176" t="n">
        <v>12</v>
      </c>
      <c r="G176" t="n">
        <v>275000</v>
      </c>
      <c r="H176" t="inlineStr">
        <is>
          <t>Agosto 2026</t>
        </is>
      </c>
      <c r="I176" t="inlineStr">
        <is>
          <t>2026-08</t>
        </is>
      </c>
      <c r="J176" t="inlineStr">
        <is>
          <t>PENDIENTE</t>
        </is>
      </c>
      <c r="K176" t="inlineStr">
        <is>
          <t>C.06/12 · cashflow BBVA · gasto personal Sol</t>
        </is>
      </c>
      <c r="L176" t="inlineStr">
        <is>
          <t>Sol</t>
        </is>
      </c>
    </row>
    <row r="177">
      <c r="A177" t="inlineStr">
        <is>
          <t>BBVA TC</t>
        </is>
      </c>
      <c r="B177" s="52" t="n">
        <v>46069</v>
      </c>
      <c r="C177" t="inlineStr">
        <is>
          <t>MERCADOLIBRE</t>
        </is>
      </c>
      <c r="D177" t="inlineStr">
        <is>
          <t>Mercado Libre</t>
        </is>
      </c>
      <c r="E177" t="n">
        <v>7</v>
      </c>
      <c r="F177" t="n">
        <v>9</v>
      </c>
      <c r="G177" t="n">
        <v>17360</v>
      </c>
      <c r="H177" t="inlineStr">
        <is>
          <t>Agosto 2026</t>
        </is>
      </c>
      <c r="I177" t="inlineStr">
        <is>
          <t>2026-08</t>
        </is>
      </c>
      <c r="J177" t="inlineStr">
        <is>
          <t>PENDIENTE</t>
        </is>
      </c>
      <c r="K177" t="inlineStr">
        <is>
          <t>C.07/09 · cashflow BBVA · gasto personal Sol</t>
        </is>
      </c>
      <c r="L177" t="inlineStr">
        <is>
          <t>Sol</t>
        </is>
      </c>
    </row>
    <row r="178">
      <c r="A178" t="inlineStr">
        <is>
          <t>BBVA TC</t>
        </is>
      </c>
      <c r="B178" s="52" t="n">
        <v>46077</v>
      </c>
      <c r="C178" t="inlineStr">
        <is>
          <t>MERCADOLIBRE</t>
        </is>
      </c>
      <c r="D178" t="inlineStr">
        <is>
          <t>Mercado Libre</t>
        </is>
      </c>
      <c r="E178" t="n">
        <v>7</v>
      </c>
      <c r="F178" t="n">
        <v>9</v>
      </c>
      <c r="G178" t="n">
        <v>16950</v>
      </c>
      <c r="H178" t="inlineStr">
        <is>
          <t>Agosto 2026</t>
        </is>
      </c>
      <c r="I178" t="inlineStr">
        <is>
          <t>2026-08</t>
        </is>
      </c>
      <c r="J178" t="inlineStr">
        <is>
          <t>PENDIENTE</t>
        </is>
      </c>
      <c r="K178" t="inlineStr">
        <is>
          <t>C.07/09 · cashflow BBVA · gasto personal Sol</t>
        </is>
      </c>
      <c r="L178" t="inlineStr">
        <is>
          <t>Sol</t>
        </is>
      </c>
    </row>
    <row r="179">
      <c r="A179" t="inlineStr">
        <is>
          <t>BBVA TC</t>
        </is>
      </c>
      <c r="B179" s="52" t="n">
        <v>46125</v>
      </c>
      <c r="C179" t="inlineStr">
        <is>
          <t>MONOFUK</t>
        </is>
      </c>
      <c r="D179" t="inlineStr">
        <is>
          <t>Personal</t>
        </is>
      </c>
      <c r="E179" t="n">
        <v>5</v>
      </c>
      <c r="F179" t="n">
        <v>6</v>
      </c>
      <c r="G179" t="n">
        <v>95984</v>
      </c>
      <c r="H179" t="inlineStr">
        <is>
          <t>Agosto 2026</t>
        </is>
      </c>
      <c r="I179" t="inlineStr">
        <is>
          <t>2026-08</t>
        </is>
      </c>
      <c r="J179" t="inlineStr">
        <is>
          <t>PENDIENTE</t>
        </is>
      </c>
      <c r="K179" t="inlineStr">
        <is>
          <t>C.05/06 · cashflow BBVA · gasto personal Sol</t>
        </is>
      </c>
      <c r="L179" t="inlineStr">
        <is>
          <t>Sol</t>
        </is>
      </c>
    </row>
    <row r="180">
      <c r="A180" t="inlineStr">
        <is>
          <t>BBVA TC</t>
        </is>
      </c>
      <c r="B180" s="52" t="n">
        <v>46176</v>
      </c>
      <c r="C180" t="inlineStr">
        <is>
          <t>PANDORA</t>
        </is>
      </c>
      <c r="D180" t="inlineStr">
        <is>
          <t>ROPA</t>
        </is>
      </c>
      <c r="E180" t="n">
        <v>2</v>
      </c>
      <c r="F180" t="n">
        <v>6</v>
      </c>
      <c r="G180" t="n">
        <v>284794</v>
      </c>
      <c r="H180" t="inlineStr">
        <is>
          <t>Agosto 2026</t>
        </is>
      </c>
      <c r="I180" t="inlineStr">
        <is>
          <t>2026-08</t>
        </is>
      </c>
      <c r="J180" t="inlineStr">
        <is>
          <t>PENDIENTE</t>
        </is>
      </c>
      <c r="K180" t="inlineStr">
        <is>
          <t>C.02/06 · cashflow BBVA · gasto personal Sol</t>
        </is>
      </c>
      <c r="L180" t="inlineStr">
        <is>
          <t>Sol</t>
        </is>
      </c>
    </row>
    <row r="181">
      <c r="A181" t="inlineStr">
        <is>
          <t>BBVA TC</t>
        </is>
      </c>
      <c r="B181" s="52" t="n">
        <v>46174</v>
      </c>
      <c r="C181" t="inlineStr">
        <is>
          <t>PANDORA</t>
        </is>
      </c>
      <c r="D181" t="inlineStr">
        <is>
          <t>ROPA</t>
        </is>
      </c>
      <c r="E181" t="n">
        <v>2</v>
      </c>
      <c r="F181" t="n">
        <v>6</v>
      </c>
      <c r="G181" t="n">
        <v>73600</v>
      </c>
      <c r="H181" t="inlineStr">
        <is>
          <t>Agosto 2026</t>
        </is>
      </c>
      <c r="I181" t="inlineStr">
        <is>
          <t>2026-08</t>
        </is>
      </c>
      <c r="J181" t="inlineStr">
        <is>
          <t>PENDIENTE</t>
        </is>
      </c>
      <c r="K181" t="inlineStr">
        <is>
          <t>C.02/06 · cashflow BBVA · gasto personal Sol</t>
        </is>
      </c>
      <c r="L181" t="inlineStr">
        <is>
          <t>Sol</t>
        </is>
      </c>
    </row>
    <row r="182">
      <c r="A182" t="inlineStr">
        <is>
          <t>BBVA TC</t>
        </is>
      </c>
      <c r="B182" s="52" t="n">
        <v>46138</v>
      </c>
      <c r="C182" t="inlineStr">
        <is>
          <t>PROMARINEANTIOXID</t>
        </is>
      </c>
      <c r="D182" t="inlineStr">
        <is>
          <t>SALUD</t>
        </is>
      </c>
      <c r="E182" t="n">
        <v>5</v>
      </c>
      <c r="F182" t="n">
        <v>6</v>
      </c>
      <c r="G182" t="n">
        <v>87900</v>
      </c>
      <c r="H182" t="inlineStr">
        <is>
          <t>Agosto 2026</t>
        </is>
      </c>
      <c r="I182" t="inlineStr">
        <is>
          <t>2026-08</t>
        </is>
      </c>
      <c r="J182" t="inlineStr">
        <is>
          <t>PENDIENTE</t>
        </is>
      </c>
      <c r="K182" t="inlineStr">
        <is>
          <t>C.05/06 · cashflow BBVA · gasto personal Sol</t>
        </is>
      </c>
      <c r="L182" t="inlineStr">
        <is>
          <t>Sol</t>
        </is>
      </c>
    </row>
    <row r="183">
      <c r="A183" t="inlineStr">
        <is>
          <t>BBVA TC</t>
        </is>
      </c>
      <c r="B183" s="52" t="n">
        <v>46144</v>
      </c>
      <c r="C183" t="inlineStr">
        <is>
          <t>SPORTING</t>
        </is>
      </c>
      <c r="D183" t="inlineStr">
        <is>
          <t>ROPA</t>
        </is>
      </c>
      <c r="E183" t="n">
        <v>4</v>
      </c>
      <c r="F183" t="n">
        <v>6</v>
      </c>
      <c r="G183" t="n">
        <v>36667</v>
      </c>
      <c r="H183" t="inlineStr">
        <is>
          <t>Agosto 2026</t>
        </is>
      </c>
      <c r="I183" t="inlineStr">
        <is>
          <t>2026-08</t>
        </is>
      </c>
      <c r="J183" t="inlineStr">
        <is>
          <t>PENDIENTE</t>
        </is>
      </c>
      <c r="K183" t="inlineStr">
        <is>
          <t>C.04/06 · cashflow BBVA · gasto personal Sol</t>
        </is>
      </c>
      <c r="L183" t="inlineStr">
        <is>
          <t>Sol</t>
        </is>
      </c>
    </row>
    <row r="184">
      <c r="A184" t="inlineStr">
        <is>
          <t>BBVA TC</t>
        </is>
      </c>
      <c r="B184" s="52" t="n">
        <v>46134</v>
      </c>
      <c r="C184" t="inlineStr">
        <is>
          <t>STANLEYARGENT</t>
        </is>
      </c>
      <c r="D184" t="inlineStr">
        <is>
          <t>Personal</t>
        </is>
      </c>
      <c r="E184" t="n">
        <v>5</v>
      </c>
      <c r="F184" t="n">
        <v>6</v>
      </c>
      <c r="G184" t="n">
        <v>18334</v>
      </c>
      <c r="H184" t="inlineStr">
        <is>
          <t>Agosto 2026</t>
        </is>
      </c>
      <c r="I184" t="inlineStr">
        <is>
          <t>2026-08</t>
        </is>
      </c>
      <c r="J184" t="inlineStr">
        <is>
          <t>PENDIENTE</t>
        </is>
      </c>
      <c r="K184" t="inlineStr">
        <is>
          <t>C.05/06 · cashflow BBVA · gasto personal Sol</t>
        </is>
      </c>
      <c r="L184" t="inlineStr">
        <is>
          <t>Sol</t>
        </is>
      </c>
    </row>
    <row r="185">
      <c r="A185" t="inlineStr">
        <is>
          <t>BBVA TC</t>
        </is>
      </c>
      <c r="B185" s="52" t="n">
        <v>46198</v>
      </c>
      <c r="C185" t="inlineStr">
        <is>
          <t>TLM CARP</t>
        </is>
      </c>
      <c r="D185" t="inlineStr">
        <is>
          <t>Eventos deportivos - River</t>
        </is>
      </c>
      <c r="E185" t="n">
        <v>2</v>
      </c>
      <c r="F185" t="n">
        <v>6</v>
      </c>
      <c r="G185" t="n">
        <v>169667</v>
      </c>
      <c r="H185" t="inlineStr">
        <is>
          <t>Agosto 2026</t>
        </is>
      </c>
      <c r="I185" t="inlineStr">
        <is>
          <t>2026-08</t>
        </is>
      </c>
      <c r="J185" t="inlineStr">
        <is>
          <t>PENDIENTE</t>
        </is>
      </c>
      <c r="K185" t="inlineStr">
        <is>
          <t>C.02/06 · cashflow BBVA · gasto personal Sol</t>
        </is>
      </c>
      <c r="L185" t="inlineStr">
        <is>
          <t>Sol</t>
        </is>
      </c>
    </row>
    <row r="186">
      <c r="A186" t="inlineStr">
        <is>
          <t>BBVA TC</t>
        </is>
      </c>
      <c r="B186" s="52" t="n">
        <v>46148</v>
      </c>
      <c r="C186" t="inlineStr">
        <is>
          <t>ZADIG</t>
        </is>
      </c>
      <c r="D186" t="inlineStr">
        <is>
          <t>ROPA</t>
        </is>
      </c>
      <c r="E186" t="n">
        <v>4</v>
      </c>
      <c r="F186" t="n">
        <v>12</v>
      </c>
      <c r="G186" t="n">
        <v>60917</v>
      </c>
      <c r="H186" t="inlineStr">
        <is>
          <t>Agosto 2026</t>
        </is>
      </c>
      <c r="I186" t="inlineStr">
        <is>
          <t>2026-08</t>
        </is>
      </c>
      <c r="J186" t="inlineStr">
        <is>
          <t>PENDIENTE</t>
        </is>
      </c>
      <c r="K186" t="inlineStr">
        <is>
          <t>C.04/12 · cashflow BBVA · gasto personal Sol</t>
        </is>
      </c>
      <c r="L186" t="inlineStr">
        <is>
          <t>Sol</t>
        </is>
      </c>
    </row>
    <row r="187">
      <c r="A187" t="inlineStr">
        <is>
          <t>BBVA TC</t>
        </is>
      </c>
      <c r="B187" s="52" t="n">
        <v>46151</v>
      </c>
      <c r="C187" t="inlineStr">
        <is>
          <t>ZADIG</t>
        </is>
      </c>
      <c r="D187" t="inlineStr">
        <is>
          <t>ROPA</t>
        </is>
      </c>
      <c r="E187" t="n">
        <v>4</v>
      </c>
      <c r="F187" t="n">
        <v>12</v>
      </c>
      <c r="G187" t="n">
        <v>69750</v>
      </c>
      <c r="H187" t="inlineStr">
        <is>
          <t>Agosto 2026</t>
        </is>
      </c>
      <c r="I187" t="inlineStr">
        <is>
          <t>2026-08</t>
        </is>
      </c>
      <c r="J187" t="inlineStr">
        <is>
          <t>PENDIENTE</t>
        </is>
      </c>
      <c r="K187" t="inlineStr">
        <is>
          <t>C.04/12 · cashflow BBVA · gasto personal Sol</t>
        </is>
      </c>
      <c r="L187" t="inlineStr">
        <is>
          <t>Sol</t>
        </is>
      </c>
    </row>
    <row r="188">
      <c r="A188" t="inlineStr">
        <is>
          <t>BBVA TC</t>
        </is>
      </c>
      <c r="B188" s="52" t="n">
        <v>46166</v>
      </c>
      <c r="C188" t="inlineStr">
        <is>
          <t>BIMBAYLOLA</t>
        </is>
      </c>
      <c r="D188" t="inlineStr">
        <is>
          <t>ROPA</t>
        </is>
      </c>
      <c r="E188" t="n">
        <v>5</v>
      </c>
      <c r="F188" t="n">
        <v>6</v>
      </c>
      <c r="G188" t="n">
        <v>124667</v>
      </c>
      <c r="H188" t="inlineStr">
        <is>
          <t>Septiembre 2026</t>
        </is>
      </c>
      <c r="I188" t="inlineStr">
        <is>
          <t>2026-09</t>
        </is>
      </c>
      <c r="J188" t="inlineStr">
        <is>
          <t>PENDIENTE</t>
        </is>
      </c>
      <c r="K188" t="inlineStr">
        <is>
          <t>C.05/06 · cashflow BBVA · gasto personal Sol</t>
        </is>
      </c>
      <c r="L188" t="inlineStr">
        <is>
          <t>Sol</t>
        </is>
      </c>
    </row>
    <row r="189">
      <c r="A189" t="inlineStr">
        <is>
          <t>BBVA TC</t>
        </is>
      </c>
      <c r="B189" s="52" t="n">
        <v>46158</v>
      </c>
      <c r="C189" t="inlineStr">
        <is>
          <t>BOKENVORENO</t>
        </is>
      </c>
      <c r="D189" t="inlineStr">
        <is>
          <t>Personal</t>
        </is>
      </c>
      <c r="E189" t="n">
        <v>5</v>
      </c>
      <c r="F189" t="n">
        <v>6</v>
      </c>
      <c r="G189" t="n">
        <v>98334</v>
      </c>
      <c r="H189" t="inlineStr">
        <is>
          <t>Septiembre 2026</t>
        </is>
      </c>
      <c r="I189" t="inlineStr">
        <is>
          <t>2026-09</t>
        </is>
      </c>
      <c r="J189" t="inlineStr">
        <is>
          <t>PENDIENTE</t>
        </is>
      </c>
      <c r="K189" t="inlineStr">
        <is>
          <t>C.05/06 · cashflow BBVA · gasto personal Sol</t>
        </is>
      </c>
      <c r="L189" t="inlineStr">
        <is>
          <t>Sol</t>
        </is>
      </c>
    </row>
    <row r="190">
      <c r="A190" t="inlineStr">
        <is>
          <t>BBVA TC</t>
        </is>
      </c>
      <c r="B190" s="52" t="n">
        <v>46201</v>
      </c>
      <c r="C190" t="inlineStr">
        <is>
          <t>FRIVILLI</t>
        </is>
      </c>
      <c r="D190" t="inlineStr">
        <is>
          <t>Personal</t>
        </is>
      </c>
      <c r="E190" t="n">
        <v>3</v>
      </c>
      <c r="F190" t="n">
        <v>3</v>
      </c>
      <c r="G190" t="n">
        <v>31700</v>
      </c>
      <c r="H190" t="inlineStr">
        <is>
          <t>Septiembre 2026</t>
        </is>
      </c>
      <c r="I190" t="inlineStr">
        <is>
          <t>2026-09</t>
        </is>
      </c>
      <c r="J190" t="inlineStr">
        <is>
          <t>PENDIENTE</t>
        </is>
      </c>
      <c r="K190" t="inlineStr">
        <is>
          <t>C.03/03 · cashflow BBVA · gasto personal Sol</t>
        </is>
      </c>
      <c r="L190" t="inlineStr">
        <is>
          <t>Sol</t>
        </is>
      </c>
    </row>
    <row r="191">
      <c r="A191" t="inlineStr">
        <is>
          <t>BBVA TC</t>
        </is>
      </c>
      <c r="B191" s="52" t="n">
        <v>46151</v>
      </c>
      <c r="C191" t="inlineStr">
        <is>
          <t>JUSTA OSADIA</t>
        </is>
      </c>
      <c r="D191" t="inlineStr">
        <is>
          <t>ROPA</t>
        </is>
      </c>
      <c r="E191" t="n">
        <v>5</v>
      </c>
      <c r="F191" t="n">
        <v>6</v>
      </c>
      <c r="G191" t="n">
        <v>80834</v>
      </c>
      <c r="H191" t="inlineStr">
        <is>
          <t>Septiembre 2026</t>
        </is>
      </c>
      <c r="I191" t="inlineStr">
        <is>
          <t>2026-09</t>
        </is>
      </c>
      <c r="J191" t="inlineStr">
        <is>
          <t>PENDIENTE</t>
        </is>
      </c>
      <c r="K191" t="inlineStr">
        <is>
          <t>C.05/06 · cashflow BBVA · gasto personal Sol</t>
        </is>
      </c>
      <c r="L191" t="inlineStr">
        <is>
          <t>Sol</t>
        </is>
      </c>
    </row>
    <row r="192">
      <c r="A192" t="inlineStr">
        <is>
          <t>BBVA TC</t>
        </is>
      </c>
      <c r="B192" s="52" t="n">
        <v>46132</v>
      </c>
      <c r="C192" t="inlineStr">
        <is>
          <t>LABORATORIOBE</t>
        </is>
      </c>
      <c r="D192" t="inlineStr">
        <is>
          <t>Personal</t>
        </is>
      </c>
      <c r="E192" t="n">
        <v>6</v>
      </c>
      <c r="F192" t="n">
        <v>6</v>
      </c>
      <c r="G192" t="n">
        <v>54033</v>
      </c>
      <c r="H192" t="inlineStr">
        <is>
          <t>Septiembre 2026</t>
        </is>
      </c>
      <c r="I192" t="inlineStr">
        <is>
          <t>2026-09</t>
        </is>
      </c>
      <c r="J192" t="inlineStr">
        <is>
          <t>PENDIENTE</t>
        </is>
      </c>
      <c r="K192" t="inlineStr">
        <is>
          <t>C.06/06 · cashflow BBVA · gasto personal Sol</t>
        </is>
      </c>
      <c r="L192" t="inlineStr">
        <is>
          <t>Sol</t>
        </is>
      </c>
    </row>
    <row r="193">
      <c r="A193" t="inlineStr">
        <is>
          <t>BBVA TC</t>
        </is>
      </c>
      <c r="B193" s="52" t="n">
        <v>46198</v>
      </c>
      <c r="C193" t="inlineStr">
        <is>
          <t>MERCADOLIBRE</t>
        </is>
      </c>
      <c r="D193" t="inlineStr">
        <is>
          <t>Mercado Libre</t>
        </is>
      </c>
      <c r="E193" t="n">
        <v>3</v>
      </c>
      <c r="F193" t="n">
        <v>6</v>
      </c>
      <c r="G193" t="n">
        <v>12084</v>
      </c>
      <c r="H193" t="inlineStr">
        <is>
          <t>Septiembre 2026</t>
        </is>
      </c>
      <c r="I193" t="inlineStr">
        <is>
          <t>2026-09</t>
        </is>
      </c>
      <c r="J193" t="inlineStr">
        <is>
          <t>PENDIENTE</t>
        </is>
      </c>
      <c r="K193" t="inlineStr">
        <is>
          <t>C.03/06 · cashflow BBVA · gasto personal Sol</t>
        </is>
      </c>
      <c r="L193" t="inlineStr">
        <is>
          <t>Sol</t>
        </is>
      </c>
    </row>
    <row r="194">
      <c r="A194" t="inlineStr">
        <is>
          <t>BBVA TC</t>
        </is>
      </c>
      <c r="B194" s="52" t="n">
        <v>46094</v>
      </c>
      <c r="C194" t="inlineStr">
        <is>
          <t>MERCADOLIBRE</t>
        </is>
      </c>
      <c r="D194" t="inlineStr">
        <is>
          <t>Mercado Libre</t>
        </is>
      </c>
      <c r="E194" t="n">
        <v>7</v>
      </c>
      <c r="F194" t="n">
        <v>12</v>
      </c>
      <c r="G194" t="n">
        <v>275000</v>
      </c>
      <c r="H194" t="inlineStr">
        <is>
          <t>Septiembre 2026</t>
        </is>
      </c>
      <c r="I194" t="inlineStr">
        <is>
          <t>2026-09</t>
        </is>
      </c>
      <c r="J194" t="inlineStr">
        <is>
          <t>PENDIENTE</t>
        </is>
      </c>
      <c r="K194" t="inlineStr">
        <is>
          <t>C.07/12 · cashflow BBVA · gasto personal Sol</t>
        </is>
      </c>
      <c r="L194" t="inlineStr">
        <is>
          <t>Sol</t>
        </is>
      </c>
    </row>
    <row r="195">
      <c r="A195" t="inlineStr">
        <is>
          <t>BBVA TC</t>
        </is>
      </c>
      <c r="B195" s="52" t="n">
        <v>46069</v>
      </c>
      <c r="C195" t="inlineStr">
        <is>
          <t>MERCADOLIBRE</t>
        </is>
      </c>
      <c r="D195" t="inlineStr">
        <is>
          <t>Mercado Libre</t>
        </is>
      </c>
      <c r="E195" t="n">
        <v>8</v>
      </c>
      <c r="F195" t="n">
        <v>9</v>
      </c>
      <c r="G195" t="n">
        <v>17360</v>
      </c>
      <c r="H195" t="inlineStr">
        <is>
          <t>Septiembre 2026</t>
        </is>
      </c>
      <c r="I195" t="inlineStr">
        <is>
          <t>2026-09</t>
        </is>
      </c>
      <c r="J195" t="inlineStr">
        <is>
          <t>PENDIENTE</t>
        </is>
      </c>
      <c r="K195" t="inlineStr">
        <is>
          <t>C.08/09 · cashflow BBVA · gasto personal Sol</t>
        </is>
      </c>
      <c r="L195" t="inlineStr">
        <is>
          <t>Sol</t>
        </is>
      </c>
    </row>
    <row r="196">
      <c r="A196" t="inlineStr">
        <is>
          <t>BBVA TC</t>
        </is>
      </c>
      <c r="B196" s="52" t="n">
        <v>46077</v>
      </c>
      <c r="C196" t="inlineStr">
        <is>
          <t>MERCADOLIBRE</t>
        </is>
      </c>
      <c r="D196" t="inlineStr">
        <is>
          <t>Mercado Libre</t>
        </is>
      </c>
      <c r="E196" t="n">
        <v>8</v>
      </c>
      <c r="F196" t="n">
        <v>9</v>
      </c>
      <c r="G196" t="n">
        <v>16950</v>
      </c>
      <c r="H196" t="inlineStr">
        <is>
          <t>Septiembre 2026</t>
        </is>
      </c>
      <c r="I196" t="inlineStr">
        <is>
          <t>2026-09</t>
        </is>
      </c>
      <c r="J196" t="inlineStr">
        <is>
          <t>PENDIENTE</t>
        </is>
      </c>
      <c r="K196" t="inlineStr">
        <is>
          <t>C.08/09 · cashflow BBVA · gasto personal Sol</t>
        </is>
      </c>
      <c r="L196" t="inlineStr">
        <is>
          <t>Sol</t>
        </is>
      </c>
    </row>
    <row r="197">
      <c r="A197" t="inlineStr">
        <is>
          <t>BBVA TC</t>
        </is>
      </c>
      <c r="B197" s="52" t="n">
        <v>46125</v>
      </c>
      <c r="C197" t="inlineStr">
        <is>
          <t>MONOFUK</t>
        </is>
      </c>
      <c r="D197" t="inlineStr">
        <is>
          <t>Personal</t>
        </is>
      </c>
      <c r="E197" t="n">
        <v>6</v>
      </c>
      <c r="F197" t="n">
        <v>6</v>
      </c>
      <c r="G197" t="n">
        <v>95984</v>
      </c>
      <c r="H197" t="inlineStr">
        <is>
          <t>Septiembre 2026</t>
        </is>
      </c>
      <c r="I197" t="inlineStr">
        <is>
          <t>2026-09</t>
        </is>
      </c>
      <c r="J197" t="inlineStr">
        <is>
          <t>PENDIENTE</t>
        </is>
      </c>
      <c r="K197" t="inlineStr">
        <is>
          <t>C.06/06 · cashflow BBVA · gasto personal Sol</t>
        </is>
      </c>
      <c r="L197" t="inlineStr">
        <is>
          <t>Sol</t>
        </is>
      </c>
    </row>
    <row r="198">
      <c r="A198" t="inlineStr">
        <is>
          <t>BBVA TC</t>
        </is>
      </c>
      <c r="B198" s="52" t="n">
        <v>46176</v>
      </c>
      <c r="C198" t="inlineStr">
        <is>
          <t>PANDORA</t>
        </is>
      </c>
      <c r="D198" t="inlineStr">
        <is>
          <t>ROPA</t>
        </is>
      </c>
      <c r="E198" t="n">
        <v>3</v>
      </c>
      <c r="F198" t="n">
        <v>6</v>
      </c>
      <c r="G198" t="n">
        <v>284794</v>
      </c>
      <c r="H198" t="inlineStr">
        <is>
          <t>Septiembre 2026</t>
        </is>
      </c>
      <c r="I198" t="inlineStr">
        <is>
          <t>2026-09</t>
        </is>
      </c>
      <c r="J198" t="inlineStr">
        <is>
          <t>PENDIENTE</t>
        </is>
      </c>
      <c r="K198" t="inlineStr">
        <is>
          <t>C.03/06 · cashflow BBVA · gasto personal Sol</t>
        </is>
      </c>
      <c r="L198" t="inlineStr">
        <is>
          <t>Sol</t>
        </is>
      </c>
    </row>
    <row r="199">
      <c r="A199" t="inlineStr">
        <is>
          <t>BBVA TC</t>
        </is>
      </c>
      <c r="B199" s="52" t="n">
        <v>46174</v>
      </c>
      <c r="C199" t="inlineStr">
        <is>
          <t>PANDORA</t>
        </is>
      </c>
      <c r="D199" t="inlineStr">
        <is>
          <t>ROPA</t>
        </is>
      </c>
      <c r="E199" t="n">
        <v>3</v>
      </c>
      <c r="F199" t="n">
        <v>6</v>
      </c>
      <c r="G199" t="n">
        <v>73600</v>
      </c>
      <c r="H199" t="inlineStr">
        <is>
          <t>Septiembre 2026</t>
        </is>
      </c>
      <c r="I199" t="inlineStr">
        <is>
          <t>2026-09</t>
        </is>
      </c>
      <c r="J199" t="inlineStr">
        <is>
          <t>PENDIENTE</t>
        </is>
      </c>
      <c r="K199" t="inlineStr">
        <is>
          <t>C.03/06 · cashflow BBVA · gasto personal Sol</t>
        </is>
      </c>
      <c r="L199" t="inlineStr">
        <is>
          <t>Sol</t>
        </is>
      </c>
    </row>
    <row r="200">
      <c r="A200" t="inlineStr">
        <is>
          <t>BBVA TC</t>
        </is>
      </c>
      <c r="B200" s="52" t="n">
        <v>46138</v>
      </c>
      <c r="C200" t="inlineStr">
        <is>
          <t>PROMARINEANTIOXID</t>
        </is>
      </c>
      <c r="D200" t="inlineStr">
        <is>
          <t>SALUD</t>
        </is>
      </c>
      <c r="E200" t="n">
        <v>6</v>
      </c>
      <c r="F200" t="n">
        <v>6</v>
      </c>
      <c r="G200" t="n">
        <v>87900</v>
      </c>
      <c r="H200" t="inlineStr">
        <is>
          <t>Septiembre 2026</t>
        </is>
      </c>
      <c r="I200" t="inlineStr">
        <is>
          <t>2026-09</t>
        </is>
      </c>
      <c r="J200" t="inlineStr">
        <is>
          <t>PENDIENTE</t>
        </is>
      </c>
      <c r="K200" t="inlineStr">
        <is>
          <t>C.06/06 · cashflow BBVA · gasto personal Sol</t>
        </is>
      </c>
      <c r="L200" t="inlineStr">
        <is>
          <t>Sol</t>
        </is>
      </c>
    </row>
    <row r="201">
      <c r="A201" t="inlineStr">
        <is>
          <t>BBVA TC</t>
        </is>
      </c>
      <c r="B201" s="52" t="n">
        <v>46144</v>
      </c>
      <c r="C201" t="inlineStr">
        <is>
          <t>SPORTING</t>
        </is>
      </c>
      <c r="D201" t="inlineStr">
        <is>
          <t>ROPA</t>
        </is>
      </c>
      <c r="E201" t="n">
        <v>5</v>
      </c>
      <c r="F201" t="n">
        <v>6</v>
      </c>
      <c r="G201" t="n">
        <v>36667</v>
      </c>
      <c r="H201" t="inlineStr">
        <is>
          <t>Septiembre 2026</t>
        </is>
      </c>
      <c r="I201" t="inlineStr">
        <is>
          <t>2026-09</t>
        </is>
      </c>
      <c r="J201" t="inlineStr">
        <is>
          <t>PENDIENTE</t>
        </is>
      </c>
      <c r="K201" t="inlineStr">
        <is>
          <t>C.05/06 · cashflow BBVA · gasto personal Sol</t>
        </is>
      </c>
      <c r="L201" t="inlineStr">
        <is>
          <t>Sol</t>
        </is>
      </c>
    </row>
    <row r="202">
      <c r="A202" t="inlineStr">
        <is>
          <t>BBVA TC</t>
        </is>
      </c>
      <c r="B202" s="52" t="n">
        <v>46134</v>
      </c>
      <c r="C202" t="inlineStr">
        <is>
          <t>STANLEYARGENT</t>
        </is>
      </c>
      <c r="D202" t="inlineStr">
        <is>
          <t>Personal</t>
        </is>
      </c>
      <c r="E202" t="n">
        <v>6</v>
      </c>
      <c r="F202" t="n">
        <v>6</v>
      </c>
      <c r="G202" t="n">
        <v>18334</v>
      </c>
      <c r="H202" t="inlineStr">
        <is>
          <t>Septiembre 2026</t>
        </is>
      </c>
      <c r="I202" t="inlineStr">
        <is>
          <t>2026-09</t>
        </is>
      </c>
      <c r="J202" t="inlineStr">
        <is>
          <t>PENDIENTE</t>
        </is>
      </c>
      <c r="K202" t="inlineStr">
        <is>
          <t>C.06/06 · cashflow BBVA · gasto personal Sol</t>
        </is>
      </c>
      <c r="L202" t="inlineStr">
        <is>
          <t>Sol</t>
        </is>
      </c>
    </row>
    <row r="203">
      <c r="A203" t="inlineStr">
        <is>
          <t>BBVA TC</t>
        </is>
      </c>
      <c r="B203" s="52" t="n">
        <v>46198</v>
      </c>
      <c r="C203" t="inlineStr">
        <is>
          <t>TLM CARP</t>
        </is>
      </c>
      <c r="D203" t="inlineStr">
        <is>
          <t>Eventos deportivos - River</t>
        </is>
      </c>
      <c r="E203" t="n">
        <v>3</v>
      </c>
      <c r="F203" t="n">
        <v>6</v>
      </c>
      <c r="G203" t="n">
        <v>169667</v>
      </c>
      <c r="H203" t="inlineStr">
        <is>
          <t>Septiembre 2026</t>
        </is>
      </c>
      <c r="I203" t="inlineStr">
        <is>
          <t>2026-09</t>
        </is>
      </c>
      <c r="J203" t="inlineStr">
        <is>
          <t>PENDIENTE</t>
        </is>
      </c>
      <c r="K203" t="inlineStr">
        <is>
          <t>C.03/06 · cashflow BBVA · gasto personal Sol</t>
        </is>
      </c>
      <c r="L203" t="inlineStr">
        <is>
          <t>Sol</t>
        </is>
      </c>
    </row>
    <row r="204">
      <c r="A204" t="inlineStr">
        <is>
          <t>BBVA TC</t>
        </is>
      </c>
      <c r="B204" s="52" t="n">
        <v>46148</v>
      </c>
      <c r="C204" t="inlineStr">
        <is>
          <t>ZADIG</t>
        </is>
      </c>
      <c r="D204" t="inlineStr">
        <is>
          <t>ROPA</t>
        </is>
      </c>
      <c r="E204" t="n">
        <v>5</v>
      </c>
      <c r="F204" t="n">
        <v>12</v>
      </c>
      <c r="G204" t="n">
        <v>60917</v>
      </c>
      <c r="H204" t="inlineStr">
        <is>
          <t>Septiembre 2026</t>
        </is>
      </c>
      <c r="I204" t="inlineStr">
        <is>
          <t>2026-09</t>
        </is>
      </c>
      <c r="J204" t="inlineStr">
        <is>
          <t>PENDIENTE</t>
        </is>
      </c>
      <c r="K204" t="inlineStr">
        <is>
          <t>C.05/12 · cashflow BBVA · gasto personal Sol</t>
        </is>
      </c>
      <c r="L204" t="inlineStr">
        <is>
          <t>Sol</t>
        </is>
      </c>
    </row>
    <row r="205">
      <c r="A205" t="inlineStr">
        <is>
          <t>BBVA TC</t>
        </is>
      </c>
      <c r="B205" s="52" t="n">
        <v>46151</v>
      </c>
      <c r="C205" t="inlineStr">
        <is>
          <t>ZADIG</t>
        </is>
      </c>
      <c r="D205" t="inlineStr">
        <is>
          <t>ROPA</t>
        </is>
      </c>
      <c r="E205" t="n">
        <v>5</v>
      </c>
      <c r="F205" t="n">
        <v>12</v>
      </c>
      <c r="G205" t="n">
        <v>69750</v>
      </c>
      <c r="H205" t="inlineStr">
        <is>
          <t>Septiembre 2026</t>
        </is>
      </c>
      <c r="I205" t="inlineStr">
        <is>
          <t>2026-09</t>
        </is>
      </c>
      <c r="J205" t="inlineStr">
        <is>
          <t>PENDIENTE</t>
        </is>
      </c>
      <c r="K205" t="inlineStr">
        <is>
          <t>C.05/12 · cashflow BBVA · gasto personal Sol</t>
        </is>
      </c>
      <c r="L205" t="inlineStr">
        <is>
          <t>Sol</t>
        </is>
      </c>
    </row>
    <row r="206">
      <c r="A206" t="inlineStr">
        <is>
          <t>BBVA TC</t>
        </is>
      </c>
      <c r="B206" s="52" t="n">
        <v>46166</v>
      </c>
      <c r="C206" t="inlineStr">
        <is>
          <t>BIMBAYLOLA</t>
        </is>
      </c>
      <c r="D206" t="inlineStr">
        <is>
          <t>ROPA</t>
        </is>
      </c>
      <c r="E206" t="n">
        <v>6</v>
      </c>
      <c r="F206" t="n">
        <v>6</v>
      </c>
      <c r="G206" t="n">
        <v>124667</v>
      </c>
      <c r="H206" t="inlineStr">
        <is>
          <t>Octubre 2026</t>
        </is>
      </c>
      <c r="I206" t="inlineStr">
        <is>
          <t>2026-10</t>
        </is>
      </c>
      <c r="J206" t="inlineStr">
        <is>
          <t>PENDIENTE</t>
        </is>
      </c>
      <c r="K206" t="inlineStr">
        <is>
          <t>C.06/06 · cashflow BBVA · gasto personal Sol</t>
        </is>
      </c>
      <c r="L206" t="inlineStr">
        <is>
          <t>Sol</t>
        </is>
      </c>
    </row>
    <row r="207">
      <c r="A207" t="inlineStr">
        <is>
          <t>BBVA TC</t>
        </is>
      </c>
      <c r="B207" s="52" t="n">
        <v>46158</v>
      </c>
      <c r="C207" t="inlineStr">
        <is>
          <t>BOKENVORENO</t>
        </is>
      </c>
      <c r="D207" t="inlineStr">
        <is>
          <t>Personal</t>
        </is>
      </c>
      <c r="E207" t="n">
        <v>6</v>
      </c>
      <c r="F207" t="n">
        <v>6</v>
      </c>
      <c r="G207" t="n">
        <v>98334</v>
      </c>
      <c r="H207" t="inlineStr">
        <is>
          <t>Octubre 2026</t>
        </is>
      </c>
      <c r="I207" t="inlineStr">
        <is>
          <t>2026-10</t>
        </is>
      </c>
      <c r="J207" t="inlineStr">
        <is>
          <t>PENDIENTE</t>
        </is>
      </c>
      <c r="K207" t="inlineStr">
        <is>
          <t>C.06/06 · cashflow BBVA · gasto personal Sol</t>
        </is>
      </c>
      <c r="L207" t="inlineStr">
        <is>
          <t>Sol</t>
        </is>
      </c>
    </row>
    <row r="208">
      <c r="A208" t="inlineStr">
        <is>
          <t>BBVA TC</t>
        </is>
      </c>
      <c r="B208" s="52" t="n">
        <v>46151</v>
      </c>
      <c r="C208" t="inlineStr">
        <is>
          <t>JUSTA OSADIA</t>
        </is>
      </c>
      <c r="D208" t="inlineStr">
        <is>
          <t>ROPA</t>
        </is>
      </c>
      <c r="E208" t="n">
        <v>6</v>
      </c>
      <c r="F208" t="n">
        <v>6</v>
      </c>
      <c r="G208" t="n">
        <v>80834</v>
      </c>
      <c r="H208" t="inlineStr">
        <is>
          <t>Octubre 2026</t>
        </is>
      </c>
      <c r="I208" t="inlineStr">
        <is>
          <t>2026-10</t>
        </is>
      </c>
      <c r="J208" t="inlineStr">
        <is>
          <t>PENDIENTE</t>
        </is>
      </c>
      <c r="K208" t="inlineStr">
        <is>
          <t>C.06/06 · cashflow BBVA · gasto personal Sol</t>
        </is>
      </c>
      <c r="L208" t="inlineStr">
        <is>
          <t>Sol</t>
        </is>
      </c>
    </row>
    <row r="209">
      <c r="A209" t="inlineStr">
        <is>
          <t>BBVA TC</t>
        </is>
      </c>
      <c r="B209" s="52" t="n">
        <v>46198</v>
      </c>
      <c r="C209" t="inlineStr">
        <is>
          <t>MERCADOLIBRE</t>
        </is>
      </c>
      <c r="D209" t="inlineStr">
        <is>
          <t>Mercado Libre</t>
        </is>
      </c>
      <c r="E209" t="n">
        <v>4</v>
      </c>
      <c r="F209" t="n">
        <v>6</v>
      </c>
      <c r="G209" t="n">
        <v>12084</v>
      </c>
      <c r="H209" t="inlineStr">
        <is>
          <t>Octubre 2026</t>
        </is>
      </c>
      <c r="I209" t="inlineStr">
        <is>
          <t>2026-10</t>
        </is>
      </c>
      <c r="J209" t="inlineStr">
        <is>
          <t>PENDIENTE</t>
        </is>
      </c>
      <c r="K209" t="inlineStr">
        <is>
          <t>C.04/06 · cashflow BBVA · gasto personal Sol</t>
        </is>
      </c>
      <c r="L209" t="inlineStr">
        <is>
          <t>Sol</t>
        </is>
      </c>
    </row>
    <row r="210">
      <c r="A210" t="inlineStr">
        <is>
          <t>BBVA TC</t>
        </is>
      </c>
      <c r="B210" s="52" t="n">
        <v>46094</v>
      </c>
      <c r="C210" t="inlineStr">
        <is>
          <t>MERCADOLIBRE</t>
        </is>
      </c>
      <c r="D210" t="inlineStr">
        <is>
          <t>Mercado Libre</t>
        </is>
      </c>
      <c r="E210" t="n">
        <v>8</v>
      </c>
      <c r="F210" t="n">
        <v>12</v>
      </c>
      <c r="G210" t="n">
        <v>275000</v>
      </c>
      <c r="H210" t="inlineStr">
        <is>
          <t>Octubre 2026</t>
        </is>
      </c>
      <c r="I210" t="inlineStr">
        <is>
          <t>2026-10</t>
        </is>
      </c>
      <c r="J210" t="inlineStr">
        <is>
          <t>PENDIENTE</t>
        </is>
      </c>
      <c r="K210" t="inlineStr">
        <is>
          <t>C.08/12 · cashflow BBVA · gasto personal Sol</t>
        </is>
      </c>
      <c r="L210" t="inlineStr">
        <is>
          <t>Sol</t>
        </is>
      </c>
    </row>
    <row r="211">
      <c r="A211" t="inlineStr">
        <is>
          <t>BBVA TC</t>
        </is>
      </c>
      <c r="B211" s="52" t="n">
        <v>46069</v>
      </c>
      <c r="C211" t="inlineStr">
        <is>
          <t>MERCADOLIBRE</t>
        </is>
      </c>
      <c r="D211" t="inlineStr">
        <is>
          <t>Mercado Libre</t>
        </is>
      </c>
      <c r="E211" t="n">
        <v>9</v>
      </c>
      <c r="F211" t="n">
        <v>9</v>
      </c>
      <c r="G211" t="n">
        <v>17360</v>
      </c>
      <c r="H211" t="inlineStr">
        <is>
          <t>Octubre 2026</t>
        </is>
      </c>
      <c r="I211" t="inlineStr">
        <is>
          <t>2026-10</t>
        </is>
      </c>
      <c r="J211" t="inlineStr">
        <is>
          <t>PENDIENTE</t>
        </is>
      </c>
      <c r="K211" t="inlineStr">
        <is>
          <t>C.09/09 · cashflow BBVA · gasto personal Sol</t>
        </is>
      </c>
      <c r="L211" t="inlineStr">
        <is>
          <t>Sol</t>
        </is>
      </c>
    </row>
    <row r="212">
      <c r="A212" t="inlineStr">
        <is>
          <t>BBVA TC</t>
        </is>
      </c>
      <c r="B212" s="52" t="n">
        <v>46077</v>
      </c>
      <c r="C212" t="inlineStr">
        <is>
          <t>MERCADOLIBRE</t>
        </is>
      </c>
      <c r="D212" t="inlineStr">
        <is>
          <t>Mercado Libre</t>
        </is>
      </c>
      <c r="E212" t="n">
        <v>9</v>
      </c>
      <c r="F212" t="n">
        <v>9</v>
      </c>
      <c r="G212" t="n">
        <v>16950</v>
      </c>
      <c r="H212" t="inlineStr">
        <is>
          <t>Octubre 2026</t>
        </is>
      </c>
      <c r="I212" t="inlineStr">
        <is>
          <t>2026-10</t>
        </is>
      </c>
      <c r="J212" t="inlineStr">
        <is>
          <t>PENDIENTE</t>
        </is>
      </c>
      <c r="K212" t="inlineStr">
        <is>
          <t>C.09/09 · cashflow BBVA · gasto personal Sol</t>
        </is>
      </c>
      <c r="L212" t="inlineStr">
        <is>
          <t>Sol</t>
        </is>
      </c>
    </row>
    <row r="213">
      <c r="A213" t="inlineStr">
        <is>
          <t>BBVA TC</t>
        </is>
      </c>
      <c r="B213" s="52" t="n">
        <v>46176</v>
      </c>
      <c r="C213" t="inlineStr">
        <is>
          <t>PANDORA</t>
        </is>
      </c>
      <c r="D213" t="inlineStr">
        <is>
          <t>ROPA</t>
        </is>
      </c>
      <c r="E213" t="n">
        <v>4</v>
      </c>
      <c r="F213" t="n">
        <v>6</v>
      </c>
      <c r="G213" t="n">
        <v>284794</v>
      </c>
      <c r="H213" t="inlineStr">
        <is>
          <t>Octubre 2026</t>
        </is>
      </c>
      <c r="I213" t="inlineStr">
        <is>
          <t>2026-10</t>
        </is>
      </c>
      <c r="J213" t="inlineStr">
        <is>
          <t>PENDIENTE</t>
        </is>
      </c>
      <c r="K213" t="inlineStr">
        <is>
          <t>C.04/06 · cashflow BBVA · gasto personal Sol</t>
        </is>
      </c>
      <c r="L213" t="inlineStr">
        <is>
          <t>Sol</t>
        </is>
      </c>
    </row>
    <row r="214">
      <c r="A214" t="inlineStr">
        <is>
          <t>BBVA TC</t>
        </is>
      </c>
      <c r="B214" s="52" t="n">
        <v>46174</v>
      </c>
      <c r="C214" t="inlineStr">
        <is>
          <t>PANDORA</t>
        </is>
      </c>
      <c r="D214" t="inlineStr">
        <is>
          <t>ROPA</t>
        </is>
      </c>
      <c r="E214" t="n">
        <v>4</v>
      </c>
      <c r="F214" t="n">
        <v>6</v>
      </c>
      <c r="G214" t="n">
        <v>73600</v>
      </c>
      <c r="H214" t="inlineStr">
        <is>
          <t>Octubre 2026</t>
        </is>
      </c>
      <c r="I214" t="inlineStr">
        <is>
          <t>2026-10</t>
        </is>
      </c>
      <c r="J214" t="inlineStr">
        <is>
          <t>PENDIENTE</t>
        </is>
      </c>
      <c r="K214" t="inlineStr">
        <is>
          <t>C.04/06 · cashflow BBVA · gasto personal Sol</t>
        </is>
      </c>
      <c r="L214" t="inlineStr">
        <is>
          <t>Sol</t>
        </is>
      </c>
    </row>
    <row r="215">
      <c r="A215" t="inlineStr">
        <is>
          <t>BBVA TC</t>
        </is>
      </c>
      <c r="B215" s="52" t="n">
        <v>46144</v>
      </c>
      <c r="C215" t="inlineStr">
        <is>
          <t>SPORTING</t>
        </is>
      </c>
      <c r="D215" t="inlineStr">
        <is>
          <t>ROPA</t>
        </is>
      </c>
      <c r="E215" t="n">
        <v>6</v>
      </c>
      <c r="F215" t="n">
        <v>6</v>
      </c>
      <c r="G215" t="n">
        <v>36667</v>
      </c>
      <c r="H215" t="inlineStr">
        <is>
          <t>Octubre 2026</t>
        </is>
      </c>
      <c r="I215" t="inlineStr">
        <is>
          <t>2026-10</t>
        </is>
      </c>
      <c r="J215" t="inlineStr">
        <is>
          <t>PENDIENTE</t>
        </is>
      </c>
      <c r="K215" t="inlineStr">
        <is>
          <t>C.06/06 · cashflow BBVA · gasto personal Sol</t>
        </is>
      </c>
      <c r="L215" t="inlineStr">
        <is>
          <t>Sol</t>
        </is>
      </c>
    </row>
    <row r="216">
      <c r="A216" t="inlineStr">
        <is>
          <t>BBVA TC</t>
        </is>
      </c>
      <c r="B216" s="52" t="n">
        <v>46198</v>
      </c>
      <c r="C216" t="inlineStr">
        <is>
          <t>TLM CARP</t>
        </is>
      </c>
      <c r="D216" t="inlineStr">
        <is>
          <t>Eventos deportivos - River</t>
        </is>
      </c>
      <c r="E216" t="n">
        <v>4</v>
      </c>
      <c r="F216" t="n">
        <v>6</v>
      </c>
      <c r="G216" t="n">
        <v>169667</v>
      </c>
      <c r="H216" t="inlineStr">
        <is>
          <t>Octubre 2026</t>
        </is>
      </c>
      <c r="I216" t="inlineStr">
        <is>
          <t>2026-10</t>
        </is>
      </c>
      <c r="J216" t="inlineStr">
        <is>
          <t>PENDIENTE</t>
        </is>
      </c>
      <c r="K216" t="inlineStr">
        <is>
          <t>C.04/06 · cashflow BBVA · gasto personal Sol</t>
        </is>
      </c>
      <c r="L216" t="inlineStr">
        <is>
          <t>Sol</t>
        </is>
      </c>
    </row>
    <row r="217">
      <c r="A217" t="inlineStr">
        <is>
          <t>BBVA TC</t>
        </is>
      </c>
      <c r="B217" s="52" t="n">
        <v>46148</v>
      </c>
      <c r="C217" t="inlineStr">
        <is>
          <t>ZADIG</t>
        </is>
      </c>
      <c r="D217" t="inlineStr">
        <is>
          <t>ROPA</t>
        </is>
      </c>
      <c r="E217" t="n">
        <v>6</v>
      </c>
      <c r="F217" t="n">
        <v>12</v>
      </c>
      <c r="G217" t="n">
        <v>60917</v>
      </c>
      <c r="H217" t="inlineStr">
        <is>
          <t>Octubre 2026</t>
        </is>
      </c>
      <c r="I217" t="inlineStr">
        <is>
          <t>2026-10</t>
        </is>
      </c>
      <c r="J217" t="inlineStr">
        <is>
          <t>PENDIENTE</t>
        </is>
      </c>
      <c r="K217" t="inlineStr">
        <is>
          <t>C.06/12 · cashflow BBVA · gasto personal Sol</t>
        </is>
      </c>
      <c r="L217" t="inlineStr">
        <is>
          <t>Sol</t>
        </is>
      </c>
    </row>
    <row r="218">
      <c r="A218" t="inlineStr">
        <is>
          <t>BBVA TC</t>
        </is>
      </c>
      <c r="B218" s="52" t="n">
        <v>46151</v>
      </c>
      <c r="C218" t="inlineStr">
        <is>
          <t>ZADIG</t>
        </is>
      </c>
      <c r="D218" t="inlineStr">
        <is>
          <t>ROPA</t>
        </is>
      </c>
      <c r="E218" t="n">
        <v>6</v>
      </c>
      <c r="F218" t="n">
        <v>12</v>
      </c>
      <c r="G218" t="n">
        <v>69750</v>
      </c>
      <c r="H218" t="inlineStr">
        <is>
          <t>Octubre 2026</t>
        </is>
      </c>
      <c r="I218" t="inlineStr">
        <is>
          <t>2026-10</t>
        </is>
      </c>
      <c r="J218" t="inlineStr">
        <is>
          <t>PENDIENTE</t>
        </is>
      </c>
      <c r="K218" t="inlineStr">
        <is>
          <t>C.06/12 · cashflow BBVA · gasto personal Sol</t>
        </is>
      </c>
      <c r="L218" t="inlineStr">
        <is>
          <t>Sol</t>
        </is>
      </c>
    </row>
    <row r="219">
      <c r="A219" t="inlineStr">
        <is>
          <t>BBVA TC</t>
        </is>
      </c>
      <c r="B219" s="52" t="n">
        <v>46198</v>
      </c>
      <c r="C219" t="inlineStr">
        <is>
          <t>MERCADOLIBRE</t>
        </is>
      </c>
      <c r="D219" t="inlineStr">
        <is>
          <t>Mercado Libre</t>
        </is>
      </c>
      <c r="E219" t="n">
        <v>5</v>
      </c>
      <c r="F219" t="n">
        <v>6</v>
      </c>
      <c r="G219" t="n">
        <v>12084</v>
      </c>
      <c r="H219" t="inlineStr">
        <is>
          <t>Noviembre 2026</t>
        </is>
      </c>
      <c r="I219" t="inlineStr">
        <is>
          <t>2026-11</t>
        </is>
      </c>
      <c r="J219" t="inlineStr">
        <is>
          <t>PENDIENTE</t>
        </is>
      </c>
      <c r="K219" t="inlineStr">
        <is>
          <t>C.05/06 · cashflow BBVA · gasto personal Sol</t>
        </is>
      </c>
      <c r="L219" t="inlineStr">
        <is>
          <t>Sol</t>
        </is>
      </c>
    </row>
    <row r="220">
      <c r="A220" t="inlineStr">
        <is>
          <t>BBVA TC</t>
        </is>
      </c>
      <c r="B220" s="52" t="n">
        <v>46094</v>
      </c>
      <c r="C220" t="inlineStr">
        <is>
          <t>MERCADOLIBRE</t>
        </is>
      </c>
      <c r="D220" t="inlineStr">
        <is>
          <t>Mercado Libre</t>
        </is>
      </c>
      <c r="E220" t="n">
        <v>9</v>
      </c>
      <c r="F220" t="n">
        <v>12</v>
      </c>
      <c r="G220" t="n">
        <v>275000</v>
      </c>
      <c r="H220" t="inlineStr">
        <is>
          <t>Noviembre 2026</t>
        </is>
      </c>
      <c r="I220" t="inlineStr">
        <is>
          <t>2026-11</t>
        </is>
      </c>
      <c r="J220" t="inlineStr">
        <is>
          <t>PENDIENTE</t>
        </is>
      </c>
      <c r="K220" t="inlineStr">
        <is>
          <t>C.09/12 · cashflow BBVA · gasto personal Sol</t>
        </is>
      </c>
      <c r="L220" t="inlineStr">
        <is>
          <t>Sol</t>
        </is>
      </c>
    </row>
    <row r="221">
      <c r="A221" t="inlineStr">
        <is>
          <t>BBVA TC</t>
        </is>
      </c>
      <c r="B221" s="52" t="n">
        <v>46176</v>
      </c>
      <c r="C221" t="inlineStr">
        <is>
          <t>PANDORA</t>
        </is>
      </c>
      <c r="D221" t="inlineStr">
        <is>
          <t>ROPA</t>
        </is>
      </c>
      <c r="E221" t="n">
        <v>5</v>
      </c>
      <c r="F221" t="n">
        <v>6</v>
      </c>
      <c r="G221" t="n">
        <v>284794</v>
      </c>
      <c r="H221" t="inlineStr">
        <is>
          <t>Noviembre 2026</t>
        </is>
      </c>
      <c r="I221" t="inlineStr">
        <is>
          <t>2026-11</t>
        </is>
      </c>
      <c r="J221" t="inlineStr">
        <is>
          <t>PENDIENTE</t>
        </is>
      </c>
      <c r="K221" t="inlineStr">
        <is>
          <t>C.05/06 · cashflow BBVA · gasto personal Sol</t>
        </is>
      </c>
      <c r="L221" t="inlineStr">
        <is>
          <t>Sol</t>
        </is>
      </c>
    </row>
    <row r="222">
      <c r="A222" t="inlineStr">
        <is>
          <t>BBVA TC</t>
        </is>
      </c>
      <c r="B222" s="52" t="n">
        <v>46174</v>
      </c>
      <c r="C222" t="inlineStr">
        <is>
          <t>PANDORA</t>
        </is>
      </c>
      <c r="D222" t="inlineStr">
        <is>
          <t>ROPA</t>
        </is>
      </c>
      <c r="E222" t="n">
        <v>5</v>
      </c>
      <c r="F222" t="n">
        <v>6</v>
      </c>
      <c r="G222" t="n">
        <v>73600</v>
      </c>
      <c r="H222" t="inlineStr">
        <is>
          <t>Noviembre 2026</t>
        </is>
      </c>
      <c r="I222" t="inlineStr">
        <is>
          <t>2026-11</t>
        </is>
      </c>
      <c r="J222" t="inlineStr">
        <is>
          <t>PENDIENTE</t>
        </is>
      </c>
      <c r="K222" t="inlineStr">
        <is>
          <t>C.05/06 · cashflow BBVA · gasto personal Sol</t>
        </is>
      </c>
      <c r="L222" t="inlineStr">
        <is>
          <t>Sol</t>
        </is>
      </c>
    </row>
    <row r="223">
      <c r="A223" t="inlineStr">
        <is>
          <t>BBVA TC</t>
        </is>
      </c>
      <c r="B223" s="52" t="n">
        <v>46198</v>
      </c>
      <c r="C223" t="inlineStr">
        <is>
          <t>TLM CARP</t>
        </is>
      </c>
      <c r="D223" t="inlineStr">
        <is>
          <t>Eventos deportivos - River</t>
        </is>
      </c>
      <c r="E223" t="n">
        <v>5</v>
      </c>
      <c r="F223" t="n">
        <v>6</v>
      </c>
      <c r="G223" t="n">
        <v>169667</v>
      </c>
      <c r="H223" t="inlineStr">
        <is>
          <t>Noviembre 2026</t>
        </is>
      </c>
      <c r="I223" t="inlineStr">
        <is>
          <t>2026-11</t>
        </is>
      </c>
      <c r="J223" t="inlineStr">
        <is>
          <t>PENDIENTE</t>
        </is>
      </c>
      <c r="K223" t="inlineStr">
        <is>
          <t>C.05/06 · cashflow BBVA · gasto personal Sol</t>
        </is>
      </c>
      <c r="L223" t="inlineStr">
        <is>
          <t>Sol</t>
        </is>
      </c>
    </row>
    <row r="224">
      <c r="A224" t="inlineStr">
        <is>
          <t>BBVA TC</t>
        </is>
      </c>
      <c r="B224" s="52" t="n">
        <v>46148</v>
      </c>
      <c r="C224" t="inlineStr">
        <is>
          <t>ZADIG</t>
        </is>
      </c>
      <c r="D224" t="inlineStr">
        <is>
          <t>ROPA</t>
        </is>
      </c>
      <c r="E224" t="n">
        <v>7</v>
      </c>
      <c r="F224" t="n">
        <v>12</v>
      </c>
      <c r="G224" t="n">
        <v>60917</v>
      </c>
      <c r="H224" t="inlineStr">
        <is>
          <t>Noviembre 2026</t>
        </is>
      </c>
      <c r="I224" t="inlineStr">
        <is>
          <t>2026-11</t>
        </is>
      </c>
      <c r="J224" t="inlineStr">
        <is>
          <t>PENDIENTE</t>
        </is>
      </c>
      <c r="K224" t="inlineStr">
        <is>
          <t>C.07/12 · cashflow BBVA · gasto personal Sol</t>
        </is>
      </c>
      <c r="L224" t="inlineStr">
        <is>
          <t>Sol</t>
        </is>
      </c>
    </row>
    <row r="225">
      <c r="A225" t="inlineStr">
        <is>
          <t>BBVA TC</t>
        </is>
      </c>
      <c r="B225" s="52" t="n">
        <v>46151</v>
      </c>
      <c r="C225" t="inlineStr">
        <is>
          <t>ZADIG</t>
        </is>
      </c>
      <c r="D225" t="inlineStr">
        <is>
          <t>ROPA</t>
        </is>
      </c>
      <c r="E225" t="n">
        <v>7</v>
      </c>
      <c r="F225" t="n">
        <v>12</v>
      </c>
      <c r="G225" t="n">
        <v>69750</v>
      </c>
      <c r="H225" t="inlineStr">
        <is>
          <t>Noviembre 2026</t>
        </is>
      </c>
      <c r="I225" t="inlineStr">
        <is>
          <t>2026-11</t>
        </is>
      </c>
      <c r="J225" t="inlineStr">
        <is>
          <t>PENDIENTE</t>
        </is>
      </c>
      <c r="K225" t="inlineStr">
        <is>
          <t>C.07/12 · cashflow BBVA · gasto personal Sol</t>
        </is>
      </c>
      <c r="L225" t="inlineStr">
        <is>
          <t>Sol</t>
        </is>
      </c>
    </row>
    <row r="226">
      <c r="A226" t="inlineStr">
        <is>
          <t>BBVA TC</t>
        </is>
      </c>
      <c r="B226" s="52" t="n">
        <v>46198</v>
      </c>
      <c r="C226" t="inlineStr">
        <is>
          <t>MERCADOLIBRE</t>
        </is>
      </c>
      <c r="D226" t="inlineStr">
        <is>
          <t>Mercado Libre</t>
        </is>
      </c>
      <c r="E226" t="n">
        <v>6</v>
      </c>
      <c r="F226" t="n">
        <v>6</v>
      </c>
      <c r="G226" t="n">
        <v>12084</v>
      </c>
      <c r="H226" t="inlineStr">
        <is>
          <t>Diciembre 2026</t>
        </is>
      </c>
      <c r="I226" t="inlineStr">
        <is>
          <t>2026-12</t>
        </is>
      </c>
      <c r="J226" t="inlineStr">
        <is>
          <t>PENDIENTE</t>
        </is>
      </c>
      <c r="K226" t="inlineStr">
        <is>
          <t>C.06/06 · cashflow BBVA · gasto personal Sol</t>
        </is>
      </c>
      <c r="L226" t="inlineStr">
        <is>
          <t>Sol</t>
        </is>
      </c>
    </row>
    <row r="227">
      <c r="A227" t="inlineStr">
        <is>
          <t>BBVA TC</t>
        </is>
      </c>
      <c r="B227" s="52" t="n">
        <v>46094</v>
      </c>
      <c r="C227" t="inlineStr">
        <is>
          <t>MERCADOLIBRE</t>
        </is>
      </c>
      <c r="D227" t="inlineStr">
        <is>
          <t>Mercado Libre</t>
        </is>
      </c>
      <c r="E227" t="n">
        <v>10</v>
      </c>
      <c r="F227" t="n">
        <v>12</v>
      </c>
      <c r="G227" t="n">
        <v>275000</v>
      </c>
      <c r="H227" t="inlineStr">
        <is>
          <t>Diciembre 2026</t>
        </is>
      </c>
      <c r="I227" t="inlineStr">
        <is>
          <t>2026-12</t>
        </is>
      </c>
      <c r="J227" t="inlineStr">
        <is>
          <t>PENDIENTE</t>
        </is>
      </c>
      <c r="K227" t="inlineStr">
        <is>
          <t>C.10/12 · cashflow BBVA · gasto personal Sol</t>
        </is>
      </c>
      <c r="L227" t="inlineStr">
        <is>
          <t>Sol</t>
        </is>
      </c>
    </row>
    <row r="228">
      <c r="A228" t="inlineStr">
        <is>
          <t>BBVA TC</t>
        </is>
      </c>
      <c r="B228" s="52" t="n">
        <v>46176</v>
      </c>
      <c r="C228" t="inlineStr">
        <is>
          <t>PANDORA</t>
        </is>
      </c>
      <c r="D228" t="inlineStr">
        <is>
          <t>ROPA</t>
        </is>
      </c>
      <c r="E228" t="n">
        <v>6</v>
      </c>
      <c r="F228" t="n">
        <v>6</v>
      </c>
      <c r="G228" t="n">
        <v>284794</v>
      </c>
      <c r="H228" t="inlineStr">
        <is>
          <t>Diciembre 2026</t>
        </is>
      </c>
      <c r="I228" t="inlineStr">
        <is>
          <t>2026-12</t>
        </is>
      </c>
      <c r="J228" t="inlineStr">
        <is>
          <t>PENDIENTE</t>
        </is>
      </c>
      <c r="K228" t="inlineStr">
        <is>
          <t>C.06/06 · cashflow BBVA · gasto personal Sol</t>
        </is>
      </c>
      <c r="L228" t="inlineStr">
        <is>
          <t>Sol</t>
        </is>
      </c>
    </row>
    <row r="229">
      <c r="A229" t="inlineStr">
        <is>
          <t>BBVA TC</t>
        </is>
      </c>
      <c r="B229" s="52" t="n">
        <v>46174</v>
      </c>
      <c r="C229" t="inlineStr">
        <is>
          <t>PANDORA</t>
        </is>
      </c>
      <c r="D229" t="inlineStr">
        <is>
          <t>ROPA</t>
        </is>
      </c>
      <c r="E229" t="n">
        <v>6</v>
      </c>
      <c r="F229" t="n">
        <v>6</v>
      </c>
      <c r="G229" t="n">
        <v>73600</v>
      </c>
      <c r="H229" t="inlineStr">
        <is>
          <t>Diciembre 2026</t>
        </is>
      </c>
      <c r="I229" t="inlineStr">
        <is>
          <t>2026-12</t>
        </is>
      </c>
      <c r="J229" t="inlineStr">
        <is>
          <t>PENDIENTE</t>
        </is>
      </c>
      <c r="K229" t="inlineStr">
        <is>
          <t>C.06/06 · cashflow BBVA · gasto personal Sol</t>
        </is>
      </c>
      <c r="L229" t="inlineStr">
        <is>
          <t>Sol</t>
        </is>
      </c>
    </row>
    <row r="230">
      <c r="A230" t="inlineStr">
        <is>
          <t>BBVA TC</t>
        </is>
      </c>
      <c r="B230" s="52" t="n">
        <v>46198</v>
      </c>
      <c r="C230" t="inlineStr">
        <is>
          <t>TLM CARP</t>
        </is>
      </c>
      <c r="D230" t="inlineStr">
        <is>
          <t>Eventos deportivos - River</t>
        </is>
      </c>
      <c r="E230" t="n">
        <v>6</v>
      </c>
      <c r="F230" t="n">
        <v>6</v>
      </c>
      <c r="G230" t="n">
        <v>169667</v>
      </c>
      <c r="H230" t="inlineStr">
        <is>
          <t>Diciembre 2026</t>
        </is>
      </c>
      <c r="I230" t="inlineStr">
        <is>
          <t>2026-12</t>
        </is>
      </c>
      <c r="J230" t="inlineStr">
        <is>
          <t>PENDIENTE</t>
        </is>
      </c>
      <c r="K230" t="inlineStr">
        <is>
          <t>C.06/06 · cashflow BBVA · gasto personal Sol</t>
        </is>
      </c>
      <c r="L230" t="inlineStr">
        <is>
          <t>Sol</t>
        </is>
      </c>
    </row>
    <row r="231">
      <c r="A231" t="inlineStr">
        <is>
          <t>BBVA TC</t>
        </is>
      </c>
      <c r="B231" s="52" t="n">
        <v>46148</v>
      </c>
      <c r="C231" t="inlineStr">
        <is>
          <t>ZADIG</t>
        </is>
      </c>
      <c r="D231" t="inlineStr">
        <is>
          <t>ROPA</t>
        </is>
      </c>
      <c r="E231" t="n">
        <v>8</v>
      </c>
      <c r="F231" t="n">
        <v>12</v>
      </c>
      <c r="G231" t="n">
        <v>60917</v>
      </c>
      <c r="H231" t="inlineStr">
        <is>
          <t>Diciembre 2026</t>
        </is>
      </c>
      <c r="I231" t="inlineStr">
        <is>
          <t>2026-12</t>
        </is>
      </c>
      <c r="J231" t="inlineStr">
        <is>
          <t>PENDIENTE</t>
        </is>
      </c>
      <c r="K231" t="inlineStr">
        <is>
          <t>C.08/12 · cashflow BBVA · gasto personal Sol</t>
        </is>
      </c>
      <c r="L231" t="inlineStr">
        <is>
          <t>Sol</t>
        </is>
      </c>
    </row>
    <row r="232">
      <c r="A232" t="inlineStr">
        <is>
          <t>BBVA TC</t>
        </is>
      </c>
      <c r="B232" s="52" t="n">
        <v>46151</v>
      </c>
      <c r="C232" t="inlineStr">
        <is>
          <t>ZADIG</t>
        </is>
      </c>
      <c r="D232" t="inlineStr">
        <is>
          <t>ROPA</t>
        </is>
      </c>
      <c r="E232" t="n">
        <v>8</v>
      </c>
      <c r="F232" t="n">
        <v>12</v>
      </c>
      <c r="G232" t="n">
        <v>69750</v>
      </c>
      <c r="H232" t="inlineStr">
        <is>
          <t>Diciembre 2026</t>
        </is>
      </c>
      <c r="I232" t="inlineStr">
        <is>
          <t>2026-12</t>
        </is>
      </c>
      <c r="J232" t="inlineStr">
        <is>
          <t>PENDIENTE</t>
        </is>
      </c>
      <c r="K232" t="inlineStr">
        <is>
          <t>C.08/12 · cashflow BBVA · gasto personal Sol</t>
        </is>
      </c>
      <c r="L232" t="inlineStr">
        <is>
          <t>Sol</t>
        </is>
      </c>
    </row>
    <row r="233">
      <c r="A233" t="inlineStr">
        <is>
          <t>BBVA TC</t>
        </is>
      </c>
      <c r="B233" s="52" t="n">
        <v>46094</v>
      </c>
      <c r="C233" t="inlineStr">
        <is>
          <t>MERCADOLIBRE</t>
        </is>
      </c>
      <c r="D233" t="inlineStr">
        <is>
          <t>Mercado Libre</t>
        </is>
      </c>
      <c r="E233" t="n">
        <v>11</v>
      </c>
      <c r="F233" t="n">
        <v>12</v>
      </c>
      <c r="G233" t="n">
        <v>275000</v>
      </c>
      <c r="H233" t="inlineStr">
        <is>
          <t>Enero 2027</t>
        </is>
      </c>
      <c r="I233" t="inlineStr">
        <is>
          <t>2027-01</t>
        </is>
      </c>
      <c r="J233" t="inlineStr">
        <is>
          <t>PENDIENTE</t>
        </is>
      </c>
      <c r="K233" t="inlineStr">
        <is>
          <t>C.11/12 · cashflow BBVA · gasto personal Sol</t>
        </is>
      </c>
      <c r="L233" t="inlineStr">
        <is>
          <t>Sol</t>
        </is>
      </c>
    </row>
    <row r="234">
      <c r="A234" t="inlineStr">
        <is>
          <t>BBVA TC</t>
        </is>
      </c>
      <c r="B234" s="52" t="n">
        <v>46148</v>
      </c>
      <c r="C234" t="inlineStr">
        <is>
          <t>ZADIG</t>
        </is>
      </c>
      <c r="D234" t="inlineStr">
        <is>
          <t>ROPA</t>
        </is>
      </c>
      <c r="E234" t="n">
        <v>9</v>
      </c>
      <c r="F234" t="n">
        <v>12</v>
      </c>
      <c r="G234" t="n">
        <v>60917</v>
      </c>
      <c r="H234" t="inlineStr">
        <is>
          <t>Enero 2027</t>
        </is>
      </c>
      <c r="I234" t="inlineStr">
        <is>
          <t>2027-01</t>
        </is>
      </c>
      <c r="J234" t="inlineStr">
        <is>
          <t>PENDIENTE</t>
        </is>
      </c>
      <c r="K234" t="inlineStr">
        <is>
          <t>C.09/12 · cashflow BBVA · gasto personal Sol</t>
        </is>
      </c>
      <c r="L234" t="inlineStr">
        <is>
          <t>Sol</t>
        </is>
      </c>
    </row>
    <row r="235">
      <c r="A235" t="inlineStr">
        <is>
          <t>BBVA TC</t>
        </is>
      </c>
      <c r="B235" s="52" t="n">
        <v>46151</v>
      </c>
      <c r="C235" t="inlineStr">
        <is>
          <t>ZADIG</t>
        </is>
      </c>
      <c r="D235" t="inlineStr">
        <is>
          <t>ROPA</t>
        </is>
      </c>
      <c r="E235" t="n">
        <v>9</v>
      </c>
      <c r="F235" t="n">
        <v>12</v>
      </c>
      <c r="G235" t="n">
        <v>69750</v>
      </c>
      <c r="H235" t="inlineStr">
        <is>
          <t>Enero 2027</t>
        </is>
      </c>
      <c r="I235" t="inlineStr">
        <is>
          <t>2027-01</t>
        </is>
      </c>
      <c r="J235" t="inlineStr">
        <is>
          <t>PENDIENTE</t>
        </is>
      </c>
      <c r="K235" t="inlineStr">
        <is>
          <t>C.09/12 · cashflow BBVA · gasto personal Sol</t>
        </is>
      </c>
      <c r="L235" t="inlineStr">
        <is>
          <t>Sol</t>
        </is>
      </c>
    </row>
    <row r="236">
      <c r="A236" t="inlineStr">
        <is>
          <t>BBVA TC</t>
        </is>
      </c>
      <c r="B236" s="52" t="n">
        <v>46094</v>
      </c>
      <c r="C236" t="inlineStr">
        <is>
          <t>MERCADOLIBRE</t>
        </is>
      </c>
      <c r="D236" t="inlineStr">
        <is>
          <t>Mercado Libre</t>
        </is>
      </c>
      <c r="E236" t="n">
        <v>12</v>
      </c>
      <c r="F236" t="n">
        <v>12</v>
      </c>
      <c r="G236" t="n">
        <v>275000</v>
      </c>
      <c r="H236" t="inlineStr">
        <is>
          <t>Febrero 2027</t>
        </is>
      </c>
      <c r="I236" t="inlineStr">
        <is>
          <t>2027-02</t>
        </is>
      </c>
      <c r="J236" t="inlineStr">
        <is>
          <t>PENDIENTE</t>
        </is>
      </c>
      <c r="K236" t="inlineStr">
        <is>
          <t>C.12/12 · cashflow BBVA · gasto personal Sol</t>
        </is>
      </c>
      <c r="L236" t="inlineStr">
        <is>
          <t>Sol</t>
        </is>
      </c>
    </row>
    <row r="237">
      <c r="A237" t="inlineStr">
        <is>
          <t>BBVA TC</t>
        </is>
      </c>
      <c r="B237" s="52" t="n">
        <v>46148</v>
      </c>
      <c r="C237" t="inlineStr">
        <is>
          <t>ZADIG</t>
        </is>
      </c>
      <c r="D237" t="inlineStr">
        <is>
          <t>ROPA</t>
        </is>
      </c>
      <c r="E237" t="n">
        <v>10</v>
      </c>
      <c r="F237" t="n">
        <v>12</v>
      </c>
      <c r="G237" t="n">
        <v>60917</v>
      </c>
      <c r="H237" t="inlineStr">
        <is>
          <t>Febrero 2027</t>
        </is>
      </c>
      <c r="I237" t="inlineStr">
        <is>
          <t>2027-02</t>
        </is>
      </c>
      <c r="J237" t="inlineStr">
        <is>
          <t>PENDIENTE</t>
        </is>
      </c>
      <c r="K237" t="inlineStr">
        <is>
          <t>C.10/12 · cashflow BBVA · gasto personal Sol</t>
        </is>
      </c>
      <c r="L237" t="inlineStr">
        <is>
          <t>Sol</t>
        </is>
      </c>
    </row>
    <row r="238">
      <c r="A238" t="inlineStr">
        <is>
          <t>BBVA TC</t>
        </is>
      </c>
      <c r="B238" s="52" t="n">
        <v>46151</v>
      </c>
      <c r="C238" t="inlineStr">
        <is>
          <t>ZADIG</t>
        </is>
      </c>
      <c r="D238" t="inlineStr">
        <is>
          <t>ROPA</t>
        </is>
      </c>
      <c r="E238" t="n">
        <v>10</v>
      </c>
      <c r="F238" t="n">
        <v>12</v>
      </c>
      <c r="G238" t="n">
        <v>69750</v>
      </c>
      <c r="H238" t="inlineStr">
        <is>
          <t>Febrero 2027</t>
        </is>
      </c>
      <c r="I238" t="inlineStr">
        <is>
          <t>2027-02</t>
        </is>
      </c>
      <c r="J238" t="inlineStr">
        <is>
          <t>PENDIENTE</t>
        </is>
      </c>
      <c r="K238" t="inlineStr">
        <is>
          <t>C.10/12 · cashflow BBVA · gasto personal Sol</t>
        </is>
      </c>
      <c r="L238" t="inlineStr">
        <is>
          <t>Sol</t>
        </is>
      </c>
    </row>
    <row r="239">
      <c r="A239" t="inlineStr">
        <is>
          <t>BBVA TC</t>
        </is>
      </c>
      <c r="B239" s="52" t="n">
        <v>46148</v>
      </c>
      <c r="C239" t="inlineStr">
        <is>
          <t>ZADIG</t>
        </is>
      </c>
      <c r="D239" t="inlineStr">
        <is>
          <t>ROPA</t>
        </is>
      </c>
      <c r="E239" t="n">
        <v>11</v>
      </c>
      <c r="F239" t="n">
        <v>12</v>
      </c>
      <c r="G239" t="n">
        <v>60917</v>
      </c>
      <c r="H239" t="inlineStr">
        <is>
          <t>Marzo 2027</t>
        </is>
      </c>
      <c r="I239" t="inlineStr">
        <is>
          <t>2027-03</t>
        </is>
      </c>
      <c r="J239" t="inlineStr">
        <is>
          <t>PENDIENTE</t>
        </is>
      </c>
      <c r="K239" t="inlineStr">
        <is>
          <t>C.11/12 · cashflow BBVA · gasto personal Sol</t>
        </is>
      </c>
      <c r="L239" t="inlineStr">
        <is>
          <t>Sol</t>
        </is>
      </c>
    </row>
    <row r="240">
      <c r="A240" t="inlineStr">
        <is>
          <t>BBVA TC</t>
        </is>
      </c>
      <c r="B240" s="52" t="n">
        <v>46151</v>
      </c>
      <c r="C240" t="inlineStr">
        <is>
          <t>ZADIG</t>
        </is>
      </c>
      <c r="D240" t="inlineStr">
        <is>
          <t>ROPA</t>
        </is>
      </c>
      <c r="E240" t="n">
        <v>11</v>
      </c>
      <c r="F240" t="n">
        <v>12</v>
      </c>
      <c r="G240" t="n">
        <v>69750</v>
      </c>
      <c r="H240" t="inlineStr">
        <is>
          <t>Marzo 2027</t>
        </is>
      </c>
      <c r="I240" t="inlineStr">
        <is>
          <t>2027-03</t>
        </is>
      </c>
      <c r="J240" t="inlineStr">
        <is>
          <t>PENDIENTE</t>
        </is>
      </c>
      <c r="K240" t="inlineStr">
        <is>
          <t>C.11/12 · cashflow BBVA · gasto personal Sol</t>
        </is>
      </c>
      <c r="L240" t="inlineStr">
        <is>
          <t>Sol</t>
        </is>
      </c>
    </row>
    <row r="241">
      <c r="A241" t="inlineStr">
        <is>
          <t>BBVA TC</t>
        </is>
      </c>
      <c r="B241" s="52" t="n">
        <v>46148</v>
      </c>
      <c r="C241" t="inlineStr">
        <is>
          <t>ZADIG</t>
        </is>
      </c>
      <c r="D241" t="inlineStr">
        <is>
          <t>ROPA</t>
        </is>
      </c>
      <c r="E241" t="n">
        <v>12</v>
      </c>
      <c r="F241" t="n">
        <v>12</v>
      </c>
      <c r="G241" t="n">
        <v>60917</v>
      </c>
      <c r="H241" t="inlineStr">
        <is>
          <t>Abril 2027</t>
        </is>
      </c>
      <c r="I241" t="inlineStr">
        <is>
          <t>2027-04</t>
        </is>
      </c>
      <c r="J241" t="inlineStr">
        <is>
          <t>PENDIENTE</t>
        </is>
      </c>
      <c r="K241" t="inlineStr">
        <is>
          <t>C.12/12 · cashflow BBVA · gasto personal Sol</t>
        </is>
      </c>
      <c r="L241" t="inlineStr">
        <is>
          <t>Sol</t>
        </is>
      </c>
    </row>
    <row r="242">
      <c r="A242" t="inlineStr">
        <is>
          <t>BBVA TC</t>
        </is>
      </c>
      <c r="B242" s="52" t="n">
        <v>46151</v>
      </c>
      <c r="C242" t="inlineStr">
        <is>
          <t>ZADIG</t>
        </is>
      </c>
      <c r="D242" t="inlineStr">
        <is>
          <t>ROPA</t>
        </is>
      </c>
      <c r="E242" t="n">
        <v>12</v>
      </c>
      <c r="F242" t="n">
        <v>12</v>
      </c>
      <c r="G242" t="n">
        <v>69750</v>
      </c>
      <c r="H242" t="inlineStr">
        <is>
          <t>Abril 2027</t>
        </is>
      </c>
      <c r="I242" t="inlineStr">
        <is>
          <t>2027-04</t>
        </is>
      </c>
      <c r="J242" t="inlineStr">
        <is>
          <t>PENDIENTE</t>
        </is>
      </c>
      <c r="K242" t="inlineStr">
        <is>
          <t>C.12/12 · cashflow BBVA · gasto personal Sol</t>
        </is>
      </c>
      <c r="L242" t="inlineStr">
        <is>
          <t>Sol</t>
        </is>
      </c>
    </row>
    <row r="243">
      <c r="A243" t="inlineStr">
        <is>
          <t>AVA Fideicomiso</t>
        </is>
      </c>
      <c r="B243" s="52" t="n">
        <v>45965</v>
      </c>
      <c r="C243" t="inlineStr">
        <is>
          <t>AVA Palpa · cuota 1 · noviembre 2025</t>
        </is>
      </c>
      <c r="D243" t="inlineStr">
        <is>
          <t>AVA FIDEICOMISO</t>
        </is>
      </c>
      <c r="E243" t="n">
        <v>1</v>
      </c>
      <c r="F243" t="n">
        <v>32</v>
      </c>
      <c r="G243" t="n">
        <v>2535535</v>
      </c>
      <c r="H243" t="inlineStr">
        <is>
          <t>Noviembre 2025</t>
        </is>
      </c>
      <c r="I243" t="inlineStr">
        <is>
          <t>2025-11</t>
        </is>
      </c>
      <c r="J243" t="inlineStr">
        <is>
          <t>PAGADO</t>
        </is>
      </c>
      <c r="K243" t="inlineStr">
        <is>
          <t>50% Sol de $5,071,069 · TC MEP 1496.5 · ya en Gasto Personal Sol</t>
        </is>
      </c>
      <c r="L243" t="inlineStr">
        <is>
          <t>Sol 50%</t>
        </is>
      </c>
    </row>
    <row r="244">
      <c r="A244" t="inlineStr">
        <is>
          <t>AVA Fideicomiso</t>
        </is>
      </c>
      <c r="B244" s="52" t="n">
        <v>45996</v>
      </c>
      <c r="C244" t="inlineStr">
        <is>
          <t>AVA Palpa · cuota 2 · diciembre 2025</t>
        </is>
      </c>
      <c r="D244" t="inlineStr">
        <is>
          <t>AVA FIDEICOMISO</t>
        </is>
      </c>
      <c r="E244" t="n">
        <v>2</v>
      </c>
      <c r="F244" t="n">
        <v>32</v>
      </c>
      <c r="G244" t="n">
        <v>2594051</v>
      </c>
      <c r="H244" t="inlineStr">
        <is>
          <t>Diciembre 2025</t>
        </is>
      </c>
      <c r="I244" t="inlineStr">
        <is>
          <t>2025-12</t>
        </is>
      </c>
      <c r="J244" t="inlineStr">
        <is>
          <t>PAGADO</t>
        </is>
      </c>
      <c r="K244" t="inlineStr">
        <is>
          <t>50% Sol de $5,188,102 · TC MEP 1479.6 · ya en Gasto Personal Sol</t>
        </is>
      </c>
      <c r="L244" t="inlineStr">
        <is>
          <t>Sol 50%</t>
        </is>
      </c>
    </row>
    <row r="245">
      <c r="A245" t="inlineStr">
        <is>
          <t>AVA Fideicomiso</t>
        </is>
      </c>
      <c r="B245" s="52" t="n">
        <v>46027</v>
      </c>
      <c r="C245" t="inlineStr">
        <is>
          <t>AVA Palpa · cuota 3 · enero 2026</t>
        </is>
      </c>
      <c r="D245" t="inlineStr">
        <is>
          <t>AVA FIDEICOMISO</t>
        </is>
      </c>
      <c r="E245" t="n">
        <v>3</v>
      </c>
      <c r="F245" t="n">
        <v>32</v>
      </c>
      <c r="G245" t="n">
        <v>2645797</v>
      </c>
      <c r="H245" t="inlineStr">
        <is>
          <t>Enero 2026</t>
        </is>
      </c>
      <c r="I245" t="inlineStr">
        <is>
          <t>2026-01</t>
        </is>
      </c>
      <c r="J245" t="inlineStr">
        <is>
          <t>PAGADO</t>
        </is>
      </c>
      <c r="K245" t="inlineStr">
        <is>
          <t>50% Sol de $5,291,593 · TC MEP 1501.8 · ya en Gasto Personal Sol</t>
        </is>
      </c>
      <c r="L245" t="inlineStr">
        <is>
          <t>Sol 50%</t>
        </is>
      </c>
    </row>
    <row r="246">
      <c r="A246" t="inlineStr">
        <is>
          <t>AVA Fideicomiso</t>
        </is>
      </c>
      <c r="B246" s="52" t="n">
        <v>46057</v>
      </c>
      <c r="C246" t="inlineStr">
        <is>
          <t>AVA Palpa · cuota 4 · febrero 2026</t>
        </is>
      </c>
      <c r="D246" t="inlineStr">
        <is>
          <t>AVA FIDEICOMISO</t>
        </is>
      </c>
      <c r="E246" t="n">
        <v>4</v>
      </c>
      <c r="F246" t="n">
        <v>32</v>
      </c>
      <c r="G246" t="n">
        <v>2680133</v>
      </c>
      <c r="H246" t="inlineStr">
        <is>
          <t>Febrero 2026</t>
        </is>
      </c>
      <c r="I246" t="inlineStr">
        <is>
          <t>2026-02</t>
        </is>
      </c>
      <c r="J246" t="inlineStr">
        <is>
          <t>PAGADO</t>
        </is>
      </c>
      <c r="K246" t="inlineStr">
        <is>
          <t>50% Sol de $5,360,265 · TC MEP 1459.7 · ya en Gasto Personal Sol</t>
        </is>
      </c>
      <c r="L246" t="inlineStr">
        <is>
          <t>Sol 50%</t>
        </is>
      </c>
    </row>
    <row r="247">
      <c r="A247" t="inlineStr">
        <is>
          <t>AVA Fideicomiso</t>
        </is>
      </c>
      <c r="B247" s="52" t="n">
        <v>46085</v>
      </c>
      <c r="C247" t="inlineStr">
        <is>
          <t>AVA Palpa · cuota 5 · marzo 2026</t>
        </is>
      </c>
      <c r="D247" t="inlineStr">
        <is>
          <t>AVA FIDEICOMISO</t>
        </is>
      </c>
      <c r="E247" t="n">
        <v>5</v>
      </c>
      <c r="F247" t="n">
        <v>32</v>
      </c>
      <c r="G247" t="n">
        <v>2742034</v>
      </c>
      <c r="H247" t="inlineStr">
        <is>
          <t>Marzo 2026</t>
        </is>
      </c>
      <c r="I247" t="inlineStr">
        <is>
          <t>2026-03</t>
        </is>
      </c>
      <c r="J247" t="inlineStr">
        <is>
          <t>PAGADO</t>
        </is>
      </c>
      <c r="K247" t="inlineStr">
        <is>
          <t>50% Sol de $5,484,067 · TC MEP 1429.9 · ya en Gasto Personal Sol</t>
        </is>
      </c>
      <c r="L247" t="inlineStr">
        <is>
          <t>Sol 50%</t>
        </is>
      </c>
    </row>
    <row r="248">
      <c r="A248" t="inlineStr">
        <is>
          <t>AVA Fideicomiso</t>
        </is>
      </c>
      <c r="B248" s="52" t="n">
        <v>46118</v>
      </c>
      <c r="C248" t="inlineStr">
        <is>
          <t>AVA Palpa · cuota 6 · abril 2026</t>
        </is>
      </c>
      <c r="D248" t="inlineStr">
        <is>
          <t>AVA FIDEICOMISO</t>
        </is>
      </c>
      <c r="E248" t="n">
        <v>6</v>
      </c>
      <c r="F248" t="n">
        <v>32</v>
      </c>
      <c r="G248" t="n">
        <v>2776853</v>
      </c>
      <c r="H248" t="inlineStr">
        <is>
          <t>Abril 2026</t>
        </is>
      </c>
      <c r="I248" t="inlineStr">
        <is>
          <t>2026-04</t>
        </is>
      </c>
      <c r="J248" t="inlineStr">
        <is>
          <t>PAGADO</t>
        </is>
      </c>
      <c r="K248" t="inlineStr">
        <is>
          <t>50% Sol de $5,553,706 · TC MEP 1430.6 · ya en Gasto Personal Sol</t>
        </is>
      </c>
      <c r="L248" t="inlineStr">
        <is>
          <t>Sol 50%</t>
        </is>
      </c>
    </row>
    <row r="249">
      <c r="A249" t="inlineStr">
        <is>
          <t>AVA Fideicomiso</t>
        </is>
      </c>
      <c r="B249" s="52" t="n">
        <v>46148</v>
      </c>
      <c r="C249" t="inlineStr">
        <is>
          <t>AVA Palpa · cuota 7 · mayo 2026</t>
        </is>
      </c>
      <c r="D249" t="inlineStr">
        <is>
          <t>AVA FIDEICOMISO</t>
        </is>
      </c>
      <c r="E249" t="n">
        <v>7</v>
      </c>
      <c r="F249" t="n">
        <v>32</v>
      </c>
      <c r="G249" t="n">
        <v>2822312</v>
      </c>
      <c r="H249" t="inlineStr">
        <is>
          <t>Mayo 2026</t>
        </is>
      </c>
      <c r="I249" t="inlineStr">
        <is>
          <t>2026-05</t>
        </is>
      </c>
      <c r="J249" t="inlineStr">
        <is>
          <t>PAGADO</t>
        </is>
      </c>
      <c r="K249" t="inlineStr">
        <is>
          <t>50% Sol de $5,644,624 · TC MEP 1448.5 · ya en Gasto Personal Sol</t>
        </is>
      </c>
      <c r="L249" t="inlineStr">
        <is>
          <t>Sol 50%</t>
        </is>
      </c>
    </row>
    <row r="250">
      <c r="A250" t="inlineStr">
        <is>
          <t>AVA Fideicomiso</t>
        </is>
      </c>
      <c r="B250" s="52" t="n">
        <v>46178</v>
      </c>
      <c r="C250" t="inlineStr">
        <is>
          <t>AVA Palpa · cuota 8 · junio 2026</t>
        </is>
      </c>
      <c r="D250" t="inlineStr">
        <is>
          <t>AVA FIDEICOMISO</t>
        </is>
      </c>
      <c r="E250" t="n">
        <v>8</v>
      </c>
      <c r="F250" t="n">
        <v>32</v>
      </c>
      <c r="G250" t="n">
        <v>2925320</v>
      </c>
      <c r="H250" t="inlineStr">
        <is>
          <t>Junio 2026</t>
        </is>
      </c>
      <c r="I250" t="inlineStr">
        <is>
          <t>2026-06</t>
        </is>
      </c>
      <c r="J250" t="inlineStr">
        <is>
          <t>PAGADO</t>
        </is>
      </c>
      <c r="K250" t="inlineStr">
        <is>
          <t>50% Sol de $5,850,639 · TC MEP 1461.4 · ya en Gasto Personal Sol</t>
        </is>
      </c>
      <c r="L250" t="inlineStr">
        <is>
          <t>Sol 50%</t>
        </is>
      </c>
    </row>
    <row r="251">
      <c r="A251" t="inlineStr">
        <is>
          <t>AVA Fideicomiso</t>
        </is>
      </c>
      <c r="B251" s="52" t="n">
        <v>46209</v>
      </c>
      <c r="C251" t="inlineStr">
        <is>
          <t>AVA Palpa · cuota 9 · julio 2026</t>
        </is>
      </c>
      <c r="D251" t="inlineStr">
        <is>
          <t>AVA FIDEICOMISO</t>
        </is>
      </c>
      <c r="E251" t="n">
        <v>9</v>
      </c>
      <c r="F251" t="n">
        <v>32</v>
      </c>
      <c r="G251" t="n">
        <v>3002696</v>
      </c>
      <c r="H251" t="inlineStr">
        <is>
          <t>Julio 2026</t>
        </is>
      </c>
      <c r="I251" t="inlineStr">
        <is>
          <t>2026-07</t>
        </is>
      </c>
      <c r="J251" t="inlineStr">
        <is>
          <t>PAGADO</t>
        </is>
      </c>
      <c r="K251" t="inlineStr">
        <is>
          <t>50% Sol de $6,005,392 · TC MEP 1525.1 · ya en Gasto Personal Sol</t>
        </is>
      </c>
      <c r="L251" t="inlineStr">
        <is>
          <t>Sol 50%</t>
        </is>
      </c>
    </row>
    <row r="252">
      <c r="A252" t="inlineStr">
        <is>
          <t>AVA Fideicomiso</t>
        </is>
      </c>
      <c r="B252" s="52" t="n">
        <v>46269</v>
      </c>
      <c r="C252" t="inlineStr">
        <is>
          <t>AVA Palpa · cuota 10 · septiembre 2026</t>
        </is>
      </c>
      <c r="D252" t="inlineStr">
        <is>
          <t>AVA FIDEICOMISO</t>
        </is>
      </c>
      <c r="E252" t="n">
        <v>10</v>
      </c>
      <c r="F252" t="n">
        <v>32</v>
      </c>
      <c r="G252" t="n">
        <v>3134720</v>
      </c>
      <c r="H252" t="inlineStr">
        <is>
          <t>Septiembre 2026</t>
        </is>
      </c>
      <c r="I252" t="inlineStr">
        <is>
          <t>2026-09</t>
        </is>
      </c>
      <c r="J252" t="inlineStr">
        <is>
          <t>PAGADO</t>
        </is>
      </c>
      <c r="K252" t="inlineStr">
        <is>
          <t>50% Sol de $6,269,440 · TC MEP 1525.39 · ya en Gasto Personal Sol</t>
        </is>
      </c>
      <c r="L252" t="inlineStr">
        <is>
          <t>Sol 50% (TBD)</t>
        </is>
      </c>
    </row>
    <row r="253">
      <c r="A253" t="inlineStr">
        <is>
          <t>AVA Fideicomiso</t>
        </is>
      </c>
      <c r="B253" s="52" t="n">
        <v>46300</v>
      </c>
      <c r="C253" t="inlineStr">
        <is>
          <t>AVA Palpa · cuota 11 · octubre 2026</t>
        </is>
      </c>
      <c r="D253" t="inlineStr">
        <is>
          <t>AVA FIDEICOMISO</t>
        </is>
      </c>
      <c r="E253" t="n">
        <v>11</v>
      </c>
      <c r="F253" t="n">
        <v>32</v>
      </c>
      <c r="G253" t="n">
        <v>3275207</v>
      </c>
      <c r="H253" t="inlineStr">
        <is>
          <t>Octubre 2026</t>
        </is>
      </c>
      <c r="I253" t="inlineStr">
        <is>
          <t>2026-10</t>
        </is>
      </c>
      <c r="J253" t="inlineStr">
        <is>
          <t>PENDIENTE</t>
        </is>
      </c>
      <c r="K253" t="inlineStr">
        <is>
          <t>50% Sol de $6,550,413 · factura Cobranza 24/09 · TC MEP 1549.26 (02/10) · NO pagar duplicado en GPS hasta abonar</t>
        </is>
      </c>
      <c r="L253" t="inlineStr">
        <is>
          <t>Sol 50% (TBD)</t>
        </is>
      </c>
    </row>
    <row r="254">
      <c r="A254" t="inlineStr">
        <is>
          <t>AVA Fideicomiso</t>
        </is>
      </c>
      <c r="B254" s="52" t="n">
        <v>46331</v>
      </c>
      <c r="C254" t="inlineStr">
        <is>
          <t>AVA Palpa · cuota 12 · pendiente factura</t>
        </is>
      </c>
      <c r="D254" t="inlineStr">
        <is>
          <t>AVA FIDEICOMISO</t>
        </is>
      </c>
      <c r="E254" t="n">
        <v>12</v>
      </c>
      <c r="F254" t="n">
        <v>32</v>
      </c>
      <c r="H254" t="inlineStr">
        <is>
          <t>Noviembre 2026</t>
        </is>
      </c>
      <c r="I254" t="inlineStr">
        <is>
          <t>2026-11</t>
        </is>
      </c>
      <c r="J254" t="inlineStr">
        <is>
          <t>PENDIENTE</t>
        </is>
      </c>
      <c r="K254" t="inlineStr">
        <is>
          <t>Compromiso AVA · monto a confirmar · 50% Sol / 50% Chris</t>
        </is>
      </c>
      <c r="L254" t="inlineStr">
        <is>
          <t>Sol 50% (TBD)</t>
        </is>
      </c>
    </row>
    <row r="255">
      <c r="A255" t="inlineStr">
        <is>
          <t>AVA Fideicomiso</t>
        </is>
      </c>
      <c r="B255" s="52" t="n">
        <v>46361</v>
      </c>
      <c r="C255" t="inlineStr">
        <is>
          <t>AVA Palpa · cuota 13 · pendiente factura</t>
        </is>
      </c>
      <c r="D255" t="inlineStr">
        <is>
          <t>AVA FIDEICOMISO</t>
        </is>
      </c>
      <c r="E255" t="n">
        <v>13</v>
      </c>
      <c r="F255" t="n">
        <v>32</v>
      </c>
      <c r="H255" t="inlineStr">
        <is>
          <t>Diciembre 2026</t>
        </is>
      </c>
      <c r="I255" t="inlineStr">
        <is>
          <t>2026-12</t>
        </is>
      </c>
      <c r="J255" t="inlineStr">
        <is>
          <t>PENDIENTE</t>
        </is>
      </c>
      <c r="K255" t="inlineStr">
        <is>
          <t>Compromiso AVA · monto a confirmar · 50% Sol / 50% Chris</t>
        </is>
      </c>
      <c r="L255" t="inlineStr">
        <is>
          <t>Sol 50% (TBD)</t>
        </is>
      </c>
    </row>
    <row r="256">
      <c r="A256" t="inlineStr">
        <is>
          <t>AVA Fideicomiso</t>
        </is>
      </c>
      <c r="B256" s="52" t="n">
        <v>46392</v>
      </c>
      <c r="C256" t="inlineStr">
        <is>
          <t>AVA Palpa · cuota 14 · pendiente factura</t>
        </is>
      </c>
      <c r="D256" t="inlineStr">
        <is>
          <t>AVA FIDEICOMISO</t>
        </is>
      </c>
      <c r="E256" t="n">
        <v>14</v>
      </c>
      <c r="F256" t="n">
        <v>32</v>
      </c>
      <c r="H256" t="inlineStr">
        <is>
          <t>Enero 2027</t>
        </is>
      </c>
      <c r="I256" t="inlineStr">
        <is>
          <t>2027-01</t>
        </is>
      </c>
      <c r="J256" t="inlineStr">
        <is>
          <t>PENDIENTE</t>
        </is>
      </c>
      <c r="K256" t="inlineStr">
        <is>
          <t>Compromiso AVA · monto a confirmar · 50% Sol / 50% Chris</t>
        </is>
      </c>
      <c r="L256" t="inlineStr">
        <is>
          <t>Sol 50% (TBD)</t>
        </is>
      </c>
    </row>
    <row r="257">
      <c r="A257" t="inlineStr">
        <is>
          <t>AVA Fideicomiso</t>
        </is>
      </c>
      <c r="B257" s="52" t="n">
        <v>46423</v>
      </c>
      <c r="C257" t="inlineStr">
        <is>
          <t>AVA Palpa · cuota 15 · pendiente factura</t>
        </is>
      </c>
      <c r="D257" t="inlineStr">
        <is>
          <t>AVA FIDEICOMISO</t>
        </is>
      </c>
      <c r="E257" t="n">
        <v>15</v>
      </c>
      <c r="F257" t="n">
        <v>32</v>
      </c>
      <c r="H257" t="inlineStr">
        <is>
          <t>Febrero 2027</t>
        </is>
      </c>
      <c r="I257" t="inlineStr">
        <is>
          <t>2027-02</t>
        </is>
      </c>
      <c r="J257" t="inlineStr">
        <is>
          <t>PENDIENTE</t>
        </is>
      </c>
      <c r="K257" t="inlineStr">
        <is>
          <t>Compromiso AVA · monto a confirmar · 50% Sol / 50% Chris</t>
        </is>
      </c>
      <c r="L257" t="inlineStr">
        <is>
          <t>Sol 50% (TBD)</t>
        </is>
      </c>
    </row>
    <row r="258">
      <c r="A258" t="inlineStr">
        <is>
          <t>AVA Fideicomiso</t>
        </is>
      </c>
      <c r="B258" s="52" t="n">
        <v>46451</v>
      </c>
      <c r="C258" t="inlineStr">
        <is>
          <t>AVA Palpa · cuota 16 · pendiente factura</t>
        </is>
      </c>
      <c r="D258" t="inlineStr">
        <is>
          <t>AVA FIDEICOMISO</t>
        </is>
      </c>
      <c r="E258" t="n">
        <v>16</v>
      </c>
      <c r="F258" t="n">
        <v>32</v>
      </c>
      <c r="H258" t="inlineStr">
        <is>
          <t>Marzo 2027</t>
        </is>
      </c>
      <c r="I258" t="inlineStr">
        <is>
          <t>2027-03</t>
        </is>
      </c>
      <c r="J258" t="inlineStr">
        <is>
          <t>PENDIENTE</t>
        </is>
      </c>
      <c r="K258" t="inlineStr">
        <is>
          <t>Compromiso AVA · monto a confirmar · 50% Sol / 50% Chris</t>
        </is>
      </c>
      <c r="L258" t="inlineStr">
        <is>
          <t>Sol 50% (TBD)</t>
        </is>
      </c>
    </row>
    <row r="259">
      <c r="A259" t="inlineStr">
        <is>
          <t>AVA Fideicomiso</t>
        </is>
      </c>
      <c r="B259" s="52" t="n">
        <v>46482</v>
      </c>
      <c r="C259" t="inlineStr">
        <is>
          <t>AVA Palpa · cuota 17 · pendiente factura</t>
        </is>
      </c>
      <c r="D259" t="inlineStr">
        <is>
          <t>AVA FIDEICOMISO</t>
        </is>
      </c>
      <c r="E259" t="n">
        <v>17</v>
      </c>
      <c r="F259" t="n">
        <v>32</v>
      </c>
      <c r="H259" t="inlineStr">
        <is>
          <t>Abril 2027</t>
        </is>
      </c>
      <c r="I259" t="inlineStr">
        <is>
          <t>2027-04</t>
        </is>
      </c>
      <c r="J259" t="inlineStr">
        <is>
          <t>PENDIENTE</t>
        </is>
      </c>
      <c r="K259" t="inlineStr">
        <is>
          <t>Compromiso AVA · monto a confirmar · 50% Sol / 50% Chris</t>
        </is>
      </c>
      <c r="L259" t="inlineStr">
        <is>
          <t>Sol 50% (TBD)</t>
        </is>
      </c>
    </row>
    <row r="260">
      <c r="A260" t="inlineStr">
        <is>
          <t>AVA Fideicomiso</t>
        </is>
      </c>
      <c r="B260" s="52" t="n">
        <v>46512</v>
      </c>
      <c r="C260" t="inlineStr">
        <is>
          <t>AVA Palpa · cuota 18 · pendiente factura</t>
        </is>
      </c>
      <c r="D260" t="inlineStr">
        <is>
          <t>AVA FIDEICOMISO</t>
        </is>
      </c>
      <c r="E260" t="n">
        <v>18</v>
      </c>
      <c r="F260" t="n">
        <v>32</v>
      </c>
      <c r="H260" t="inlineStr">
        <is>
          <t>Mayo 2027</t>
        </is>
      </c>
      <c r="I260" t="inlineStr">
        <is>
          <t>2027-05</t>
        </is>
      </c>
      <c r="J260" t="inlineStr">
        <is>
          <t>PENDIENTE</t>
        </is>
      </c>
      <c r="K260" t="inlineStr">
        <is>
          <t>Compromiso AVA · monto a confirmar · 50% Sol / 50% Chris</t>
        </is>
      </c>
      <c r="L260" t="inlineStr">
        <is>
          <t>Sol 50% (TBD)</t>
        </is>
      </c>
    </row>
    <row r="261">
      <c r="A261" t="inlineStr">
        <is>
          <t>AVA Fideicomiso</t>
        </is>
      </c>
      <c r="B261" s="52" t="n">
        <v>46543</v>
      </c>
      <c r="C261" t="inlineStr">
        <is>
          <t>AVA Palpa · cuota 19 · pendiente factura</t>
        </is>
      </c>
      <c r="D261" t="inlineStr">
        <is>
          <t>AVA FIDEICOMISO</t>
        </is>
      </c>
      <c r="E261" t="n">
        <v>19</v>
      </c>
      <c r="F261" t="n">
        <v>32</v>
      </c>
      <c r="H261" t="inlineStr">
        <is>
          <t>Junio 2027</t>
        </is>
      </c>
      <c r="I261" t="inlineStr">
        <is>
          <t>2027-06</t>
        </is>
      </c>
      <c r="J261" t="inlineStr">
        <is>
          <t>PENDIENTE</t>
        </is>
      </c>
      <c r="K261" t="inlineStr">
        <is>
          <t>Compromiso AVA · monto a confirmar · 50% Sol / 50% Chris</t>
        </is>
      </c>
      <c r="L261" t="inlineStr">
        <is>
          <t>Sol 50% (TBD)</t>
        </is>
      </c>
    </row>
    <row r="262">
      <c r="A262" t="inlineStr">
        <is>
          <t>AVA Fideicomiso</t>
        </is>
      </c>
      <c r="B262" s="52" t="n">
        <v>46573</v>
      </c>
      <c r="C262" t="inlineStr">
        <is>
          <t>AVA Palpa · cuota 20 · pendiente factura</t>
        </is>
      </c>
      <c r="D262" t="inlineStr">
        <is>
          <t>AVA FIDEICOMISO</t>
        </is>
      </c>
      <c r="E262" t="n">
        <v>20</v>
      </c>
      <c r="F262" t="n">
        <v>32</v>
      </c>
      <c r="H262" t="inlineStr">
        <is>
          <t>Julio 2027</t>
        </is>
      </c>
      <c r="I262" t="inlineStr">
        <is>
          <t>2027-07</t>
        </is>
      </c>
      <c r="J262" t="inlineStr">
        <is>
          <t>PENDIENTE</t>
        </is>
      </c>
      <c r="K262" t="inlineStr">
        <is>
          <t>Compromiso AVA · monto a confirmar · 50% Sol / 50% Chris</t>
        </is>
      </c>
      <c r="L262" t="inlineStr">
        <is>
          <t>Sol 50% (TBD)</t>
        </is>
      </c>
    </row>
    <row r="263">
      <c r="A263" t="inlineStr">
        <is>
          <t>AVA Fideicomiso</t>
        </is>
      </c>
      <c r="B263" s="52" t="n">
        <v>46604</v>
      </c>
      <c r="C263" t="inlineStr">
        <is>
          <t>AVA Palpa · cuota 21 · pendiente factura</t>
        </is>
      </c>
      <c r="D263" t="inlineStr">
        <is>
          <t>AVA FIDEICOMISO</t>
        </is>
      </c>
      <c r="E263" t="n">
        <v>21</v>
      </c>
      <c r="F263" t="n">
        <v>32</v>
      </c>
      <c r="H263" t="inlineStr">
        <is>
          <t>Agosto 2027</t>
        </is>
      </c>
      <c r="I263" t="inlineStr">
        <is>
          <t>2027-08</t>
        </is>
      </c>
      <c r="J263" t="inlineStr">
        <is>
          <t>PENDIENTE</t>
        </is>
      </c>
      <c r="K263" t="inlineStr">
        <is>
          <t>Compromiso AVA · monto a confirmar · 50% Sol / 50% Chris</t>
        </is>
      </c>
      <c r="L263" t="inlineStr">
        <is>
          <t>Sol 50% (TBD)</t>
        </is>
      </c>
    </row>
    <row r="264">
      <c r="A264" t="inlineStr">
        <is>
          <t>AVA Fideicomiso</t>
        </is>
      </c>
      <c r="B264" s="52" t="n">
        <v>46635</v>
      </c>
      <c r="C264" t="inlineStr">
        <is>
          <t>AVA Palpa · cuota 22 · pendiente factura</t>
        </is>
      </c>
      <c r="D264" t="inlineStr">
        <is>
          <t>AVA FIDEICOMISO</t>
        </is>
      </c>
      <c r="E264" t="n">
        <v>22</v>
      </c>
      <c r="F264" t="n">
        <v>32</v>
      </c>
      <c r="H264" t="inlineStr">
        <is>
          <t>Septiembre 2027</t>
        </is>
      </c>
      <c r="I264" t="inlineStr">
        <is>
          <t>2027-09</t>
        </is>
      </c>
      <c r="J264" t="inlineStr">
        <is>
          <t>PENDIENTE</t>
        </is>
      </c>
      <c r="K264" t="inlineStr">
        <is>
          <t>Compromiso AVA · monto a confirmar · 50% Sol / 50% Chris</t>
        </is>
      </c>
      <c r="L264" t="inlineStr">
        <is>
          <t>Sol 50% (TBD)</t>
        </is>
      </c>
    </row>
    <row r="265">
      <c r="A265" t="inlineStr">
        <is>
          <t>AVA Fideicomiso</t>
        </is>
      </c>
      <c r="B265" s="52" t="n">
        <v>46665</v>
      </c>
      <c r="C265" t="inlineStr">
        <is>
          <t>AVA Palpa · cuota 23 · pendiente factura</t>
        </is>
      </c>
      <c r="D265" t="inlineStr">
        <is>
          <t>AVA FIDEICOMISO</t>
        </is>
      </c>
      <c r="E265" t="n">
        <v>23</v>
      </c>
      <c r="F265" t="n">
        <v>32</v>
      </c>
      <c r="H265" t="inlineStr">
        <is>
          <t>Octubre 2027</t>
        </is>
      </c>
      <c r="I265" t="inlineStr">
        <is>
          <t>2027-10</t>
        </is>
      </c>
      <c r="J265" t="inlineStr">
        <is>
          <t>PENDIENTE</t>
        </is>
      </c>
      <c r="K265" t="inlineStr">
        <is>
          <t>Compromiso AVA · monto a confirmar · 50% Sol / 50% Chris</t>
        </is>
      </c>
      <c r="L265" t="inlineStr">
        <is>
          <t>Sol 50% (TBD)</t>
        </is>
      </c>
    </row>
    <row r="266">
      <c r="A266" t="inlineStr">
        <is>
          <t>AVA Fideicomiso</t>
        </is>
      </c>
      <c r="B266" s="52" t="n">
        <v>46696</v>
      </c>
      <c r="C266" t="inlineStr">
        <is>
          <t>AVA Palpa · cuota 24 · pendiente factura</t>
        </is>
      </c>
      <c r="D266" t="inlineStr">
        <is>
          <t>AVA FIDEICOMISO</t>
        </is>
      </c>
      <c r="E266" t="n">
        <v>24</v>
      </c>
      <c r="F266" t="n">
        <v>32</v>
      </c>
      <c r="H266" t="inlineStr">
        <is>
          <t>Noviembre 2027</t>
        </is>
      </c>
      <c r="I266" t="inlineStr">
        <is>
          <t>2027-11</t>
        </is>
      </c>
      <c r="J266" t="inlineStr">
        <is>
          <t>PENDIENTE</t>
        </is>
      </c>
      <c r="K266" t="inlineStr">
        <is>
          <t>Compromiso AVA · monto a confirmar · 50% Sol / 50% Chris</t>
        </is>
      </c>
      <c r="L266" t="inlineStr">
        <is>
          <t>Sol 50% (TBD)</t>
        </is>
      </c>
    </row>
    <row r="267">
      <c r="A267" t="inlineStr">
        <is>
          <t>AVA Fideicomiso</t>
        </is>
      </c>
      <c r="B267" s="52" t="n">
        <v>46726</v>
      </c>
      <c r="C267" t="inlineStr">
        <is>
          <t>AVA Palpa · cuota 25 · pendiente factura</t>
        </is>
      </c>
      <c r="D267" t="inlineStr">
        <is>
          <t>AVA FIDEICOMISO</t>
        </is>
      </c>
      <c r="E267" t="n">
        <v>25</v>
      </c>
      <c r="F267" t="n">
        <v>32</v>
      </c>
      <c r="H267" t="inlineStr">
        <is>
          <t>Diciembre 2027</t>
        </is>
      </c>
      <c r="I267" t="inlineStr">
        <is>
          <t>2027-12</t>
        </is>
      </c>
      <c r="J267" t="inlineStr">
        <is>
          <t>PENDIENTE</t>
        </is>
      </c>
      <c r="K267" t="inlineStr">
        <is>
          <t>Compromiso AVA · monto a confirmar · 50% Sol / 50% Chris</t>
        </is>
      </c>
      <c r="L267" t="inlineStr">
        <is>
          <t>Sol 50% (TBD)</t>
        </is>
      </c>
    </row>
    <row r="268">
      <c r="A268" t="inlineStr">
        <is>
          <t>AVA Fideicomiso</t>
        </is>
      </c>
      <c r="B268" s="52" t="n">
        <v>46757</v>
      </c>
      <c r="C268" t="inlineStr">
        <is>
          <t>AVA Palpa · cuota 26 · pendiente factura</t>
        </is>
      </c>
      <c r="D268" t="inlineStr">
        <is>
          <t>AVA FIDEICOMISO</t>
        </is>
      </c>
      <c r="E268" t="n">
        <v>26</v>
      </c>
      <c r="F268" t="n">
        <v>32</v>
      </c>
      <c r="H268" t="inlineStr">
        <is>
          <t>Enero 2028</t>
        </is>
      </c>
      <c r="I268" t="inlineStr">
        <is>
          <t>2028-01</t>
        </is>
      </c>
      <c r="J268" t="inlineStr">
        <is>
          <t>PENDIENTE</t>
        </is>
      </c>
      <c r="K268" t="inlineStr">
        <is>
          <t>Compromiso AVA · monto a confirmar · 50% Sol / 50% Chris</t>
        </is>
      </c>
      <c r="L268" t="inlineStr">
        <is>
          <t>Sol 50% (TBD)</t>
        </is>
      </c>
    </row>
    <row r="269">
      <c r="A269" t="inlineStr">
        <is>
          <t>AVA Fideicomiso</t>
        </is>
      </c>
      <c r="B269" s="52" t="n">
        <v>46788</v>
      </c>
      <c r="C269" t="inlineStr">
        <is>
          <t>AVA Palpa · cuota 27 · pendiente factura</t>
        </is>
      </c>
      <c r="D269" t="inlineStr">
        <is>
          <t>AVA FIDEICOMISO</t>
        </is>
      </c>
      <c r="E269" t="n">
        <v>27</v>
      </c>
      <c r="F269" t="n">
        <v>32</v>
      </c>
      <c r="H269" t="inlineStr">
        <is>
          <t>Febrero 2028</t>
        </is>
      </c>
      <c r="I269" t="inlineStr">
        <is>
          <t>2028-02</t>
        </is>
      </c>
      <c r="J269" t="inlineStr">
        <is>
          <t>PENDIENTE</t>
        </is>
      </c>
      <c r="K269" t="inlineStr">
        <is>
          <t>Compromiso AVA · monto a confirmar · 50% Sol / 50% Chris</t>
        </is>
      </c>
      <c r="L269" t="inlineStr">
        <is>
          <t>Sol 50% (TBD)</t>
        </is>
      </c>
    </row>
    <row r="270">
      <c r="A270" t="inlineStr">
        <is>
          <t>AVA Fideicomiso</t>
        </is>
      </c>
      <c r="B270" s="52" t="n">
        <v>46817</v>
      </c>
      <c r="C270" t="inlineStr">
        <is>
          <t>AVA Palpa · cuota 28 · pendiente factura</t>
        </is>
      </c>
      <c r="D270" t="inlineStr">
        <is>
          <t>AVA FIDEICOMISO</t>
        </is>
      </c>
      <c r="E270" t="n">
        <v>28</v>
      </c>
      <c r="F270" t="n">
        <v>32</v>
      </c>
      <c r="H270" t="inlineStr">
        <is>
          <t>Marzo 2028</t>
        </is>
      </c>
      <c r="I270" t="inlineStr">
        <is>
          <t>2028-03</t>
        </is>
      </c>
      <c r="J270" t="inlineStr">
        <is>
          <t>PENDIENTE</t>
        </is>
      </c>
      <c r="K270" t="inlineStr">
        <is>
          <t>Compromiso AVA · monto a confirmar · 50% Sol / 50% Chris</t>
        </is>
      </c>
      <c r="L270" t="inlineStr">
        <is>
          <t>Sol 50% (TBD)</t>
        </is>
      </c>
    </row>
    <row r="271">
      <c r="A271" t="inlineStr">
        <is>
          <t>AVA Fideicomiso</t>
        </is>
      </c>
      <c r="B271" s="52" t="n">
        <v>46848</v>
      </c>
      <c r="C271" t="inlineStr">
        <is>
          <t>AVA Palpa · cuota 29 · pendiente factura</t>
        </is>
      </c>
      <c r="D271" t="inlineStr">
        <is>
          <t>AVA FIDEICOMISO</t>
        </is>
      </c>
      <c r="E271" t="n">
        <v>29</v>
      </c>
      <c r="F271" t="n">
        <v>32</v>
      </c>
      <c r="H271" t="inlineStr">
        <is>
          <t>Abril 2028</t>
        </is>
      </c>
      <c r="I271" t="inlineStr">
        <is>
          <t>2028-04</t>
        </is>
      </c>
      <c r="J271" t="inlineStr">
        <is>
          <t>PENDIENTE</t>
        </is>
      </c>
      <c r="K271" t="inlineStr">
        <is>
          <t>Compromiso AVA · monto a confirmar · 50% Sol / 50% Chris</t>
        </is>
      </c>
      <c r="L271" t="inlineStr">
        <is>
          <t>Sol 50% (TBD)</t>
        </is>
      </c>
    </row>
    <row r="272">
      <c r="A272" t="inlineStr">
        <is>
          <t>AVA Fideicomiso</t>
        </is>
      </c>
      <c r="B272" s="52" t="n">
        <v>46878</v>
      </c>
      <c r="C272" t="inlineStr">
        <is>
          <t>AVA Palpa · cuota 30 · pendiente factura</t>
        </is>
      </c>
      <c r="D272" t="inlineStr">
        <is>
          <t>AVA FIDEICOMISO</t>
        </is>
      </c>
      <c r="E272" t="n">
        <v>30</v>
      </c>
      <c r="F272" t="n">
        <v>32</v>
      </c>
      <c r="H272" t="inlineStr">
        <is>
          <t>Mayo 2028</t>
        </is>
      </c>
      <c r="I272" t="inlineStr">
        <is>
          <t>2028-05</t>
        </is>
      </c>
      <c r="J272" t="inlineStr">
        <is>
          <t>PENDIENTE</t>
        </is>
      </c>
      <c r="K272" t="inlineStr">
        <is>
          <t>Compromiso AVA · monto a confirmar · 50% Sol / 50% Chris</t>
        </is>
      </c>
      <c r="L272" t="inlineStr">
        <is>
          <t>Sol 50% (TBD)</t>
        </is>
      </c>
    </row>
    <row r="273">
      <c r="A273" t="inlineStr">
        <is>
          <t>AVA Fideicomiso</t>
        </is>
      </c>
      <c r="B273" s="52" t="n">
        <v>46909</v>
      </c>
      <c r="C273" t="inlineStr">
        <is>
          <t>AVA Palpa · cuota 31 · pendiente factura</t>
        </is>
      </c>
      <c r="D273" t="inlineStr">
        <is>
          <t>AVA FIDEICOMISO</t>
        </is>
      </c>
      <c r="E273" t="n">
        <v>31</v>
      </c>
      <c r="F273" t="n">
        <v>32</v>
      </c>
      <c r="H273" t="inlineStr">
        <is>
          <t>Junio 2028</t>
        </is>
      </c>
      <c r="I273" t="inlineStr">
        <is>
          <t>2028-06</t>
        </is>
      </c>
      <c r="J273" t="inlineStr">
        <is>
          <t>PENDIENTE</t>
        </is>
      </c>
      <c r="K273" t="inlineStr">
        <is>
          <t>Compromiso AVA · monto a confirmar · 50% Sol / 50% Chris</t>
        </is>
      </c>
      <c r="L273" t="inlineStr">
        <is>
          <t>Sol 50% (TBD)</t>
        </is>
      </c>
    </row>
    <row r="274">
      <c r="A274" t="inlineStr">
        <is>
          <t>AVA Fideicomiso</t>
        </is>
      </c>
      <c r="B274" s="52" t="n">
        <v>46939</v>
      </c>
      <c r="C274" t="inlineStr">
        <is>
          <t>AVA Palpa · cuota 32 · pendiente factura</t>
        </is>
      </c>
      <c r="D274" t="inlineStr">
        <is>
          <t>AVA FIDEICOMISO</t>
        </is>
      </c>
      <c r="E274" t="n">
        <v>32</v>
      </c>
      <c r="F274" t="n">
        <v>32</v>
      </c>
      <c r="H274" t="inlineStr">
        <is>
          <t>Julio 2028</t>
        </is>
      </c>
      <c r="I274" t="inlineStr">
        <is>
          <t>2028-07</t>
        </is>
      </c>
      <c r="J274" t="inlineStr">
        <is>
          <t>PENDIENTE</t>
        </is>
      </c>
      <c r="K274" t="inlineStr">
        <is>
          <t>Compromiso AVA · monto a confirmar · 50% Sol / 50% Chris</t>
        </is>
      </c>
      <c r="L274" t="inlineStr">
        <is>
          <t>Sol 50% (TBD)</t>
        </is>
      </c>
    </row>
    <row r="276">
      <c r="A276" s="61" t="inlineStr">
        <is>
          <t>RESUMEN DE COMPROMISOS</t>
        </is>
      </c>
    </row>
    <row r="277">
      <c r="A277" t="inlineStr">
        <is>
          <t>BBVA PAGADO</t>
        </is>
      </c>
      <c r="B277" t="n">
        <v>149</v>
      </c>
      <c r="C277" t="n">
        <v>9246803</v>
      </c>
    </row>
    <row r="278">
      <c r="A278" t="inlineStr">
        <is>
          <t>BBVA PENDIENTE a pagar</t>
        </is>
      </c>
      <c r="B278" t="n">
        <v>92</v>
      </c>
      <c r="C278" t="n">
        <v>9156618</v>
      </c>
    </row>
    <row r="279">
      <c r="A279" t="inlineStr">
        <is>
          <t>AVA Fideicomiso PAGADO (50% Sol)</t>
        </is>
      </c>
      <c r="B279" t="n">
        <v>10</v>
      </c>
      <c r="C279" t="n">
        <v>27859451</v>
      </c>
    </row>
    <row r="280">
      <c r="A280" t="inlineStr">
        <is>
          <t>AVA Fideicomiso PENDIENTE (cuotas futuras)</t>
        </is>
      </c>
      <c r="B280" t="n">
        <v>22</v>
      </c>
      <c r="C280" t="n">
        <v>3275207</v>
      </c>
    </row>
    <row r="281">
      <c r="A281" t="inlineStr">
        <is>
          <t>COMPROMISO NUMÉRICO ACTUAL (BBVA pendiente con monto)</t>
        </is>
      </c>
      <c r="B281" t="n">
        <v>92</v>
      </c>
      <c r="C281" t="n">
        <v>9156618</v>
      </c>
    </row>
    <row r="282">
      <c r="A282" t="inlineStr">
        <is>
          <t>Notas: AVA 50% Sol PAGADO ya está en Gasto Personal Sol (no duplicar). Cuota 11 factura conocida $6,550,413 (50% Sol $3,275,207) PENDIENTE de pago · vto 05/10/2026. Resúmenes oficiales prevalecen sobre texto de chat.</t>
        </is>
      </c>
    </row>
  </sheetData>
  <mergeCells count="1">
    <mergeCell ref="A282:H28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34"/>
  <sheetViews>
    <sheetView showGridLines="0" workbookViewId="0">
      <pane ySplit="7" topLeftCell="A8" activePane="bottomLeft" state="frozen"/>
      <selection pane="bottomLeft" activeCell="A1" sqref="A1"/>
    </sheetView>
  </sheetViews>
  <sheetFormatPr baseColWidth="8" defaultRowHeight="15"/>
  <cols>
    <col width="14" customWidth="1" min="1" max="1"/>
    <col width="22" customWidth="1" min="2" max="2"/>
    <col width="28" customWidth="1" min="3" max="3"/>
    <col width="28" customWidth="1" min="4" max="4"/>
    <col width="12" customWidth="1" min="5" max="5"/>
    <col width="12" customWidth="1" min="6" max="6"/>
    <col width="28" customWidth="1" min="7" max="7"/>
    <col width="12" customWidth="1" min="8" max="8"/>
    <col width="55" customWidth="1" min="9" max="9"/>
  </cols>
  <sheetData>
    <row r="1" ht="22" customHeight="1">
      <c r="A1" s="64" t="inlineStr">
        <is>
          <t>Sol Dollar Mdp</t>
        </is>
      </c>
    </row>
    <row r="2" ht="36" customHeight="1">
      <c r="A2" s="2" t="inlineStr">
        <is>
          <t>Stock de dólares de Sol. Las compras de dólar con BBVA Mastercard NO son gasto (no van a Gasto Personal Sol ni a la matriz 2026). Consumos USD de MC tampoco se imputan como gasto ARS. Percepciones USD (RG 5617 / IVA / IIBB) sí siguen en GPS.</t>
        </is>
      </c>
    </row>
    <row r="4">
      <c r="A4" s="11" t="inlineStr">
        <is>
          <t>Saldo USD a la fecha</t>
        </is>
      </c>
      <c r="B4" s="54" t="n">
        <v>46295</v>
      </c>
      <c r="C4" s="65" t="n">
        <v>1.68</v>
      </c>
      <c r="D4" t="inlineStr">
        <is>
          <t>USD</t>
        </is>
      </c>
      <c r="E4" t="inlineStr">
        <is>
          <t>Resumen oficial tenencias USD MP · saldo final 1–30 sep = US$ 1,68 (detalle de movimientos del PDF cierra en 2002,21 → ajuste REVISAR)</t>
        </is>
      </c>
    </row>
    <row r="6">
      <c r="A6" s="59" t="inlineStr">
        <is>
          <t>Detalle de movimientos</t>
        </is>
      </c>
    </row>
    <row r="7" ht="30" customHeight="1">
      <c r="A7" s="66" t="inlineStr">
        <is>
          <t>Fecha</t>
        </is>
      </c>
      <c r="B7" s="66" t="inlineStr">
        <is>
          <t>Tipo</t>
        </is>
      </c>
      <c r="C7" s="66" t="inlineStr">
        <is>
          <t>Origen</t>
        </is>
      </c>
      <c r="D7" s="66" t="inlineStr">
        <is>
          <t>Descripción</t>
        </is>
      </c>
      <c r="E7" s="66" t="inlineStr">
        <is>
          <t>USD</t>
        </is>
      </c>
      <c r="F7" s="66" t="inlineStr">
        <is>
          <t>TC MEP</t>
        </is>
      </c>
      <c r="G7" s="66" t="inlineStr">
        <is>
          <t>ARS informativo (no es gasto)</t>
        </is>
      </c>
      <c r="H7" s="66" t="inlineStr">
        <is>
          <t>Saldo USD</t>
        </is>
      </c>
      <c r="I7" s="66" t="inlineStr">
        <is>
          <t>Comentario</t>
        </is>
      </c>
    </row>
    <row r="8">
      <c r="A8" s="67" t="n">
        <v>46266</v>
      </c>
      <c r="B8" s="68" t="inlineStr">
        <is>
          <t>Saldo inicial</t>
        </is>
      </c>
      <c r="C8" s="68" t="inlineStr">
        <is>
          <t>Tenencias MP</t>
        </is>
      </c>
      <c r="D8" s="68" t="inlineStr">
        <is>
          <t>Stock USD inicio septiembre</t>
        </is>
      </c>
      <c r="E8" s="69" t="n">
        <v>3159.41</v>
      </c>
      <c r="F8" s="68" t="n"/>
      <c r="G8" s="68" t="n"/>
      <c r="H8" s="69" t="n">
        <v>3159.41</v>
      </c>
      <c r="I8" s="68" t="inlineStr">
        <is>
          <t>Saldo inicial oficial tenencias USD</t>
        </is>
      </c>
    </row>
    <row r="9">
      <c r="A9" s="52" t="n">
        <v>46266</v>
      </c>
      <c r="B9" t="inlineStr">
        <is>
          <t>Rendimiento</t>
        </is>
      </c>
      <c r="C9" t="inlineStr">
        <is>
          <t>Mercado Pago</t>
        </is>
      </c>
      <c r="D9" t="inlineStr">
        <is>
          <t>Rendimientos USD</t>
        </is>
      </c>
      <c r="E9" t="n">
        <v>0.06</v>
      </c>
      <c r="H9" t="n">
        <v>3159.47</v>
      </c>
      <c r="I9" t="inlineStr">
        <is>
          <t>Tenencias USD · resumen oficial cuenta MP 1–30 sep 2026</t>
        </is>
      </c>
    </row>
    <row r="10">
      <c r="A10" s="52" t="n">
        <v>46266</v>
      </c>
      <c r="B10" t="inlineStr">
        <is>
          <t>Venta</t>
        </is>
      </c>
      <c r="C10" t="inlineStr">
        <is>
          <t>Mercado Pago</t>
        </is>
      </c>
      <c r="D10" t="inlineStr">
        <is>
          <t>Venta de dólar MEP</t>
        </is>
      </c>
      <c r="E10" t="n">
        <v>-1135.23</v>
      </c>
      <c r="F10" t="n">
        <v>1511.25</v>
      </c>
      <c r="G10" t="n">
        <v>1715612</v>
      </c>
      <c r="H10" t="n">
        <v>2024.24</v>
      </c>
      <c r="I10" t="inlineStr">
        <is>
          <t>Venta MEP · US$ -1.135,23 · ARS ceil 1.715.611,40 · resumen oficial cuenta MP 1–30 sep 2026</t>
        </is>
      </c>
    </row>
    <row r="11">
      <c r="A11" s="52" t="n">
        <v>46272</v>
      </c>
      <c r="B11" t="inlineStr">
        <is>
          <t>Entrada</t>
        </is>
      </c>
      <c r="C11" t="inlineStr">
        <is>
          <t>Mercado Pago</t>
        </is>
      </c>
      <c r="D11" t="inlineStr">
        <is>
          <t>Dinero retirado Gastos (USD)</t>
        </is>
      </c>
      <c r="E11" t="n">
        <v>2001.2</v>
      </c>
      <c r="H11" t="n">
        <v>4025.44</v>
      </c>
      <c r="I11" t="inlineStr">
        <is>
          <t>Dinero retirado Gastos US$ 2.001,20 · resumen oficial cuenta MP 1–30 sep 2026</t>
        </is>
      </c>
    </row>
    <row r="12">
      <c r="A12" s="52" t="n">
        <v>46273</v>
      </c>
      <c r="B12" t="inlineStr">
        <is>
          <t>Rendimiento</t>
        </is>
      </c>
      <c r="C12" t="inlineStr">
        <is>
          <t>Mercado Pago</t>
        </is>
      </c>
      <c r="D12" t="inlineStr">
        <is>
          <t>Rendimientos USD</t>
        </is>
      </c>
      <c r="E12" t="n">
        <v>0.1</v>
      </c>
      <c r="H12" t="n">
        <v>4025.54</v>
      </c>
      <c r="I12" t="inlineStr">
        <is>
          <t>Tenencias USD · resumen oficial cuenta MP 1–30 sep 2026</t>
        </is>
      </c>
    </row>
    <row r="13">
      <c r="A13" s="52" t="n">
        <v>46274</v>
      </c>
      <c r="B13" t="inlineStr">
        <is>
          <t>Rendimiento</t>
        </is>
      </c>
      <c r="C13" t="inlineStr">
        <is>
          <t>Mercado Pago</t>
        </is>
      </c>
      <c r="D13" t="inlineStr">
        <is>
          <t>Rendimientos USD</t>
        </is>
      </c>
      <c r="E13" t="n">
        <v>0.1</v>
      </c>
      <c r="H13" t="n">
        <v>4025.64</v>
      </c>
      <c r="I13" t="inlineStr">
        <is>
          <t>Tenencias USD · resumen oficial cuenta MP 1–30 sep 2026</t>
        </is>
      </c>
    </row>
    <row r="14">
      <c r="A14" s="52" t="n">
        <v>46275</v>
      </c>
      <c r="B14" t="inlineStr">
        <is>
          <t>Rendimiento</t>
        </is>
      </c>
      <c r="C14" t="inlineStr">
        <is>
          <t>Mercado Pago</t>
        </is>
      </c>
      <c r="D14" t="inlineStr">
        <is>
          <t>Rendimientos USD</t>
        </is>
      </c>
      <c r="E14" t="n">
        <v>0.1</v>
      </c>
      <c r="H14" t="n">
        <v>4025.74</v>
      </c>
      <c r="I14" t="inlineStr">
        <is>
          <t>Tenencias USD · resumen oficial cuenta MP 1–30 sep 2026</t>
        </is>
      </c>
    </row>
    <row r="15">
      <c r="A15" s="52" t="n">
        <v>46275</v>
      </c>
      <c r="B15" t="inlineStr">
        <is>
          <t>Venta</t>
        </is>
      </c>
      <c r="C15" t="inlineStr">
        <is>
          <t>Mercado Pago</t>
        </is>
      </c>
      <c r="D15" t="inlineStr">
        <is>
          <t>Venta de dólar MEP</t>
        </is>
      </c>
      <c r="E15" t="n">
        <v>-1984.17</v>
      </c>
      <c r="F15" t="n">
        <v>1506.78</v>
      </c>
      <c r="G15" t="n">
        <v>2989714</v>
      </c>
      <c r="H15" t="n">
        <v>2041.57</v>
      </c>
      <c r="I15" t="inlineStr">
        <is>
          <t>Venta MEP · US$ -1.984,17 · ARS ceil 2.989.713,19 · resumen oficial cuenta MP 1–30 sep 2026</t>
        </is>
      </c>
    </row>
    <row r="16">
      <c r="A16" s="52" t="n">
        <v>46280</v>
      </c>
      <c r="B16" t="inlineStr">
        <is>
          <t>Rendimiento</t>
        </is>
      </c>
      <c r="C16" t="inlineStr">
        <is>
          <t>Mercado Pago</t>
        </is>
      </c>
      <c r="D16" t="inlineStr">
        <is>
          <t>Rendimientos USD</t>
        </is>
      </c>
      <c r="E16" t="n">
        <v>0.01</v>
      </c>
      <c r="H16" t="n">
        <v>2041.58</v>
      </c>
      <c r="I16" t="inlineStr">
        <is>
          <t>Tenencias USD · resumen oficial cuenta MP 1–30 sep 2026</t>
        </is>
      </c>
    </row>
    <row r="17">
      <c r="A17" s="52" t="n">
        <v>46280</v>
      </c>
      <c r="B17" t="inlineStr">
        <is>
          <t>Venta</t>
        </is>
      </c>
      <c r="C17" t="inlineStr">
        <is>
          <t>Mercado Pago</t>
        </is>
      </c>
      <c r="D17" t="inlineStr">
        <is>
          <t>Venta de dólar MEP</t>
        </is>
      </c>
      <c r="E17" t="n">
        <v>-39.37</v>
      </c>
      <c r="F17" t="n">
        <v>1507.08</v>
      </c>
      <c r="G17" t="n">
        <v>59334</v>
      </c>
      <c r="H17" t="n">
        <v>2002.21</v>
      </c>
      <c r="I17" t="inlineStr">
        <is>
          <t>Venta MEP · US$ -39,37 · ARS ceil 59.333,83 · resumen oficial cuenta MP 1–30 sep 2026</t>
        </is>
      </c>
    </row>
    <row r="18">
      <c r="A18" s="52" t="n">
        <v>46295</v>
      </c>
      <c r="B18" t="inlineStr">
        <is>
          <t>Ajuste</t>
        </is>
      </c>
      <c r="C18" t="inlineStr">
        <is>
          <t>Tenencias MP</t>
        </is>
      </c>
      <c r="D18" t="inlineStr">
        <is>
          <t>Ajuste a saldo final oficial</t>
        </is>
      </c>
      <c r="E18" t="n">
        <v>-2000.53</v>
      </c>
      <c r="H18" t="n">
        <v>1.68</v>
      </c>
      <c r="I18" t="inlineStr">
        <is>
          <t>REVISAR · detalle PDF termina en US$ 2002,21 pero saldo final del resumen = US$ 1,68 · resumen oficial cuenta MP 1–30 sep 2026</t>
        </is>
      </c>
    </row>
    <row r="20">
      <c r="A20" s="2" t="inlineStr">
        <is>
          <t>Consumos USD Mastercard excluidos de GPS (no mueven el stock; stock = US$ 1,68 al 30/09)</t>
        </is>
      </c>
    </row>
    <row r="21">
      <c r="A21" s="70" t="inlineStr">
        <is>
          <t>Fecha GPS</t>
        </is>
      </c>
      <c r="B21" s="70" t="inlineStr">
        <is>
          <t>Concepto</t>
        </is>
      </c>
      <c r="C21" s="70" t="inlineStr">
        <is>
          <t>USD / nota</t>
        </is>
      </c>
      <c r="D21" s="70" t="inlineStr">
        <is>
          <t>ARS que se sacó de GPS</t>
        </is>
      </c>
      <c r="E21" s="70" t="inlineStr">
        <is>
          <t>Medio</t>
        </is>
      </c>
    </row>
    <row r="22">
      <c r="A22" s="71" t="n">
        <v>46183</v>
      </c>
      <c r="B22" s="72" t="inlineStr">
        <is>
          <t>ROPA</t>
        </is>
      </c>
      <c r="C22" s="72" t="inlineStr">
        <is>
          <t>ROPA · gasto personal Sol · monto en USD (no convertido a AR</t>
        </is>
      </c>
      <c r="D22" s="72" t="n"/>
      <c r="E22" s="72" t="inlineStr">
        <is>
          <t>BBVA Mastercard · USD 3.807,01 (EUR 3.250)</t>
        </is>
      </c>
    </row>
    <row r="23">
      <c r="A23" s="71" t="n">
        <v>46163</v>
      </c>
      <c r="B23" s="72" t="inlineStr">
        <is>
          <t>SUSCRIPCIONES · IA</t>
        </is>
      </c>
      <c r="C23" s="73" t="n">
        <v>20</v>
      </c>
      <c r="D23" s="74" t="n">
        <v>28593</v>
      </c>
      <c r="E23" s="72" t="inlineStr">
        <is>
          <t>BBVA Mastercard · USD</t>
        </is>
      </c>
    </row>
    <row r="24">
      <c r="A24" s="71" t="n">
        <v>46163</v>
      </c>
      <c r="B24" s="72" t="inlineStr">
        <is>
          <t>SUSCRIPCIONES · IA</t>
        </is>
      </c>
      <c r="C24" s="73" t="n">
        <v>30</v>
      </c>
      <c r="D24" s="74" t="n">
        <v>42890</v>
      </c>
      <c r="E24" s="72" t="inlineStr">
        <is>
          <t>BBVA Mastercard · USD</t>
        </is>
      </c>
    </row>
    <row r="25">
      <c r="A25" s="71" t="n">
        <v>46194</v>
      </c>
      <c r="B25" s="72" t="inlineStr">
        <is>
          <t>SUSCRIPCIONES · IA</t>
        </is>
      </c>
      <c r="C25" s="73" t="n">
        <v>30</v>
      </c>
      <c r="D25" s="74" t="n">
        <v>43740</v>
      </c>
      <c r="E25" s="72" t="inlineStr">
        <is>
          <t>BBVA Mastercard · USD</t>
        </is>
      </c>
    </row>
    <row r="26">
      <c r="A26" s="71" t="n">
        <v>46029</v>
      </c>
      <c r="B26" s="72" t="inlineStr">
        <is>
          <t>SUSCRIPCIONES · IA</t>
        </is>
      </c>
      <c r="C26" s="73" t="n">
        <v>19.99</v>
      </c>
      <c r="D26" s="74" t="n">
        <v>30110</v>
      </c>
      <c r="E26" s="72" t="inlineStr">
        <is>
          <t>BBVA Mastercard · USD</t>
        </is>
      </c>
    </row>
    <row r="27">
      <c r="A27" s="71" t="n">
        <v>46060</v>
      </c>
      <c r="B27" s="72" t="inlineStr">
        <is>
          <t>SUSCRIPCIONES · IA</t>
        </is>
      </c>
      <c r="C27" s="73" t="n">
        <v>19.99</v>
      </c>
      <c r="D27" s="74" t="n">
        <v>29193</v>
      </c>
      <c r="E27" s="72" t="inlineStr">
        <is>
          <t>BBVA Mastercard · USD</t>
        </is>
      </c>
    </row>
    <row r="28">
      <c r="A28" s="71" t="n">
        <v>46088</v>
      </c>
      <c r="B28" s="72" t="inlineStr">
        <is>
          <t>SUSCRIPCIONES · IA</t>
        </is>
      </c>
      <c r="C28" s="73" t="n">
        <v>19.99</v>
      </c>
      <c r="D28" s="74" t="n">
        <v>28668</v>
      </c>
      <c r="E28" s="72" t="inlineStr">
        <is>
          <t>BBVA Mastercard · USD</t>
        </is>
      </c>
    </row>
    <row r="29">
      <c r="A29" s="71" t="n">
        <v>46119</v>
      </c>
      <c r="B29" s="72" t="inlineStr">
        <is>
          <t>SUSCRIPCIONES · IA</t>
        </is>
      </c>
      <c r="C29" s="73" t="n">
        <v>19.99</v>
      </c>
      <c r="D29" s="74" t="n">
        <v>28667</v>
      </c>
      <c r="E29" s="72" t="inlineStr">
        <is>
          <t>BBVA Mastercard · USD</t>
        </is>
      </c>
    </row>
    <row r="30">
      <c r="A30" s="71" t="n">
        <v>46057</v>
      </c>
      <c r="B30" s="72" t="inlineStr">
        <is>
          <t>SUSCRIPCIONES · IA</t>
        </is>
      </c>
      <c r="C30" s="72" t="inlineStr">
        <is>
          <t>SUSCRIPCIONES · IA · ChatGPT / OpenAI · gasto personal Sol</t>
        </is>
      </c>
      <c r="D30" s="74" t="n">
        <v>29208</v>
      </c>
      <c r="E30" s="72" t="inlineStr">
        <is>
          <t>BBVA</t>
        </is>
      </c>
    </row>
    <row r="31">
      <c r="A31" s="71" t="n">
        <v>46081</v>
      </c>
      <c r="B31" s="72" t="inlineStr">
        <is>
          <t>SUSCRIPCIONES · IA</t>
        </is>
      </c>
      <c r="C31" s="72" t="inlineStr">
        <is>
          <t>SUSCRIPCIONES · IA · ChatGPT / OpenAI · gasto personal Sol</t>
        </is>
      </c>
      <c r="D31" s="74" t="n">
        <v>29208</v>
      </c>
      <c r="E31" s="72" t="inlineStr">
        <is>
          <t>BBVA</t>
        </is>
      </c>
    </row>
    <row r="32">
      <c r="A32" s="71" t="n">
        <v>46117</v>
      </c>
      <c r="B32" s="72" t="inlineStr">
        <is>
          <t>SUSCRIPCIONES · IA</t>
        </is>
      </c>
      <c r="C32" s="72" t="inlineStr">
        <is>
          <t>SUSCRIPCIONES · IA · ChatGPT / OpenAI · gasto personal Sol</t>
        </is>
      </c>
      <c r="D32" s="74" t="n">
        <v>28681</v>
      </c>
      <c r="E32" s="72" t="inlineStr">
        <is>
          <t>BBVA</t>
        </is>
      </c>
    </row>
    <row r="33">
      <c r="A33" s="71" t="n">
        <v>46124</v>
      </c>
      <c r="B33" s="72" t="inlineStr">
        <is>
          <t>SUSCRIPCIONES · IA</t>
        </is>
      </c>
      <c r="C33" s="72" t="inlineStr">
        <is>
          <t>SUSCRIPCIONES · IA · metricscheck.com · REVISAR · metricsche</t>
        </is>
      </c>
      <c r="D33" s="74" t="n">
        <v>29</v>
      </c>
      <c r="E33" s="72" t="inlineStr">
        <is>
          <t>BBVA MASTERCARD</t>
        </is>
      </c>
    </row>
    <row r="34">
      <c r="A34" s="71" t="n">
        <v>46124</v>
      </c>
      <c r="B34" s="72" t="inlineStr">
        <is>
          <t>SUSCRIPCIONES · IA</t>
        </is>
      </c>
      <c r="C34" s="72" t="inlineStr">
        <is>
          <t>SUSCRIPCIONES · IA · metricscheck.com · REVISAR · metricsche</t>
        </is>
      </c>
      <c r="D34" s="74" t="n">
        <v>1</v>
      </c>
      <c r="E34" s="72" t="inlineStr">
        <is>
          <t>BBVA MASTERCARD</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2026-07-18T16:07:49Z</dcterms:created>
  <dcterms:modified xsi:type="dcterms:W3CDTF">2026-10-12T18:33:24Z</dcterms:modified>
</cp:coreProperties>
</file>
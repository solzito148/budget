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PetShop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PetShop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PetShop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PetShop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IF(OR(D205&lt;&gt;"",E205&lt;&gt;""),IF(D205="",0,D205)+IF(E205="",0,E205),"")</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PetShop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IF(OR(D253&lt;&gt;"",E253&lt;&gt;""),IF(D253="",0,D253)+IF(E253="",0,E253),"")</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3"/>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5"/>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ALMACEN SOL (pescadería siempre Almacén CIUDAD)</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PetShop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B410" s="52" t="n">
        <v>46275</v>
      </c>
      <c r="C410" t="inlineStr">
        <is>
          <t>RAMON · Comida</t>
        </is>
      </c>
      <c r="D410" t="n">
        <v>131000</v>
      </c>
      <c r="F410">
        <f>IF(OR(D410&lt;&gt;"",E410&lt;&gt;""),IF(D410="",0,D410)+IF(E410="",0,E410),"")</f>
        <v/>
      </c>
      <c r="G410" t="inlineStr">
        <is>
          <t>RAMON · Comida · DR BARF · Cova Abreu Gibiana Del Valle · transferencia MP · ALMACEN SOL</t>
        </is>
      </c>
    </row>
    <row r="411">
      <c r="A411" t="inlineStr">
        <is>
          <t>Septiembre</t>
        </is>
      </c>
      <c r="B411" s="52" t="n">
        <v>46030</v>
      </c>
      <c r="C411" t="inlineStr">
        <is>
          <t>COMIDA · Pescadería Belgrano</t>
        </is>
      </c>
      <c r="D411" t="n">
        <v>12426</v>
      </c>
      <c r="F411">
        <f>IF(OR(D411&lt;&gt;"",E411&lt;&gt;""),IF(D411="",0,D411)+IF(E411="",0,E411),"")</f>
        <v/>
      </c>
      <c r="G411" t="inlineStr">
        <is>
          <t>AJUSTE SEPT · gasto origen Enero 08/01/2026 · no se pasó/rindió en el mes de origen por error · COMIDA · Pescadería Belgrano · Andres Javier Di Pasqua · MP cuenta · ALMACEN SOL</t>
        </is>
      </c>
    </row>
    <row r="412">
      <c r="A412" t="inlineStr">
        <is>
          <t>Septiembre</t>
        </is>
      </c>
      <c r="B412" s="52" t="n">
        <v>46059</v>
      </c>
      <c r="C412" t="inlineStr">
        <is>
          <t>COMIDA · Pescadería Belgrano</t>
        </is>
      </c>
      <c r="D412" t="n">
        <v>24852</v>
      </c>
      <c r="F412">
        <f>IF(OR(D412&lt;&gt;"",E412&lt;&gt;""),IF(D412="",0,D412)+IF(E412="",0,E412),"")</f>
        <v/>
      </c>
      <c r="G412" t="inlineStr">
        <is>
          <t>AJUSTE SEPT · gasto origen Febrero 06/02/2026 · no se pasó/rindió en el mes de origen por error · COMIDA · Pescadería Belgrano · Andres Javier Di Pasqua · MP cuenta · ALMACEN SOL</t>
        </is>
      </c>
    </row>
    <row r="413">
      <c r="A413" t="inlineStr">
        <is>
          <t>Septiembre</t>
        </is>
      </c>
      <c r="B413" s="52" t="n">
        <v>46153</v>
      </c>
      <c r="C413" t="inlineStr">
        <is>
          <t>COMIDA · Pescadería Belgrano</t>
        </is>
      </c>
      <c r="D413" t="n">
        <v>24852</v>
      </c>
      <c r="F413">
        <f>IF(OR(D413&lt;&gt;"",E413&lt;&gt;""),IF(D413="",0,D413)+IF(E413="",0,E413),"")</f>
        <v/>
      </c>
      <c r="G413" t="inlineStr">
        <is>
          <t>AJUSTE SEPT · gasto origen Mayo 11/05/2026 · no se pasó/rindió en el mes de origen por error · COMIDA · Pescadería Belgrano · Mercado Pago · Gmail Pago aprobado · ALMACEN SOL</t>
        </is>
      </c>
    </row>
    <row r="414">
      <c r="A414" t="inlineStr">
        <is>
          <t>Septiembre</t>
        </is>
      </c>
      <c r="B414" s="52" t="n">
        <v>46175</v>
      </c>
      <c r="C414" t="inlineStr">
        <is>
          <t>COMIDA · Pescadería Belgrano</t>
        </is>
      </c>
      <c r="D414" t="n">
        <v>32046</v>
      </c>
      <c r="F414">
        <f>IF(OR(D414&lt;&gt;"",E414&lt;&gt;""),IF(D414="",0,D414)+IF(E414="",0,E414),"")</f>
        <v/>
      </c>
      <c r="G414" t="inlineStr">
        <is>
          <t>AJUSTE SEPT · gasto origen Junio 02/06/2026 · no se pasó/rindió en el mes de origen por error · COMIDA · Pescadería Belgrano · Mercado Pago · Gmail Pago aprobado · ALMACEN SOL</t>
        </is>
      </c>
    </row>
    <row r="415">
      <c r="A415" t="inlineStr">
        <is>
          <t>Septiembre</t>
        </is>
      </c>
      <c r="B415" s="52" t="n">
        <v>46207</v>
      </c>
      <c r="C415" t="inlineStr">
        <is>
          <t>RAMON · Comida</t>
        </is>
      </c>
      <c r="D415" t="n">
        <v>149500</v>
      </c>
      <c r="F415">
        <f>IF(OR(D415&lt;&gt;"",E415&lt;&gt;""),IF(D415="",0,D415)+IF(E415="",0,E415),"")</f>
        <v/>
      </c>
      <c r="G415" t="inlineStr">
        <is>
          <t>AJUSTE SEPT · gasto origen Julio 04/07/2026 · no se pasó/rindió en el mes de origen por error · RAMON · Comida · DR BARF · pedido #462 · checkout $149.500 · ALMACEN SOL</t>
        </is>
      </c>
    </row>
    <row r="416">
      <c r="A416" t="inlineStr">
        <is>
          <t>Septiembre</t>
        </is>
      </c>
      <c r="B416" s="52" t="n">
        <v>46235</v>
      </c>
      <c r="C416" t="inlineStr">
        <is>
          <t>RAMON · Comida</t>
        </is>
      </c>
      <c r="D416" t="n">
        <v>176000</v>
      </c>
      <c r="F416">
        <f>IF(OR(D416&lt;&gt;"",E416&lt;&gt;""),IF(D416="",0,D416)+IF(E416="",0,E416),"")</f>
        <v/>
      </c>
      <c r="G416" t="inlineStr">
        <is>
          <t>AJUSTE SEPT · gasto origen Agosto 01/08/2026 · no se pasó/rindió en el mes de origen por error · RAMON · Comida · DR BARF · Gibiana Cova · BBVA · ALMACEN SOL</t>
        </is>
      </c>
    </row>
    <row r="417">
      <c r="A417" t="inlineStr">
        <is>
          <t>Septiembre</t>
        </is>
      </c>
      <c r="B417" s="52" t="n"/>
      <c r="F417">
        <f>IF(OR(D417&lt;&gt;"",E417&lt;&gt;""),IF(D417="",0,D417)+IF(E417="",0,E417),"")</f>
        <v/>
      </c>
    </row>
    <row r="418">
      <c r="A418" t="inlineStr">
        <is>
          <t>Septiembre</t>
        </is>
      </c>
      <c r="B418" s="52" t="n">
        <v>46256</v>
      </c>
      <c r="C418" t="inlineStr">
        <is>
          <t>RAMON · Otros</t>
        </is>
      </c>
      <c r="D418" t="n">
        <v>77200</v>
      </c>
      <c r="F418">
        <f>IF(OR(D418&lt;&gt;"",E418&lt;&gt;""),IF(D418="",0,D418)+IF(E418="",0,E418),"")</f>
        <v/>
      </c>
      <c r="G418" t="inlineStr">
        <is>
          <t>AJUSTE SEPT · gasto origen Agosto 22/08/2026 · no se pasó/rindió en el mes de origen por error · RAMON · Otros · Paws Pet Market · PetShop · BBVA VISA · 3 cuotas · ALMACEN SOL</t>
        </is>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7"/>
    <row r="428">
      <c r="A428" s="14" t="inlineStr">
        <is>
          <t>Octubre</t>
        </is>
      </c>
      <c r="B428" s="17" t="n">
        <v>46307</v>
      </c>
      <c r="C428" s="14" t="inlineStr">
        <is>
          <t>RAMON · Comida</t>
        </is>
      </c>
      <c r="D428" s="27" t="n">
        <v>139100</v>
      </c>
      <c r="E428" s="28" t="n"/>
      <c r="F428" s="15">
        <f>IF(OR(D428&lt;&gt;"",E428&lt;&gt;""),IF(D428="",0,D428)+IF(E428="",0,E428),"")</f>
        <v/>
      </c>
      <c r="G428" s="14" t="inlineStr">
        <is>
          <t>RAMON · Comida · Almacén CIUDAD · carga 12/10/2026 · ALMACEN SOL</t>
        </is>
      </c>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69"/>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1"/>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9"/>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3">
      <c r="A3" s="52" t="n"/>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MOVIDO → Almacén</t>
        </is>
      </c>
      <c r="D31" s="15" t="n"/>
      <c r="E31" s="14" t="n"/>
      <c r="F31" s="14" t="inlineStr">
        <is>
          <t>SUPERSEDE · Pescadería Belgrano / Andres Javier Di Pasqua $12426 → Almacen Detalle · Septiembre AJUSTE (origen no rendido por error)</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MOVIDO → Almacén</t>
        </is>
      </c>
      <c r="D57" s="15" t="n"/>
      <c r="E57" s="14" t="n"/>
      <c r="F57" s="14" t="inlineStr">
        <is>
          <t>SUPERSEDE · Pescadería Belgrano / Andres Javier Di Pasqua $24852 → Almacen Detalle · Septiembre AJUSTE (origen no rendido por error)</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MOVIDO → Almacén</t>
        </is>
      </c>
      <c r="D155" s="26" t="n"/>
      <c r="F155" t="inlineStr">
        <is>
          <t>SUPERSEDE · Pescadería Belgrano $24852 → Almacen Detalle · Septiembre AJUSTE · COMIDA · Pescadería Belgrano (no GPS)</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MOVIDO → Almacén</t>
        </is>
      </c>
      <c r="D173" s="26" t="n"/>
      <c r="F173" t="inlineStr">
        <is>
          <t>SUPERSEDE · Pescadería Belgrano $32046 → Almacen Detalle · Septiembre AJUSTE · COMIDA · Pescadería Belgrano (no GPS)</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MOVIDO → Almacén</t>
        </is>
      </c>
      <c r="F861" t="inlineStr">
        <is>
          <t>SUPERSEDE · DR BARF / Gibiana Cova → Almacen Detalle · RAMON · Comida (no GPS)</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MOVIDO → Almacén</t>
        </is>
      </c>
      <c r="F953" t="inlineStr">
        <is>
          <t>SUPERSEDE · DR BARF / Gibiana Cova → Almacen Detalle · RAMON · Comida (no GPS)</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row r="959">
      <c r="A959" s="52" t="n">
        <v>46250</v>
      </c>
      <c r="B959" t="inlineStr">
        <is>
          <t>Agosto</t>
        </is>
      </c>
      <c r="C959" t="inlineStr">
        <is>
          <t>ENTRETENIMIENTO · Comidas</t>
        </is>
      </c>
      <c r="D959" t="n">
        <v>1060501</v>
      </c>
      <c r="E959" t="inlineStr">
        <is>
          <t>BBVA VISA</t>
        </is>
      </c>
      <c r="F959" t="inlineStr">
        <is>
          <t>ENTRETENIMIENTO · Comidas · Gardiner Restaurant · BBVA VISA · mesa 9 · gasto personal Sol (no Almacén) · 16/08/2026</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2026-10-12T22:27:37Z</dcterms:modified>
</cp:coreProperties>
</file>
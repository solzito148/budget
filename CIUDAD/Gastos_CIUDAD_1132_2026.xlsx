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46909</v>
      </c>
      <c r="H6" s="9" t="n">
        <v>47939</v>
      </c>
      <c r="I6" s="9" t="n">
        <v>48420</v>
      </c>
      <c r="J6" s="9" t="n">
        <v>31999</v>
      </c>
      <c r="K6" s="9" t="n">
        <v>31999</v>
      </c>
      <c r="L6" s="9" t="n">
        <v>82364</v>
      </c>
      <c r="M6" s="9" t="n">
        <v>69659</v>
      </c>
      <c r="N6" s="9" t="n"/>
      <c r="O6" s="9" t="n"/>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73187</v>
      </c>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653120</v>
      </c>
      <c r="K10" s="9" t="n">
        <v>567080</v>
      </c>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t="n">
        <v>1296281</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t="n">
        <v>237104</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t="n">
        <v>2982602</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t="n">
        <v>1491301</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t="n">
        <v>-1254197</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t="n">
        <v>1254197</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montos desde facturas Gmail (facturadigital@factura.telecentro.com.ar); mes = período de factura. Cliente 3491192. Nov/Dic sin factura aún.</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PetShop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PetShop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PetShop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PetShop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IF(OR(D205&lt;&gt;"",E205&lt;&gt;""),IF(D205="",0,D205)+IF(E205="",0,E205),"")</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PetShop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IF(OR(D253&lt;&gt;"",E253&lt;&gt;""),IF(D253="",0,D253)+IF(E253="",0,E253),"")</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v>46234</v>
      </c>
      <c r="C288" s="14" t="inlineStr">
        <is>
          <t>Almacén</t>
        </is>
      </c>
      <c r="D288" s="27" t="n"/>
      <c r="E288" s="28" t="n">
        <v>155800</v>
      </c>
      <c r="F288" s="15">
        <f>IF(OR(D288&lt;&gt;"",E288&lt;&gt;""),IF(D288="",0,D288)+IF(E288="",0,E288),"")</f>
        <v/>
      </c>
      <c r="G288" s="14" t="inlineStr">
        <is>
          <t>ALMACEN CHRIS · total julio (sin desglose) · REVISAR</t>
        </is>
      </c>
    </row>
    <row r="289">
      <c r="A289" s="14" t="inlineStr">
        <is>
          <t>Julio</t>
        </is>
      </c>
      <c r="B289" s="17" t="n">
        <v>46224</v>
      </c>
      <c r="C289" s="14" t="inlineStr">
        <is>
          <t>COMIDA · Todo Tartas</t>
        </is>
      </c>
      <c r="D289" s="27" t="n">
        <v>57600</v>
      </c>
      <c r="E289" s="28" t="n"/>
      <c r="F289" s="15">
        <f>IF(OR(D289&lt;&gt;"",E289&lt;&gt;""),IF(D289="",0,D289)+IF(E289="",0,E289),"")</f>
        <v/>
      </c>
      <c r="G289" s="14" t="inlineStr">
        <is>
          <t>MP · panadería · ex `Todo Tartas`</t>
        </is>
      </c>
    </row>
    <row r="290">
      <c r="A290" s="14" t="inlineStr">
        <is>
          <t>Julio</t>
        </is>
      </c>
      <c r="B290" s="17" t="n"/>
      <c r="C290" s="14" t="n"/>
      <c r="D290" s="27" t="n"/>
      <c r="E290" s="28" t="n"/>
      <c r="F290" s="15">
        <f>IF(OR(D290&lt;&gt;"",E290&lt;&gt;""),IF(D290="",0,D290)+IF(E290="",0,E290),"")</f>
        <v/>
      </c>
      <c r="G290" s="14" t="n"/>
    </row>
    <row r="291">
      <c r="A291" s="14" t="inlineStr">
        <is>
          <t>Julio</t>
        </is>
      </c>
      <c r="B291" s="17" t="n"/>
      <c r="C291" s="14" t="n"/>
      <c r="D291" s="27" t="n"/>
      <c r="E291" s="28" t="n"/>
      <c r="F291" s="15">
        <f>IF(OR(D291&lt;&gt;"",E291&lt;&gt;""),IF(D291="",0,D291)+IF(E291="",0,E291),"")</f>
        <v/>
      </c>
      <c r="G291" s="14" t="n"/>
    </row>
    <row r="292">
      <c r="A292" s="14" t="inlineStr">
        <is>
          <t>Julio</t>
        </is>
      </c>
      <c r="B292" s="17" t="n"/>
      <c r="C292" s="14" t="n"/>
      <c r="D292" s="27" t="n"/>
      <c r="E292" s="28" t="n"/>
      <c r="F292" s="15">
        <f>IF(OR(D292&lt;&gt;"",E292&lt;&gt;""),IF(D292="",0,D292)+IF(E292="",0,E292),"")</f>
        <v/>
      </c>
      <c r="G292" s="14" t="n"/>
    </row>
    <row r="293">
      <c r="A293" s="14" t="inlineStr">
        <is>
          <t>Julio</t>
        </is>
      </c>
      <c r="B293" s="17" t="n"/>
      <c r="C293" s="14" t="n"/>
      <c r="D293" s="27" t="n"/>
      <c r="E293" s="28" t="n"/>
      <c r="F293" s="15">
        <f>IF(OR(D293&lt;&gt;"",E293&lt;&gt;""),IF(D293="",0,D293)+IF(E293="",0,E293),"")</f>
        <v/>
      </c>
      <c r="G293" s="14" t="n"/>
    </row>
    <row r="294">
      <c r="A294" s="14" t="inlineStr">
        <is>
          <t>Julio</t>
        </is>
      </c>
      <c r="B294" s="17" t="n"/>
      <c r="C294" s="14" t="n"/>
      <c r="D294" s="27" t="n"/>
      <c r="E294" s="28" t="n"/>
      <c r="F294" s="15">
        <f>IF(OR(D294&lt;&gt;"",E294&lt;&gt;""),IF(D294="",0,D294)+IF(E294="",0,E294),"")</f>
        <v/>
      </c>
      <c r="G294" s="14" t="n"/>
    </row>
    <row r="295">
      <c r="A295" s="14" t="inlineStr">
        <is>
          <t>Julio</t>
        </is>
      </c>
      <c r="B295" s="17" t="n"/>
      <c r="C295" s="14" t="n"/>
      <c r="D295" s="27" t="n"/>
      <c r="E295" s="28" t="n"/>
      <c r="F295" s="15">
        <f>IF(OR(D295&lt;&gt;"",E295&lt;&gt;""),IF(D295="",0,D295)+IF(E295="",0,E295),"")</f>
        <v/>
      </c>
      <c r="G295" s="14" t="n"/>
    </row>
    <row r="296">
      <c r="A296" s="14" t="inlineStr">
        <is>
          <t>Julio</t>
        </is>
      </c>
      <c r="B296" s="17" t="n"/>
      <c r="C296" s="14" t="n"/>
      <c r="D296" s="27" t="n"/>
      <c r="E296" s="28" t="n"/>
      <c r="F296" s="15">
        <f>IF(OR(D296&lt;&gt;"",E296&lt;&gt;""),IF(D296="",0,D296)+IF(E296="",0,E296),"")</f>
        <v/>
      </c>
      <c r="G296" s="14" t="n"/>
    </row>
    <row r="297">
      <c r="A297" s="14" t="inlineStr">
        <is>
          <t>Julio</t>
        </is>
      </c>
      <c r="B297" s="17" t="n"/>
      <c r="C297" s="14" t="n"/>
      <c r="D297" s="27" t="n"/>
      <c r="E297" s="28" t="n"/>
      <c r="F297" s="15">
        <f>IF(OR(D297&lt;&gt;"",E297&lt;&gt;""),IF(D297="",0,D297)+IF(E297="",0,E297),"")</f>
        <v/>
      </c>
      <c r="G297" s="14" t="n"/>
    </row>
    <row r="298">
      <c r="A298" s="14" t="inlineStr">
        <is>
          <t>Julio</t>
        </is>
      </c>
      <c r="B298" s="17" t="n"/>
      <c r="C298" s="14" t="n"/>
      <c r="D298" s="27" t="n"/>
      <c r="E298" s="28" t="n"/>
      <c r="F298" s="15">
        <f>IF(OR(D298&lt;&gt;"",E298&lt;&gt;""),IF(D298="",0,D298)+IF(E298="",0,E298),"")</f>
        <v/>
      </c>
      <c r="G298" s="14" t="n"/>
    </row>
    <row r="299">
      <c r="A299" s="14" t="inlineStr">
        <is>
          <t>Julio</t>
        </is>
      </c>
      <c r="B299" s="17" t="n"/>
      <c r="C299" s="14" t="n"/>
      <c r="D299" s="27" t="n"/>
      <c r="E299" s="28" t="n"/>
      <c r="F299" s="15">
        <f>IF(OR(D299&lt;&gt;"",E299&lt;&gt;""),IF(D299="",0,D299)+IF(E299="",0,E299),"")</f>
        <v/>
      </c>
      <c r="G299" s="14" t="n"/>
    </row>
    <row r="300">
      <c r="A300" s="14" t="inlineStr">
        <is>
          <t>Julio</t>
        </is>
      </c>
      <c r="B300" s="17" t="n"/>
      <c r="C300" s="14" t="n"/>
      <c r="D300" s="27" t="n"/>
      <c r="E300" s="28" t="n"/>
      <c r="F300" s="15">
        <f>IF(OR(D300&lt;&gt;"",E300&lt;&gt;""),IF(D300="",0,D300)+IF(E300="",0,E300),"")</f>
        <v/>
      </c>
      <c r="G300" s="14" t="n"/>
    </row>
    <row r="301">
      <c r="A301" s="14" t="inlineStr">
        <is>
          <t>Julio</t>
        </is>
      </c>
      <c r="B301" s="17" t="n"/>
      <c r="C301" s="14" t="n"/>
      <c r="D301" s="27" t="n"/>
      <c r="E301" s="28" t="n"/>
      <c r="F301" s="15">
        <f>IF(OR(D301&lt;&gt;"",E301&lt;&gt;""),IF(D301="",0,D301)+IF(E301="",0,E301),"")</f>
        <v/>
      </c>
      <c r="G301" s="14" t="n"/>
    </row>
    <row r="302">
      <c r="A302" s="14" t="inlineStr">
        <is>
          <t>Julio</t>
        </is>
      </c>
      <c r="B302" s="17" t="n"/>
      <c r="C302" s="14" t="n"/>
      <c r="D302" s="27" t="n"/>
      <c r="E302" s="28" t="n"/>
      <c r="F302" s="15">
        <f>IF(OR(D302&lt;&gt;"",E302&lt;&gt;""),IF(D302="",0,D302)+IF(E302="",0,E302),"")</f>
        <v/>
      </c>
      <c r="G302" s="14" t="n"/>
    </row>
    <row r="303">
      <c r="A303" s="14" t="inlineStr">
        <is>
          <t>Julio</t>
        </is>
      </c>
      <c r="B303" s="17" t="n"/>
      <c r="C303" s="14" t="n"/>
      <c r="D303" s="27" t="n"/>
      <c r="E303" s="28" t="n"/>
      <c r="F303" s="15">
        <f>IF(OR(D303&lt;&gt;"",E303&lt;&gt;""),IF(D303="",0,D303)+IF(E303="",0,E303),"")</f>
        <v/>
      </c>
      <c r="G303" s="14" t="n"/>
    </row>
    <row r="304">
      <c r="A304" s="14" t="inlineStr">
        <is>
          <t>Julio</t>
        </is>
      </c>
      <c r="B304" s="17" t="n"/>
      <c r="C304" s="14" t="n"/>
      <c r="D304" s="27" t="n"/>
      <c r="E304" s="28" t="n"/>
      <c r="F304" s="15">
        <f>IF(OR(D304&lt;&gt;"",E304&lt;&gt;""),IF(D304="",0,D304)+IF(E304="",0,E304),"")</f>
        <v/>
      </c>
      <c r="G304" s="14" t="n"/>
    </row>
    <row r="305">
      <c r="A305" s="14" t="inlineStr">
        <is>
          <t>Julio</t>
        </is>
      </c>
      <c r="B305" s="17" t="n"/>
      <c r="C305" s="14" t="n"/>
      <c r="D305" s="27" t="n"/>
      <c r="E305" s="28" t="n"/>
      <c r="F305" s="15">
        <f>IF(OR(D305&lt;&gt;"",E305&lt;&gt;""),IF(D305="",0,D305)+IF(E305="",0,E305),"")</f>
        <v/>
      </c>
      <c r="G305" s="14" t="n"/>
    </row>
    <row r="306">
      <c r="A306" s="14" t="inlineStr">
        <is>
          <t>Julio</t>
        </is>
      </c>
      <c r="B306" s="17" t="n"/>
      <c r="C306" s="14" t="n"/>
      <c r="D306" s="27" t="n"/>
      <c r="E306" s="28" t="n"/>
      <c r="F306" s="15">
        <f>IF(OR(D306&lt;&gt;"",E306&lt;&gt;""),IF(D306="",0,D306)+IF(E306="",0,E306),"")</f>
        <v/>
      </c>
      <c r="G306" s="14" t="n"/>
    </row>
    <row r="307">
      <c r="A307" s="14" t="inlineStr">
        <is>
          <t>Julio</t>
        </is>
      </c>
      <c r="B307" s="17" t="n"/>
      <c r="C307" s="14" t="n"/>
      <c r="D307" s="27" t="n"/>
      <c r="E307" s="28" t="n"/>
      <c r="F307" s="15">
        <f>IF(OR(D307&lt;&gt;"",E307&lt;&gt;""),IF(D307="",0,D307)+IF(E307="",0,E307),"")</f>
        <v/>
      </c>
      <c r="G307" s="14" t="n"/>
    </row>
    <row r="308">
      <c r="A308" s="14" t="inlineStr">
        <is>
          <t>Julio</t>
        </is>
      </c>
      <c r="B308" s="17" t="n"/>
      <c r="C308" s="14" t="n"/>
      <c r="D308" s="27" t="n"/>
      <c r="E308" s="28" t="n"/>
      <c r="F308" s="15">
        <f>IF(OR(D308&lt;&gt;"",E308&lt;&gt;""),IF(D308="",0,D308)+IF(E308="",0,E308),"")</f>
        <v/>
      </c>
      <c r="G308" s="14" t="n"/>
    </row>
    <row r="309">
      <c r="A309" s="14" t="inlineStr">
        <is>
          <t>Julio</t>
        </is>
      </c>
      <c r="B309" s="17" t="n"/>
      <c r="C309" s="14" t="n"/>
      <c r="D309" s="27" t="n"/>
      <c r="E309" s="28" t="n"/>
      <c r="F309" s="15">
        <f>IF(OR(D309&lt;&gt;"",E309&lt;&gt;""),IF(D309="",0,D309)+IF(E309="",0,E309),"")</f>
        <v/>
      </c>
      <c r="G309" s="14" t="n"/>
    </row>
    <row r="310">
      <c r="A310" s="14" t="inlineStr">
        <is>
          <t>Julio</t>
        </is>
      </c>
      <c r="B310" s="17" t="n"/>
      <c r="C310" s="14" t="n"/>
      <c r="D310" s="27" t="n"/>
      <c r="E310" s="28" t="n"/>
      <c r="F310" s="15">
        <f>IF(OR(D310&lt;&gt;"",E310&lt;&gt;""),IF(D310="",0,D310)+IF(E310="",0,E310),"")</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17" t="n">
        <v>46245</v>
      </c>
      <c r="C314" s="14" t="inlineStr">
        <is>
          <t>COMIDA · VERDULERÍA</t>
        </is>
      </c>
      <c r="D314" s="27" t="n">
        <v>8900</v>
      </c>
      <c r="E314" s="28" t="n"/>
      <c r="F314" s="15">
        <f>IF(OR(D314&lt;&gt;"",E314&lt;&gt;""),IF(D314="",0,D314)+IF(E314="",0,E314),"")</f>
        <v/>
      </c>
      <c r="G314" s="14" t="inlineStr">
        <is>
          <t>COMIDA · VERDULERÍA · Agosto</t>
        </is>
      </c>
    </row>
    <row r="315">
      <c r="A315" s="14" t="inlineStr">
        <is>
          <t>Agosto</t>
        </is>
      </c>
      <c r="B315" s="17" t="n">
        <v>46265</v>
      </c>
      <c r="C315" s="14" t="inlineStr">
        <is>
          <t>Almacén</t>
        </is>
      </c>
      <c r="D315" s="27" t="n"/>
      <c r="E315" s="28" t="n">
        <v>80000</v>
      </c>
      <c r="F315" s="15">
        <f>IF(OR(D315&lt;&gt;"",E315&lt;&gt;""),IF(D315="",0,D315)+IF(E315="",0,E315),"")</f>
        <v/>
      </c>
      <c r="G315" s="14" t="inlineStr">
        <is>
          <t>ALMACEN CHRIS · total agosto (sin desglose) · REVISAR</t>
        </is>
      </c>
    </row>
    <row r="316">
      <c r="A316" s="14" t="inlineStr">
        <is>
          <t>Agosto</t>
        </is>
      </c>
      <c r="B316" s="17" t="n"/>
      <c r="C316" s="14" t="n"/>
      <c r="D316" s="27" t="n"/>
      <c r="E316" s="28" t="n"/>
      <c r="F316" s="15">
        <f>IF(OR(D316&lt;&gt;"",E316&lt;&gt;""),IF(D316="",0,D316)+IF(E316="",0,E316),"")</f>
        <v/>
      </c>
      <c r="G316" s="14" t="n"/>
    </row>
    <row r="317">
      <c r="A317" s="14" t="inlineStr">
        <is>
          <t>Agosto</t>
        </is>
      </c>
      <c r="B317" s="17" t="n"/>
      <c r="C317" s="14" t="n"/>
      <c r="D317" s="27" t="n"/>
      <c r="E317" s="28" t="n"/>
      <c r="F317" s="15">
        <f>IF(OR(D317&lt;&gt;"",E317&lt;&gt;""),IF(D317="",0,D317)+IF(E317="",0,E317),"")</f>
        <v/>
      </c>
      <c r="G317" s="14" t="n"/>
    </row>
    <row r="318">
      <c r="A318" s="14" t="inlineStr">
        <is>
          <t>Agosto</t>
        </is>
      </c>
      <c r="B318" s="17" t="n"/>
      <c r="C318" s="14" t="n"/>
      <c r="D318" s="27" t="n"/>
      <c r="E318" s="28" t="n"/>
      <c r="F318" s="15">
        <f>IF(OR(D318&lt;&gt;"",E318&lt;&gt;""),IF(D318="",0,D318)+IF(E318="",0,E318),"")</f>
        <v/>
      </c>
      <c r="G318" s="14" t="n"/>
    </row>
    <row r="319">
      <c r="A319" s="14" t="inlineStr">
        <is>
          <t>Agosto</t>
        </is>
      </c>
      <c r="B319" s="17" t="n"/>
      <c r="C319" s="14" t="n"/>
      <c r="D319" s="27" t="n"/>
      <c r="E319" s="28" t="n"/>
      <c r="F319" s="15">
        <f>IF(OR(D319&lt;&gt;"",E319&lt;&gt;""),IF(D319="",0,D319)+IF(E319="",0,E319),"")</f>
        <v/>
      </c>
      <c r="G319" s="14" t="n"/>
    </row>
    <row r="320">
      <c r="A320" s="14" t="inlineStr">
        <is>
          <t>Agosto</t>
        </is>
      </c>
      <c r="B320" s="17" t="n"/>
      <c r="C320" s="14" t="n"/>
      <c r="D320" s="27" t="n"/>
      <c r="E320" s="28" t="n"/>
      <c r="F320" s="15">
        <f>IF(OR(D320&lt;&gt;"",E320&lt;&gt;""),IF(D320="",0,D320)+IF(E320="",0,E320),"")</f>
        <v/>
      </c>
      <c r="G320" s="14" t="n"/>
    </row>
    <row r="321">
      <c r="A321" s="14" t="inlineStr">
        <is>
          <t>Agosto</t>
        </is>
      </c>
      <c r="B321" s="17" t="n"/>
      <c r="C321" s="14" t="n"/>
      <c r="D321" s="27" t="n"/>
      <c r="E321" s="28" t="n"/>
      <c r="F321" s="15">
        <f>IF(OR(D321&lt;&gt;"",E321&lt;&gt;""),IF(D321="",0,D321)+IF(E321="",0,E321),"")</f>
        <v/>
      </c>
      <c r="G321" s="14" t="n"/>
    </row>
    <row r="322">
      <c r="A322" s="14" t="inlineStr">
        <is>
          <t>Agosto</t>
        </is>
      </c>
      <c r="B322" s="17" t="n"/>
      <c r="C322" s="14" t="n"/>
      <c r="D322" s="27" t="n"/>
      <c r="E322" s="28" t="n"/>
      <c r="F322" s="15">
        <f>IF(OR(D322&lt;&gt;"",E322&lt;&gt;""),IF(D322="",0,D322)+IF(E322="",0,E322),"")</f>
        <v/>
      </c>
      <c r="G322" s="14" t="n"/>
    </row>
    <row r="323">
      <c r="A323" s="14" t="inlineStr">
        <is>
          <t>Agosto</t>
        </is>
      </c>
      <c r="B323" s="17" t="n"/>
      <c r="C323" s="14" t="n"/>
      <c r="D323" s="27" t="n"/>
      <c r="E323" s="28" t="n"/>
      <c r="F323" s="15">
        <f>IF(OR(D323&lt;&gt;"",E323&lt;&gt;""),IF(D323="",0,D323)+IF(E323="",0,E323),"")</f>
        <v/>
      </c>
      <c r="G323" s="14" t="n"/>
    </row>
    <row r="324">
      <c r="A324" s="14" t="inlineStr">
        <is>
          <t>Agosto</t>
        </is>
      </c>
      <c r="B324" s="17" t="n"/>
      <c r="C324" s="14" t="n"/>
      <c r="D324" s="27" t="n"/>
      <c r="E324" s="28" t="n"/>
      <c r="F324" s="15">
        <f>IF(OR(D324&lt;&gt;"",E324&lt;&gt;""),IF(D324="",0,D324)+IF(E324="",0,E324),"")</f>
        <v/>
      </c>
      <c r="G324" s="14" t="n"/>
    </row>
    <row r="325">
      <c r="A325" s="14" t="inlineStr">
        <is>
          <t>Agosto</t>
        </is>
      </c>
      <c r="B325" s="17" t="n"/>
      <c r="C325" s="14" t="n"/>
      <c r="D325" s="27" t="n"/>
      <c r="E325" s="28" t="n"/>
      <c r="F325" s="15">
        <f>IF(OR(D325&lt;&gt;"",E325&lt;&gt;""),IF(D325="",0,D325)+IF(E325="",0,E325),"")</f>
        <v/>
      </c>
      <c r="G325" s="14" t="n"/>
    </row>
    <row r="326">
      <c r="A326" s="14" t="inlineStr">
        <is>
          <t>Agosto</t>
        </is>
      </c>
      <c r="B326" s="17" t="n"/>
      <c r="C326" s="14" t="n"/>
      <c r="D326" s="27" t="n"/>
      <c r="E326" s="28" t="n"/>
      <c r="F326" s="15">
        <f>IF(OR(D326&lt;&gt;"",E326&lt;&gt;""),IF(D326="",0,D326)+IF(E326="",0,E326),"")</f>
        <v/>
      </c>
      <c r="G326" s="14" t="n"/>
    </row>
    <row r="327">
      <c r="A327" s="14" t="inlineStr">
        <is>
          <t>Agosto</t>
        </is>
      </c>
      <c r="B327" s="17" t="n"/>
      <c r="C327" s="14" t="n"/>
      <c r="D327" s="27" t="n"/>
      <c r="E327" s="28" t="n"/>
      <c r="F327" s="15">
        <f>IF(OR(D327&lt;&gt;"",E327&lt;&gt;""),IF(D327="",0,D327)+IF(E327="",0,E327),"")</f>
        <v/>
      </c>
      <c r="G327" s="14" t="n"/>
    </row>
    <row r="328">
      <c r="A328" s="14" t="inlineStr">
        <is>
          <t>Agosto</t>
        </is>
      </c>
      <c r="B328" s="17" t="n"/>
      <c r="C328" s="14" t="n"/>
      <c r="D328" s="27" t="n"/>
      <c r="E328" s="28" t="n"/>
      <c r="F328" s="15">
        <f>IF(OR(D328&lt;&gt;"",E328&lt;&gt;""),IF(D328="",0,D328)+IF(E328="",0,E328),"")</f>
        <v/>
      </c>
      <c r="G328" s="14" t="n"/>
    </row>
    <row r="329">
      <c r="A329" s="14" t="inlineStr">
        <is>
          <t>Agosto</t>
        </is>
      </c>
      <c r="B329" s="17" t="n"/>
      <c r="C329" s="14" t="n"/>
      <c r="D329" s="27" t="n"/>
      <c r="E329" s="28" t="n"/>
      <c r="F329" s="15">
        <f>IF(OR(D329&lt;&gt;"",E329&lt;&gt;""),IF(D329="",0,D329)+IF(E329="",0,E329),"")</f>
        <v/>
      </c>
      <c r="G329" s="14" t="n"/>
    </row>
    <row r="330">
      <c r="A330" s="14" t="inlineStr">
        <is>
          <t>Agosto</t>
        </is>
      </c>
      <c r="B330" s="17" t="n"/>
      <c r="C330" s="14" t="n"/>
      <c r="D330" s="27" t="n"/>
      <c r="E330" s="28" t="n"/>
      <c r="F330" s="15">
        <f>IF(OR(D330&lt;&gt;"",E330&lt;&gt;""),IF(D330="",0,D330)+IF(E330="",0,E330),"")</f>
        <v/>
      </c>
      <c r="G330" s="14" t="n"/>
    </row>
    <row r="331">
      <c r="A331" s="14" t="inlineStr">
        <is>
          <t>Agosto</t>
        </is>
      </c>
      <c r="B331" s="17" t="n"/>
      <c r="C331" s="14" t="n"/>
      <c r="D331" s="27" t="n"/>
      <c r="E331" s="28" t="n"/>
      <c r="F331" s="15">
        <f>IF(OR(D331&lt;&gt;"",E331&lt;&gt;""),IF(D331="",0,D331)+IF(E331="",0,E331),"")</f>
        <v/>
      </c>
      <c r="G331" s="14" t="n"/>
    </row>
    <row r="332">
      <c r="A332" s="14" t="inlineStr">
        <is>
          <t>Agosto</t>
        </is>
      </c>
      <c r="B332" s="17" t="n"/>
      <c r="C332" s="14" t="n"/>
      <c r="D332" s="27" t="n"/>
      <c r="E332" s="28" t="n"/>
      <c r="F332" s="15">
        <f>IF(OR(D332&lt;&gt;"",E332&lt;&gt;""),IF(D332="",0,D332)+IF(E332="",0,E332),"")</f>
        <v/>
      </c>
      <c r="G332" s="14" t="n"/>
    </row>
    <row r="333">
      <c r="A333" s="14" t="inlineStr">
        <is>
          <t>Agosto</t>
        </is>
      </c>
      <c r="B333" s="17" t="n"/>
      <c r="C333" s="14" t="n"/>
      <c r="D333" s="27" t="n"/>
      <c r="E333" s="28" t="n"/>
      <c r="F333" s="15">
        <f>IF(OR(D333&lt;&gt;"",E333&lt;&gt;""),IF(D333="",0,D333)+IF(E333="",0,E333),"")</f>
        <v/>
      </c>
      <c r="G333" s="14" t="n"/>
    </row>
    <row r="334">
      <c r="A334" s="14" t="inlineStr">
        <is>
          <t>Agosto</t>
        </is>
      </c>
      <c r="B334" s="17" t="n"/>
      <c r="C334" s="14" t="n"/>
      <c r="D334" s="27" t="n"/>
      <c r="E334" s="28" t="n"/>
      <c r="F334" s="15">
        <f>IF(OR(D334&lt;&gt;"",E334&lt;&gt;""),IF(D334="",0,D334)+IF(E334="",0,E334),"")</f>
        <v/>
      </c>
      <c r="G334" s="14" t="n"/>
    </row>
    <row r="335">
      <c r="A335" s="14" t="inlineStr">
        <is>
          <t>Agosto</t>
        </is>
      </c>
      <c r="B335" s="17" t="n"/>
      <c r="C335" s="14" t="n"/>
      <c r="D335" s="27" t="n"/>
      <c r="E335" s="28" t="n"/>
      <c r="F335" s="15">
        <f>IF(OR(D335&lt;&gt;"",E335&lt;&gt;""),IF(D335="",0,D335)+IF(E335="",0,E335),"")</f>
        <v/>
      </c>
      <c r="G335" s="14" t="n"/>
    </row>
    <row r="336">
      <c r="A336" s="14" t="inlineStr">
        <is>
          <t>Agosto</t>
        </is>
      </c>
      <c r="B336" s="17" t="n"/>
      <c r="C336" s="14" t="n"/>
      <c r="D336" s="27" t="n"/>
      <c r="E336" s="28" t="n"/>
      <c r="F336" s="15">
        <f>IF(OR(D336&lt;&gt;"",E336&lt;&gt;""),IF(D336="",0,D336)+IF(E336="",0,E336),"")</f>
        <v/>
      </c>
      <c r="G336" s="14" t="n"/>
    </row>
    <row r="337">
      <c r="A337" s="14" t="inlineStr">
        <is>
          <t>Agosto</t>
        </is>
      </c>
      <c r="B337" s="17" t="n"/>
      <c r="C337" s="14" t="n"/>
      <c r="D337" s="27" t="n"/>
      <c r="E337" s="28" t="n"/>
      <c r="F337" s="15">
        <f>IF(OR(D337&lt;&gt;"",E337&lt;&gt;""),IF(D337="",0,D337)+IF(E337="",0,E337),"")</f>
        <v/>
      </c>
      <c r="G337" s="14" t="n"/>
    </row>
    <row r="338">
      <c r="A338" s="14" t="inlineStr">
        <is>
          <t>Agosto</t>
        </is>
      </c>
      <c r="B338" s="17" t="n"/>
      <c r="C338" s="14" t="n"/>
      <c r="D338" s="27" t="n"/>
      <c r="E338" s="28" t="n"/>
      <c r="F338" s="15">
        <f>IF(OR(D338&lt;&gt;"",E338&lt;&gt;""),IF(D338="",0,D338)+IF(E338="",0,E338),"")</f>
        <v/>
      </c>
      <c r="G338" s="14" t="n"/>
    </row>
    <row r="339">
      <c r="A339" s="14" t="inlineStr">
        <is>
          <t>Agosto</t>
        </is>
      </c>
      <c r="B339" s="17" t="n"/>
      <c r="C339" s="14" t="n"/>
      <c r="D339" s="27" t="n"/>
      <c r="E339" s="28" t="n"/>
      <c r="F339" s="15">
        <f>IF(OR(D339&lt;&gt;"",E339&lt;&gt;""),IF(D339="",0,D339)+IF(E339="",0,E339),"")</f>
        <v/>
      </c>
      <c r="G339" s="14" t="n"/>
    </row>
    <row r="340">
      <c r="A340" s="14" t="inlineStr">
        <is>
          <t>Agosto</t>
        </is>
      </c>
      <c r="B340" s="17" t="n"/>
      <c r="C340" s="14" t="n"/>
      <c r="D340" s="27" t="n"/>
      <c r="E340" s="28" t="n"/>
      <c r="F340" s="15">
        <f>IF(OR(D340&lt;&gt;"",E340&lt;&gt;""),IF(D340="",0,D340)+IF(E340="",0,E340),"")</f>
        <v/>
      </c>
      <c r="G340" s="14" t="n"/>
    </row>
    <row r="341">
      <c r="A341" s="14" t="inlineStr">
        <is>
          <t>Agosto</t>
        </is>
      </c>
      <c r="B341" s="17" t="n"/>
      <c r="C341" s="14" t="n"/>
      <c r="D341" s="27" t="n"/>
      <c r="E341" s="28" t="n"/>
      <c r="F341" s="15">
        <f>IF(OR(D341&lt;&gt;"",E341&lt;&gt;""),IF(D341="",0,D341)+IF(E341="",0,E341),"")</f>
        <v/>
      </c>
      <c r="G341" s="14" t="n"/>
    </row>
    <row r="342">
      <c r="A342" s="14" t="inlineStr">
        <is>
          <t>Agosto</t>
        </is>
      </c>
      <c r="B342" s="17" t="n"/>
      <c r="C342" s="14" t="n"/>
      <c r="D342" s="27" t="n"/>
      <c r="E342" s="28" t="n"/>
      <c r="F342" s="15">
        <f>IF(OR(D342&lt;&gt;"",E342&lt;&gt;""),IF(D342="",0,D342)+IF(E342="",0,E342),"")</f>
        <v/>
      </c>
      <c r="G342" s="14" t="n"/>
    </row>
    <row r="343">
      <c r="A343" s="14" t="inlineStr">
        <is>
          <t>Agosto</t>
        </is>
      </c>
      <c r="B343" s="17" t="n"/>
      <c r="C343" s="14" t="n"/>
      <c r="D343" s="27" t="n"/>
      <c r="E343" s="28" t="n"/>
      <c r="F343" s="15">
        <f>IF(OR(D343&lt;&gt;"",E343&lt;&gt;""),IF(D343="",0,D343)+IF(E343="",0,E343),"")</f>
        <v/>
      </c>
      <c r="G343" s="14" t="n"/>
    </row>
    <row r="344">
      <c r="A344" s="14" t="inlineStr">
        <is>
          <t>Agosto</t>
        </is>
      </c>
      <c r="B344" s="17" t="n"/>
      <c r="C344" s="14" t="n"/>
      <c r="D344" s="27" t="n"/>
      <c r="E344" s="28" t="n"/>
      <c r="F344" s="15">
        <f>IF(OR(D344&lt;&gt;"",E344&lt;&gt;""),IF(D344="",0,D344)+IF(E344="",0,E344),"")</f>
        <v/>
      </c>
      <c r="G344" s="14" t="n"/>
    </row>
    <row r="345">
      <c r="A345" s="14" t="inlineStr">
        <is>
          <t>Agosto</t>
        </is>
      </c>
      <c r="B345" s="17" t="n"/>
      <c r="C345" s="14" t="n"/>
      <c r="D345" s="27" t="n"/>
      <c r="E345" s="28" t="n"/>
      <c r="F345" s="15">
        <f>IF(OR(D345&lt;&gt;"",E345&lt;&gt;""),IF(D345="",0,D345)+IF(E345="",0,E345),"")</f>
        <v/>
      </c>
      <c r="G345" s="14" t="n"/>
    </row>
    <row r="346">
      <c r="A346" s="14" t="inlineStr">
        <is>
          <t>Agosto</t>
        </is>
      </c>
      <c r="B346" s="17" t="n"/>
      <c r="C346" s="14" t="n"/>
      <c r="D346" s="27" t="n"/>
      <c r="E346" s="28" t="n"/>
      <c r="F346" s="15">
        <f>IF(OR(D346&lt;&gt;"",E346&lt;&gt;""),IF(D346="",0,D346)+IF(E346="",0,E346),"")</f>
        <v/>
      </c>
      <c r="G346" s="14" t="n"/>
    </row>
    <row r="347">
      <c r="A347" s="14" t="inlineStr">
        <is>
          <t>Agosto</t>
        </is>
      </c>
      <c r="B347" s="17" t="n"/>
      <c r="C347" s="14" t="n"/>
      <c r="D347" s="27" t="n"/>
      <c r="E347" s="28" t="n"/>
      <c r="F347" s="15">
        <f>IF(OR(D347&lt;&gt;"",E347&lt;&gt;""),IF(D347="",0,D347)+IF(E347="",0,E347),"")</f>
        <v/>
      </c>
      <c r="G347" s="14" t="n"/>
    </row>
    <row r="348">
      <c r="A348" s="14" t="inlineStr">
        <is>
          <t>Agosto</t>
        </is>
      </c>
      <c r="B348" s="17" t="n"/>
      <c r="C348" s="14" t="n"/>
      <c r="D348" s="27" t="n"/>
      <c r="E348" s="28" t="n"/>
      <c r="F348" s="15">
        <f>IF(OR(D348&lt;&gt;"",E348&lt;&gt;""),IF(D348="",0,D348)+IF(E348="",0,E348),"")</f>
        <v/>
      </c>
      <c r="G348" s="14" t="n"/>
    </row>
    <row r="349">
      <c r="A349" s="14" t="inlineStr">
        <is>
          <t>Agosto</t>
        </is>
      </c>
      <c r="B349" s="17" t="n"/>
      <c r="C349" s="14" t="n"/>
      <c r="D349" s="27" t="n"/>
      <c r="E349" s="28" t="n"/>
      <c r="F349" s="15">
        <f>IF(OR(D349&lt;&gt;"",E349&lt;&gt;""),IF(D349="",0,D349)+IF(E349="",0,E349),"")</f>
        <v/>
      </c>
      <c r="G349" s="14" t="n"/>
    </row>
    <row r="350">
      <c r="A350" s="14" t="inlineStr">
        <is>
          <t>Agosto</t>
        </is>
      </c>
      <c r="B350" s="17" t="n"/>
      <c r="C350" s="14" t="n"/>
      <c r="D350" s="27" t="n"/>
      <c r="E350" s="28" t="n"/>
      <c r="F350" s="15">
        <f>IF(OR(D350&lt;&gt;"",E350&lt;&gt;""),IF(D350="",0,D350)+IF(E350="",0,E350),"")</f>
        <v/>
      </c>
      <c r="G350" s="14" t="n"/>
    </row>
    <row r="351">
      <c r="A351" s="14" t="inlineStr">
        <is>
          <t>Agosto</t>
        </is>
      </c>
      <c r="B351" s="17" t="n"/>
      <c r="C351" s="14" t="n"/>
      <c r="D351" s="27" t="n"/>
      <c r="E351" s="28" t="n"/>
      <c r="F351" s="15">
        <f>IF(OR(D351&lt;&gt;"",E351&lt;&gt;""),IF(D351="",0,D351)+IF(E351="",0,E351),"")</f>
        <v/>
      </c>
      <c r="G351" s="14" t="n"/>
    </row>
    <row r="352">
      <c r="A352" s="14" t="inlineStr">
        <is>
          <t>Agosto</t>
        </is>
      </c>
      <c r="B352" s="17" t="n"/>
      <c r="C352" s="14" t="n"/>
      <c r="D352" s="27" t="n"/>
      <c r="E352" s="28" t="n"/>
      <c r="F352" s="15">
        <f>IF(OR(D352&lt;&gt;"",E352&lt;&gt;""),IF(D352="",0,D352)+IF(E352="",0,E352),"")</f>
        <v/>
      </c>
      <c r="G352" s="14" t="n"/>
    </row>
    <row r="353">
      <c r="A353" s="14" t="inlineStr">
        <is>
          <t>Agosto</t>
        </is>
      </c>
      <c r="B353" s="17" t="n"/>
      <c r="C353" s="14" t="n"/>
      <c r="D353" s="27" t="n"/>
      <c r="E353" s="28" t="n"/>
      <c r="F353" s="15">
        <f>IF(OR(D353&lt;&gt;"",E353&lt;&gt;""),IF(D353="",0,D353)+IF(E353="",0,E353),"")</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ALMACEN SOL (pescadería siempre Almacén CIUDAD)</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PetShop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fecha 30/09</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fecha 30/09</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fecha 30/09</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fecha 30/09</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fecha 30/09</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fecha 30/09</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fecha 30/09</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fecha 30/09</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fecha 30/09</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fecha 30/09</t>
        </is>
      </c>
    </row>
    <row r="396">
      <c r="A396" t="inlineStr">
        <is>
          <t>Septiembre</t>
        </is>
      </c>
      <c r="B396" s="52" t="n">
        <v>46295</v>
      </c>
      <c r="C396" t="inlineStr">
        <is>
          <t>SUPERMERCADO · Coto</t>
        </is>
      </c>
      <c r="E396" t="n">
        <v>7610</v>
      </c>
      <c r="F396">
        <f>IF(OR(D396&lt;&gt;"",E396&lt;&gt;""),IF(D396="",0,D396)+IF(E396="",0,E396),"")</f>
        <v/>
      </c>
      <c r="G396" t="inlineStr">
        <is>
          <t>Chris · SUPERMERCADO · Coto · fecha 30/09</t>
        </is>
      </c>
    </row>
    <row r="397">
      <c r="A397" t="inlineStr">
        <is>
          <t>Septiembre</t>
        </is>
      </c>
      <c r="B397" s="52" t="n">
        <v>46295</v>
      </c>
      <c r="C397" t="inlineStr">
        <is>
          <t>SUPERMERCADO · Día</t>
        </is>
      </c>
      <c r="E397" t="n">
        <v>4796</v>
      </c>
      <c r="F397">
        <f>IF(OR(D397&lt;&gt;"",E397&lt;&gt;""),IF(D397="",0,D397)+IF(E397="",0,E397),"")</f>
        <v/>
      </c>
      <c r="G397" t="inlineStr">
        <is>
          <t>Chris · SUPERMERCADO · Día · fecha 30/09</t>
        </is>
      </c>
    </row>
    <row r="398">
      <c r="A398" t="inlineStr">
        <is>
          <t>Septiembre</t>
        </is>
      </c>
      <c r="B398" s="52" t="n">
        <v>46295</v>
      </c>
      <c r="C398" t="inlineStr">
        <is>
          <t>SUPERMERCADO · Día</t>
        </is>
      </c>
      <c r="E398" t="n">
        <v>3952</v>
      </c>
      <c r="F398">
        <f>IF(OR(D398&lt;&gt;"",E398&lt;&gt;""),IF(D398="",0,D398)+IF(E398="",0,E398),"")</f>
        <v/>
      </c>
      <c r="G398" t="inlineStr">
        <is>
          <t>Chris · SUPERMERCADO · Día · fecha 30/09</t>
        </is>
      </c>
    </row>
    <row r="399">
      <c r="A399" t="inlineStr">
        <is>
          <t>Septiembre</t>
        </is>
      </c>
      <c r="B399" s="52" t="n">
        <v>46295</v>
      </c>
      <c r="C399" t="inlineStr">
        <is>
          <t>COMIDA · pollo</t>
        </is>
      </c>
      <c r="E399" t="n">
        <v>10295</v>
      </c>
      <c r="F399">
        <f>IF(OR(D399&lt;&gt;"",E399&lt;&gt;""),IF(D399="",0,D399)+IF(E399="",0,E399),"")</f>
        <v/>
      </c>
      <c r="G399" t="inlineStr">
        <is>
          <t>Chris · COMIDA · pollo · fecha 30/09</t>
        </is>
      </c>
    </row>
    <row r="400">
      <c r="A400" t="inlineStr">
        <is>
          <t>Septiembre</t>
        </is>
      </c>
      <c r="B400" s="52" t="n">
        <v>46295</v>
      </c>
      <c r="C400" t="inlineStr">
        <is>
          <t>SUPERMERCADO · Día</t>
        </is>
      </c>
      <c r="E400" t="n">
        <v>6480</v>
      </c>
      <c r="F400">
        <f>IF(OR(D400&lt;&gt;"",E400&lt;&gt;""),IF(D400="",0,D400)+IF(E400="",0,E400),"")</f>
        <v/>
      </c>
      <c r="G400" t="inlineStr">
        <is>
          <t>Chris · SUPERMERCADO · Día · fecha 30/09</t>
        </is>
      </c>
    </row>
    <row r="401">
      <c r="A401" t="inlineStr">
        <is>
          <t>Septiembre</t>
        </is>
      </c>
      <c r="B401" s="52" t="n">
        <v>46295</v>
      </c>
      <c r="C401" t="inlineStr">
        <is>
          <t>SUPERMERCADO · Día</t>
        </is>
      </c>
      <c r="E401" t="n">
        <v>4739</v>
      </c>
      <c r="F401">
        <f>IF(OR(D401&lt;&gt;"",E401&lt;&gt;""),IF(D401="",0,D401)+IF(E401="",0,E401),"")</f>
        <v/>
      </c>
      <c r="G401" t="inlineStr">
        <is>
          <t>Chris · SUPERMERCADO · Día · fecha 30/09</t>
        </is>
      </c>
    </row>
    <row r="402">
      <c r="A402" t="inlineStr">
        <is>
          <t>Septiembre</t>
        </is>
      </c>
      <c r="B402" s="52" t="n">
        <v>46295</v>
      </c>
      <c r="C402" t="inlineStr">
        <is>
          <t>PEDIDOS YA · COMIDA</t>
        </is>
      </c>
      <c r="E402" t="n">
        <v>23424</v>
      </c>
      <c r="F402">
        <f>IF(OR(D402&lt;&gt;"",E402&lt;&gt;""),IF(D402="",0,D402)+IF(E402="",0,E402),"")</f>
        <v/>
      </c>
      <c r="G402" t="inlineStr">
        <is>
          <t>Chris · PEDIDOS YA · COMIDA · fecha 30/09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fecha 30/09</t>
        </is>
      </c>
    </row>
    <row r="404">
      <c r="A404" t="inlineStr">
        <is>
          <t>Septiembre</t>
        </is>
      </c>
      <c r="B404" s="52" t="n">
        <v>46295</v>
      </c>
      <c r="C404" t="inlineStr">
        <is>
          <t>SUPERMERCADO · Día</t>
        </is>
      </c>
      <c r="E404" t="n">
        <v>5716</v>
      </c>
      <c r="F404">
        <f>IF(OR(D404&lt;&gt;"",E404&lt;&gt;""),IF(D404="",0,D404)+IF(E404="",0,E404),"")</f>
        <v/>
      </c>
      <c r="G404" t="inlineStr">
        <is>
          <t>Chris · SUPERMERCADO · Día · fecha 30/09</t>
        </is>
      </c>
    </row>
    <row r="405">
      <c r="A405" t="inlineStr">
        <is>
          <t>Septiembre</t>
        </is>
      </c>
      <c r="B405" s="52" t="n">
        <v>46295</v>
      </c>
      <c r="C405" t="inlineStr">
        <is>
          <t>SUPERMERCADO · Día</t>
        </is>
      </c>
      <c r="E405" t="n">
        <v>3768</v>
      </c>
      <c r="F405">
        <f>IF(OR(D405&lt;&gt;"",E405&lt;&gt;""),IF(D405="",0,D405)+IF(E405="",0,E405),"")</f>
        <v/>
      </c>
      <c r="G405" t="inlineStr">
        <is>
          <t>Chris · SUPERMERCADO · Día · fecha 30/09</t>
        </is>
      </c>
    </row>
    <row r="406">
      <c r="A406" t="inlineStr">
        <is>
          <t>Septiembre</t>
        </is>
      </c>
      <c r="B406" s="52" t="n">
        <v>46295</v>
      </c>
      <c r="C406" t="inlineStr">
        <is>
          <t>COMIDA · Vinos</t>
        </is>
      </c>
      <c r="E406" t="n">
        <v>17780</v>
      </c>
      <c r="F406">
        <f>IF(OR(D406&lt;&gt;"",E406&lt;&gt;""),IF(D406="",0,D406)+IF(E406="",0,E406),"")</f>
        <v/>
      </c>
      <c r="G406" t="inlineStr">
        <is>
          <t>Chris · COMIDA · Vinos · fecha 30/09</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fecha 30/09</t>
        </is>
      </c>
    </row>
    <row r="408">
      <c r="A408" t="inlineStr">
        <is>
          <t>Septiembre</t>
        </is>
      </c>
      <c r="B408" s="52" t="n">
        <v>46295</v>
      </c>
      <c r="C408" t="inlineStr">
        <is>
          <t>COMIDA · VERDULERÍA</t>
        </is>
      </c>
      <c r="E408" t="n">
        <v>7912</v>
      </c>
      <c r="F408">
        <f>IF(OR(D408&lt;&gt;"",E408&lt;&gt;""),IF(D408="",0,D408)+IF(E408="",0,E408),"")</f>
        <v/>
      </c>
      <c r="G408" t="inlineStr">
        <is>
          <t>Chris · COMIDA · VERDULERÍA · fecha 30/09</t>
        </is>
      </c>
    </row>
    <row r="409">
      <c r="A409" t="inlineStr">
        <is>
          <t>Septiembre</t>
        </is>
      </c>
      <c r="B409" s="52" t="n">
        <v>46295</v>
      </c>
      <c r="C409" t="inlineStr">
        <is>
          <t>COMIDA · pollo</t>
        </is>
      </c>
      <c r="E409" t="n">
        <v>10140</v>
      </c>
      <c r="F409">
        <f>IF(OR(D409&lt;&gt;"",E409&lt;&gt;""),IF(D409="",0,D409)+IF(E409="",0,E409),"")</f>
        <v/>
      </c>
      <c r="G409" t="inlineStr">
        <is>
          <t>Chris · COMIDA · pollo · fecha 30/09</t>
        </is>
      </c>
    </row>
    <row r="410">
      <c r="A410" t="inlineStr">
        <is>
          <t>Septiembre</t>
        </is>
      </c>
      <c r="B410" s="52" t="n">
        <v>46275</v>
      </c>
      <c r="C410" t="inlineStr">
        <is>
          <t>RAMON · Comida</t>
        </is>
      </c>
      <c r="D410" t="n">
        <v>131000</v>
      </c>
      <c r="F410">
        <f>IF(OR(D410&lt;&gt;"",E410&lt;&gt;""),IF(D410="",0,D410)+IF(E410="",0,E410),"")</f>
        <v/>
      </c>
      <c r="G410" t="inlineStr">
        <is>
          <t>RAMON · Comida · DR BARF · Cova Abreu Gibiana Del Valle · transferencia MP · ALMACEN SOL</t>
        </is>
      </c>
    </row>
    <row r="411">
      <c r="A411" t="inlineStr">
        <is>
          <t>Septiembre</t>
        </is>
      </c>
      <c r="B411" s="52" t="n">
        <v>46030</v>
      </c>
      <c r="C411" t="inlineStr">
        <is>
          <t>COMIDA · Pescadería Belgrano</t>
        </is>
      </c>
      <c r="D411" t="n">
        <v>12426</v>
      </c>
      <c r="F411">
        <f>IF(OR(D411&lt;&gt;"",E411&lt;&gt;""),IF(D411="",0,D411)+IF(E411="",0,E411),"")</f>
        <v/>
      </c>
      <c r="G411" t="inlineStr">
        <is>
          <t>AJUSTE SEPT · gasto origen Enero 08/01/2026 · no se pasó/rindió en el mes de origen por error · COMIDA · Pescadería Belgrano · Andres Javier Di Pasqua · MP cuenta · ALMACEN SOL</t>
        </is>
      </c>
    </row>
    <row r="412">
      <c r="A412" t="inlineStr">
        <is>
          <t>Septiembre</t>
        </is>
      </c>
      <c r="B412" s="52" t="n">
        <v>46059</v>
      </c>
      <c r="C412" t="inlineStr">
        <is>
          <t>COMIDA · Pescadería Belgrano</t>
        </is>
      </c>
      <c r="D412" t="n">
        <v>24852</v>
      </c>
      <c r="F412">
        <f>IF(OR(D412&lt;&gt;"",E412&lt;&gt;""),IF(D412="",0,D412)+IF(E412="",0,E412),"")</f>
        <v/>
      </c>
      <c r="G412" t="inlineStr">
        <is>
          <t>AJUSTE SEPT · gasto origen Febrero 06/02/2026 · no se pasó/rindió en el mes de origen por error · COMIDA · Pescadería Belgrano · Andres Javier Di Pasqua · MP cuenta · ALMACEN SOL</t>
        </is>
      </c>
    </row>
    <row r="413">
      <c r="A413" t="inlineStr">
        <is>
          <t>Septiembre</t>
        </is>
      </c>
      <c r="B413" s="52" t="n">
        <v>46153</v>
      </c>
      <c r="C413" t="inlineStr">
        <is>
          <t>COMIDA · Pescadería Belgrano</t>
        </is>
      </c>
      <c r="D413" t="n">
        <v>24852</v>
      </c>
      <c r="F413">
        <f>IF(OR(D413&lt;&gt;"",E413&lt;&gt;""),IF(D413="",0,D413)+IF(E413="",0,E413),"")</f>
        <v/>
      </c>
      <c r="G413" t="inlineStr">
        <is>
          <t>AJUSTE SEPT · gasto origen Mayo 11/05/2026 · no se pasó/rindió en el mes de origen por error · COMIDA · Pescadería Belgrano · Mercado Pago · Gmail Pago aprobado · ALMACEN SOL</t>
        </is>
      </c>
    </row>
    <row r="414">
      <c r="A414" t="inlineStr">
        <is>
          <t>Septiembre</t>
        </is>
      </c>
      <c r="B414" s="52" t="n">
        <v>46175</v>
      </c>
      <c r="C414" t="inlineStr">
        <is>
          <t>COMIDA · Pescadería Belgrano</t>
        </is>
      </c>
      <c r="D414" t="n">
        <v>32046</v>
      </c>
      <c r="F414">
        <f>IF(OR(D414&lt;&gt;"",E414&lt;&gt;""),IF(D414="",0,D414)+IF(E414="",0,E414),"")</f>
        <v/>
      </c>
      <c r="G414" t="inlineStr">
        <is>
          <t>AJUSTE SEPT · gasto origen Junio 02/06/2026 · no se pasó/rindió en el mes de origen por error · COMIDA · Pescadería Belgrano · Mercado Pago · Gmail Pago aprobado · ALMACEN SOL</t>
        </is>
      </c>
    </row>
    <row r="415">
      <c r="A415" t="inlineStr">
        <is>
          <t>Septiembre</t>
        </is>
      </c>
      <c r="B415" s="52" t="n">
        <v>46207</v>
      </c>
      <c r="C415" t="inlineStr">
        <is>
          <t>RAMON · Comida</t>
        </is>
      </c>
      <c r="D415" t="n">
        <v>149500</v>
      </c>
      <c r="F415">
        <f>IF(OR(D415&lt;&gt;"",E415&lt;&gt;""),IF(D415="",0,D415)+IF(E415="",0,E415),"")</f>
        <v/>
      </c>
      <c r="G415" t="inlineStr">
        <is>
          <t>AJUSTE SEPT · gasto origen Julio 04/07/2026 · no se pasó/rindió en el mes de origen por error · RAMON · Comida · DR BARF · pedido #462 · checkout $149.500 · ALMACEN SOL</t>
        </is>
      </c>
    </row>
    <row r="416">
      <c r="A416" t="inlineStr">
        <is>
          <t>Septiembre</t>
        </is>
      </c>
      <c r="B416" s="52" t="n">
        <v>46235</v>
      </c>
      <c r="C416" t="inlineStr">
        <is>
          <t>RAMON · Comida</t>
        </is>
      </c>
      <c r="D416" t="n">
        <v>176000</v>
      </c>
      <c r="F416">
        <f>IF(OR(D416&lt;&gt;"",E416&lt;&gt;""),IF(D416="",0,D416)+IF(E416="",0,E416),"")</f>
        <v/>
      </c>
      <c r="G416" t="inlineStr">
        <is>
          <t>AJUSTE SEPT · gasto origen Agosto 01/08/2026 · no se pasó/rindió en el mes de origen por error · RAMON · Comida · DR BARF · Gibiana Cova · BBVA · ALMACEN SOL</t>
        </is>
      </c>
    </row>
    <row r="417">
      <c r="A417" t="inlineStr">
        <is>
          <t>Septiembre</t>
        </is>
      </c>
      <c r="B417" s="52" t="n"/>
      <c r="F417">
        <f>IF(OR(D417&lt;&gt;"",E417&lt;&gt;""),IF(D417="",0,D417)+IF(E417="",0,E417),"")</f>
        <v/>
      </c>
    </row>
    <row r="418">
      <c r="A418" t="inlineStr">
        <is>
          <t>Septiembre</t>
        </is>
      </c>
      <c r="B418" s="52" t="n">
        <v>46256</v>
      </c>
      <c r="C418" t="inlineStr">
        <is>
          <t>RAMON · Otros</t>
        </is>
      </c>
      <c r="D418" t="n">
        <v>77200</v>
      </c>
      <c r="F418">
        <f>IF(OR(D418&lt;&gt;"",E418&lt;&gt;""),IF(D418="",0,D418)+IF(E418="",0,E418),"")</f>
        <v/>
      </c>
      <c r="G418" t="inlineStr">
        <is>
          <t>AJUSTE SEPT · gasto origen Agosto 22/08/2026 · no se pasó/rindió en el mes de origen por error · RAMON · Otros · Paws Pet Market · PetShop · BBVA VISA · 3 cuotas · ALMACEN SOL</t>
        </is>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17" t="n">
        <v>46307</v>
      </c>
      <c r="C428" s="14" t="inlineStr">
        <is>
          <t>RAMON · Comida</t>
        </is>
      </c>
      <c r="D428" s="27" t="n">
        <v>139100</v>
      </c>
      <c r="E428" s="28" t="n"/>
      <c r="F428" s="15">
        <f>IF(OR(D428&lt;&gt;"",E428&lt;&gt;""),IF(D428="",0,D428)+IF(E428="",0,E428),"")</f>
        <v/>
      </c>
      <c r="G428" s="14" t="inlineStr">
        <is>
          <t>RAMON · Comida · Almacén CIUDAD · carga 12/10/2026 · ALMACEN SOL</t>
        </is>
      </c>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6"/>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is>
          <t>3491192</t>
        </is>
      </c>
      <c r="G5" s="18" t="inlineStr"/>
      <c r="H5" s="14" t="inlineStr">
        <is>
          <t>Gmail factura 01/2026 $37.983,38 · cliente 3491192</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is>
          <t>3491192</t>
        </is>
      </c>
      <c r="G9" s="18" t="inlineStr"/>
      <c r="H9" s="14" t="inlineStr">
        <is>
          <t>Gmail factura 02/2026 $38.489,00 · cliente 3491192</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is>
          <t>3491192</t>
        </is>
      </c>
      <c r="G13" s="18" t="inlineStr"/>
      <c r="H13" s="14" t="inlineStr">
        <is>
          <t>Gmail factura 03/2026 $39.162,75 · cliente 3491192</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Consorcio de Propietarios · Pagado · Gmail Sent 7-abr</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04/2026 (Gmail)</t>
        </is>
      </c>
      <c r="D19" s="15" t="n">
        <v>46909</v>
      </c>
      <c r="E19" s="14" t="inlineStr"/>
      <c r="F19" s="18" t="inlineStr">
        <is>
          <t>3491192</t>
        </is>
      </c>
      <c r="G19" s="18" t="inlineStr"/>
      <c r="H19" s="14" t="inlineStr">
        <is>
          <t>Gmail factura 04/2026 $46.909,00 · cliente 3491192</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c r="B22" s="14" t="n"/>
      <c r="C22" s="14" t="n"/>
      <c r="D22" s="15" t="n"/>
      <c r="E22" s="14" t="n"/>
      <c r="F22" s="18" t="n"/>
      <c r="G22" s="18" t="n"/>
      <c r="H22" s="14" t="n"/>
      <c r="I22" s="14" t="n"/>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05/2026 (Gmail)</t>
        </is>
      </c>
      <c r="D24" s="15" t="n">
        <v>47939</v>
      </c>
      <c r="E24" s="14" t="inlineStr"/>
      <c r="F24" s="18" t="inlineStr">
        <is>
          <t>3491192</t>
        </is>
      </c>
      <c r="G24" s="18" t="inlineStr"/>
      <c r="H24" s="14" t="inlineStr">
        <is>
          <t>Gmail factura 05/2026 $47.939,00 · cliente 3491192</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(duplicado) ver fila pago MP 17/06 — no sumar</t>
        </is>
      </c>
      <c r="D28" s="15" t="n"/>
      <c r="E28" s="14" t="inlineStr">
        <is>
          <t>Mercado Pago</t>
        </is>
      </c>
      <c r="F28" s="18" t="inlineStr">
        <is>
          <t>3491192</t>
        </is>
      </c>
      <c r="G28" s="18" t="inlineStr"/>
      <c r="H28" s="14" t="inlineStr">
        <is>
          <t>SUPERSEDE · Telecentro Junio está en Detalle pago MP 17/06 $48.420 · Gmail factura 06/2026 $48.419,26</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Mayo 2026 (pago Gmail Sent 10/06)</t>
        </is>
      </c>
      <c r="D31" s="15" t="n">
        <v>246150</v>
      </c>
      <c r="E31" s="14" t="inlineStr">
        <is>
          <t>Transferencia</t>
        </is>
      </c>
      <c r="F31" s="18" t="inlineStr"/>
      <c r="G31" s="18" t="inlineStr"/>
      <c r="H31" s="14" t="inlineStr">
        <is>
          <t>Período mayo · Consorcio De Propietarios · Pagado · Gmail Sent</t>
        </is>
      </c>
      <c r="I31" s="14" t="inlineStr">
        <is>
          <t>Mayo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(duplicado) ver fila débito BBVA 30/06 — no sumar</t>
        </is>
      </c>
      <c r="D33" s="15" t="n"/>
      <c r="E33" s="14" t="inlineStr"/>
      <c r="F33" s="18" t="inlineStr"/>
      <c r="G33" s="18" t="inlineStr"/>
      <c r="H33" s="14" t="inlineStr">
        <is>
          <t>SUPERSEDE · Telecentro Julio está en Detalle débito 30/06 $31.999 · Gmail factura 07/2026 $31.999,00</t>
        </is>
      </c>
      <c r="I33" s="14" t="inlineStr">
        <is>
          <t>Julio</t>
        </is>
      </c>
    </row>
    <row r="34">
      <c r="A34" s="17" t="n">
        <v>46212</v>
      </c>
      <c r="B34" s="14" t="inlineStr">
        <is>
          <t>Expensas</t>
        </is>
      </c>
      <c r="C34" s="14" t="inlineStr">
        <is>
          <t>Expensas — Junio 2026 (pago Gmail Sent 09/07)</t>
        </is>
      </c>
      <c r="D34" s="15" t="n">
        <v>273500</v>
      </c>
      <c r="E34" s="14" t="inlineStr">
        <is>
          <t>Transferencia</t>
        </is>
      </c>
      <c r="F34" s="18" t="inlineStr"/>
      <c r="G34" s="18" t="inlineStr"/>
      <c r="H34" s="14" t="inlineStr">
        <is>
          <t>Período junio · Consorcio De Propietarios · Pagado · Gmail Sent</t>
        </is>
      </c>
      <c r="I34" s="14" t="inlineStr">
        <is>
          <t>Junio</t>
        </is>
      </c>
    </row>
    <row r="35">
      <c r="A35" s="17" t="n">
        <v>46235</v>
      </c>
      <c r="B35" s="14" t="inlineStr">
        <is>
          <t>Telecentro</t>
        </is>
      </c>
      <c r="C35" s="14" t="inlineStr">
        <is>
          <t>Telecentro CIUDAD — 08/2026 (Gmail) · cobro Visa *3200 24/07/2026</t>
        </is>
      </c>
      <c r="D35" s="15" t="n">
        <v>31999</v>
      </c>
      <c r="E35" s="14" t="inlineStr">
        <is>
          <t>BBVA Visa *3200</t>
        </is>
      </c>
      <c r="F35" s="18" t="inlineStr">
        <is>
          <t>3491192</t>
        </is>
      </c>
      <c r="G35" s="18" t="inlineStr"/>
      <c r="H35" s="14" t="inlineStr">
        <is>
          <t>Gmail factura 08/2026 $31.999,00 · cobro 24/07 · reemplaza recurrente $50.000</t>
        </is>
      </c>
      <c r="I35" s="14" t="inlineStr">
        <is>
          <t>Agosto</t>
        </is>
      </c>
    </row>
    <row r="36">
      <c r="A36" s="17" t="n">
        <v>46266</v>
      </c>
      <c r="B36" s="14" t="inlineStr">
        <is>
          <t>Telecentro</t>
        </is>
      </c>
      <c r="C36" s="14" t="inlineStr">
        <is>
          <t>Telecentro CIUDAD — 09/2026 (Gmail)</t>
        </is>
      </c>
      <c r="D36" s="15" t="n">
        <v>82364</v>
      </c>
      <c r="E36" s="14" t="n"/>
      <c r="F36" s="18" t="inlineStr">
        <is>
          <t>3491192</t>
        </is>
      </c>
      <c r="G36" s="18" t="inlineStr"/>
      <c r="H36" s="14" t="inlineStr">
        <is>
          <t>Gmail factura 09/2026 $82.363,35 · mes=período factura (no cobro Oct $69.659)</t>
        </is>
      </c>
      <c r="I36" s="14" t="inlineStr">
        <is>
          <t>Septiembre</t>
        </is>
      </c>
    </row>
    <row r="37">
      <c r="A37" s="17" t="n">
        <v>46296</v>
      </c>
      <c r="B37" s="14" t="inlineStr">
        <is>
          <t>Telecentro</t>
        </is>
      </c>
      <c r="C37" s="14" t="inlineStr">
        <is>
          <t>(duplicado) ver fila débito BBVA 25/09 — no sumar</t>
        </is>
      </c>
      <c r="D37" s="15" t="n"/>
      <c r="E37" s="14" t="inlineStr">
        <is>
          <t>Débito BBVA</t>
        </is>
      </c>
      <c r="F37" s="18" t="inlineStr">
        <is>
          <t>3491192</t>
        </is>
      </c>
      <c r="G37" s="18" t="inlineStr"/>
      <c r="H37" s="14" t="inlineStr">
        <is>
          <t>SUPERSEDE · Telecentro Octubre está en Detalle débito 25/09 $69.659 · Gmail factura 10/2026 $69.659,00</t>
        </is>
      </c>
      <c r="I37" s="14" t="inlineStr">
        <is>
          <t>Octubre</t>
        </is>
      </c>
    </row>
    <row r="38">
      <c r="A38" s="17" t="n">
        <v>46327</v>
      </c>
      <c r="B38" s="14" t="inlineStr">
        <is>
          <t>Telecentro</t>
        </is>
      </c>
      <c r="C38" s="14" t="inlineStr">
        <is>
          <t>Telecentro CIUDAD — sin factura Gmail aún (Noviembre)</t>
        </is>
      </c>
      <c r="D38" s="15" t="n"/>
      <c r="E38" s="14" t="inlineStr"/>
      <c r="F38" s="18" t="inlineStr"/>
      <c r="G38" s="18" t="inlineStr"/>
      <c r="H38" s="14" t="inlineStr">
        <is>
          <t>Sin mail ¡Ya está disponible tu factura! — no cargar placeholder</t>
        </is>
      </c>
      <c r="I38" s="14" t="inlineStr">
        <is>
          <t>Noviembre</t>
        </is>
      </c>
    </row>
    <row r="39">
      <c r="A39" s="17" t="n">
        <v>46357</v>
      </c>
      <c r="B39" s="14" t="inlineStr">
        <is>
          <t>Telecentro</t>
        </is>
      </c>
      <c r="C39" s="14" t="inlineStr">
        <is>
          <t>Telecentro CIUDAD — sin factura Gmail aún (Diciembre)</t>
        </is>
      </c>
      <c r="D39" s="15" t="n"/>
      <c r="E39" s="14" t="inlineStr"/>
      <c r="F39" s="18" t="inlineStr"/>
      <c r="G39" s="18" t="inlineStr"/>
      <c r="H39" s="14" t="inlineStr">
        <is>
          <t>Sin mail ¡Ya está disponible tu factura! — no cargar placeholder</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(no CIUDAD) ABL OHIGGINS partida 3016365 — ver OHIGGINS/Detalle</t>
        </is>
      </c>
      <c r="D52" s="26" t="n"/>
      <c r="E52" t="inlineStr">
        <is>
          <t>Mercado Pago — Dinero disponible</t>
        </is>
      </c>
      <c r="H52" t="inlineStr">
        <is>
          <t>SUPERSEDE · monto 88141 es OHIGGINS (&gt;80k) · no sumar a CIUDAD</t>
        </is>
      </c>
      <c r="I52" t="inlineStr">
        <is>
          <t>Marzo</t>
        </is>
      </c>
    </row>
    <row r="53">
      <c r="A53" s="25" t="n">
        <v>46066</v>
      </c>
      <c r="B53" t="inlineStr">
        <is>
          <t>ABL</t>
        </is>
      </c>
      <c r="C53" t="inlineStr">
        <is>
          <t>(no CIUDAD) ABL OHIGGINS partida 3016365 — ver OHIGGINS/Detalle</t>
        </is>
      </c>
      <c r="D53" s="26" t="n"/>
      <c r="E53" t="inlineStr">
        <is>
          <t>Mercado Pago — Dinero disponible</t>
        </is>
      </c>
      <c r="H53" t="inlineStr">
        <is>
          <t>SUPERSEDE · monto 83757 es OHIGGINS (&gt;80k) · no sumar a CIUDAD</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t="n">
        <v>1533385</v>
      </c>
      <c r="E63" t="inlineStr">
        <is>
          <t>Sol 1.296.281 + Chris 237.104</t>
        </is>
      </c>
      <c r="H63" t="inlineStr">
        <is>
          <t>Almacén Sept · Sol $1.296.281 · Chris $237.104 · incl. AJUSTE SEPT · conciliación 12/10/2026</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c r="H72" t="inlineStr">
        <is>
          <t>Gmail factura 06/2026 $48.419,26 · pago MP; mes=Junio</t>
        </is>
      </c>
      <c r="I72" t="inlineStr">
        <is>
          <t>Junio</t>
        </is>
      </c>
    </row>
    <row r="73">
      <c r="A73" s="53" t="n">
        <v>46203</v>
      </c>
      <c r="B73" s="14" t="inlineStr">
        <is>
          <t>Telecentro</t>
        </is>
      </c>
      <c r="C73" s="14" t="inlineStr">
        <is>
          <t>Telecentro CIUDAD — débito BBVA 30/06/2026 (julio)</t>
        </is>
      </c>
      <c r="D73" s="15" t="n">
        <v>31999</v>
      </c>
      <c r="E73" s="14" t="inlineStr">
        <is>
          <t>Débito BBVA</t>
        </is>
      </c>
      <c r="F73" s="18" t="inlineStr">
        <is>
          <t>3491192</t>
        </is>
      </c>
      <c r="H73" t="inlineStr">
        <is>
          <t>Gmail factura 07/2026 $31.999,00 · débito BBVA; mes=Julio</t>
        </is>
      </c>
      <c r="I73" t="inlineStr">
        <is>
          <t>Julio</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F76" t="inlineStr">
        <is>
          <t>3491192</t>
        </is>
      </c>
      <c r="H76" t="inlineStr">
        <is>
          <t>Gmail Telecentro 10/2026 $69.659 + Compra aprobada; mes=período factura Octubre (cobro 25/09)</t>
        </is>
      </c>
      <c r="I76" t="inlineStr">
        <is>
          <t>Octubre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2" t="n">
        <v>46244</v>
      </c>
      <c r="B82" t="inlineStr">
        <is>
          <t>Expensas</t>
        </is>
      </c>
      <c r="C82" t="inlineStr">
        <is>
          <t>Expensas — Julio 2026 (pago Gmail Sent 10/08)</t>
        </is>
      </c>
      <c r="D82" t="n">
        <v>300850</v>
      </c>
      <c r="E82" t="inlineStr">
        <is>
          <t>Transferencia</t>
        </is>
      </c>
      <c r="H82" t="inlineStr">
        <is>
          <t>Período julio · De Filippo · UF 2 1-A · pagado 10/08 · Gmail Sent · op MP 173005218278</t>
        </is>
      </c>
      <c r="I82" t="inlineStr">
        <is>
          <t>Julio</t>
        </is>
      </c>
    </row>
    <row r="83">
      <c r="A83" s="52" t="n">
        <v>46252</v>
      </c>
      <c r="B83" t="inlineStr">
        <is>
          <t>Metrogas</t>
        </is>
      </c>
      <c r="C83" t="inlineStr">
        <is>
          <t>Metrogas CIUDAD · vence 18/08/2026 · emisión 05/08/2026 (débito automático; mes = vencimiento)</t>
        </is>
      </c>
      <c r="D83" t="n">
        <v>73187</v>
      </c>
      <c r="E83" t="inlineStr">
        <is>
          <t>Débito automático BBVA Visa</t>
        </is>
      </c>
      <c r="F83" t="inlineStr">
        <is>
          <t>30010996459</t>
        </is>
      </c>
      <c r="G83" t="inlineStr">
        <is>
          <t>40049923</t>
        </is>
      </c>
      <c r="H83" t="inlineStr">
        <is>
          <t>ceil desde $73.186,92 · período consumo 06/06–07/07/2026 · mes gasto = cobro/vencimiento</t>
        </is>
      </c>
    </row>
    <row r="84">
      <c r="A84" s="52" t="n">
        <v>46248</v>
      </c>
      <c r="B84" t="inlineStr">
        <is>
          <t>ABL</t>
        </is>
      </c>
      <c r="C84" t="inlineStr">
        <is>
          <t>Agip ABL GCBA · partida 397789 · CUOTA 08/2026</t>
        </is>
      </c>
      <c r="D84" t="n">
        <v>41344</v>
      </c>
      <c r="E84" t="inlineStr">
        <is>
          <t>Mercado Pago — Dinero disponible</t>
        </is>
      </c>
      <c r="H84" t="inlineStr">
        <is>
          <t>ceil desde $41.343,91 · 1° vto 14/08/2026 · CIUDAD 1132 · Sol paga MP</t>
        </is>
      </c>
    </row>
    <row r="85">
      <c r="A85" s="52" t="n">
        <v>46235</v>
      </c>
      <c r="B85" t="inlineStr">
        <is>
          <t>LIMPIEZA CASA</t>
        </is>
      </c>
      <c r="C85" t="inlineStr">
        <is>
          <t>LIMPIEZA CASA — Agosto 2026</t>
        </is>
      </c>
      <c r="D85" t="n">
        <v>567080</v>
      </c>
      <c r="E85" t="inlineStr">
        <is>
          <t>Mercado Pago — Dinero disponible</t>
        </is>
      </c>
      <c r="H85" t="inlineStr">
        <is>
          <t>Transferencia MP · Susana Carmen Ortiz consolidado (8/8 123240; 16/8 126240; 22/8 154800+3800; 29/8 150000+9000)</t>
        </is>
      </c>
    </row>
    <row r="86">
      <c r="A86" s="52" t="n">
        <v>46204</v>
      </c>
      <c r="B86" t="inlineStr">
        <is>
          <t>LIMPIEZA CASA</t>
        </is>
      </c>
      <c r="C86" t="inlineStr">
        <is>
          <t>LIMPIEZA CASA — Julio 2026</t>
        </is>
      </c>
      <c r="D86" t="n">
        <v>653120</v>
      </c>
      <c r="E86" t="inlineStr">
        <is>
          <t>Mercado Pago — Dinero disponible</t>
        </is>
      </c>
      <c r="H86" t="inlineStr">
        <is>
          <t>Transferencia MP · Susana Carmen Ortiz consolidado (5/7 9500+123240; 12/7 120240; 18/7 147660; 25/7 126240; 31/7 126240)</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5"/>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row r="214">
      <c r="A214" s="52" t="n">
        <v>46280</v>
      </c>
      <c r="B214" t="inlineStr">
        <is>
          <t>Septiembre</t>
        </is>
      </c>
      <c r="C214" t="inlineStr">
        <is>
          <t>Pago de resumen TC</t>
        </is>
      </c>
      <c r="D214" t="inlineStr">
        <is>
          <t>Pagaste una parte del resumen de tu tarjeta · Gmail</t>
        </is>
      </c>
      <c r="E214" t="n">
        <v>1214000</v>
      </c>
      <c r="F214" t="inlineStr">
        <is>
          <t>ARS</t>
        </is>
      </c>
    </row>
    <row r="215">
      <c r="A215" s="52" t="n">
        <v>46282</v>
      </c>
      <c r="B215" t="inlineStr">
        <is>
          <t>Septiembre</t>
        </is>
      </c>
      <c r="C215" t="inlineStr">
        <is>
          <t>Pago de resumen TC</t>
        </is>
      </c>
      <c r="D215" t="inlineStr">
        <is>
          <t>Pagaste una parte del resumen de tu tarjeta · Gmail</t>
        </is>
      </c>
      <c r="E215" t="n">
        <v>1000000</v>
      </c>
      <c r="F215" t="inlineStr">
        <is>
          <t>ARS</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row r="31">
      <c r="A31" s="52" t="n">
        <v>46280</v>
      </c>
      <c r="B31" t="inlineStr">
        <is>
          <t>Septiembre</t>
        </is>
      </c>
      <c r="C31" t="inlineStr">
        <is>
          <t>Tarjeta de crédito</t>
        </is>
      </c>
      <c r="D31" t="n">
        <v>1214000</v>
      </c>
      <c r="E31" t="inlineStr">
        <is>
          <t>Mercado Pago</t>
        </is>
      </c>
      <c r="F31" t="inlineStr">
        <is>
          <t>Pago parcial resumen · Gmail · espejo MP No Gasto</t>
        </is>
      </c>
    </row>
    <row r="32">
      <c r="A32" s="52" t="n">
        <v>46282</v>
      </c>
      <c r="B32" t="inlineStr">
        <is>
          <t>Septiembre</t>
        </is>
      </c>
      <c r="C32" t="inlineStr">
        <is>
          <t>Tarjeta de crédito</t>
        </is>
      </c>
      <c r="D32" t="n">
        <v>1000000</v>
      </c>
      <c r="E32" t="inlineStr">
        <is>
          <t>Mercado Pago</t>
        </is>
      </c>
      <c r="F32" t="inlineStr">
        <is>
          <t>Pago parcial resumen · Gmail · espejo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Patagonia CBU 0340116900116010765007 / CUIL 30714962473 · período julio 2026 (Gmail Sent 10/08 · op 173005218278)</t>
        </is>
      </c>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59"/>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3">
      <c r="A3" s="52" t="n"/>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MOVIDO → Almacén</t>
        </is>
      </c>
      <c r="D31" s="15" t="n"/>
      <c r="E31" s="14" t="n"/>
      <c r="F31" s="14" t="inlineStr">
        <is>
          <t>SUPERSEDE · Pescadería Belgrano / Andres Javier Di Pasqua $12426 → Almacen Detalle · Septiembre AJUSTE (origen no rendido por error)</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MOVIDO → Almacén</t>
        </is>
      </c>
      <c r="D57" s="15" t="n"/>
      <c r="E57" s="14" t="n"/>
      <c r="F57" s="14" t="inlineStr">
        <is>
          <t>SUPERSEDE · Pescadería Belgrano / Andres Javier Di Pasqua $24852 → Almacen Detalle · Septiembre AJUSTE (origen no rendido por error)</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MOVIDO → Almacén</t>
        </is>
      </c>
      <c r="D155" s="26" t="n"/>
      <c r="F155" t="inlineStr">
        <is>
          <t>SUPERSEDE · Pescadería Belgrano $24852 → Almacen Detalle · Septiembre AJUSTE · COMIDA · Pescadería Belgrano (no GPS)</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MOVIDO → Almacén</t>
        </is>
      </c>
      <c r="D173" s="26" t="n"/>
      <c r="F173" t="inlineStr">
        <is>
          <t>SUPERSEDE · Pescadería Belgrano $32046 → Almacen Detalle · Septiembre AJUSTE · COMIDA · Pescadería Belgrano (no GPS)</t>
        </is>
      </c>
    </row>
    <row r="174">
      <c r="A174" s="54" t="n">
        <v>46175</v>
      </c>
      <c r="B174" t="inlineStr">
        <is>
          <t>Junio</t>
        </is>
      </c>
      <c r="C174" t="inlineStr">
        <is>
          <t>Courier</t>
        </is>
      </c>
      <c r="D174" s="26" t="n">
        <v>22500</v>
      </c>
      <c r="E174" t="inlineStr">
        <is>
          <t>Mercado Pago</t>
        </is>
      </c>
      <c r="F174" t="inlineStr">
        <is>
          <t>Courier · Correo Oficial · Gmail Pago aprobado · $22.500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Courier</t>
        </is>
      </c>
      <c r="D182" s="26" t="n">
        <v>48000</v>
      </c>
      <c r="E182" t="inlineStr">
        <is>
          <t>Mercado Pago</t>
        </is>
      </c>
      <c r="F182" t="inlineStr">
        <is>
          <t>Courier · Correo Oficial · Gmail Pago aprobado · $48.000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Courier</t>
        </is>
      </c>
      <c r="D842" t="n">
        <v>24000</v>
      </c>
      <c r="E842" t="inlineStr">
        <is>
          <t>Mercado Pago</t>
        </is>
      </c>
      <c r="F842" t="inlineStr">
        <is>
          <t>Courier · Correo Oficial · Gmail Pago aprobado · $24.000 · gasto personal Sol</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MOVIDO → Almacén</t>
        </is>
      </c>
      <c r="F861" t="inlineStr">
        <is>
          <t>SUPERSEDE · DR BARF / Gibiana Cova → Almacen Detalle · RAMON · Comida (no GPS)</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2" t="n">
        <v>46237</v>
      </c>
      <c r="B944" t="inlineStr">
        <is>
          <t>Agosto</t>
        </is>
      </c>
      <c r="C944" t="inlineStr">
        <is>
          <t>COMIDA · Oficina</t>
        </is>
      </c>
      <c r="D944" t="n">
        <v>11010</v>
      </c>
      <c r="E944" t="inlineStr">
        <is>
          <t>Mercado Pago</t>
        </is>
      </c>
      <c r="F944" t="inlineStr">
        <is>
          <t>COMIDA · Oficina · Copetin Catering · Gmail Pago aprobado</t>
        </is>
      </c>
    </row>
    <row r="945">
      <c r="A945" s="52" t="n">
        <v>46239</v>
      </c>
      <c r="B945" t="inlineStr">
        <is>
          <t>Agosto</t>
        </is>
      </c>
      <c r="C945" t="inlineStr">
        <is>
          <t>VESTIMENTA</t>
        </is>
      </c>
      <c r="D945" t="n">
        <v>152000</v>
      </c>
      <c r="E945" t="inlineStr">
        <is>
          <t>Mercado Pago</t>
        </is>
      </c>
      <c r="F945" t="inlineStr">
        <is>
          <t>VESTIMENTA · Renová tu vestidor · Gmail Pago aprobado · gasto personal Sol</t>
        </is>
      </c>
    </row>
    <row r="946">
      <c r="A946" s="52" t="n">
        <v>46243</v>
      </c>
      <c r="B946" t="inlineStr">
        <is>
          <t>Agosto</t>
        </is>
      </c>
      <c r="C946" t="inlineStr">
        <is>
          <t>SALUD</t>
        </is>
      </c>
      <c r="D946" t="n">
        <v>22222</v>
      </c>
      <c r="E946" t="inlineStr">
        <is>
          <t>Mercado Pago</t>
        </is>
      </c>
      <c r="F946" t="inlineStr">
        <is>
          <t>SALUD · Siendo Consciencia · Gmail Pago aprobado · REVISAR ítem</t>
        </is>
      </c>
    </row>
    <row r="947">
      <c r="A947" s="52" t="n">
        <v>46243</v>
      </c>
      <c r="B947" t="inlineStr">
        <is>
          <t>Agosto</t>
        </is>
      </c>
      <c r="C947" t="inlineStr">
        <is>
          <t>SALUD</t>
        </is>
      </c>
      <c r="D947" t="n">
        <v>24000</v>
      </c>
      <c r="E947" t="inlineStr">
        <is>
          <t>Mercado Pago</t>
        </is>
      </c>
      <c r="F947" t="inlineStr">
        <is>
          <t>SALUD · Lorena Ferreyra · Gmail Pago aprobado · REVISAR ítem</t>
        </is>
      </c>
    </row>
    <row r="948">
      <c r="A948" s="52" t="n">
        <v>46243</v>
      </c>
      <c r="B948" t="inlineStr">
        <is>
          <t>Agosto</t>
        </is>
      </c>
      <c r="C948" t="inlineStr">
        <is>
          <t>SALUD</t>
        </is>
      </c>
      <c r="D948" t="n">
        <v>75000</v>
      </c>
      <c r="E948" t="inlineStr">
        <is>
          <t>Mercado Pago</t>
        </is>
      </c>
      <c r="F948" t="inlineStr">
        <is>
          <t>SALUD · Lorena Ferreyra · Gmail Pago aprobado · REVISAR ítem</t>
        </is>
      </c>
    </row>
    <row r="949">
      <c r="A949" s="52" t="n">
        <v>46244</v>
      </c>
      <c r="B949" t="inlineStr">
        <is>
          <t>Agosto</t>
        </is>
      </c>
      <c r="C949" t="inlineStr">
        <is>
          <t>SALUD</t>
        </is>
      </c>
      <c r="D949" t="n">
        <v>356000</v>
      </c>
      <c r="E949" t="inlineStr">
        <is>
          <t>BBVA Crédito ****3200</t>
        </is>
      </c>
      <c r="F949" t="inlineStr">
        <is>
          <t>SALUD · Reiki · Gmail Pago aprobado · gasto personal Sol</t>
        </is>
      </c>
    </row>
    <row r="950">
      <c r="A950" s="52" t="n">
        <v>46244</v>
      </c>
      <c r="B950" t="inlineStr">
        <is>
          <t>Agosto</t>
        </is>
      </c>
      <c r="C950" t="inlineStr">
        <is>
          <t>COMIDA · Oficina</t>
        </is>
      </c>
      <c r="D950" t="n">
        <v>13600</v>
      </c>
      <c r="E950" t="inlineStr">
        <is>
          <t>TC Mercado Pago</t>
        </is>
      </c>
      <c r="F950" t="inlineStr">
        <is>
          <t>COMIDA · Oficina · Copetin Catering · Gmail Pago aprobado</t>
        </is>
      </c>
    </row>
    <row r="951">
      <c r="A951" s="52" t="n">
        <v>46255</v>
      </c>
      <c r="B951" t="inlineStr">
        <is>
          <t>Agosto</t>
        </is>
      </c>
      <c r="C951" t="inlineStr">
        <is>
          <t>SALUD</t>
        </is>
      </c>
      <c r="D951" t="n">
        <v>27000</v>
      </c>
      <c r="E951" t="inlineStr">
        <is>
          <t>Mercado Pago</t>
        </is>
      </c>
      <c r="F951" t="inlineStr">
        <is>
          <t>SALUD · Karen · Gmail Pago aprobado · REVISAR ítem</t>
        </is>
      </c>
    </row>
    <row r="952">
      <c r="A952" s="52" t="n">
        <v>46262</v>
      </c>
      <c r="B952" t="inlineStr">
        <is>
          <t>Agosto</t>
        </is>
      </c>
      <c r="C952" t="inlineStr">
        <is>
          <t>EDUCACIÓN</t>
        </is>
      </c>
      <c r="D952" t="n">
        <v>30000</v>
      </c>
      <c r="E952" t="inlineStr">
        <is>
          <t>Mercado Pago</t>
        </is>
      </c>
      <c r="F952" t="inlineStr">
        <is>
          <t>EDUCACIÓN · Bitgenia · Gmail Pago aprobado · gasto personal Sol</t>
        </is>
      </c>
    </row>
    <row r="953">
      <c r="A953" s="52" t="n">
        <v>46235</v>
      </c>
      <c r="B953" t="inlineStr">
        <is>
          <t>Agosto</t>
        </is>
      </c>
      <c r="C953" t="inlineStr">
        <is>
          <t>MOVIDO → Almacén</t>
        </is>
      </c>
      <c r="F953" t="inlineStr">
        <is>
          <t>SUPERSEDE · DR BARF / Gibiana Cova → Almacen Detalle · RAMON · Comida (no GPS)</t>
        </is>
      </c>
    </row>
    <row r="954">
      <c r="A954" s="52" t="n">
        <v>46299</v>
      </c>
      <c r="B954" t="inlineStr">
        <is>
          <t>Octubre</t>
        </is>
      </c>
      <c r="C954" t="inlineStr">
        <is>
          <t>FARMACIA SALUD</t>
        </is>
      </c>
      <c r="D954" t="n">
        <v>17038</v>
      </c>
      <c r="E954" t="inlineStr">
        <is>
          <t>Mercado Pago</t>
        </is>
      </c>
      <c r="F954" t="inlineStr">
        <is>
          <t>FARMACIA SALUD · Hiperfarmaceutica Temperley · Gmail Pago aprobado</t>
        </is>
      </c>
    </row>
    <row r="955">
      <c r="A955" s="52" t="n">
        <v>46300</v>
      </c>
      <c r="B955" t="inlineStr">
        <is>
          <t>Octubre</t>
        </is>
      </c>
      <c r="C955" t="inlineStr">
        <is>
          <t>VIAJES</t>
        </is>
      </c>
      <c r="D955" t="n">
        <v>1430000</v>
      </c>
      <c r="E955" t="inlineStr">
        <is>
          <t>TC Mercado Pago</t>
        </is>
      </c>
      <c r="F955" t="inlineStr">
        <is>
          <t>VIAJES · regalo Chris Cumple 50 · MARPATAG SRL · Gmail Pago aprobado · gasto personal Sol</t>
        </is>
      </c>
    </row>
    <row r="956">
      <c r="A956" s="52" t="n">
        <v>46304</v>
      </c>
      <c r="B956" t="inlineStr">
        <is>
          <t>Octubre</t>
        </is>
      </c>
      <c r="C956" t="inlineStr">
        <is>
          <t>PELUQUERÍA</t>
        </is>
      </c>
      <c r="D956" t="n">
        <v>7000</v>
      </c>
      <c r="E956" t="inlineStr">
        <is>
          <t>Mercado Pago</t>
        </is>
      </c>
      <c r="F956" t="inlineStr">
        <is>
          <t>PELUQUERÍA · Soy lashista · Gmail Pago aprobado (2 mails mismo monto; se carga 1)</t>
        </is>
      </c>
    </row>
    <row r="957">
      <c r="A957" s="52" t="n">
        <v>46306</v>
      </c>
      <c r="B957" t="inlineStr">
        <is>
          <t>Octubre</t>
        </is>
      </c>
      <c r="C957" t="inlineStr">
        <is>
          <t>VIAJES</t>
        </is>
      </c>
      <c r="D957" t="n">
        <v>1143000</v>
      </c>
      <c r="E957" t="inlineStr">
        <is>
          <t>BBVA Crédito ****3200</t>
        </is>
      </c>
      <c r="F957" t="inlineStr">
        <is>
          <t>VIAJES · regalo Chris Cumple 50 · Patagonia Chic Excursiones · Gmail Pago aprobado · 1 cuota · gasto personal Sol</t>
        </is>
      </c>
    </row>
    <row r="958">
      <c r="A958" s="52" t="n">
        <v>46254</v>
      </c>
      <c r="B958" t="inlineStr">
        <is>
          <t>Agosto</t>
        </is>
      </c>
      <c r="C958" t="inlineStr">
        <is>
          <t>Courier</t>
        </is>
      </c>
      <c r="D958" t="n">
        <v>24000</v>
      </c>
      <c r="E958" t="inlineStr">
        <is>
          <t>Mercado Pago</t>
        </is>
      </c>
      <c r="F958" t="inlineStr">
        <is>
          <t>Courier · Correo Oficial · Gmail Pago aprobado · $24.000 · gasto personal Sol</t>
        </is>
      </c>
    </row>
    <row r="959">
      <c r="A959" s="52" t="n">
        <v>46250</v>
      </c>
      <c r="B959" t="inlineStr">
        <is>
          <t>Agosto</t>
        </is>
      </c>
      <c r="C959" t="inlineStr">
        <is>
          <t>ENTRETENIMIENTO · Comidas</t>
        </is>
      </c>
      <c r="D959" t="n">
        <v>1060501</v>
      </c>
      <c r="E959" t="inlineStr">
        <is>
          <t>BBVA VISA</t>
        </is>
      </c>
      <c r="F959" t="inlineStr">
        <is>
          <t>ENTRETENIMIENTO · Comidas · Gardiner Restaurant · BBVA VISA · mesa 9 · gasto personal Sol (no Almacén) · 16/08/2026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2026-10-12T22:46:24Z</dcterms:modified>
</cp:coreProperties>
</file>
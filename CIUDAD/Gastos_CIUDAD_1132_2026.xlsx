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Ingresos Sol" sheetId="7" state="visible" r:id="rId7"/>
    <sheet name="MELI" sheetId="8" state="visible" r:id="rId8"/>
    <sheet name="Pago de Tarjetas" sheetId="9" state="visible" r:id="rId9"/>
    <sheet name="Expensas Consorcios" sheetId="10" state="visible" r:id="rId10"/>
    <sheet name="Gasto Personal Sol" sheetId="11" state="visible" r:id="rId11"/>
  </sheets>
  <definedNames>
    <definedName name="_xlnm._FilterDatabase" localSheetId="2" hidden="1">'Detalle'!$A$3:$I$51</definedName>
    <definedName name="_xlnm._FilterDatabase" localSheetId="4" hidden="1">'Inversión'!$A$23:$J$223</definedName>
    <definedName name="_xlnm._FilterDatabase" localSheetId="7" hidden="1">'MELI'!$A$78:$P$86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[$ARS] #,##0"/>
    <numFmt numFmtId="167" formatCode="[$ARS] #,##0.00"/>
  </numFmts>
  <fonts count="1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  <font>
      <name val="Calibri"/>
      <b val="1"/>
      <sz val="14"/>
    </font>
    <font>
      <name val="Calibri"/>
      <i val="1"/>
      <color rgb="00666666"/>
      <sz val="10"/>
    </font>
    <font>
      <name val="Calibri"/>
      <sz val="11"/>
    </font>
    <font>
      <name val="Calibri"/>
      <b val="1"/>
      <color rgb="001F4E78"/>
      <sz val="15"/>
    </font>
    <font>
      <i val="1"/>
      <color rgb="00666666"/>
      <sz val="10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EAF2F8"/>
      </patternFill>
    </fill>
  </fills>
  <borders count="9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4" fillId="9" borderId="6" pivotButton="0" quotePrefix="0" xfId="0"/>
    <xf numFmtId="0" fontId="15" fillId="10" borderId="6" pivotButton="0" quotePrefix="0" xfId="0"/>
    <xf numFmtId="3" fontId="15" fillId="10" borderId="6" pivotButton="0" quotePrefix="0" xfId="0"/>
    <xf numFmtId="0" fontId="15" fillId="0" borderId="6" pivotButton="0" quotePrefix="0" xfId="0"/>
    <xf numFmtId="9" fontId="15" fillId="10" borderId="6" pivotButton="0" quotePrefix="0" xfId="0"/>
    <xf numFmtId="165" fontId="15" fillId="10" borderId="6" pivotButton="0" quotePrefix="0" xfId="0"/>
    <xf numFmtId="3" fontId="0" fillId="0" borderId="6" pivotButton="0" quotePrefix="0" xfId="0"/>
    <xf numFmtId="0" fontId="0" fillId="0" borderId="6" pivotButton="0" quotePrefix="0" xfId="0"/>
    <xf numFmtId="165" fontId="0" fillId="0" borderId="6" pivotButton="0" quotePrefix="0" xfId="0"/>
    <xf numFmtId="0" fontId="4" fillId="11" borderId="6" pivotButton="0" quotePrefix="0" xfId="0"/>
    <xf numFmtId="3" fontId="4" fillId="11" borderId="6" pivotButton="0" quotePrefix="0" xfId="0"/>
    <xf numFmtId="0" fontId="0" fillId="11" borderId="6" pivotButton="0" quotePrefix="0" xfId="0"/>
    <xf numFmtId="165" fontId="15" fillId="0" borderId="6" pivotButton="0" quotePrefix="0" xfId="0"/>
    <xf numFmtId="3" fontId="15" fillId="0" borderId="6" pivotButton="0" quotePrefix="0" xfId="0"/>
    <xf numFmtId="0" fontId="15" fillId="0" borderId="7" pivotButton="0" quotePrefix="0" xfId="0"/>
    <xf numFmtId="3" fontId="15" fillId="0" borderId="7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12" borderId="0" applyAlignment="1" pivotButton="0" quotePrefix="0" xfId="0">
      <alignment vertical="center"/>
    </xf>
    <xf numFmtId="0" fontId="0" fillId="12" borderId="0" pivotButton="0" quotePrefix="0" xfId="0"/>
    <xf numFmtId="0" fontId="0" fillId="11" borderId="8" pivotButton="0" quotePrefix="0" xfId="0"/>
    <xf numFmtId="166" fontId="0" fillId="11" borderId="8" pivotButton="0" quotePrefix="0" xfId="0"/>
    <xf numFmtId="1" fontId="0" fillId="11" borderId="8" pivotButton="0" quotePrefix="0" xfId="0"/>
    <xf numFmtId="10" fontId="0" fillId="11" borderId="8" pivotButton="0" quotePrefix="0" xfId="0"/>
    <xf numFmtId="165" fontId="0" fillId="11" borderId="8" pivotButton="0" quotePrefix="0" xfId="0"/>
    <xf numFmtId="0" fontId="0" fillId="13" borderId="8" pivotButton="0" quotePrefix="0" xfId="0"/>
    <xf numFmtId="166" fontId="0" fillId="13" borderId="8" pivotButton="0" quotePrefix="0" xfId="0"/>
    <xf numFmtId="0" fontId="0" fillId="14" borderId="8" pivotButton="0" quotePrefix="0" xfId="0"/>
    <xf numFmtId="166" fontId="0" fillId="14" borderId="8" pivotButton="0" quotePrefix="0" xfId="0"/>
    <xf numFmtId="0" fontId="0" fillId="3" borderId="8" pivotButton="0" quotePrefix="0" xfId="0"/>
    <xf numFmtId="166" fontId="0" fillId="3" borderId="8" pivotButton="0" quotePrefix="0" xfId="0"/>
    <xf numFmtId="10" fontId="0" fillId="13" borderId="8" pivotButton="0" quotePrefix="0" xfId="0"/>
    <xf numFmtId="0" fontId="7" fillId="12" borderId="8" pivotButton="0" quotePrefix="0" xfId="0"/>
    <xf numFmtId="166" fontId="0" fillId="0" borderId="8" pivotButton="0" quotePrefix="0" xfId="0"/>
    <xf numFmtId="10" fontId="0" fillId="0" borderId="8" pivotButton="0" quotePrefix="0" xfId="0"/>
    <xf numFmtId="0" fontId="0" fillId="0" borderId="0" applyAlignment="1" pivotButton="0" quotePrefix="0" xfId="0">
      <alignment vertical="top" wrapText="1"/>
    </xf>
    <xf numFmtId="0" fontId="18" fillId="12" borderId="0" pivotButton="0" quotePrefix="0" xfId="0"/>
    <xf numFmtId="0" fontId="7" fillId="12" borderId="8" applyAlignment="1" pivotButton="0" quotePrefix="0" xfId="0">
      <alignment wrapText="1"/>
    </xf>
    <xf numFmtId="0" fontId="0" fillId="0" borderId="8" pivotButton="0" quotePrefix="0" xfId="0"/>
    <xf numFmtId="165" fontId="0" fillId="0" borderId="8" pivotButton="0" quotePrefix="0" xfId="0"/>
    <xf numFmtId="167" fontId="0" fillId="0" borderId="8" pivotButton="0" quotePrefix="0" xfId="0"/>
    <xf numFmtId="167" fontId="0" fillId="13" borderId="8" pivotButton="0" quotePrefix="0" xfId="0"/>
    <xf numFmtId="0" fontId="6" fillId="11" borderId="8" pivotButton="0" quotePrefix="0" xfId="0"/>
    <xf numFmtId="167" fontId="6" fillId="11" borderId="8" pivotButton="0" quotePrefix="0" xfId="0"/>
    <xf numFmtId="167" fontId="0" fillId="11" borderId="8" pivotButton="0" quotePrefix="0" xfId="0"/>
    <xf numFmtId="167" fontId="0" fillId="0" borderId="8" pivotButton="0" quotePrefix="0" xfId="0"/>
    <xf numFmtId="167" fontId="0" fillId="13" borderId="8" pivotButton="0" quotePrefix="0" xfId="0"/>
    <xf numFmtId="167" fontId="6" fillId="11" borderId="8" pivotButton="0" quotePrefix="0" xfId="0"/>
    <xf numFmtId="167" fontId="0" fillId="11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Cursor</author>
  </authors>
  <commentList>
    <comment ref="B5" authorId="0" shapeId="0">
      <text>
        <t>El bruto vigente se toma de la hoja Ingresos Sol. Cambiar allí para mantener una única fuente.</t>
      </text>
    </comment>
    <comment ref="B43" authorId="0" shapeId="0">
      <text>
        <t>Estimación mensual = impuesto anual proyectado / 12. No replica la retención acumulativa real del empleador.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n">
        <v>235210</v>
      </c>
      <c r="H5" s="6" t="n">
        <v>246150</v>
      </c>
      <c r="I5" s="5" t="n">
        <v>273500</v>
      </c>
      <c r="J5" s="5" t="n"/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 — CIUDAD</t>
        </is>
      </c>
      <c r="D6" s="9" t="n">
        <v>37984</v>
      </c>
      <c r="E6" s="9" t="n">
        <v>38489</v>
      </c>
      <c r="F6" s="9" t="n">
        <v>39163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 — cliente 30010996459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 Edenor — Sanes (cuenta 008917502309)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t="inlineStr">
        <is>
          <t>CASA</t>
        </is>
      </c>
      <c r="B20" t="inlineStr">
        <is>
          <t>AROMATIZANTES</t>
        </is>
      </c>
      <c r="C20" t="inlineStr">
        <is>
          <t>Saphirus — Aromatizantes</t>
        </is>
      </c>
      <c r="D20" s="26" t="n"/>
      <c r="E20" s="26" t="n"/>
      <c r="G20" s="26" t="n"/>
      <c r="H20" s="26" t="n"/>
      <c r="I20" t="n">
        <v>79900</v>
      </c>
      <c r="J20" s="26" t="n"/>
      <c r="P20" s="26">
        <f>SUM(D20:O20)</f>
        <v/>
      </c>
    </row>
    <row r="21">
      <c r="A21" t="inlineStr">
        <is>
          <t>CASA</t>
        </is>
      </c>
      <c r="B21" t="inlineStr">
        <is>
          <t>REPARACIONES Y REPUESTOS</t>
        </is>
      </c>
      <c r="C21" t="inlineStr">
        <is>
          <t>Reparaciones y repuestos — CIUDAD</t>
        </is>
      </c>
      <c r="D21" s="26" t="n"/>
      <c r="E21" s="26" t="n"/>
      <c r="G21" s="26" t="n">
        <v>150030</v>
      </c>
      <c r="H21" s="26" t="n"/>
      <c r="J21" s="26" t="n"/>
      <c r="P21" s="26">
        <f>SUM(D21:O21)</f>
        <v/>
      </c>
    </row>
    <row r="22">
      <c r="A22" s="10" t="inlineStr">
        <is>
          <t>TOTAL</t>
        </is>
      </c>
      <c r="B22" s="23" t="n"/>
      <c r="C22" s="24" t="n"/>
      <c r="D22" s="7">
        <f>SUM(D5:D21)</f>
        <v/>
      </c>
      <c r="E22" s="7">
        <f>SUM(E5:E21)</f>
        <v/>
      </c>
      <c r="F22" s="7">
        <f>SUM(F5:F21)</f>
        <v/>
      </c>
      <c r="G22" s="7">
        <f>SUM(G5:G21)</f>
        <v/>
      </c>
      <c r="H22" s="7">
        <f>SUM(H5:H21)</f>
        <v/>
      </c>
      <c r="I22" s="7">
        <f>SUM(I5:I21)</f>
        <v/>
      </c>
      <c r="J22" s="7">
        <f>SUM(J5:J21)</f>
        <v/>
      </c>
      <c r="K22" s="7">
        <f>SUM(K5:K21)</f>
        <v/>
      </c>
      <c r="L22" s="7">
        <f>SUM(L5:L21)</f>
        <v/>
      </c>
      <c r="M22" s="7">
        <f>SUM(M5:M21)</f>
        <v/>
      </c>
      <c r="N22" s="7">
        <f>SUM(N5:N21)</f>
        <v/>
      </c>
      <c r="O22" s="7">
        <f>SUM(O5:O21)</f>
        <v/>
      </c>
      <c r="P22" s="7">
        <f>SUM(P5:P21)</f>
        <v/>
      </c>
    </row>
    <row r="23"/>
    <row r="24">
      <c r="A24" s="11" t="inlineStr">
        <is>
          <t>Notas</t>
        </is>
      </c>
    </row>
    <row r="25">
      <c r="A25" t="inlineStr">
        <is>
          <t>• Catálogo fijo de conceptos CIUDAD 1132</t>
        </is>
      </c>
    </row>
    <row r="26">
      <c r="A26" t="inlineStr">
        <is>
          <t>• Telecentro: $50.000 mensuales hasta nuevo aviso</t>
        </is>
      </c>
    </row>
    <row r="27">
      <c r="A27" t="inlineStr">
        <is>
          <t>• Montos enteros, siempre redondeados hacia arriba</t>
        </is>
      </c>
    </row>
    <row r="28">
      <c r="A28" t="inlineStr">
        <is>
          <t>• Expensas: abr $235.210 (banco 7-abr → Consorcio De Propiet Patagonia); may/jun desde MP con período Gmail (pago jun=mayo, pago jul=junio). Julio período pendiente.</t>
        </is>
      </c>
    </row>
    <row r="29">
      <c r="A29" t="inlineStr">
        <is>
          <t>• En Detalle: Forma de pago, N° Cliente y N° Medidor cuando existan</t>
        </is>
      </c>
    </row>
    <row r="30">
      <c r="A30" t="inlineStr">
        <is>
          <t>• ALMACEN SOL / ALMACEN CHRIS: totales automáticos desde hoja "Almacen Detalle"</t>
        </is>
      </c>
    </row>
    <row r="31">
      <c r="A31" t="inlineStr">
        <is>
          <t>• TRANSPORTE: Cabify / Uber (Ebanx) / Didi — montos enteros ceil desde Mercado Pago</t>
        </is>
      </c>
    </row>
    <row r="32">
      <c r="A32" s="30" t="inlineStr">
        <is>
          <t>• Dinero retirado: hoja "Dinero Retirado" (no suma al TOTAL de gastos)</t>
        </is>
      </c>
    </row>
    <row r="33">
      <c r="A33" s="30" t="inlineStr">
        <is>
          <t>• FARMACIA: Farmacity / Farmacia Selma / Farmacia Maure — nombre de farmacia en comentario</t>
        </is>
      </c>
    </row>
    <row r="34">
      <c r="A34" s="30" t="inlineStr">
        <is>
          <t>• Personal (Pago directo): va a OHIGGINS → TV CABLE-INTERNET — no CIUDAD</t>
        </is>
      </c>
    </row>
    <row r="35">
      <c r="A35" s="30" t="inlineStr">
        <is>
          <t>• Inversión: hoja "Inversión" (bonos, plazos fijos y otros; no suma al TOTAL de gastos)</t>
        </is>
      </c>
    </row>
    <row r="36">
      <c r="A36" s="30" t="inlineStr">
        <is>
          <t>• Transferencias recibidas: hoja "Transferencias recibidas" (no suma al total de gastos)</t>
        </is>
      </c>
    </row>
    <row r="37">
      <c r="A37" s="30" t="inlineStr">
        <is>
          <t>• Expensas consorcios: hoja "Expensas Consorcios" (Consorcio De Propiet = CIUDAD; no ALMACEN SOL)</t>
        </is>
      </c>
    </row>
    <row r="38">
      <c r="A38" s="30" t="inlineStr">
        <is>
          <t>• Gasto personal Sol (Tuenti, Apple, ropa, ML, extras, transferencias a terceros): hoja "Gasto Personal Sol" (no suma al total CIUDAD)</t>
        </is>
      </c>
    </row>
    <row r="39">
      <c r="A39" t="inlineStr">
        <is>
          <t>• Pago de tarjetas: hoja "Pago de Tarjetas" (pago de resumen TC; no es gasto nuevo de la matriz)</t>
        </is>
      </c>
    </row>
    <row r="40">
      <c r="A40" t="inlineStr">
        <is>
          <t>• ALMACEN SOL: solo comida/súper/combustible en "Almacen Detalle". Resto personal → "Gasto Personal Sol"</t>
        </is>
      </c>
    </row>
    <row r="41">
      <c r="A41" t="inlineStr">
        <is>
          <t>• ABL CIUDAD: partida AGIP 397789 (OHIGGINS = 3016365 → otra carpeta)</t>
        </is>
      </c>
    </row>
    <row r="42">
      <c r="A42" t="inlineStr">
        <is>
          <t>• Edesur → BONORINO. Edenor: Sanes=CIUDAD; Ivilmar/Marta Chagas=OHIGGINS. Telecentro=CIUDAD.</t>
        </is>
      </c>
    </row>
    <row r="43">
      <c r="A43" t="inlineStr">
        <is>
          <t>• Ingresos Sol: básico anterior ARS 11.305.702; +12% desde 01/07 → ARS 12.662.387 (cobro 01/08). No suma al total de gastos.</t>
        </is>
      </c>
    </row>
    <row r="44">
      <c r="A44" t="inlineStr">
        <is>
          <t>• MELI: simulador + detalle real de recibos 2026 (sueldos, bono y SAC). No suma al total de gastos.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CIUDAD — 01/2026 (Gmail)</t>
        </is>
      </c>
      <c r="D5" s="15" t="n">
        <v>37984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CIUDAD — 02/2026 (Gmail)</t>
        </is>
      </c>
      <c r="D9" s="15" t="n">
        <v>38489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 · CIUDAD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CIUDAD — 03/2026 (Gmail)</t>
        </is>
      </c>
      <c r="D13" s="15" t="n">
        <v>39163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 · titular Maria Soledad Sanes · CIUDAD · cuenta 008917502309</t>
        </is>
      </c>
      <c r="D14" s="15" t="n">
        <v>82994</v>
      </c>
      <c r="E14" s="14" t="inlineStr">
        <is>
          <t>Débito Visa 3200</t>
        </is>
      </c>
      <c r="F14" s="18" t="inlineStr">
        <is>
          <t>008917502309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 · CIUDAD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CIUDAD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 · titular Maria Soledad Sanes · CIUDAD · cuenta 008917502309</t>
        </is>
      </c>
      <c r="D20" s="15" t="n">
        <v>56700</v>
      </c>
      <c r="E20" s="14" t="inlineStr">
        <is>
          <t>Débito Visa 3200</t>
        </is>
      </c>
      <c r="F20" s="18" t="inlineStr">
        <is>
          <t>008917502309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 · CIUDAD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CIUDAD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 · titular Maria Soledad Sanes · CIUDAD · cuenta 008917502309</t>
        </is>
      </c>
      <c r="D25" s="15" t="n">
        <v>52012</v>
      </c>
      <c r="E25" s="14" t="inlineStr">
        <is>
          <t>Débito Visa 3200</t>
        </is>
      </c>
      <c r="F25" s="18" t="inlineStr">
        <is>
          <t>008917502309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 · CIUDAD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CIUDAD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 · titular Maria Soledad Sanes · CIUDAD · cuenta 008917502309</t>
        </is>
      </c>
      <c r="D29" s="15" t="n">
        <v>106212</v>
      </c>
      <c r="E29" s="14" t="inlineStr">
        <is>
          <t>Débito Visa 3200</t>
        </is>
      </c>
      <c r="F29" s="18" t="inlineStr">
        <is>
          <t>008917502309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 · CIUDAD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 · titular Maria Soledad Sanes · CIUDAD · cuenta 008917502309</t>
        </is>
      </c>
      <c r="D32" s="15" t="n">
        <v>128877</v>
      </c>
      <c r="E32" s="14" t="inlineStr">
        <is>
          <t>Débito Visa 3200</t>
        </is>
      </c>
      <c r="F32" s="18" t="inlineStr">
        <is>
          <t>008917502309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CIUDAD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CIUDAD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CIUDAD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CIUDAD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CIUDAD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CIUDAD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  <row r="61">
      <c r="A61" s="44" t="n">
        <v>46186</v>
      </c>
      <c r="B61" t="inlineStr">
        <is>
          <t>AROMATIZANTES</t>
        </is>
      </c>
      <c r="C61" t="inlineStr">
        <is>
          <t>CASA — Aromatizantes Saphirus</t>
        </is>
      </c>
      <c r="D61" s="26" t="n">
        <v>79900</v>
      </c>
      <c r="E61" t="inlineStr">
        <is>
          <t>Mercado Pago</t>
        </is>
      </c>
      <c r="H61" t="inlineStr">
        <is>
          <t>CASA · AROMATIZANTES · Saphirus · CIUDAD</t>
        </is>
      </c>
      <c r="I61" t="inlineStr">
        <is>
          <t>Junio</t>
        </is>
      </c>
    </row>
    <row r="62">
      <c r="A62" s="44" t="n">
        <v>46122</v>
      </c>
      <c r="B62" t="inlineStr">
        <is>
          <t>REPARACIONES Y REPUESTOS</t>
        </is>
      </c>
      <c r="C62" t="inlineStr">
        <is>
          <t>Rollo plástico con burbujas 1 × 25 m</t>
        </is>
      </c>
      <c r="D62" s="26" t="n">
        <v>17041</v>
      </c>
      <c r="E62" t="inlineStr">
        <is>
          <t>Mercado Pago</t>
        </is>
      </c>
      <c r="H62" t="inlineStr">
        <is>
          <t>Mercado Libre · CIUDAD</t>
        </is>
      </c>
      <c r="I62" t="inlineStr">
        <is>
          <t>Abril</t>
        </is>
      </c>
    </row>
    <row r="63">
      <c r="A63" s="44" t="n">
        <v>46125</v>
      </c>
      <c r="B63" t="inlineStr">
        <is>
          <t>REPARACIONES Y REPUESTOS</t>
        </is>
      </c>
      <c r="C63" t="inlineStr">
        <is>
          <t>Control remoto Samsung con Netflix/Prime Video</t>
        </is>
      </c>
      <c r="D63" s="26" t="n">
        <v>13989</v>
      </c>
      <c r="E63" t="inlineStr">
        <is>
          <t>Mercado Pago</t>
        </is>
      </c>
      <c r="H63" t="inlineStr">
        <is>
          <t>Mercado Libre · CIUDAD</t>
        </is>
      </c>
      <c r="I63" t="inlineStr">
        <is>
          <t>Abril</t>
        </is>
      </c>
    </row>
    <row r="64">
      <c r="A64" s="44" t="n">
        <v>46126</v>
      </c>
      <c r="B64" t="inlineStr">
        <is>
          <t>REPARACIONES Y REPUESTOS</t>
        </is>
      </c>
      <c r="C64" t="inlineStr">
        <is>
          <t>Control remoto Samsung original AU7000</t>
        </is>
      </c>
      <c r="D64" s="26" t="n">
        <v>119000</v>
      </c>
      <c r="E64" t="inlineStr">
        <is>
          <t>Mercado Pago</t>
        </is>
      </c>
      <c r="H64" t="inlineStr">
        <is>
          <t>Mercado Libre · CIUDAD</t>
        </is>
      </c>
      <c r="I64" t="inlineStr">
        <is>
          <t>Abril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4" customWidth="1" min="5" max="5"/>
    <col width="16" customWidth="1" min="6" max="6"/>
    <col width="62" customWidth="1" min="7" max="7"/>
  </cols>
  <sheetData>
    <row r="1">
      <c r="A1" s="45" t="inlineStr">
        <is>
          <t>CIUDAD 1132 — Ingresos Sol</t>
        </is>
      </c>
    </row>
    <row r="2">
      <c r="A2" s="46" t="inlineStr">
        <is>
          <t>Ingreso bruto mensual de Sol (sueldo). No suma al total de gastos de la hoja 2026.</t>
        </is>
      </c>
    </row>
    <row r="4">
      <c r="A4" s="47" t="inlineStr">
        <is>
          <t>Parámetros</t>
        </is>
      </c>
    </row>
    <row r="5">
      <c r="A5" s="48" t="inlineStr">
        <is>
          <t>Concepto</t>
        </is>
      </c>
      <c r="B5" s="48" t="inlineStr">
        <is>
          <t>Valor</t>
        </is>
      </c>
      <c r="C5" s="48" t="inlineStr">
        <is>
          <t>Notas</t>
        </is>
      </c>
    </row>
    <row r="6">
      <c r="A6" s="49" t="inlineStr">
        <is>
          <t>Ingreso bruto mensual vigente</t>
        </is>
      </c>
      <c r="B6" s="50" t="n">
        <v>12662387</v>
      </c>
      <c r="C6" s="51" t="inlineStr">
        <is>
          <t>ARS · vigente desde 01/07/2026 · básico anterior +12%</t>
        </is>
      </c>
    </row>
    <row r="7">
      <c r="A7" s="49" t="inlineStr">
        <is>
          <t>Incremento</t>
        </is>
      </c>
      <c r="B7" s="52" t="n">
        <v>0.12</v>
      </c>
      <c r="C7" s="51" t="inlineStr">
        <is>
          <t>12% sobre el bruto anterior</t>
        </is>
      </c>
    </row>
    <row r="8">
      <c r="A8" s="49" t="inlineStr">
        <is>
          <t>Vigencia desde (período)</t>
        </is>
      </c>
      <c r="B8" s="53" t="n">
        <v>46204</v>
      </c>
      <c r="C8" s="51" t="inlineStr">
        <is>
          <t>Devengado desde julio 2026</t>
        </is>
      </c>
    </row>
    <row r="9">
      <c r="A9" s="49" t="inlineStr">
        <is>
          <t>Día de cobro</t>
        </is>
      </c>
      <c r="B9" s="49" t="n">
        <v>1</v>
      </c>
      <c r="C9" s="51" t="inlineStr">
        <is>
          <t>Se cobra el día 1 del mes siguiente (julio → 01/08)</t>
        </is>
      </c>
    </row>
    <row r="10">
      <c r="A10" s="49" t="inlineStr">
        <is>
          <t>Bruto anterior confirmado</t>
        </is>
      </c>
      <c r="B10" s="50" t="n">
        <v>11305702</v>
      </c>
      <c r="C10" s="51" t="inlineStr">
        <is>
          <t>Recibos MELI marzo–junio 2026</t>
        </is>
      </c>
    </row>
    <row r="12">
      <c r="A12" s="47" t="inlineStr">
        <is>
          <t>Resumen por mes (período / devengado)</t>
        </is>
      </c>
    </row>
    <row r="13">
      <c r="A13" s="48" t="inlineStr">
        <is>
          <t>Mes período</t>
        </is>
      </c>
      <c r="B13" s="48" t="inlineStr">
        <is>
          <t>Bruto</t>
        </is>
      </c>
      <c r="C13" s="48" t="inlineStr">
        <is>
          <t>Incremento</t>
        </is>
      </c>
      <c r="D13" s="48" t="inlineStr">
        <is>
          <t>Fecha cobro</t>
        </is>
      </c>
      <c r="E13" s="48" t="inlineStr">
        <is>
          <t>Mes cobro</t>
        </is>
      </c>
      <c r="F13" s="48" t="inlineStr">
        <is>
          <t>Comentario</t>
        </is>
      </c>
    </row>
    <row r="14">
      <c r="A14" s="51" t="inlineStr">
        <is>
          <t>Enero</t>
        </is>
      </c>
      <c r="B14" s="54">
        <f>SUMIF($B$30:$B$41,A14,$D$30:$D$41)</f>
        <v/>
      </c>
      <c r="C14" s="55">
        <f>IFERROR(INDEX($E$30:$E$41,MATCH(A14,$B$30:$B$41,0)),"")</f>
        <v/>
      </c>
      <c r="D14" s="56">
        <f>IFERROR(INDEX($C$30:$C$41,MATCH(A14,$B$30:$B$41,0)),"")</f>
        <v/>
      </c>
      <c r="E14" s="55">
        <f>IFERROR(INDEX($F$30:$F$41,MATCH(A14,$B$30:$B$41,0)),"")</f>
        <v/>
      </c>
      <c r="F14" s="55">
        <f>IFERROR(INDEX($G$30:$G$41,MATCH(A14,$B$30:$B$41,0)),"")</f>
        <v/>
      </c>
    </row>
    <row r="15">
      <c r="A15" s="51" t="inlineStr">
        <is>
          <t>Febrero</t>
        </is>
      </c>
      <c r="B15" s="54">
        <f>SUMIF($B$30:$B$41,A15,$D$30:$D$41)</f>
        <v/>
      </c>
      <c r="C15" s="55">
        <f>IFERROR(INDEX($E$30:$E$41,MATCH(A15,$B$30:$B$41,0)),"")</f>
        <v/>
      </c>
      <c r="D15" s="56">
        <f>IFERROR(INDEX($C$30:$C$41,MATCH(A15,$B$30:$B$41,0)),"")</f>
        <v/>
      </c>
      <c r="E15" s="55">
        <f>IFERROR(INDEX($F$30:$F$41,MATCH(A15,$B$30:$B$41,0)),"")</f>
        <v/>
      </c>
      <c r="F15" s="55">
        <f>IFERROR(INDEX($G$30:$G$41,MATCH(A15,$B$30:$B$41,0)),"")</f>
        <v/>
      </c>
    </row>
    <row r="16">
      <c r="A16" s="51" t="inlineStr">
        <is>
          <t>Marzo</t>
        </is>
      </c>
      <c r="B16" s="54">
        <f>SUMIF($B$30:$B$41,A16,$D$30:$D$41)</f>
        <v/>
      </c>
      <c r="C16" s="55">
        <f>IFERROR(INDEX($E$30:$E$41,MATCH(A16,$B$30:$B$41,0)),"")</f>
        <v/>
      </c>
      <c r="D16" s="56">
        <f>IFERROR(INDEX($C$30:$C$41,MATCH(A16,$B$30:$B$41,0)),"")</f>
        <v/>
      </c>
      <c r="E16" s="55">
        <f>IFERROR(INDEX($F$30:$F$41,MATCH(A16,$B$30:$B$41,0)),"")</f>
        <v/>
      </c>
      <c r="F16" s="55">
        <f>IFERROR(INDEX($G$30:$G$41,MATCH(A16,$B$30:$B$41,0)),"")</f>
        <v/>
      </c>
    </row>
    <row r="17">
      <c r="A17" s="51" t="inlineStr">
        <is>
          <t>Abril</t>
        </is>
      </c>
      <c r="B17" s="54">
        <f>SUMIF($B$30:$B$41,A17,$D$30:$D$41)</f>
        <v/>
      </c>
      <c r="C17" s="55">
        <f>IFERROR(INDEX($E$30:$E$41,MATCH(A17,$B$30:$B$41,0)),"")</f>
        <v/>
      </c>
      <c r="D17" s="56">
        <f>IFERROR(INDEX($C$30:$C$41,MATCH(A17,$B$30:$B$41,0)),"")</f>
        <v/>
      </c>
      <c r="E17" s="55">
        <f>IFERROR(INDEX($F$30:$F$41,MATCH(A17,$B$30:$B$41,0)),"")</f>
        <v/>
      </c>
      <c r="F17" s="55">
        <f>IFERROR(INDEX($G$30:$G$41,MATCH(A17,$B$30:$B$41,0)),"")</f>
        <v/>
      </c>
    </row>
    <row r="18">
      <c r="A18" s="51" t="inlineStr">
        <is>
          <t>Mayo</t>
        </is>
      </c>
      <c r="B18" s="54">
        <f>SUMIF($B$30:$B$41,A18,$D$30:$D$41)</f>
        <v/>
      </c>
      <c r="C18" s="55">
        <f>IFERROR(INDEX($E$30:$E$41,MATCH(A18,$B$30:$B$41,0)),"")</f>
        <v/>
      </c>
      <c r="D18" s="56">
        <f>IFERROR(INDEX($C$30:$C$41,MATCH(A18,$B$30:$B$41,0)),"")</f>
        <v/>
      </c>
      <c r="E18" s="55">
        <f>IFERROR(INDEX($F$30:$F$41,MATCH(A18,$B$30:$B$41,0)),"")</f>
        <v/>
      </c>
      <c r="F18" s="55">
        <f>IFERROR(INDEX($G$30:$G$41,MATCH(A18,$B$30:$B$41,0)),"")</f>
        <v/>
      </c>
    </row>
    <row r="19">
      <c r="A19" s="51" t="inlineStr">
        <is>
          <t>Junio</t>
        </is>
      </c>
      <c r="B19" s="54">
        <f>SUMIF($B$30:$B$41,A19,$D$30:$D$41)</f>
        <v/>
      </c>
      <c r="C19" s="55">
        <f>IFERROR(INDEX($E$30:$E$41,MATCH(A19,$B$30:$B$41,0)),"")</f>
        <v/>
      </c>
      <c r="D19" s="56">
        <f>IFERROR(INDEX($C$30:$C$41,MATCH(A19,$B$30:$B$41,0)),"")</f>
        <v/>
      </c>
      <c r="E19" s="55">
        <f>IFERROR(INDEX($F$30:$F$41,MATCH(A19,$B$30:$B$41,0)),"")</f>
        <v/>
      </c>
      <c r="F19" s="55">
        <f>IFERROR(INDEX($G$30:$G$41,MATCH(A19,$B$30:$B$41,0)),"")</f>
        <v/>
      </c>
    </row>
    <row r="20">
      <c r="A20" s="51" t="inlineStr">
        <is>
          <t>Julio</t>
        </is>
      </c>
      <c r="B20" s="54">
        <f>SUMIF($B$30:$B$41,A20,$D$30:$D$41)</f>
        <v/>
      </c>
      <c r="C20" s="55">
        <f>IFERROR(INDEX($E$30:$E$41,MATCH(A20,$B$30:$B$41,0)),"")</f>
        <v/>
      </c>
      <c r="D20" s="56">
        <f>IFERROR(INDEX($C$30:$C$41,MATCH(A20,$B$30:$B$41,0)),"")</f>
        <v/>
      </c>
      <c r="E20" s="55">
        <f>IFERROR(INDEX($F$30:$F$41,MATCH(A20,$B$30:$B$41,0)),"")</f>
        <v/>
      </c>
      <c r="F20" s="55">
        <f>IFERROR(INDEX($G$30:$G$41,MATCH(A20,$B$30:$B$41,0)),"")</f>
        <v/>
      </c>
    </row>
    <row r="21">
      <c r="A21" s="51" t="inlineStr">
        <is>
          <t>Agosto</t>
        </is>
      </c>
      <c r="B21" s="54">
        <f>SUMIF($B$30:$B$41,A21,$D$30:$D$41)</f>
        <v/>
      </c>
      <c r="C21" s="55">
        <f>IFERROR(INDEX($E$30:$E$41,MATCH(A21,$B$30:$B$41,0)),"")</f>
        <v/>
      </c>
      <c r="D21" s="56">
        <f>IFERROR(INDEX($C$30:$C$41,MATCH(A21,$B$30:$B$41,0)),"")</f>
        <v/>
      </c>
      <c r="E21" s="55">
        <f>IFERROR(INDEX($F$30:$F$41,MATCH(A21,$B$30:$B$41,0)),"")</f>
        <v/>
      </c>
      <c r="F21" s="55">
        <f>IFERROR(INDEX($G$30:$G$41,MATCH(A21,$B$30:$B$41,0)),"")</f>
        <v/>
      </c>
    </row>
    <row r="22">
      <c r="A22" s="51" t="inlineStr">
        <is>
          <t>Septiembre</t>
        </is>
      </c>
      <c r="B22" s="54">
        <f>SUMIF($B$30:$B$41,A22,$D$30:$D$41)</f>
        <v/>
      </c>
      <c r="C22" s="55">
        <f>IFERROR(INDEX($E$30:$E$41,MATCH(A22,$B$30:$B$41,0)),"")</f>
        <v/>
      </c>
      <c r="D22" s="56">
        <f>IFERROR(INDEX($C$30:$C$41,MATCH(A22,$B$30:$B$41,0)),"")</f>
        <v/>
      </c>
      <c r="E22" s="55">
        <f>IFERROR(INDEX($F$30:$F$41,MATCH(A22,$B$30:$B$41,0)),"")</f>
        <v/>
      </c>
      <c r="F22" s="55">
        <f>IFERROR(INDEX($G$30:$G$41,MATCH(A22,$B$30:$B$41,0)),"")</f>
        <v/>
      </c>
    </row>
    <row r="23">
      <c r="A23" s="51" t="inlineStr">
        <is>
          <t>Octubre</t>
        </is>
      </c>
      <c r="B23" s="54">
        <f>SUMIF($B$30:$B$41,A23,$D$30:$D$41)</f>
        <v/>
      </c>
      <c r="C23" s="55">
        <f>IFERROR(INDEX($E$30:$E$41,MATCH(A23,$B$30:$B$41,0)),"")</f>
        <v/>
      </c>
      <c r="D23" s="56">
        <f>IFERROR(INDEX($C$30:$C$41,MATCH(A23,$B$30:$B$41,0)),"")</f>
        <v/>
      </c>
      <c r="E23" s="55">
        <f>IFERROR(INDEX($F$30:$F$41,MATCH(A23,$B$30:$B$41,0)),"")</f>
        <v/>
      </c>
      <c r="F23" s="55">
        <f>IFERROR(INDEX($G$30:$G$41,MATCH(A23,$B$30:$B$41,0)),"")</f>
        <v/>
      </c>
    </row>
    <row r="24">
      <c r="A24" s="51" t="inlineStr">
        <is>
          <t>Noviembre</t>
        </is>
      </c>
      <c r="B24" s="54">
        <f>SUMIF($B$30:$B$41,A24,$D$30:$D$41)</f>
        <v/>
      </c>
      <c r="C24" s="55">
        <f>IFERROR(INDEX($E$30:$E$41,MATCH(A24,$B$30:$B$41,0)),"")</f>
        <v/>
      </c>
      <c r="D24" s="56">
        <f>IFERROR(INDEX($C$30:$C$41,MATCH(A24,$B$30:$B$41,0)),"")</f>
        <v/>
      </c>
      <c r="E24" s="55">
        <f>IFERROR(INDEX($F$30:$F$41,MATCH(A24,$B$30:$B$41,0)),"")</f>
        <v/>
      </c>
      <c r="F24" s="55">
        <f>IFERROR(INDEX($G$30:$G$41,MATCH(A24,$B$30:$B$41,0)),"")</f>
        <v/>
      </c>
    </row>
    <row r="25">
      <c r="A25" s="51" t="inlineStr">
        <is>
          <t>Diciembre</t>
        </is>
      </c>
      <c r="B25" s="54">
        <f>SUMIF($B$30:$B$41,A25,$D$30:$D$41)</f>
        <v/>
      </c>
      <c r="C25" s="55">
        <f>IFERROR(INDEX($E$30:$E$41,MATCH(A25,$B$30:$B$41,0)),"")</f>
        <v/>
      </c>
      <c r="D25" s="56">
        <f>IFERROR(INDEX($C$30:$C$41,MATCH(A25,$B$30:$B$41,0)),"")</f>
        <v/>
      </c>
      <c r="E25" s="55">
        <f>IFERROR(INDEX($F$30:$F$41,MATCH(A25,$B$30:$B$41,0)),"")</f>
        <v/>
      </c>
      <c r="F25" s="55">
        <f>IFERROR(INDEX($G$30:$G$41,MATCH(A25,$B$30:$B$41,0)),"")</f>
        <v/>
      </c>
    </row>
    <row r="26">
      <c r="A26" s="57" t="inlineStr">
        <is>
          <t>TOTAL AÑO</t>
        </is>
      </c>
      <c r="B26" s="58">
        <f>SUM(B14:B25)</f>
        <v/>
      </c>
      <c r="C26" s="59" t="n"/>
      <c r="D26" s="59" t="n"/>
      <c r="E26" s="59" t="n"/>
      <c r="F26" s="59" t="n"/>
    </row>
    <row r="28">
      <c r="A28" s="47" t="inlineStr">
        <is>
          <t>Detalle</t>
        </is>
      </c>
    </row>
    <row r="29">
      <c r="A29" s="48" t="inlineStr">
        <is>
          <t>Fecha período</t>
        </is>
      </c>
      <c r="B29" s="48" t="inlineStr">
        <is>
          <t>Mes período</t>
        </is>
      </c>
      <c r="C29" s="48" t="inlineStr">
        <is>
          <t>Fecha cobro</t>
        </is>
      </c>
      <c r="D29" s="48" t="inlineStr">
        <is>
          <t>Monto bruto</t>
        </is>
      </c>
      <c r="E29" s="48" t="inlineStr">
        <is>
          <t>Incremento</t>
        </is>
      </c>
      <c r="F29" s="48" t="inlineStr">
        <is>
          <t>Mes cobro</t>
        </is>
      </c>
      <c r="G29" s="48" t="inlineStr">
        <is>
          <t>Comentario</t>
        </is>
      </c>
    </row>
    <row r="30">
      <c r="A30" s="60" t="n">
        <v>46204</v>
      </c>
      <c r="B30" s="51" t="inlineStr">
        <is>
          <t>Julio</t>
        </is>
      </c>
      <c r="C30" s="60" t="n">
        <v>46235</v>
      </c>
      <c r="D30" s="61" t="n">
        <v>12662387</v>
      </c>
      <c r="E30" s="51" t="inlineStr">
        <is>
          <t>12%</t>
        </is>
      </c>
      <c r="F30" s="51" t="inlineStr">
        <is>
          <t>Agosto</t>
        </is>
      </c>
      <c r="G30" s="51" t="inlineStr">
        <is>
          <t>Ingreso bruto Sol · básico anterior ARS 11.305.702 + 12% · vigente 01/07 · cobro 01/08</t>
        </is>
      </c>
    </row>
    <row r="31">
      <c r="A31" s="60" t="n">
        <v>46235</v>
      </c>
      <c r="B31" s="51" t="inlineStr">
        <is>
          <t>Agosto</t>
        </is>
      </c>
      <c r="C31" s="60" t="n">
        <v>46266</v>
      </c>
      <c r="D31" s="61" t="n">
        <v>12662387</v>
      </c>
      <c r="E31" s="51" t="inlineStr">
        <is>
          <t>12%</t>
        </is>
      </c>
      <c r="F31" s="51" t="inlineStr">
        <is>
          <t>Septiembre</t>
        </is>
      </c>
      <c r="G31" s="51" t="inlineStr">
        <is>
          <t>Ingreso bruto Sol · incremento 12% desde julio · cobro mes siguiente</t>
        </is>
      </c>
    </row>
    <row r="32">
      <c r="A32" s="60" t="n">
        <v>46266</v>
      </c>
      <c r="B32" s="51" t="inlineStr">
        <is>
          <t>Septiembre</t>
        </is>
      </c>
      <c r="C32" s="60" t="n">
        <v>46296</v>
      </c>
      <c r="D32" s="61" t="n">
        <v>12662387</v>
      </c>
      <c r="E32" s="51" t="inlineStr">
        <is>
          <t>12%</t>
        </is>
      </c>
      <c r="F32" s="51" t="inlineStr">
        <is>
          <t>Octubre</t>
        </is>
      </c>
      <c r="G32" s="51" t="inlineStr">
        <is>
          <t>Ingreso bruto Sol · incremento 12% desde julio · cobro mes siguiente</t>
        </is>
      </c>
    </row>
    <row r="33">
      <c r="A33" s="60" t="n">
        <v>46296</v>
      </c>
      <c r="B33" s="51" t="inlineStr">
        <is>
          <t>Octubre</t>
        </is>
      </c>
      <c r="C33" s="60" t="n">
        <v>46327</v>
      </c>
      <c r="D33" s="61" t="n">
        <v>12662387</v>
      </c>
      <c r="E33" s="51" t="inlineStr">
        <is>
          <t>12%</t>
        </is>
      </c>
      <c r="F33" s="51" t="inlineStr">
        <is>
          <t>Noviembre</t>
        </is>
      </c>
      <c r="G33" s="51" t="inlineStr">
        <is>
          <t>Ingreso bruto Sol · incremento 12% desde julio · cobro mes siguiente</t>
        </is>
      </c>
    </row>
    <row r="34">
      <c r="A34" s="60" t="n">
        <v>46327</v>
      </c>
      <c r="B34" s="51" t="inlineStr">
        <is>
          <t>Noviembre</t>
        </is>
      </c>
      <c r="C34" s="60" t="n">
        <v>46357</v>
      </c>
      <c r="D34" s="61" t="n">
        <v>12662387</v>
      </c>
      <c r="E34" s="51" t="inlineStr">
        <is>
          <t>12%</t>
        </is>
      </c>
      <c r="F34" s="51" t="inlineStr">
        <is>
          <t>Diciembre</t>
        </is>
      </c>
      <c r="G34" s="51" t="inlineStr">
        <is>
          <t>Ingreso bruto Sol · incremento 12% desde julio · cobro mes siguiente</t>
        </is>
      </c>
    </row>
    <row r="35">
      <c r="A35" s="60" t="n">
        <v>46357</v>
      </c>
      <c r="B35" s="51" t="inlineStr">
        <is>
          <t>Diciembre</t>
        </is>
      </c>
      <c r="C35" s="60" t="n">
        <v>46388</v>
      </c>
      <c r="D35" s="61" t="n">
        <v>12662387</v>
      </c>
      <c r="E35" s="51" t="inlineStr">
        <is>
          <t>12%</t>
        </is>
      </c>
      <c r="F35" s="51" t="inlineStr">
        <is>
          <t>Enero 2027</t>
        </is>
      </c>
      <c r="G35" s="51" t="inlineStr">
        <is>
          <t>Ingreso bruto Sol · incremento 12% desde julio · cobro mes siguiente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58" customWidth="1" min="3" max="3"/>
    <col width="18" customWidth="1" min="4" max="4"/>
    <col width="22" customWidth="1" min="5" max="5"/>
    <col width="20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0" customWidth="1" min="12" max="12"/>
    <col width="20" customWidth="1" min="13" max="13"/>
    <col width="20" customWidth="1" min="14" max="14"/>
    <col width="22" customWidth="1" min="15" max="15"/>
    <col width="18" customWidth="1" min="16" max="16"/>
  </cols>
  <sheetData>
    <row r="1" ht="20" customHeight="1">
      <c r="A1" s="64" t="inlineStr">
        <is>
          <t>MELI — Simulador de salario bruto, Ganancias y cargas sociales</t>
        </is>
      </c>
    </row>
    <row r="2" ht="20" customHeight="1">
      <c r="A2" s="65" t="inlineStr">
        <is>
          <t>Sol · período julio 2026 · cálculo orientativo, no reemplaza el recibo ni la liquidación de Payroll/contador.</t>
        </is>
      </c>
    </row>
    <row r="3" ht="20" customHeight="1"/>
    <row r="4" ht="20" customHeight="1">
      <c r="A4" s="66" t="inlineStr">
        <is>
          <t>DATOS EDITABLES</t>
        </is>
      </c>
    </row>
    <row r="5" ht="20" customHeight="1">
      <c r="A5" s="68" t="inlineStr">
        <is>
          <t>Salario bruto mensual</t>
        </is>
      </c>
      <c r="B5" s="69">
        <f>'Ingresos Sol'!B6</f>
        <v/>
      </c>
      <c r="C5" s="68" t="inlineStr">
        <is>
          <t>Básico: ARS 11.305.702 + 12% desde julio</t>
        </is>
      </c>
      <c r="D5" s="68" t="n"/>
    </row>
    <row r="6" ht="20" customHeight="1">
      <c r="A6" s="68" t="inlineStr">
        <is>
          <t>Car allowance mensual</t>
        </is>
      </c>
      <c r="B6" s="69" t="n">
        <v>349440</v>
      </c>
      <c r="C6" s="68" t="inlineStr">
        <is>
          <t>ARS 312.000 + 12% desde 01/07/2026</t>
        </is>
      </c>
      <c r="D6" s="68" t="n"/>
    </row>
    <row r="7" ht="20" customHeight="1">
      <c r="A7" s="68" t="inlineStr">
        <is>
          <t>Bonus remunerativo anual</t>
        </is>
      </c>
      <c r="B7" s="69" t="n">
        <v>0</v>
      </c>
      <c r="C7" s="68" t="inlineStr">
        <is>
          <t>No incluye SAC; editar si aplica</t>
        </is>
      </c>
      <c r="D7" s="68" t="n"/>
    </row>
    <row r="8" ht="20" customHeight="1">
      <c r="A8" s="68" t="inlineStr">
        <is>
          <t>Cantidad de hijos deducibles</t>
        </is>
      </c>
      <c r="B8" s="70" t="n">
        <v>0</v>
      </c>
      <c r="C8" s="68" t="inlineStr">
        <is>
          <t>Supuesto inicial: sin hijos</t>
        </is>
      </c>
      <c r="D8" s="68" t="n"/>
    </row>
    <row r="9" ht="20" customHeight="1">
      <c r="A9" s="68" t="inlineStr">
        <is>
          <t>Cónyuge/conviviente deducible (0/1)</t>
        </is>
      </c>
      <c r="B9" s="70" t="n">
        <v>0</v>
      </c>
      <c r="C9" s="68" t="inlineStr">
        <is>
          <t>Supuesto inicial: no</t>
        </is>
      </c>
      <c r="D9" s="68" t="n"/>
    </row>
    <row r="10" ht="20" customHeight="1">
      <c r="A10" s="68" t="inlineStr">
        <is>
          <t>Otras deducciones SIRADIG anuales</t>
        </is>
      </c>
      <c r="B10" s="69" t="n">
        <v>0</v>
      </c>
      <c r="C10" s="68" t="inlineStr">
        <is>
          <t>Alquiler, servicio doméstico, medicina, etc.</t>
        </is>
      </c>
      <c r="D10" s="68" t="n"/>
    </row>
    <row r="11" ht="20" customHeight="1">
      <c r="A11" s="68" t="inlineStr">
        <is>
          <t>Cuota sindical / otros descuentos</t>
        </is>
      </c>
      <c r="B11" s="71" t="n">
        <v>0</v>
      </c>
      <c r="C11" s="68" t="inlineStr">
        <is>
          <t>Porcentaje mensual editable</t>
        </is>
      </c>
      <c r="D11" s="68" t="n"/>
    </row>
    <row r="12" ht="20" customHeight="1">
      <c r="A12" s="68" t="inlineStr">
        <is>
          <t>ART estimada (empleador)</t>
        </is>
      </c>
      <c r="B12" s="71" t="n">
        <v>0.01</v>
      </c>
      <c r="C12" s="68" t="inlineStr">
        <is>
          <t>Variable según contrato/riesgo; default 1%</t>
        </is>
      </c>
      <c r="D12" s="68" t="n"/>
    </row>
    <row r="13" ht="20" customHeight="1">
      <c r="A13" s="68" t="inlineStr">
        <is>
          <t>Fecha de vigencia</t>
        </is>
      </c>
      <c r="B13" s="72" t="n">
        <v>46204</v>
      </c>
      <c r="C13" s="68" t="inlineStr">
        <is>
          <t>Sueldo julio, cobro 01/08</t>
        </is>
      </c>
      <c r="D13" s="68" t="n"/>
    </row>
    <row r="14" ht="20" customHeight="1"/>
    <row r="15" ht="20" customHeight="1">
      <c r="A15" s="66" t="inlineStr">
        <is>
          <t>PARÁMETROS LEGALES / FISCALES EDITABLES</t>
        </is>
      </c>
    </row>
    <row r="16" ht="20" customHeight="1">
      <c r="A16" s="68" t="inlineStr">
        <is>
          <t>Base imponible máxima aportes</t>
        </is>
      </c>
      <c r="B16" s="69" t="n">
        <v>4509567.41</v>
      </c>
      <c r="C16" s="68" t="inlineStr">
        <is>
          <t>Res. ANSES 186/2026 · devengado julio 2026</t>
        </is>
      </c>
      <c r="D16" s="68" t="n"/>
    </row>
    <row r="17" ht="20" customHeight="1">
      <c r="A17" s="68" t="inlineStr">
        <is>
          <t>Jubilación SIPA</t>
        </is>
      </c>
      <c r="B17" s="71" t="n">
        <v>0.11</v>
      </c>
      <c r="C17" s="68" t="inlineStr">
        <is>
          <t>Aporte empleado</t>
        </is>
      </c>
      <c r="D17" s="68" t="n"/>
    </row>
    <row r="18" ht="20" customHeight="1">
      <c r="A18" s="68" t="inlineStr">
        <is>
          <t>INSSJP / PAMI</t>
        </is>
      </c>
      <c r="B18" s="71" t="n">
        <v>0.03</v>
      </c>
      <c r="C18" s="68" t="inlineStr">
        <is>
          <t>Aporte empleado</t>
        </is>
      </c>
      <c r="D18" s="68" t="n"/>
    </row>
    <row r="19" ht="20" customHeight="1">
      <c r="A19" s="68" t="inlineStr">
        <is>
          <t>Obra social</t>
        </is>
      </c>
      <c r="B19" s="71" t="n">
        <v>0.03</v>
      </c>
      <c r="C19" s="68" t="inlineStr">
        <is>
          <t>Aporte empleado</t>
        </is>
      </c>
      <c r="D19" s="68" t="n"/>
    </row>
    <row r="20" ht="20" customHeight="1">
      <c r="A20" s="68" t="inlineStr">
        <is>
          <t>Ganancia no imponible anual</t>
        </is>
      </c>
      <c r="B20" s="69" t="n">
        <v>6019671.36</v>
      </c>
      <c r="C20" s="68" t="inlineStr">
        <is>
          <t>Estimación 2° semestre 2026 (+16,8459%)</t>
        </is>
      </c>
      <c r="D20" s="68" t="n"/>
    </row>
    <row r="21" ht="20" customHeight="1">
      <c r="A21" s="68" t="inlineStr">
        <is>
          <t>Deducción especial empleado anual</t>
        </is>
      </c>
      <c r="B21" s="69" t="n">
        <v>28894422.56</v>
      </c>
      <c r="C21" s="68" t="inlineStr">
        <is>
          <t>Estimación Art. 30, inc. c), apartado 2</t>
        </is>
      </c>
      <c r="D21" s="68" t="n"/>
    </row>
    <row r="22" ht="20" customHeight="1">
      <c r="A22" s="68" t="inlineStr">
        <is>
          <t>Deducción anual por cónyuge</t>
        </is>
      </c>
      <c r="B22" s="69" t="n">
        <v>5669323.06</v>
      </c>
      <c r="C22" s="68" t="inlineStr">
        <is>
          <t>Estimación 2° semestre 2026</t>
        </is>
      </c>
      <c r="D22" s="68" t="n"/>
    </row>
    <row r="23" ht="20" customHeight="1">
      <c r="A23" s="68" t="inlineStr">
        <is>
          <t>Deducción anual por hijo</t>
        </is>
      </c>
      <c r="B23" s="69" t="n">
        <v>2859060.3</v>
      </c>
      <c r="C23" s="68" t="inlineStr">
        <is>
          <t>Estimación 2° semestre 2026</t>
        </is>
      </c>
      <c r="D23" s="68" t="n"/>
    </row>
    <row r="24" ht="20" customHeight="1">
      <c r="A24" s="68" t="inlineStr">
        <is>
          <t>Contribuciones patronales SUSS</t>
        </is>
      </c>
      <c r="B24" s="71" t="n">
        <v>0.204</v>
      </c>
      <c r="C24" s="68" t="inlineStr">
        <is>
          <t>Empresa grande de servicios/comercio</t>
        </is>
      </c>
      <c r="D24" s="68" t="n"/>
    </row>
    <row r="25" ht="20" customHeight="1">
      <c r="A25" s="68" t="inlineStr">
        <is>
          <t>Obra social patronal</t>
        </is>
      </c>
      <c r="B25" s="71" t="n">
        <v>0.06</v>
      </c>
      <c r="C25" s="68" t="inlineStr">
        <is>
          <t>Alícuota general</t>
        </is>
      </c>
      <c r="D25" s="68" t="n"/>
    </row>
    <row r="26" ht="20" customHeight="1"/>
    <row r="27" ht="20" customHeight="1">
      <c r="A27" s="66" t="inlineStr">
        <is>
          <t>RECIBO MENSUAL ESTIMADO</t>
        </is>
      </c>
    </row>
    <row r="28" ht="20" customHeight="1">
      <c r="A28" s="73" t="inlineStr">
        <is>
          <t>Bruto mensual total</t>
        </is>
      </c>
      <c r="B28" s="74">
        <f>B5+B6</f>
        <v/>
      </c>
      <c r="C28" s="73" t="inlineStr">
        <is>
          <t>Salario + remunerativos mensuales</t>
        </is>
      </c>
      <c r="D28" s="73" t="n"/>
    </row>
    <row r="29" ht="20" customHeight="1">
      <c r="A29" s="75" t="inlineStr">
        <is>
          <t>Base sujeta a aportes</t>
        </is>
      </c>
      <c r="B29" s="76">
        <f>MIN(B28,B16)</f>
        <v/>
      </c>
      <c r="C29" s="75" t="inlineStr">
        <is>
          <t>Tope julio 2026</t>
        </is>
      </c>
      <c r="D29" s="75" t="n"/>
    </row>
    <row r="30" ht="20" customHeight="1">
      <c r="A30" s="75" t="inlineStr">
        <is>
          <t>Jubilación (11%)</t>
        </is>
      </c>
      <c r="B30" s="76">
        <f>B29*B17</f>
        <v/>
      </c>
      <c r="C30" s="75" t="inlineStr">
        <is>
          <t>Descuento empleado</t>
        </is>
      </c>
      <c r="D30" s="75" t="n"/>
    </row>
    <row r="31" ht="20" customHeight="1">
      <c r="A31" s="75" t="inlineStr">
        <is>
          <t>PAMI (3%)</t>
        </is>
      </c>
      <c r="B31" s="76">
        <f>B29*B18</f>
        <v/>
      </c>
      <c r="C31" s="75" t="inlineStr">
        <is>
          <t>Descuento empleado</t>
        </is>
      </c>
      <c r="D31" s="75" t="n"/>
    </row>
    <row r="32" ht="20" customHeight="1">
      <c r="A32" s="75" t="inlineStr">
        <is>
          <t>Obra social (3%)</t>
        </is>
      </c>
      <c r="B32" s="76">
        <f>B29*B19</f>
        <v/>
      </c>
      <c r="C32" s="75" t="inlineStr">
        <is>
          <t>Descuento empleado</t>
        </is>
      </c>
      <c r="D32" s="75" t="n"/>
    </row>
    <row r="33" ht="20" customHeight="1">
      <c r="A33" s="75" t="inlineStr">
        <is>
          <t>Cuota sindical / otros</t>
        </is>
      </c>
      <c r="B33" s="76">
        <f>B28*B11</f>
        <v/>
      </c>
      <c r="C33" s="75" t="inlineStr">
        <is>
          <t>Editable</t>
        </is>
      </c>
      <c r="D33" s="75" t="n"/>
    </row>
    <row r="34" ht="20" customHeight="1">
      <c r="A34" s="77" t="inlineStr">
        <is>
          <t>Total aportes y otros</t>
        </is>
      </c>
      <c r="B34" s="78">
        <f>SUM(B30:B33)</f>
        <v/>
      </c>
      <c r="C34" s="77" t="inlineStr">
        <is>
          <t>Antes de Ganancias</t>
        </is>
      </c>
      <c r="D34" s="77" t="n"/>
    </row>
    <row r="35" ht="20" customHeight="1">
      <c r="A35" s="73" t="inlineStr">
        <is>
          <t>Neto antes de Ganancias</t>
        </is>
      </c>
      <c r="B35" s="74">
        <f>B28-B34</f>
        <v/>
      </c>
      <c r="C35" s="73" t="inlineStr"/>
      <c r="D35" s="73" t="n"/>
    </row>
    <row r="36" ht="20" customHeight="1"/>
    <row r="37" ht="20" customHeight="1">
      <c r="A37" s="66" t="inlineStr">
        <is>
          <t>GANANCIAS — PROYECCIÓN ANUALIZADA</t>
        </is>
      </c>
    </row>
    <row r="38" ht="20" customHeight="1">
      <c r="A38" s="75" t="inlineStr">
        <is>
          <t>Ingreso bruto anual proyectado</t>
        </is>
      </c>
      <c r="B38" s="76">
        <f>B28*12+B7</f>
        <v/>
      </c>
      <c r="C38" s="75" t="inlineStr">
        <is>
          <t>No incluye SAC ni equity/RSU</t>
        </is>
      </c>
      <c r="D38" s="75" t="n"/>
    </row>
    <row r="39" ht="20" customHeight="1">
      <c r="A39" s="75" t="inlineStr">
        <is>
          <t>Aportes anuales proyectados</t>
        </is>
      </c>
      <c r="B39" s="76">
        <f>SUM(B30:B32)*12</f>
        <v/>
      </c>
      <c r="C39" s="75" t="inlineStr">
        <is>
          <t>Bonus anual no aportado en esta simplificación</t>
        </is>
      </c>
      <c r="D39" s="75" t="n"/>
    </row>
    <row r="40" ht="20" customHeight="1">
      <c r="A40" s="75" t="inlineStr">
        <is>
          <t>Deducciones personales anuales</t>
        </is>
      </c>
      <c r="B40" s="76">
        <f>B20+B21+(B9*B22)+(B8*B23)+B10</f>
        <v/>
      </c>
      <c r="C40" s="75" t="inlineStr">
        <is>
          <t>MNI + especial + familia + SIRADIG</t>
        </is>
      </c>
      <c r="D40" s="75" t="n"/>
    </row>
    <row r="41" ht="20" customHeight="1">
      <c r="A41" s="75" t="inlineStr">
        <is>
          <t>Ganancia neta imponible anual</t>
        </is>
      </c>
      <c r="B41" s="76">
        <f>MAX(0,B38-B39-B40)</f>
        <v/>
      </c>
      <c r="C41" s="75" t="inlineStr">
        <is>
          <t>Base para escala Art. 94</t>
        </is>
      </c>
      <c r="D41" s="75" t="n"/>
    </row>
    <row r="42" ht="20" customHeight="1">
      <c r="A42" s="77" t="inlineStr">
        <is>
          <t>Ganancias anual estimada</t>
        </is>
      </c>
      <c r="B42" s="78">
        <f>IF(B41&lt;=2336953.69,B41*5%,IF(B41&lt;=4673907.37,116847.68+(B41-2336953.69)*9%,IF(B41&lt;=7010861.06,327173.51+(B41-4673907.37)*12%,IF(B41&lt;=10516291.59,607607.96+(B41-7010861.06)*15%,IF(B41&lt;=21032583.19,1133422.53+(B41-10516291.59)*19%,IF(B41&lt;=31548874.78,3131517.94+(B41-21032583.19)*23%,IF(B41&lt;=47323312.17,5550265.01+(B41-31548874.78)*27%,IF(B41&lt;=70984968.27,9809363.11+(B41-47323312.17)*31%,17144476.49+(B41-70984968.27)*35%))))))))</f>
        <v/>
      </c>
      <c r="C42" s="77" t="inlineStr">
        <is>
          <t>Escala anual estimada 2° semestre 2026</t>
        </is>
      </c>
      <c r="D42" s="77" t="n"/>
    </row>
    <row r="43" ht="20" customHeight="1">
      <c r="A43" s="77" t="inlineStr">
        <is>
          <t>Ganancias mensual promedio</t>
        </is>
      </c>
      <c r="B43" s="78">
        <f>B42/12</f>
        <v/>
      </c>
      <c r="C43" s="77" t="inlineStr">
        <is>
          <t>La retención real es acumulativa RG 4003</t>
        </is>
      </c>
      <c r="D43" s="77" t="n"/>
    </row>
    <row r="44" ht="20" customHeight="1">
      <c r="A44" s="73" t="inlineStr">
        <is>
          <t>NETO MENSUAL ESTIMADO</t>
        </is>
      </c>
      <c r="B44" s="74">
        <f>B35-B43</f>
        <v/>
      </c>
      <c r="C44" s="73" t="inlineStr">
        <is>
          <t>Sin SAC, bonus, RSU ni ajuste de retenciones previas</t>
        </is>
      </c>
      <c r="D44" s="73" t="n"/>
    </row>
    <row r="45" ht="20" customHeight="1">
      <c r="A45" s="73" t="inlineStr">
        <is>
          <t>Descuento efectivo total</t>
        </is>
      </c>
      <c r="B45" s="79">
        <f>IFERROR((B34+B43)/B28,0)</f>
        <v/>
      </c>
      <c r="C45" s="73" t="inlineStr">
        <is>
          <t>Aportes + Ganancias / bruto</t>
        </is>
      </c>
      <c r="D45" s="73" t="n"/>
    </row>
    <row r="46" ht="20" customHeight="1"/>
    <row r="47" ht="20" customHeight="1">
      <c r="A47" s="66" t="inlineStr">
        <is>
          <t>CARGAS SOCIALES Y COSTO MELI (EMPLEADOR)</t>
        </is>
      </c>
    </row>
    <row r="48" ht="20" customHeight="1">
      <c r="A48" s="75" t="inlineStr">
        <is>
          <t>Contribuciones SUSS (20,4%)</t>
        </is>
      </c>
      <c r="B48" s="76">
        <f>B28*B24</f>
        <v/>
      </c>
      <c r="C48" s="75" t="inlineStr">
        <is>
          <t>Estimación empresa grande servicios/comercio</t>
        </is>
      </c>
      <c r="D48" s="75" t="n"/>
    </row>
    <row r="49" ht="20" customHeight="1">
      <c r="A49" s="75" t="inlineStr">
        <is>
          <t>Obra social patronal (6%)</t>
        </is>
      </c>
      <c r="B49" s="76">
        <f>B28*B25</f>
        <v/>
      </c>
      <c r="C49" s="75" t="inlineStr"/>
      <c r="D49" s="75" t="n"/>
    </row>
    <row r="50" ht="20" customHeight="1">
      <c r="A50" s="75" t="inlineStr">
        <is>
          <t>ART estimada</t>
        </is>
      </c>
      <c r="B50" s="76">
        <f>B28*B12</f>
        <v/>
      </c>
      <c r="C50" s="75" t="inlineStr">
        <is>
          <t>No incluye suma fija FFEP</t>
        </is>
      </c>
      <c r="D50" s="75" t="n"/>
    </row>
    <row r="51" ht="20" customHeight="1">
      <c r="A51" s="77" t="inlineStr">
        <is>
          <t>Total cargas patronales</t>
        </is>
      </c>
      <c r="B51" s="78">
        <f>SUM(B48:B50)</f>
        <v/>
      </c>
      <c r="C51" s="77" t="inlineStr">
        <is>
          <t>No descuenta detracciones/beneficios</t>
        </is>
      </c>
      <c r="D51" s="77" t="n"/>
    </row>
    <row r="52" ht="20" customHeight="1">
      <c r="A52" s="73" t="inlineStr">
        <is>
          <t>COSTO MENSUAL MELI ESTIMADO</t>
        </is>
      </c>
      <c r="B52" s="74">
        <f>B28+B51</f>
        <v/>
      </c>
      <c r="C52" s="73" t="inlineStr">
        <is>
          <t>Bruto + cargas patronales</t>
        </is>
      </c>
      <c r="D52" s="73" t="n"/>
    </row>
    <row r="53" ht="20" customHeight="1">
      <c r="A53" s="73" t="inlineStr">
        <is>
          <t>Tasa patronal efectiva</t>
        </is>
      </c>
      <c r="B53" s="79">
        <f>IFERROR(B51/B28,0)</f>
        <v/>
      </c>
      <c r="C53" s="73" t="inlineStr"/>
      <c r="D53" s="73" t="n"/>
    </row>
    <row r="54" ht="20" customHeight="1"/>
    <row r="55" ht="20" customHeight="1">
      <c r="A55" s="66" t="inlineStr">
        <is>
          <t>ESCALA ART. 94 — ESTIMADA 2° SEMESTRE 2026</t>
        </is>
      </c>
    </row>
    <row r="56" ht="20" customHeight="1">
      <c r="A56" s="80" t="inlineStr">
        <is>
          <t>Más de</t>
        </is>
      </c>
      <c r="B56" s="80" t="inlineStr">
        <is>
          <t>Hasta</t>
        </is>
      </c>
      <c r="C56" s="80" t="inlineStr">
        <is>
          <t>Importe fijo</t>
        </is>
      </c>
      <c r="D56" s="80" t="inlineStr">
        <is>
          <t>Alícuota</t>
        </is>
      </c>
      <c r="E56" s="80" t="inlineStr">
        <is>
          <t>Sobre excedente de</t>
        </is>
      </c>
    </row>
    <row r="57" ht="20" customHeight="1">
      <c r="A57" s="81" t="n">
        <v>0</v>
      </c>
      <c r="B57" s="81" t="n">
        <v>2336953.69</v>
      </c>
      <c r="C57" s="81" t="n">
        <v>0</v>
      </c>
      <c r="D57" s="82" t="n">
        <v>0.05</v>
      </c>
      <c r="E57" s="81" t="n">
        <v>0</v>
      </c>
    </row>
    <row r="58" ht="20" customHeight="1">
      <c r="A58" s="81" t="n">
        <v>2336953.69</v>
      </c>
      <c r="B58" s="81" t="n">
        <v>4673907.37</v>
      </c>
      <c r="C58" s="81" t="n">
        <v>116847.68</v>
      </c>
      <c r="D58" s="82" t="n">
        <v>0.09</v>
      </c>
      <c r="E58" s="81" t="n">
        <v>2336953.69</v>
      </c>
    </row>
    <row r="59" ht="20" customHeight="1">
      <c r="A59" s="81" t="n">
        <v>4673907.37</v>
      </c>
      <c r="B59" s="81" t="n">
        <v>7010861.06</v>
      </c>
      <c r="C59" s="81" t="n">
        <v>327173.51</v>
      </c>
      <c r="D59" s="82" t="n">
        <v>0.12</v>
      </c>
      <c r="E59" s="81" t="n">
        <v>4673907.37</v>
      </c>
    </row>
    <row r="60" ht="20" customHeight="1">
      <c r="A60" s="81" t="n">
        <v>7010861.06</v>
      </c>
      <c r="B60" s="81" t="n">
        <v>10516291.59</v>
      </c>
      <c r="C60" s="81" t="n">
        <v>607607.96</v>
      </c>
      <c r="D60" s="82" t="n">
        <v>0.15</v>
      </c>
      <c r="E60" s="81" t="n">
        <v>7010861.06</v>
      </c>
    </row>
    <row r="61" ht="20" customHeight="1">
      <c r="A61" s="81" t="n">
        <v>10516291.59</v>
      </c>
      <c r="B61" s="81" t="n">
        <v>21032583.19</v>
      </c>
      <c r="C61" s="81" t="n">
        <v>1133422.53</v>
      </c>
      <c r="D61" s="82" t="n">
        <v>0.19</v>
      </c>
      <c r="E61" s="81" t="n">
        <v>10516291.59</v>
      </c>
    </row>
    <row r="62" ht="20" customHeight="1">
      <c r="A62" s="81" t="n">
        <v>21032583.19</v>
      </c>
      <c r="B62" s="81" t="n">
        <v>31548874.78</v>
      </c>
      <c r="C62" s="81" t="n">
        <v>3131517.94</v>
      </c>
      <c r="D62" s="82" t="n">
        <v>0.23</v>
      </c>
      <c r="E62" s="81" t="n">
        <v>21032583.19</v>
      </c>
    </row>
    <row r="63" ht="20" customHeight="1">
      <c r="A63" s="81" t="n">
        <v>31548874.78</v>
      </c>
      <c r="B63" s="81" t="n">
        <v>47323312.17</v>
      </c>
      <c r="C63" s="81" t="n">
        <v>5550265.01</v>
      </c>
      <c r="D63" s="82" t="n">
        <v>0.27</v>
      </c>
      <c r="E63" s="81" t="n">
        <v>31548874.78</v>
      </c>
    </row>
    <row r="64" ht="20" customHeight="1">
      <c r="A64" s="81" t="n">
        <v>47323312.17</v>
      </c>
      <c r="B64" s="81" t="n">
        <v>70984968.27</v>
      </c>
      <c r="C64" s="81" t="n">
        <v>9809363.109999999</v>
      </c>
      <c r="D64" s="82" t="n">
        <v>0.31</v>
      </c>
      <c r="E64" s="81" t="n">
        <v>47323312.17</v>
      </c>
    </row>
    <row r="65" ht="20" customHeight="1">
      <c r="A65" s="81" t="n">
        <v>70984968.27</v>
      </c>
      <c r="B65" s="81" t="n"/>
      <c r="C65" s="81" t="n">
        <v>17144476.49</v>
      </c>
      <c r="D65" s="82" t="n">
        <v>0.35</v>
      </c>
      <c r="E65" s="81" t="n">
        <v>70984968.27</v>
      </c>
    </row>
    <row r="66" ht="20" customHeight="1"/>
    <row r="67" ht="20" customHeight="1"/>
    <row r="68" ht="20" customHeight="1">
      <c r="A68" s="66" t="inlineStr">
        <is>
          <t>ALCANCE Y FUENTES</t>
        </is>
      </c>
    </row>
    <row r="69" ht="34" customHeight="1">
      <c r="A69" s="83" t="inlineStr">
        <is>
          <t>• Ganancias es una proyección anual promedio. Payroll retiene acumulativamente desde enero (RG 4003), por lo que el recibo real puede diferir.</t>
        </is>
      </c>
    </row>
    <row r="70" ht="34" customHeight="1">
      <c r="A70" s="83" t="inlineStr">
        <is>
          <t>• No incluye SAC, bonos no cargados, RSU/equity, remuneraciones no habituales, reintegros, deducciones SIRADIG ni retenciones previas.</t>
        </is>
      </c>
    </row>
    <row r="71" ht="34" customHeight="1">
      <c r="A71" s="83" t="inlineStr">
        <is>
          <t>• Tope de aportes julio 2026: Res. ANSES 186/2026, base máxima ARS 4.509.567,41.</t>
        </is>
      </c>
    </row>
    <row r="72" ht="34" customHeight="1">
      <c r="A72" s="83" t="inlineStr">
        <is>
          <t>• Deducciones y escala de Ganancias: actualización estimada por IPC 16,8459265%; validar contra tablas definitivas de ARCA.</t>
        </is>
      </c>
    </row>
    <row r="73" ht="34" customHeight="1">
      <c r="A73" s="83" t="inlineStr">
        <is>
          <t>• Cargas patronales: 20,4% SUSS + 6% obra social + ART editable. No incluye detracciones, FFEP ni beneficios particulares del empleador.</t>
        </is>
      </c>
    </row>
    <row r="74" ht="34" customHeight="1">
      <c r="A74" s="83" t="inlineStr">
        <is>
          <t>• Fuentes: ARCA (Art. 30 y Art. 94), ANSES Res. 186/2026, Ley 27.541 art. 19.</t>
        </is>
      </c>
    </row>
    <row r="75" ht="34" customHeight="1">
      <c r="A75" s="83" t="inlineStr">
        <is>
          <t>• Car allowance: ARS 312.000 hasta junio; +12% desde julio = ARS 349.440. Bruto mensual total proyectado: ARS 13.011.827.</t>
        </is>
      </c>
    </row>
    <row r="77">
      <c r="A77" s="84" t="inlineStr">
        <is>
          <t>RECIBOS MELI REALES 2026 — SUELDOS, BONO Y SAC</t>
        </is>
      </c>
    </row>
    <row r="78">
      <c r="A78" s="85" t="inlineStr">
        <is>
          <t>Período</t>
        </is>
      </c>
      <c r="B78" s="85" t="inlineStr">
        <is>
          <t>Tipo</t>
        </is>
      </c>
      <c r="C78" s="85" t="inlineStr">
        <is>
          <t>Fecha pago</t>
        </is>
      </c>
      <c r="D78" s="85" t="inlineStr">
        <is>
          <t>Básico</t>
        </is>
      </c>
      <c r="E78" s="85" t="inlineStr">
        <is>
          <t>Otros haberes netos</t>
        </is>
      </c>
      <c r="F78" s="85" t="inlineStr">
        <is>
          <t>Haberes totales</t>
        </is>
      </c>
      <c r="G78" s="85" t="inlineStr">
        <is>
          <t>SIJP</t>
        </is>
      </c>
      <c r="H78" s="85" t="inlineStr">
        <is>
          <t>PAMI</t>
        </is>
      </c>
      <c r="I78" s="85" t="inlineStr">
        <is>
          <t>Obra social</t>
        </is>
      </c>
      <c r="J78" s="85" t="inlineStr">
        <is>
          <t>Ganancias</t>
        </is>
      </c>
      <c r="K78" s="85" t="inlineStr">
        <is>
          <t>Otros descuentos</t>
        </is>
      </c>
      <c r="L78" s="85" t="inlineStr">
        <is>
          <t>Ajustes / devoluciones</t>
        </is>
      </c>
      <c r="M78" s="85" t="inlineStr">
        <is>
          <t>Descuentos netos</t>
        </is>
      </c>
      <c r="N78" s="85" t="inlineStr">
        <is>
          <t>Neto pagado</t>
        </is>
      </c>
      <c r="O78" s="85" t="inlineStr">
        <is>
          <t>Archivo fuente</t>
        </is>
      </c>
      <c r="P78" s="85" t="inlineStr">
        <is>
          <t>Conciliación</t>
        </is>
      </c>
    </row>
    <row r="79">
      <c r="A79" s="86" t="inlineStr">
        <is>
          <t>Enero</t>
        </is>
      </c>
      <c r="B79" s="75" t="inlineStr">
        <is>
          <t>Sueldo</t>
        </is>
      </c>
      <c r="C79" s="87" t="n">
        <v>46054</v>
      </c>
      <c r="D79" s="93" t="n">
        <v>7906085</v>
      </c>
      <c r="E79" s="93" t="n">
        <v>180000</v>
      </c>
      <c r="F79" s="93" t="n">
        <v>8086085</v>
      </c>
      <c r="G79" s="93" t="n">
        <v>420571.02</v>
      </c>
      <c r="H79" s="93" t="n">
        <v>114701.19</v>
      </c>
      <c r="I79" s="93" t="n">
        <v>114701.19</v>
      </c>
      <c r="J79" s="93" t="n">
        <v>1221703.83</v>
      </c>
      <c r="K79" s="93" t="n">
        <v>21900</v>
      </c>
      <c r="L79" s="93" t="n">
        <v>0</v>
      </c>
      <c r="M79" s="93" t="n">
        <v>1893577.23</v>
      </c>
      <c r="N79" s="94" t="n">
        <v>6192507.77</v>
      </c>
      <c r="O79" s="86" t="inlineStr">
        <is>
          <t>ENERO.pdf</t>
        </is>
      </c>
      <c r="P79" s="93">
        <f>ROUND(F79-M79-N79,2)</f>
        <v/>
      </c>
    </row>
    <row r="80">
      <c r="A80" s="86" t="inlineStr">
        <is>
          <t>Febrero</t>
        </is>
      </c>
      <c r="B80" s="75" t="inlineStr">
        <is>
          <t>Sueldo</t>
        </is>
      </c>
      <c r="C80" s="87" t="n">
        <v>46082</v>
      </c>
      <c r="D80" s="93" t="n">
        <v>7906085</v>
      </c>
      <c r="E80" s="93" t="n">
        <v>208000</v>
      </c>
      <c r="F80" s="93" t="n">
        <v>8114085</v>
      </c>
      <c r="G80" s="93" t="n">
        <v>432557.3</v>
      </c>
      <c r="H80" s="93" t="n">
        <v>117970.17</v>
      </c>
      <c r="I80" s="93" t="n">
        <v>117970.17</v>
      </c>
      <c r="J80" s="93" t="n">
        <v>1425004.25</v>
      </c>
      <c r="K80" s="93" t="n">
        <v>21900</v>
      </c>
      <c r="L80" s="93" t="n">
        <v>0</v>
      </c>
      <c r="M80" s="93" t="n">
        <v>2115401.89</v>
      </c>
      <c r="N80" s="94" t="n">
        <v>5998683.11</v>
      </c>
      <c r="O80" s="86" t="inlineStr">
        <is>
          <t>FEBRERO.pdf</t>
        </is>
      </c>
      <c r="P80" s="93">
        <f>ROUND(F80-M80-N80,2)</f>
        <v/>
      </c>
    </row>
    <row r="81">
      <c r="A81" s="86" t="inlineStr">
        <is>
          <t>Marzo</t>
        </is>
      </c>
      <c r="B81" s="75" t="inlineStr">
        <is>
          <t>Sueldo + retroactivo</t>
        </is>
      </c>
      <c r="C81" s="87" t="n">
        <v>46113</v>
      </c>
      <c r="D81" s="93" t="n">
        <v>11305702</v>
      </c>
      <c r="E81" s="93" t="n">
        <v>7007234</v>
      </c>
      <c r="F81" s="93" t="n">
        <v>18312936</v>
      </c>
      <c r="G81" s="93" t="n">
        <v>445014.95</v>
      </c>
      <c r="H81" s="93" t="n">
        <v>121367.71</v>
      </c>
      <c r="I81" s="93" t="n">
        <v>121367.71</v>
      </c>
      <c r="J81" s="93" t="n">
        <v>4658857.2</v>
      </c>
      <c r="K81" s="93" t="n">
        <v>21900</v>
      </c>
      <c r="L81" s="93" t="n">
        <v>0</v>
      </c>
      <c r="M81" s="93" t="n">
        <v>5368507.57</v>
      </c>
      <c r="N81" s="94" t="n">
        <v>12944428.43</v>
      </c>
      <c r="O81" s="86" t="inlineStr">
        <is>
          <t>MARZO.pdf</t>
        </is>
      </c>
      <c r="P81" s="93">
        <f>ROUND(F81-M81-N81,2)</f>
        <v/>
      </c>
    </row>
    <row r="82">
      <c r="A82" s="86" t="inlineStr">
        <is>
          <t>Abril</t>
        </is>
      </c>
      <c r="B82" s="75" t="inlineStr">
        <is>
          <t>Bono anual / transición</t>
        </is>
      </c>
      <c r="C82" s="87" t="n">
        <v>46118</v>
      </c>
      <c r="D82" s="93" t="n">
        <v>0</v>
      </c>
      <c r="E82" s="93" t="n">
        <v>23717162.5</v>
      </c>
      <c r="F82" s="93" t="n">
        <v>23717162.5</v>
      </c>
      <c r="G82" s="93" t="n">
        <v>445014.95</v>
      </c>
      <c r="H82" s="93" t="n">
        <v>121367.71</v>
      </c>
      <c r="I82" s="93" t="n">
        <v>121367.71</v>
      </c>
      <c r="J82" s="93" t="n">
        <v>3120893.08</v>
      </c>
      <c r="K82" s="93" t="n">
        <v>0</v>
      </c>
      <c r="L82" s="93" t="n">
        <v>0</v>
      </c>
      <c r="M82" s="93" t="n">
        <v>3808643.45</v>
      </c>
      <c r="N82" s="94" t="n">
        <v>19908519.05</v>
      </c>
      <c r="O82" s="86" t="inlineStr">
        <is>
          <t>ABRIL BONO.pdf</t>
        </is>
      </c>
      <c r="P82" s="93">
        <f>ROUND(F82-M82-N82,2)</f>
        <v/>
      </c>
    </row>
    <row r="83">
      <c r="A83" s="86" t="inlineStr">
        <is>
          <t>Abril</t>
        </is>
      </c>
      <c r="B83" s="75" t="inlineStr">
        <is>
          <t>Sueldo + vacaciones</t>
        </is>
      </c>
      <c r="C83" s="87" t="n">
        <v>46143</v>
      </c>
      <c r="D83" s="93" t="n">
        <v>11305702</v>
      </c>
      <c r="E83" s="93" t="n">
        <v>2168752.32</v>
      </c>
      <c r="F83" s="93" t="n">
        <v>13474454.32</v>
      </c>
      <c r="G83" s="93" t="n">
        <v>12905.43</v>
      </c>
      <c r="H83" s="93" t="n">
        <v>3519.66</v>
      </c>
      <c r="I83" s="93" t="n">
        <v>3519.66</v>
      </c>
      <c r="J83" s="93" t="n">
        <v>3813479.69</v>
      </c>
      <c r="K83" s="93" t="n">
        <v>23400</v>
      </c>
      <c r="L83" s="93" t="n">
        <v>-3564748.04</v>
      </c>
      <c r="M83" s="93" t="n">
        <v>292076.4</v>
      </c>
      <c r="N83" s="94" t="n">
        <v>13182377.92</v>
      </c>
      <c r="O83" s="86" t="inlineStr">
        <is>
          <t>ABRIL.pdf</t>
        </is>
      </c>
      <c r="P83" s="93">
        <f>ROUND(F83-M83-N83,2)</f>
        <v/>
      </c>
    </row>
    <row r="84">
      <c r="A84" s="86" t="inlineStr">
        <is>
          <t>Mayo</t>
        </is>
      </c>
      <c r="B84" s="75" t="inlineStr">
        <is>
          <t>Sueldo</t>
        </is>
      </c>
      <c r="C84" s="87" t="n">
        <v>46174</v>
      </c>
      <c r="D84" s="93" t="n">
        <v>11305702</v>
      </c>
      <c r="E84" s="93" t="n">
        <v>312000</v>
      </c>
      <c r="F84" s="93" t="n">
        <v>11617702</v>
      </c>
      <c r="G84" s="93" t="n">
        <v>473398.09</v>
      </c>
      <c r="H84" s="93" t="n">
        <v>129108.57</v>
      </c>
      <c r="I84" s="93" t="n">
        <v>129108.57</v>
      </c>
      <c r="J84" s="93" t="n">
        <v>3415603.09</v>
      </c>
      <c r="K84" s="93" t="n">
        <v>23400</v>
      </c>
      <c r="L84" s="93" t="n">
        <v>0</v>
      </c>
      <c r="M84" s="93" t="n">
        <v>4170618.32</v>
      </c>
      <c r="N84" s="94" t="n">
        <v>7447083.68</v>
      </c>
      <c r="O84" s="86" t="inlineStr">
        <is>
          <t>MAYO.pdf</t>
        </is>
      </c>
      <c r="P84" s="93">
        <f>ROUND(F84-M84-N84,2)</f>
        <v/>
      </c>
    </row>
    <row r="85">
      <c r="A85" s="86" t="inlineStr">
        <is>
          <t>Junio</t>
        </is>
      </c>
      <c r="B85" s="75" t="inlineStr">
        <is>
          <t>SAC 1° semestre</t>
        </is>
      </c>
      <c r="C85" s="87" t="n">
        <v>46196</v>
      </c>
      <c r="D85" s="93" t="n">
        <v>0</v>
      </c>
      <c r="E85" s="93" t="n">
        <v>6622090.14</v>
      </c>
      <c r="F85" s="93" t="n">
        <v>6622090.14</v>
      </c>
      <c r="G85" s="93" t="n">
        <v>242805.88</v>
      </c>
      <c r="H85" s="93" t="n">
        <v>66219.78999999999</v>
      </c>
      <c r="I85" s="93" t="n">
        <v>66219.78999999999</v>
      </c>
      <c r="J85" s="93" t="n">
        <v>536087.26</v>
      </c>
      <c r="K85" s="93" t="n">
        <v>0</v>
      </c>
      <c r="L85" s="93" t="n">
        <v>0</v>
      </c>
      <c r="M85" s="93" t="n">
        <v>911332.72</v>
      </c>
      <c r="N85" s="94" t="n">
        <v>5710757.42</v>
      </c>
      <c r="O85" s="86" t="inlineStr">
        <is>
          <t>SAC.pdf</t>
        </is>
      </c>
      <c r="P85" s="93">
        <f>ROUND(F85-M85-N85,2)</f>
        <v/>
      </c>
    </row>
    <row r="86">
      <c r="A86" s="86" t="inlineStr">
        <is>
          <t>Junio</t>
        </is>
      </c>
      <c r="B86" s="75" t="inlineStr">
        <is>
          <t>Sueldo</t>
        </is>
      </c>
      <c r="C86" s="87" t="n">
        <v>46204</v>
      </c>
      <c r="D86" s="93" t="n">
        <v>11305702</v>
      </c>
      <c r="E86" s="93" t="n">
        <v>312000</v>
      </c>
      <c r="F86" s="93" t="n">
        <v>11617702</v>
      </c>
      <c r="G86" s="93" t="n">
        <v>485611.76</v>
      </c>
      <c r="H86" s="93" t="n">
        <v>132439.57</v>
      </c>
      <c r="I86" s="93" t="n">
        <v>132439.57</v>
      </c>
      <c r="J86" s="93" t="n">
        <v>3408446.06</v>
      </c>
      <c r="K86" s="93" t="n">
        <v>23400</v>
      </c>
      <c r="L86" s="93" t="n">
        <v>0</v>
      </c>
      <c r="M86" s="93" t="n">
        <v>4182336.96</v>
      </c>
      <c r="N86" s="94" t="n">
        <v>7435365.04</v>
      </c>
      <c r="O86" s="86" t="inlineStr">
        <is>
          <t>JUNIO.pdf</t>
        </is>
      </c>
      <c r="P86" s="93">
        <f>ROUND(F86-M86-N86,2)</f>
        <v/>
      </c>
    </row>
    <row r="87">
      <c r="A87" s="90" t="inlineStr">
        <is>
          <t>TOTAL RECIBOS</t>
        </is>
      </c>
      <c r="B87" s="68" t="n"/>
      <c r="C87" s="68" t="n"/>
      <c r="D87" s="95">
        <f>SUM(D79:D86)</f>
        <v/>
      </c>
      <c r="E87" s="95">
        <f>SUM(E79:E86)</f>
        <v/>
      </c>
      <c r="F87" s="95">
        <f>SUM(F79:F86)</f>
        <v/>
      </c>
      <c r="G87" s="95">
        <f>SUM(G79:G86)</f>
        <v/>
      </c>
      <c r="H87" s="95">
        <f>SUM(H79:H86)</f>
        <v/>
      </c>
      <c r="I87" s="95">
        <f>SUM(I79:I86)</f>
        <v/>
      </c>
      <c r="J87" s="95">
        <f>SUM(J79:J86)</f>
        <v/>
      </c>
      <c r="K87" s="95">
        <f>SUM(K79:K86)</f>
        <v/>
      </c>
      <c r="L87" s="95">
        <f>SUM(L79:L86)</f>
        <v/>
      </c>
      <c r="M87" s="95">
        <f>SUM(M79:M86)</f>
        <v/>
      </c>
      <c r="N87" s="95">
        <f>SUM(N79:N86)</f>
        <v/>
      </c>
      <c r="O87" s="68" t="n"/>
      <c r="P87" s="96">
        <f>ROUND(F87-M87-N87,2)</f>
        <v/>
      </c>
    </row>
    <row r="89">
      <c r="A89" s="84" t="inlineStr">
        <is>
          <t>DETALLE EXTRAÍDO DE CONCEPTOS</t>
        </is>
      </c>
    </row>
    <row r="90">
      <c r="A90" s="80" t="inlineStr">
        <is>
          <t>Período</t>
        </is>
      </c>
      <c r="B90" s="80" t="inlineStr">
        <is>
          <t>Tipo recibo</t>
        </is>
      </c>
      <c r="C90" s="80" t="inlineStr">
        <is>
          <t>Fecha pago</t>
        </is>
      </c>
      <c r="D90" s="80" t="inlineStr">
        <is>
          <t>Concepto</t>
        </is>
      </c>
      <c r="E90" s="80" t="inlineStr">
        <is>
          <t>Clase</t>
        </is>
      </c>
      <c r="F90" s="80" t="inlineStr">
        <is>
          <t>Importe</t>
        </is>
      </c>
      <c r="G90" s="80" t="inlineStr">
        <is>
          <t>Archivo fuente</t>
        </is>
      </c>
    </row>
    <row r="91">
      <c r="A91" s="86" t="inlineStr">
        <is>
          <t>Enero</t>
        </is>
      </c>
      <c r="B91" s="86" t="inlineStr">
        <is>
          <t>Sueldo</t>
        </is>
      </c>
      <c r="C91" s="87" t="n">
        <v>46054</v>
      </c>
      <c r="D91" s="86" t="inlineStr">
        <is>
          <t>Sueldo Básico</t>
        </is>
      </c>
      <c r="E91" s="86" t="inlineStr">
        <is>
          <t>Haber</t>
        </is>
      </c>
      <c r="F91" s="93" t="n">
        <v>7906085</v>
      </c>
      <c r="G91" s="86" t="inlineStr">
        <is>
          <t>ENERO.pdf</t>
        </is>
      </c>
    </row>
    <row r="92">
      <c r="A92" s="86" t="inlineStr">
        <is>
          <t>Enero</t>
        </is>
      </c>
      <c r="B92" s="86" t="inlineStr">
        <is>
          <t>Sueldo</t>
        </is>
      </c>
      <c r="C92" s="87" t="n">
        <v>46054</v>
      </c>
      <c r="D92" s="86" t="inlineStr">
        <is>
          <t>Beneficio Auto</t>
        </is>
      </c>
      <c r="E92" s="86" t="inlineStr">
        <is>
          <t>Haber</t>
        </is>
      </c>
      <c r="F92" s="93" t="n">
        <v>180000</v>
      </c>
      <c r="G92" s="86" t="inlineStr">
        <is>
          <t>ENERO.pdf</t>
        </is>
      </c>
    </row>
    <row r="93">
      <c r="A93" s="86" t="inlineStr">
        <is>
          <t>Enero</t>
        </is>
      </c>
      <c r="B93" s="86" t="inlineStr">
        <is>
          <t>Sueldo</t>
        </is>
      </c>
      <c r="C93" s="87" t="n">
        <v>46054</v>
      </c>
      <c r="D93" s="86" t="inlineStr">
        <is>
          <t>Aporte SIJP sobre sueldo</t>
        </is>
      </c>
      <c r="E93" s="86" t="inlineStr">
        <is>
          <t>Descuento</t>
        </is>
      </c>
      <c r="F93" s="93" t="n">
        <v>420571.02</v>
      </c>
      <c r="G93" s="86" t="inlineStr">
        <is>
          <t>ENERO.pdf</t>
        </is>
      </c>
    </row>
    <row r="94">
      <c r="A94" s="86" t="inlineStr">
        <is>
          <t>Enero</t>
        </is>
      </c>
      <c r="B94" s="86" t="inlineStr">
        <is>
          <t>Sueldo</t>
        </is>
      </c>
      <c r="C94" s="87" t="n">
        <v>46054</v>
      </c>
      <c r="D94" s="86" t="inlineStr">
        <is>
          <t>Aporte INSSJP sobre sueldo</t>
        </is>
      </c>
      <c r="E94" s="86" t="inlineStr">
        <is>
          <t>Descuento</t>
        </is>
      </c>
      <c r="F94" s="93" t="n">
        <v>114701.19</v>
      </c>
      <c r="G94" s="86" t="inlineStr">
        <is>
          <t>ENERO.pdf</t>
        </is>
      </c>
    </row>
    <row r="95">
      <c r="A95" s="86" t="inlineStr">
        <is>
          <t>Enero</t>
        </is>
      </c>
      <c r="B95" s="86" t="inlineStr">
        <is>
          <t>Sueldo</t>
        </is>
      </c>
      <c r="C95" s="87" t="n">
        <v>46054</v>
      </c>
      <c r="D95" s="86" t="inlineStr">
        <is>
          <t>Aporte Obra Social sobre sueldo</t>
        </is>
      </c>
      <c r="E95" s="86" t="inlineStr">
        <is>
          <t>Descuento</t>
        </is>
      </c>
      <c r="F95" s="93" t="n">
        <v>114701.19</v>
      </c>
      <c r="G95" s="86" t="inlineStr">
        <is>
          <t>ENERO.pdf</t>
        </is>
      </c>
    </row>
    <row r="96">
      <c r="A96" s="86" t="inlineStr">
        <is>
          <t>Enero</t>
        </is>
      </c>
      <c r="B96" s="86" t="inlineStr">
        <is>
          <t>Sueldo</t>
        </is>
      </c>
      <c r="C96" s="87" t="n">
        <v>46054</v>
      </c>
      <c r="D96" s="86" t="inlineStr">
        <is>
          <t>Impuesto pagado/devuelto</t>
        </is>
      </c>
      <c r="E96" s="86" t="inlineStr">
        <is>
          <t>Descuento Ganancias</t>
        </is>
      </c>
      <c r="F96" s="93" t="n">
        <v>1221703.83</v>
      </c>
      <c r="G96" s="86" t="inlineStr">
        <is>
          <t>ENERO.pdf</t>
        </is>
      </c>
    </row>
    <row r="97">
      <c r="A97" s="86" t="inlineStr">
        <is>
          <t>Enero</t>
        </is>
      </c>
      <c r="B97" s="86" t="inlineStr">
        <is>
          <t>Sueldo</t>
        </is>
      </c>
      <c r="C97" s="87" t="n">
        <v>46054</v>
      </c>
      <c r="D97" s="86" t="inlineStr">
        <is>
          <t>Dto Gimnasio</t>
        </is>
      </c>
      <c r="E97" s="86" t="inlineStr">
        <is>
          <t>Descuento</t>
        </is>
      </c>
      <c r="F97" s="93" t="n">
        <v>21900</v>
      </c>
      <c r="G97" s="86" t="inlineStr">
        <is>
          <t>ENERO.pdf</t>
        </is>
      </c>
    </row>
    <row r="98">
      <c r="A98" s="86" t="inlineStr">
        <is>
          <t>Febrero</t>
        </is>
      </c>
      <c r="B98" s="86" t="inlineStr">
        <is>
          <t>Sueldo</t>
        </is>
      </c>
      <c r="C98" s="87" t="n">
        <v>46082</v>
      </c>
      <c r="D98" s="86" t="inlineStr">
        <is>
          <t>Sueldo Básico</t>
        </is>
      </c>
      <c r="E98" s="86" t="inlineStr">
        <is>
          <t>Haber</t>
        </is>
      </c>
      <c r="F98" s="93" t="n">
        <v>7906085</v>
      </c>
      <c r="G98" s="86" t="inlineStr">
        <is>
          <t>FEBRERO.pdf</t>
        </is>
      </c>
    </row>
    <row r="99">
      <c r="A99" s="86" t="inlineStr">
        <is>
          <t>Febrero</t>
        </is>
      </c>
      <c r="B99" s="86" t="inlineStr">
        <is>
          <t>Sueldo</t>
        </is>
      </c>
      <c r="C99" s="87" t="n">
        <v>46082</v>
      </c>
      <c r="D99" s="86" t="inlineStr">
        <is>
          <t>Beneficio Auto</t>
        </is>
      </c>
      <c r="E99" s="86" t="inlineStr">
        <is>
          <t>Haber</t>
        </is>
      </c>
      <c r="F99" s="93" t="n">
        <v>208000</v>
      </c>
      <c r="G99" s="86" t="inlineStr">
        <is>
          <t>FEBRERO.pdf</t>
        </is>
      </c>
    </row>
    <row r="100">
      <c r="A100" s="86" t="inlineStr">
        <is>
          <t>Febrero</t>
        </is>
      </c>
      <c r="B100" s="86" t="inlineStr">
        <is>
          <t>Sueldo</t>
        </is>
      </c>
      <c r="C100" s="87" t="n">
        <v>46082</v>
      </c>
      <c r="D100" s="86" t="inlineStr">
        <is>
          <t>Aporte SIJP sobre sueldo</t>
        </is>
      </c>
      <c r="E100" s="86" t="inlineStr">
        <is>
          <t>Descuento</t>
        </is>
      </c>
      <c r="F100" s="93" t="n">
        <v>432557.3</v>
      </c>
      <c r="G100" s="86" t="inlineStr">
        <is>
          <t>FEBRERO.pdf</t>
        </is>
      </c>
    </row>
    <row r="101">
      <c r="A101" s="86" t="inlineStr">
        <is>
          <t>Febrero</t>
        </is>
      </c>
      <c r="B101" s="86" t="inlineStr">
        <is>
          <t>Sueldo</t>
        </is>
      </c>
      <c r="C101" s="87" t="n">
        <v>46082</v>
      </c>
      <c r="D101" s="86" t="inlineStr">
        <is>
          <t>Aporte INSSJP sobre sueldo</t>
        </is>
      </c>
      <c r="E101" s="86" t="inlineStr">
        <is>
          <t>Descuento</t>
        </is>
      </c>
      <c r="F101" s="93" t="n">
        <v>117970.17</v>
      </c>
      <c r="G101" s="86" t="inlineStr">
        <is>
          <t>FEBRERO.pdf</t>
        </is>
      </c>
    </row>
    <row r="102">
      <c r="A102" s="86" t="inlineStr">
        <is>
          <t>Febrero</t>
        </is>
      </c>
      <c r="B102" s="86" t="inlineStr">
        <is>
          <t>Sueldo</t>
        </is>
      </c>
      <c r="C102" s="87" t="n">
        <v>46082</v>
      </c>
      <c r="D102" s="86" t="inlineStr">
        <is>
          <t>Aporte Obra Social sobre sueldo</t>
        </is>
      </c>
      <c r="E102" s="86" t="inlineStr">
        <is>
          <t>Descuento</t>
        </is>
      </c>
      <c r="F102" s="93" t="n">
        <v>117970.17</v>
      </c>
      <c r="G102" s="86" t="inlineStr">
        <is>
          <t>FEBRERO.pdf</t>
        </is>
      </c>
    </row>
    <row r="103">
      <c r="A103" s="86" t="inlineStr">
        <is>
          <t>Febrero</t>
        </is>
      </c>
      <c r="B103" s="86" t="inlineStr">
        <is>
          <t>Sueldo</t>
        </is>
      </c>
      <c r="C103" s="87" t="n">
        <v>46082</v>
      </c>
      <c r="D103" s="86" t="inlineStr">
        <is>
          <t>Impuesto pagado/devuelto</t>
        </is>
      </c>
      <c r="E103" s="86" t="inlineStr">
        <is>
          <t>Descuento Ganancias</t>
        </is>
      </c>
      <c r="F103" s="93" t="n">
        <v>1425004.25</v>
      </c>
      <c r="G103" s="86" t="inlineStr">
        <is>
          <t>FEBRERO.pdf</t>
        </is>
      </c>
    </row>
    <row r="104">
      <c r="A104" s="86" t="inlineStr">
        <is>
          <t>Febrero</t>
        </is>
      </c>
      <c r="B104" s="86" t="inlineStr">
        <is>
          <t>Sueldo</t>
        </is>
      </c>
      <c r="C104" s="87" t="n">
        <v>46082</v>
      </c>
      <c r="D104" s="86" t="inlineStr">
        <is>
          <t>Dto Gimnasio</t>
        </is>
      </c>
      <c r="E104" s="86" t="inlineStr">
        <is>
          <t>Descuento</t>
        </is>
      </c>
      <c r="F104" s="93" t="n">
        <v>21900</v>
      </c>
      <c r="G104" s="86" t="inlineStr">
        <is>
          <t>FEBRERO.pdf</t>
        </is>
      </c>
    </row>
    <row r="105">
      <c r="A105" s="86" t="inlineStr">
        <is>
          <t>Marzo</t>
        </is>
      </c>
      <c r="B105" s="86" t="inlineStr">
        <is>
          <t>Sueldo + retroactivo</t>
        </is>
      </c>
      <c r="C105" s="87" t="n">
        <v>46113</v>
      </c>
      <c r="D105" s="86" t="inlineStr">
        <is>
          <t>R-Sueldo Básico</t>
        </is>
      </c>
      <c r="E105" s="86" t="inlineStr">
        <is>
          <t>Haber</t>
        </is>
      </c>
      <c r="F105" s="93" t="n">
        <v>6799234</v>
      </c>
      <c r="G105" s="86" t="inlineStr">
        <is>
          <t>MARZO.pdf</t>
        </is>
      </c>
    </row>
    <row r="106">
      <c r="A106" s="86" t="inlineStr">
        <is>
          <t>Marzo</t>
        </is>
      </c>
      <c r="B106" s="86" t="inlineStr">
        <is>
          <t>Sueldo + retroactivo</t>
        </is>
      </c>
      <c r="C106" s="87" t="n">
        <v>46113</v>
      </c>
      <c r="D106" s="86" t="inlineStr">
        <is>
          <t>Sueldo Básico</t>
        </is>
      </c>
      <c r="E106" s="86" t="inlineStr">
        <is>
          <t>Haber</t>
        </is>
      </c>
      <c r="F106" s="93" t="n">
        <v>11305702</v>
      </c>
      <c r="G106" s="86" t="inlineStr">
        <is>
          <t>MARZO.pdf</t>
        </is>
      </c>
    </row>
    <row r="107">
      <c r="A107" s="86" t="inlineStr">
        <is>
          <t>Marzo</t>
        </is>
      </c>
      <c r="B107" s="86" t="inlineStr">
        <is>
          <t>Sueldo + retroactivo</t>
        </is>
      </c>
      <c r="C107" s="87" t="n">
        <v>46113</v>
      </c>
      <c r="D107" s="86" t="inlineStr">
        <is>
          <t>Beneficio Auto</t>
        </is>
      </c>
      <c r="E107" s="86" t="inlineStr">
        <is>
          <t>Haber</t>
        </is>
      </c>
      <c r="F107" s="93" t="n">
        <v>208000</v>
      </c>
      <c r="G107" s="86" t="inlineStr">
        <is>
          <t>MARZO.pdf</t>
        </is>
      </c>
    </row>
    <row r="108">
      <c r="A108" s="86" t="inlineStr">
        <is>
          <t>Marzo</t>
        </is>
      </c>
      <c r="B108" s="86" t="inlineStr">
        <is>
          <t>Sueldo + retroactivo</t>
        </is>
      </c>
      <c r="C108" s="87" t="n">
        <v>46113</v>
      </c>
      <c r="D108" s="86" t="inlineStr">
        <is>
          <t>Aporte SIJP sobre sueldo</t>
        </is>
      </c>
      <c r="E108" s="86" t="inlineStr">
        <is>
          <t>Descuento</t>
        </is>
      </c>
      <c r="F108" s="93" t="n">
        <v>445014.95</v>
      </c>
      <c r="G108" s="86" t="inlineStr">
        <is>
          <t>MARZO.pdf</t>
        </is>
      </c>
    </row>
    <row r="109">
      <c r="A109" s="86" t="inlineStr">
        <is>
          <t>Marzo</t>
        </is>
      </c>
      <c r="B109" s="86" t="inlineStr">
        <is>
          <t>Sueldo + retroactivo</t>
        </is>
      </c>
      <c r="C109" s="87" t="n">
        <v>46113</v>
      </c>
      <c r="D109" s="86" t="inlineStr">
        <is>
          <t>Aporte INSSJP sobre sueldo</t>
        </is>
      </c>
      <c r="E109" s="86" t="inlineStr">
        <is>
          <t>Descuento</t>
        </is>
      </c>
      <c r="F109" s="93" t="n">
        <v>121367.71</v>
      </c>
      <c r="G109" s="86" t="inlineStr">
        <is>
          <t>MARZO.pdf</t>
        </is>
      </c>
    </row>
    <row r="110">
      <c r="A110" s="86" t="inlineStr">
        <is>
          <t>Marzo</t>
        </is>
      </c>
      <c r="B110" s="86" t="inlineStr">
        <is>
          <t>Sueldo + retroactivo</t>
        </is>
      </c>
      <c r="C110" s="87" t="n">
        <v>46113</v>
      </c>
      <c r="D110" s="86" t="inlineStr">
        <is>
          <t>Aporte Obra Social sobre sueldo</t>
        </is>
      </c>
      <c r="E110" s="86" t="inlineStr">
        <is>
          <t>Descuento</t>
        </is>
      </c>
      <c r="F110" s="93" t="n">
        <v>121367.71</v>
      </c>
      <c r="G110" s="86" t="inlineStr">
        <is>
          <t>MARZO.pdf</t>
        </is>
      </c>
    </row>
    <row r="111">
      <c r="A111" s="86" t="inlineStr">
        <is>
          <t>Marzo</t>
        </is>
      </c>
      <c r="B111" s="86" t="inlineStr">
        <is>
          <t>Sueldo + retroactivo</t>
        </is>
      </c>
      <c r="C111" s="87" t="n">
        <v>46113</v>
      </c>
      <c r="D111" s="86" t="inlineStr">
        <is>
          <t>Impuesto pagado/devuelto</t>
        </is>
      </c>
      <c r="E111" s="86" t="inlineStr">
        <is>
          <t>Descuento Ganancias</t>
        </is>
      </c>
      <c r="F111" s="93" t="n">
        <v>4658857.2</v>
      </c>
      <c r="G111" s="86" t="inlineStr">
        <is>
          <t>MARZO.pdf</t>
        </is>
      </c>
    </row>
    <row r="112">
      <c r="A112" s="86" t="inlineStr">
        <is>
          <t>Marzo</t>
        </is>
      </c>
      <c r="B112" s="86" t="inlineStr">
        <is>
          <t>Sueldo + retroactivo</t>
        </is>
      </c>
      <c r="C112" s="87" t="n">
        <v>46113</v>
      </c>
      <c r="D112" s="86" t="inlineStr">
        <is>
          <t>Dto Gimnasio</t>
        </is>
      </c>
      <c r="E112" s="86" t="inlineStr">
        <is>
          <t>Descuento</t>
        </is>
      </c>
      <c r="F112" s="93" t="n">
        <v>21900</v>
      </c>
      <c r="G112" s="86" t="inlineStr">
        <is>
          <t>MARZO.pdf</t>
        </is>
      </c>
    </row>
    <row r="113">
      <c r="A113" s="86" t="inlineStr">
        <is>
          <t>Abril</t>
        </is>
      </c>
      <c r="B113" s="86" t="inlineStr">
        <is>
          <t>Bono anual / transición</t>
        </is>
      </c>
      <c r="C113" s="87" t="n">
        <v>46118</v>
      </c>
      <c r="D113" s="86" t="inlineStr">
        <is>
          <t>Bono de Transición</t>
        </is>
      </c>
      <c r="E113" s="86" t="inlineStr">
        <is>
          <t>Haber</t>
        </is>
      </c>
      <c r="F113" s="93" t="n">
        <v>7296916.15</v>
      </c>
      <c r="G113" s="86" t="inlineStr">
        <is>
          <t>ABRIL BONO.pdf</t>
        </is>
      </c>
    </row>
    <row r="114">
      <c r="A114" s="86" t="inlineStr">
        <is>
          <t>Abril</t>
        </is>
      </c>
      <c r="B114" s="86" t="inlineStr">
        <is>
          <t>Bono anual / transición</t>
        </is>
      </c>
      <c r="C114" s="87" t="n">
        <v>46118</v>
      </c>
      <c r="D114" s="86" t="inlineStr">
        <is>
          <t>Gratificación Extraordinaria Anual</t>
        </is>
      </c>
      <c r="E114" s="86" t="inlineStr">
        <is>
          <t>Haber</t>
        </is>
      </c>
      <c r="F114" s="93" t="n">
        <v>14596298</v>
      </c>
      <c r="G114" s="86" t="inlineStr">
        <is>
          <t>ABRIL BONO.pdf</t>
        </is>
      </c>
    </row>
    <row r="115">
      <c r="A115" s="86" t="inlineStr">
        <is>
          <t>Abril</t>
        </is>
      </c>
      <c r="B115" s="86" t="inlineStr">
        <is>
          <t>Bono anual / transición</t>
        </is>
      </c>
      <c r="C115" s="87" t="n">
        <v>46118</v>
      </c>
      <c r="D115" s="86" t="inlineStr">
        <is>
          <t>SAC Gratificación Extraordinaria</t>
        </is>
      </c>
      <c r="E115" s="86" t="inlineStr">
        <is>
          <t>Haber</t>
        </is>
      </c>
      <c r="F115" s="93" t="n">
        <v>1215872</v>
      </c>
      <c r="G115" s="86" t="inlineStr">
        <is>
          <t>ABRIL BONO.pdf</t>
        </is>
      </c>
    </row>
    <row r="116">
      <c r="A116" s="86" t="inlineStr">
        <is>
          <t>Abril</t>
        </is>
      </c>
      <c r="B116" s="86" t="inlineStr">
        <is>
          <t>Bono anual / transición</t>
        </is>
      </c>
      <c r="C116" s="87" t="n">
        <v>46118</v>
      </c>
      <c r="D116" s="86" t="inlineStr">
        <is>
          <t>SAC sobre Bono de Transición</t>
        </is>
      </c>
      <c r="E116" s="86" t="inlineStr">
        <is>
          <t>Haber</t>
        </is>
      </c>
      <c r="F116" s="93" t="n">
        <v>608076.35</v>
      </c>
      <c r="G116" s="86" t="inlineStr">
        <is>
          <t>ABRIL BONO.pdf</t>
        </is>
      </c>
    </row>
    <row r="117">
      <c r="A117" s="86" t="inlineStr">
        <is>
          <t>Abril</t>
        </is>
      </c>
      <c r="B117" s="86" t="inlineStr">
        <is>
          <t>Bono anual / transición</t>
        </is>
      </c>
      <c r="C117" s="87" t="n">
        <v>46118</v>
      </c>
      <c r="D117" s="86" t="inlineStr">
        <is>
          <t>Aporte SIJP sobre sueldo</t>
        </is>
      </c>
      <c r="E117" s="86" t="inlineStr">
        <is>
          <t>Descuento</t>
        </is>
      </c>
      <c r="F117" s="93" t="n">
        <v>445014.95</v>
      </c>
      <c r="G117" s="86" t="inlineStr">
        <is>
          <t>ABRIL BONO.pdf</t>
        </is>
      </c>
    </row>
    <row r="118">
      <c r="A118" s="86" t="inlineStr">
        <is>
          <t>Abril</t>
        </is>
      </c>
      <c r="B118" s="86" t="inlineStr">
        <is>
          <t>Bono anual / transición</t>
        </is>
      </c>
      <c r="C118" s="87" t="n">
        <v>46118</v>
      </c>
      <c r="D118" s="86" t="inlineStr">
        <is>
          <t>Aporte INSSJP sobre sueldo</t>
        </is>
      </c>
      <c r="E118" s="86" t="inlineStr">
        <is>
          <t>Descuento</t>
        </is>
      </c>
      <c r="F118" s="93" t="n">
        <v>121367.71</v>
      </c>
      <c r="G118" s="86" t="inlineStr">
        <is>
          <t>ABRIL BONO.pdf</t>
        </is>
      </c>
    </row>
    <row r="119">
      <c r="A119" s="86" t="inlineStr">
        <is>
          <t>Abril</t>
        </is>
      </c>
      <c r="B119" s="86" t="inlineStr">
        <is>
          <t>Bono anual / transición</t>
        </is>
      </c>
      <c r="C119" s="87" t="n">
        <v>46118</v>
      </c>
      <c r="D119" s="86" t="inlineStr">
        <is>
          <t>Aporte Obra Social sobre sueldo</t>
        </is>
      </c>
      <c r="E119" s="86" t="inlineStr">
        <is>
          <t>Descuento</t>
        </is>
      </c>
      <c r="F119" s="93" t="n">
        <v>121367.71</v>
      </c>
      <c r="G119" s="86" t="inlineStr">
        <is>
          <t>ABRIL BONO.pdf</t>
        </is>
      </c>
    </row>
    <row r="120">
      <c r="A120" s="86" t="inlineStr">
        <is>
          <t>Abril</t>
        </is>
      </c>
      <c r="B120" s="86" t="inlineStr">
        <is>
          <t>Bono anual / transición</t>
        </is>
      </c>
      <c r="C120" s="87" t="n">
        <v>46118</v>
      </c>
      <c r="D120" s="86" t="inlineStr">
        <is>
          <t>Impuesto pagado/devuelto</t>
        </is>
      </c>
      <c r="E120" s="86" t="inlineStr">
        <is>
          <t>Descuento Ganancias</t>
        </is>
      </c>
      <c r="F120" s="93" t="n">
        <v>3120893.08</v>
      </c>
      <c r="G120" s="86" t="inlineStr">
        <is>
          <t>ABRIL BONO.pdf</t>
        </is>
      </c>
    </row>
    <row r="121">
      <c r="A121" s="86" t="inlineStr">
        <is>
          <t>Abril</t>
        </is>
      </c>
      <c r="B121" s="86" t="inlineStr">
        <is>
          <t>Sueldo + vacaciones</t>
        </is>
      </c>
      <c r="C121" s="87" t="n">
        <v>46143</v>
      </c>
      <c r="D121" s="86" t="inlineStr">
        <is>
          <t>Sueldo Básico</t>
        </is>
      </c>
      <c r="E121" s="86" t="inlineStr">
        <is>
          <t>Haber</t>
        </is>
      </c>
      <c r="F121" s="93" t="n">
        <v>11305702</v>
      </c>
      <c r="G121" s="86" t="inlineStr">
        <is>
          <t>ABRIL.pdf</t>
        </is>
      </c>
    </row>
    <row r="122">
      <c r="A122" s="86" t="inlineStr">
        <is>
          <t>Abril</t>
        </is>
      </c>
      <c r="B122" s="86" t="inlineStr">
        <is>
          <t>Sueldo + vacaciones</t>
        </is>
      </c>
      <c r="C122" s="87" t="n">
        <v>46143</v>
      </c>
      <c r="D122" s="86" t="inlineStr">
        <is>
          <t>Beneficio Auto</t>
        </is>
      </c>
      <c r="E122" s="86" t="inlineStr">
        <is>
          <t>Haber</t>
        </is>
      </c>
      <c r="F122" s="93" t="n">
        <v>312000</v>
      </c>
      <c r="G122" s="86" t="inlineStr">
        <is>
          <t>ABRIL.pdf</t>
        </is>
      </c>
    </row>
    <row r="123">
      <c r="A123" s="86" t="inlineStr">
        <is>
          <t>Abril</t>
        </is>
      </c>
      <c r="B123" s="86" t="inlineStr">
        <is>
          <t>Sueldo + vacaciones</t>
        </is>
      </c>
      <c r="C123" s="87" t="n">
        <v>46143</v>
      </c>
      <c r="D123" s="86" t="inlineStr">
        <is>
          <t>Pago de Vacaciones</t>
        </is>
      </c>
      <c r="E123" s="86" t="inlineStr">
        <is>
          <t>Haber</t>
        </is>
      </c>
      <c r="F123" s="93" t="n">
        <v>9758869.68</v>
      </c>
      <c r="G123" s="86" t="inlineStr">
        <is>
          <t>ABRIL.pdf</t>
        </is>
      </c>
    </row>
    <row r="124">
      <c r="A124" s="86" t="inlineStr">
        <is>
          <t>Abril</t>
        </is>
      </c>
      <c r="B124" s="86" t="inlineStr">
        <is>
          <t>Sueldo + vacaciones</t>
        </is>
      </c>
      <c r="C124" s="87" t="n">
        <v>46143</v>
      </c>
      <c r="D124" s="86" t="inlineStr">
        <is>
          <t>Dto Días No Trabajados Vacaciones</t>
        </is>
      </c>
      <c r="E124" s="73" t="inlineStr">
        <is>
          <t>Haber negativo</t>
        </is>
      </c>
      <c r="F124" s="93" t="n">
        <v>-8132391.4</v>
      </c>
      <c r="G124" s="86" t="inlineStr">
        <is>
          <t>ABRIL.pdf</t>
        </is>
      </c>
    </row>
    <row r="125">
      <c r="A125" s="86" t="inlineStr">
        <is>
          <t>Abril</t>
        </is>
      </c>
      <c r="B125" s="86" t="inlineStr">
        <is>
          <t>Sueldo + vacaciones</t>
        </is>
      </c>
      <c r="C125" s="87" t="n">
        <v>46143</v>
      </c>
      <c r="D125" s="86" t="inlineStr">
        <is>
          <t>R-Dto Días No Trabajados</t>
        </is>
      </c>
      <c r="E125" s="73" t="inlineStr">
        <is>
          <t>Haber negativo</t>
        </is>
      </c>
      <c r="F125" s="93" t="n">
        <v>-1151370.2</v>
      </c>
      <c r="G125" s="86" t="inlineStr">
        <is>
          <t>ABRIL.pdf</t>
        </is>
      </c>
    </row>
    <row r="126">
      <c r="A126" s="86" t="inlineStr">
        <is>
          <t>Abril</t>
        </is>
      </c>
      <c r="B126" s="86" t="inlineStr">
        <is>
          <t>Sueldo + vacaciones</t>
        </is>
      </c>
      <c r="C126" s="87" t="n">
        <v>46143</v>
      </c>
      <c r="D126" s="86" t="inlineStr">
        <is>
          <t>R-Licencia Especial</t>
        </is>
      </c>
      <c r="E126" s="86" t="inlineStr">
        <is>
          <t>Haber</t>
        </is>
      </c>
      <c r="F126" s="93" t="n">
        <v>1381644.24</v>
      </c>
      <c r="G126" s="86" t="inlineStr">
        <is>
          <t>ABRIL.pdf</t>
        </is>
      </c>
    </row>
    <row r="127">
      <c r="A127" s="86" t="inlineStr">
        <is>
          <t>Abril</t>
        </is>
      </c>
      <c r="B127" s="86" t="inlineStr">
        <is>
          <t>Sueldo + vacaciones</t>
        </is>
      </c>
      <c r="C127" s="87" t="n">
        <v>46143</v>
      </c>
      <c r="D127" s="86" t="inlineStr">
        <is>
          <t>Aporte SIJP sobre sueldo</t>
        </is>
      </c>
      <c r="E127" s="86" t="inlineStr">
        <is>
          <t>Descuento</t>
        </is>
      </c>
      <c r="F127" s="93" t="n">
        <v>12905.43</v>
      </c>
      <c r="G127" s="86" t="inlineStr">
        <is>
          <t>ABRIL.pdf</t>
        </is>
      </c>
    </row>
    <row r="128">
      <c r="A128" s="86" t="inlineStr">
        <is>
          <t>Abril</t>
        </is>
      </c>
      <c r="B128" s="86" t="inlineStr">
        <is>
          <t>Sueldo + vacaciones</t>
        </is>
      </c>
      <c r="C128" s="87" t="n">
        <v>46143</v>
      </c>
      <c r="D128" s="86" t="inlineStr">
        <is>
          <t>Aporte INSSJP sobre sueldo</t>
        </is>
      </c>
      <c r="E128" s="86" t="inlineStr">
        <is>
          <t>Descuento</t>
        </is>
      </c>
      <c r="F128" s="93" t="n">
        <v>3519.66</v>
      </c>
      <c r="G128" s="86" t="inlineStr">
        <is>
          <t>ABRIL.pdf</t>
        </is>
      </c>
    </row>
    <row r="129">
      <c r="A129" s="86" t="inlineStr">
        <is>
          <t>Abril</t>
        </is>
      </c>
      <c r="B129" s="86" t="inlineStr">
        <is>
          <t>Sueldo + vacaciones</t>
        </is>
      </c>
      <c r="C129" s="87" t="n">
        <v>46143</v>
      </c>
      <c r="D129" s="86" t="inlineStr">
        <is>
          <t>Aporte Obra Social sobre sueldo</t>
        </is>
      </c>
      <c r="E129" s="86" t="inlineStr">
        <is>
          <t>Descuento</t>
        </is>
      </c>
      <c r="F129" s="93" t="n">
        <v>3519.66</v>
      </c>
      <c r="G129" s="86" t="inlineStr">
        <is>
          <t>ABRIL.pdf</t>
        </is>
      </c>
    </row>
    <row r="130">
      <c r="A130" s="86" t="inlineStr">
        <is>
          <t>Abril</t>
        </is>
      </c>
      <c r="B130" s="86" t="inlineStr">
        <is>
          <t>Sueldo + vacaciones</t>
        </is>
      </c>
      <c r="C130" s="87" t="n">
        <v>46143</v>
      </c>
      <c r="D130" s="86" t="inlineStr">
        <is>
          <t>Diferencia impuesto año anterior</t>
        </is>
      </c>
      <c r="E130" s="73" t="inlineStr">
        <is>
          <t>Devolución Ganancias</t>
        </is>
      </c>
      <c r="F130" s="93" t="n">
        <v>-3564748.04</v>
      </c>
      <c r="G130" s="86" t="inlineStr">
        <is>
          <t>ABRIL.pdf</t>
        </is>
      </c>
    </row>
    <row r="131">
      <c r="A131" s="86" t="inlineStr">
        <is>
          <t>Abril</t>
        </is>
      </c>
      <c r="B131" s="86" t="inlineStr">
        <is>
          <t>Sueldo + vacaciones</t>
        </is>
      </c>
      <c r="C131" s="87" t="n">
        <v>46143</v>
      </c>
      <c r="D131" s="86" t="inlineStr">
        <is>
          <t>Impuesto pagado/devuelto</t>
        </is>
      </c>
      <c r="E131" s="86" t="inlineStr">
        <is>
          <t>Descuento Ganancias</t>
        </is>
      </c>
      <c r="F131" s="93" t="n">
        <v>3813479.69</v>
      </c>
      <c r="G131" s="86" t="inlineStr">
        <is>
          <t>ABRIL.pdf</t>
        </is>
      </c>
    </row>
    <row r="132">
      <c r="A132" s="86" t="inlineStr">
        <is>
          <t>Abril</t>
        </is>
      </c>
      <c r="B132" s="86" t="inlineStr">
        <is>
          <t>Sueldo + vacaciones</t>
        </is>
      </c>
      <c r="C132" s="87" t="n">
        <v>46143</v>
      </c>
      <c r="D132" s="86" t="inlineStr">
        <is>
          <t>Dto Gimnasio</t>
        </is>
      </c>
      <c r="E132" s="86" t="inlineStr">
        <is>
          <t>Descuento</t>
        </is>
      </c>
      <c r="F132" s="93" t="n">
        <v>23400</v>
      </c>
      <c r="G132" s="86" t="inlineStr">
        <is>
          <t>ABRIL.pdf</t>
        </is>
      </c>
    </row>
    <row r="133">
      <c r="A133" s="86" t="inlineStr">
        <is>
          <t>Mayo</t>
        </is>
      </c>
      <c r="B133" s="86" t="inlineStr">
        <is>
          <t>Sueldo</t>
        </is>
      </c>
      <c r="C133" s="87" t="n">
        <v>46174</v>
      </c>
      <c r="D133" s="86" t="inlineStr">
        <is>
          <t>Sueldo Básico</t>
        </is>
      </c>
      <c r="E133" s="86" t="inlineStr">
        <is>
          <t>Haber</t>
        </is>
      </c>
      <c r="F133" s="93" t="n">
        <v>11305702</v>
      </c>
      <c r="G133" s="86" t="inlineStr">
        <is>
          <t>MAYO.pdf</t>
        </is>
      </c>
    </row>
    <row r="134">
      <c r="A134" s="86" t="inlineStr">
        <is>
          <t>Mayo</t>
        </is>
      </c>
      <c r="B134" s="86" t="inlineStr">
        <is>
          <t>Sueldo</t>
        </is>
      </c>
      <c r="C134" s="87" t="n">
        <v>46174</v>
      </c>
      <c r="D134" s="86" t="inlineStr">
        <is>
          <t>Beneficio Auto</t>
        </is>
      </c>
      <c r="E134" s="86" t="inlineStr">
        <is>
          <t>Haber</t>
        </is>
      </c>
      <c r="F134" s="93" t="n">
        <v>312000</v>
      </c>
      <c r="G134" s="86" t="inlineStr">
        <is>
          <t>MAYO.pdf</t>
        </is>
      </c>
    </row>
    <row r="135">
      <c r="A135" s="86" t="inlineStr">
        <is>
          <t>Mayo</t>
        </is>
      </c>
      <c r="B135" s="86" t="inlineStr">
        <is>
          <t>Sueldo</t>
        </is>
      </c>
      <c r="C135" s="87" t="n">
        <v>46174</v>
      </c>
      <c r="D135" s="86" t="inlineStr">
        <is>
          <t>Aporte SIJP sobre sueldo</t>
        </is>
      </c>
      <c r="E135" s="86" t="inlineStr">
        <is>
          <t>Descuento</t>
        </is>
      </c>
      <c r="F135" s="93" t="n">
        <v>473398.09</v>
      </c>
      <c r="G135" s="86" t="inlineStr">
        <is>
          <t>MAYO.pdf</t>
        </is>
      </c>
    </row>
    <row r="136">
      <c r="A136" s="86" t="inlineStr">
        <is>
          <t>Mayo</t>
        </is>
      </c>
      <c r="B136" s="86" t="inlineStr">
        <is>
          <t>Sueldo</t>
        </is>
      </c>
      <c r="C136" s="87" t="n">
        <v>46174</v>
      </c>
      <c r="D136" s="86" t="inlineStr">
        <is>
          <t>Aporte INSSJP sobre sueldo</t>
        </is>
      </c>
      <c r="E136" s="86" t="inlineStr">
        <is>
          <t>Descuento</t>
        </is>
      </c>
      <c r="F136" s="93" t="n">
        <v>129108.57</v>
      </c>
      <c r="G136" s="86" t="inlineStr">
        <is>
          <t>MAYO.pdf</t>
        </is>
      </c>
    </row>
    <row r="137">
      <c r="A137" s="86" t="inlineStr">
        <is>
          <t>Mayo</t>
        </is>
      </c>
      <c r="B137" s="86" t="inlineStr">
        <is>
          <t>Sueldo</t>
        </is>
      </c>
      <c r="C137" s="87" t="n">
        <v>46174</v>
      </c>
      <c r="D137" s="86" t="inlineStr">
        <is>
          <t>Aporte Obra Social sobre sueldo</t>
        </is>
      </c>
      <c r="E137" s="86" t="inlineStr">
        <is>
          <t>Descuento</t>
        </is>
      </c>
      <c r="F137" s="93" t="n">
        <v>129108.57</v>
      </c>
      <c r="G137" s="86" t="inlineStr">
        <is>
          <t>MAYO.pdf</t>
        </is>
      </c>
    </row>
    <row r="138">
      <c r="A138" s="86" t="inlineStr">
        <is>
          <t>Mayo</t>
        </is>
      </c>
      <c r="B138" s="86" t="inlineStr">
        <is>
          <t>Sueldo</t>
        </is>
      </c>
      <c r="C138" s="87" t="n">
        <v>46174</v>
      </c>
      <c r="D138" s="86" t="inlineStr">
        <is>
          <t>Impuesto pagado/devuelto</t>
        </is>
      </c>
      <c r="E138" s="86" t="inlineStr">
        <is>
          <t>Descuento Ganancias</t>
        </is>
      </c>
      <c r="F138" s="93" t="n">
        <v>3415603.09</v>
      </c>
      <c r="G138" s="86" t="inlineStr">
        <is>
          <t>MAYO.pdf</t>
        </is>
      </c>
    </row>
    <row r="139">
      <c r="A139" s="86" t="inlineStr">
        <is>
          <t>Mayo</t>
        </is>
      </c>
      <c r="B139" s="86" t="inlineStr">
        <is>
          <t>Sueldo</t>
        </is>
      </c>
      <c r="C139" s="87" t="n">
        <v>46174</v>
      </c>
      <c r="D139" s="86" t="inlineStr">
        <is>
          <t>Dto Gimnasio</t>
        </is>
      </c>
      <c r="E139" s="86" t="inlineStr">
        <is>
          <t>Descuento</t>
        </is>
      </c>
      <c r="F139" s="93" t="n">
        <v>23400</v>
      </c>
      <c r="G139" s="86" t="inlineStr">
        <is>
          <t>MAYO.pdf</t>
        </is>
      </c>
    </row>
    <row r="140">
      <c r="A140" s="86" t="inlineStr">
        <is>
          <t>Junio</t>
        </is>
      </c>
      <c r="B140" s="86" t="inlineStr">
        <is>
          <t>SAC 1° semestre</t>
        </is>
      </c>
      <c r="C140" s="87" t="n">
        <v>46196</v>
      </c>
      <c r="D140" s="86" t="inlineStr">
        <is>
          <t>S.A.C.</t>
        </is>
      </c>
      <c r="E140" s="86" t="inlineStr">
        <is>
          <t>Haber</t>
        </is>
      </c>
      <c r="F140" s="93" t="n">
        <v>6622090.14</v>
      </c>
      <c r="G140" s="86" t="inlineStr">
        <is>
          <t>SAC.pdf</t>
        </is>
      </c>
    </row>
    <row r="141">
      <c r="A141" s="86" t="inlineStr">
        <is>
          <t>Junio</t>
        </is>
      </c>
      <c r="B141" s="86" t="inlineStr">
        <is>
          <t>SAC 1° semestre</t>
        </is>
      </c>
      <c r="C141" s="87" t="n">
        <v>46196</v>
      </c>
      <c r="D141" s="86" t="inlineStr">
        <is>
          <t>Aporte SIJP sobre SAC</t>
        </is>
      </c>
      <c r="E141" s="86" t="inlineStr">
        <is>
          <t>Descuento</t>
        </is>
      </c>
      <c r="F141" s="93" t="n">
        <v>242805.88</v>
      </c>
      <c r="G141" s="86" t="inlineStr">
        <is>
          <t>SAC.pdf</t>
        </is>
      </c>
    </row>
    <row r="142">
      <c r="A142" s="86" t="inlineStr">
        <is>
          <t>Junio</t>
        </is>
      </c>
      <c r="B142" s="86" t="inlineStr">
        <is>
          <t>SAC 1° semestre</t>
        </is>
      </c>
      <c r="C142" s="87" t="n">
        <v>46196</v>
      </c>
      <c r="D142" s="86" t="inlineStr">
        <is>
          <t>Aporte INSSJP sobre SAC</t>
        </is>
      </c>
      <c r="E142" s="86" t="inlineStr">
        <is>
          <t>Descuento</t>
        </is>
      </c>
      <c r="F142" s="93" t="n">
        <v>66219.78999999999</v>
      </c>
      <c r="G142" s="86" t="inlineStr">
        <is>
          <t>SAC.pdf</t>
        </is>
      </c>
    </row>
    <row r="143">
      <c r="A143" s="86" t="inlineStr">
        <is>
          <t>Junio</t>
        </is>
      </c>
      <c r="B143" s="86" t="inlineStr">
        <is>
          <t>SAC 1° semestre</t>
        </is>
      </c>
      <c r="C143" s="87" t="n">
        <v>46196</v>
      </c>
      <c r="D143" s="86" t="inlineStr">
        <is>
          <t>Aporte Obra Social sobre SAC</t>
        </is>
      </c>
      <c r="E143" s="86" t="inlineStr">
        <is>
          <t>Descuento</t>
        </is>
      </c>
      <c r="F143" s="93" t="n">
        <v>66219.78999999999</v>
      </c>
      <c r="G143" s="86" t="inlineStr">
        <is>
          <t>SAC.pdf</t>
        </is>
      </c>
    </row>
    <row r="144">
      <c r="A144" s="86" t="inlineStr">
        <is>
          <t>Junio</t>
        </is>
      </c>
      <c r="B144" s="86" t="inlineStr">
        <is>
          <t>SAC 1° semestre</t>
        </is>
      </c>
      <c r="C144" s="87" t="n">
        <v>46196</v>
      </c>
      <c r="D144" s="86" t="inlineStr">
        <is>
          <t>Impuesto pagado/devuelto</t>
        </is>
      </c>
      <c r="E144" s="86" t="inlineStr">
        <is>
          <t>Descuento Ganancias</t>
        </is>
      </c>
      <c r="F144" s="93" t="n">
        <v>536087.26</v>
      </c>
      <c r="G144" s="86" t="inlineStr">
        <is>
          <t>SAC.pdf</t>
        </is>
      </c>
    </row>
    <row r="145">
      <c r="A145" s="86" t="inlineStr">
        <is>
          <t>Junio</t>
        </is>
      </c>
      <c r="B145" s="86" t="inlineStr">
        <is>
          <t>Sueldo</t>
        </is>
      </c>
      <c r="C145" s="87" t="n">
        <v>46204</v>
      </c>
      <c r="D145" s="86" t="inlineStr">
        <is>
          <t>Sueldo Básico</t>
        </is>
      </c>
      <c r="E145" s="86" t="inlineStr">
        <is>
          <t>Haber</t>
        </is>
      </c>
      <c r="F145" s="93" t="n">
        <v>11305702</v>
      </c>
      <c r="G145" s="86" t="inlineStr">
        <is>
          <t>JUNIO.pdf</t>
        </is>
      </c>
    </row>
    <row r="146">
      <c r="A146" s="86" t="inlineStr">
        <is>
          <t>Junio</t>
        </is>
      </c>
      <c r="B146" s="86" t="inlineStr">
        <is>
          <t>Sueldo</t>
        </is>
      </c>
      <c r="C146" s="87" t="n">
        <v>46204</v>
      </c>
      <c r="D146" s="86" t="inlineStr">
        <is>
          <t>Beneficio Auto</t>
        </is>
      </c>
      <c r="E146" s="86" t="inlineStr">
        <is>
          <t>Haber</t>
        </is>
      </c>
      <c r="F146" s="93" t="n">
        <v>312000</v>
      </c>
      <c r="G146" s="86" t="inlineStr">
        <is>
          <t>JUNIO.pdf</t>
        </is>
      </c>
    </row>
    <row r="147">
      <c r="A147" s="86" t="inlineStr">
        <is>
          <t>Junio</t>
        </is>
      </c>
      <c r="B147" s="86" t="inlineStr">
        <is>
          <t>Sueldo</t>
        </is>
      </c>
      <c r="C147" s="87" t="n">
        <v>46204</v>
      </c>
      <c r="D147" s="86" t="inlineStr">
        <is>
          <t>Aporte SIJP sobre sueldo</t>
        </is>
      </c>
      <c r="E147" s="86" t="inlineStr">
        <is>
          <t>Descuento</t>
        </is>
      </c>
      <c r="F147" s="93" t="n">
        <v>485611.76</v>
      </c>
      <c r="G147" s="86" t="inlineStr">
        <is>
          <t>JUNIO.pdf</t>
        </is>
      </c>
    </row>
    <row r="148">
      <c r="A148" s="86" t="inlineStr">
        <is>
          <t>Junio</t>
        </is>
      </c>
      <c r="B148" s="86" t="inlineStr">
        <is>
          <t>Sueldo</t>
        </is>
      </c>
      <c r="C148" s="87" t="n">
        <v>46204</v>
      </c>
      <c r="D148" s="86" t="inlineStr">
        <is>
          <t>Aporte INSSJP sobre sueldo</t>
        </is>
      </c>
      <c r="E148" s="86" t="inlineStr">
        <is>
          <t>Descuento</t>
        </is>
      </c>
      <c r="F148" s="93" t="n">
        <v>132439.57</v>
      </c>
      <c r="G148" s="86" t="inlineStr">
        <is>
          <t>JUNIO.pdf</t>
        </is>
      </c>
    </row>
    <row r="149">
      <c r="A149" s="86" t="inlineStr">
        <is>
          <t>Junio</t>
        </is>
      </c>
      <c r="B149" s="86" t="inlineStr">
        <is>
          <t>Sueldo</t>
        </is>
      </c>
      <c r="C149" s="87" t="n">
        <v>46204</v>
      </c>
      <c r="D149" s="86" t="inlineStr">
        <is>
          <t>Aporte Obra Social sobre sueldo</t>
        </is>
      </c>
      <c r="E149" s="86" t="inlineStr">
        <is>
          <t>Descuento</t>
        </is>
      </c>
      <c r="F149" s="93" t="n">
        <v>132439.57</v>
      </c>
      <c r="G149" s="86" t="inlineStr">
        <is>
          <t>JUNIO.pdf</t>
        </is>
      </c>
    </row>
    <row r="150">
      <c r="A150" s="86" t="inlineStr">
        <is>
          <t>Junio</t>
        </is>
      </c>
      <c r="B150" s="86" t="inlineStr">
        <is>
          <t>Sueldo</t>
        </is>
      </c>
      <c r="C150" s="87" t="n">
        <v>46204</v>
      </c>
      <c r="D150" s="86" t="inlineStr">
        <is>
          <t>Impuesto pagado/devuelto</t>
        </is>
      </c>
      <c r="E150" s="86" t="inlineStr">
        <is>
          <t>Descuento Ganancias</t>
        </is>
      </c>
      <c r="F150" s="93" t="n">
        <v>3408446.06</v>
      </c>
      <c r="G150" s="86" t="inlineStr">
        <is>
          <t>JUNIO.pdf</t>
        </is>
      </c>
    </row>
    <row r="151">
      <c r="A151" s="86" t="inlineStr">
        <is>
          <t>Junio</t>
        </is>
      </c>
      <c r="B151" s="86" t="inlineStr">
        <is>
          <t>Sueldo</t>
        </is>
      </c>
      <c r="C151" s="87" t="n">
        <v>46204</v>
      </c>
      <c r="D151" s="86" t="inlineStr">
        <is>
          <t>Dto Gimnasio</t>
        </is>
      </c>
      <c r="E151" s="86" t="inlineStr">
        <is>
          <t>Descuento</t>
        </is>
      </c>
      <c r="F151" s="93" t="n">
        <v>23400</v>
      </c>
      <c r="G151" s="86" t="inlineStr">
        <is>
          <t>JUNIO.pdf</t>
        </is>
      </c>
    </row>
  </sheetData>
  <autoFilter ref="A78:P86"/>
  <mergeCells count="18">
    <mergeCell ref="A1:D1"/>
    <mergeCell ref="A37:D37"/>
    <mergeCell ref="A70:D70"/>
    <mergeCell ref="A27:D27"/>
    <mergeCell ref="A55:E55"/>
    <mergeCell ref="A89:G89"/>
    <mergeCell ref="A75:D75"/>
    <mergeCell ref="A74:D74"/>
    <mergeCell ref="A69:D69"/>
    <mergeCell ref="A4:D4"/>
    <mergeCell ref="A72:D72"/>
    <mergeCell ref="A15:D15"/>
    <mergeCell ref="A77:P77"/>
    <mergeCell ref="A73:D73"/>
    <mergeCell ref="A2:D2"/>
    <mergeCell ref="A71:D71"/>
    <mergeCell ref="A47:D47"/>
    <mergeCell ref="A68:D6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OHIGGINS (ex A CONFIRMAR / Copropi)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OHIGGINS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OHIGGINS 2219 piso 8 · Estudio Kalmus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OHIGGINS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OHIGGINS 2219 piso 8 · Estudio Kalmus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OHIGGINS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OHIGGINS 2219 piso 8 · Estudio Kalmus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Mayo</t>
        </is>
      </c>
      <c r="C38" s="14" t="inlineStr">
        <is>
          <t>Consorcio De Copropi</t>
        </is>
      </c>
      <c r="D38" s="14" t="inlineStr">
        <is>
          <t>OHIGGINS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OHIGGINS 2219 piso 8 · Estudio Kalmus</t>
        </is>
      </c>
    </row>
    <row r="39">
      <c r="A39" s="17" t="n">
        <v>46183</v>
      </c>
      <c r="B39" s="14" t="inlineStr">
        <is>
          <t>Mayo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 · período mayo 2026 (Gmail Sent)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Junio</t>
        </is>
      </c>
      <c r="C41" s="14" t="inlineStr">
        <is>
          <t>Consorcio De Copropi</t>
        </is>
      </c>
      <c r="D41" s="14" t="inlineStr">
        <is>
          <t>OHIGGINS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OHIGGINS 2219 piso 8 · Estudio Kalmus</t>
        </is>
      </c>
    </row>
    <row r="42">
      <c r="A42" s="17" t="n">
        <v>46212</v>
      </c>
      <c r="B42" s="14" t="inlineStr">
        <is>
          <t>Junio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 · período junio 2026 (Gmail Sent)</t>
        </is>
      </c>
    </row>
    <row r="43">
      <c r="A43" s="17" t="n">
        <v>46119</v>
      </c>
      <c r="B43" s="14" t="inlineStr">
        <is>
          <t>Abril</t>
        </is>
      </c>
      <c r="C43" s="14" t="inlineStr">
        <is>
          <t>Consorcio De Propiet</t>
        </is>
      </c>
      <c r="D43" s="14" t="inlineStr">
        <is>
          <t>CIUDAD 1132</t>
        </is>
      </c>
      <c r="E43" s="15" t="n">
        <v>235210</v>
      </c>
      <c r="F43" s="14" t="inlineStr">
        <is>
          <t>Banco — Transferencia (cuenta PRINCIPAL)</t>
        </is>
      </c>
      <c r="G43" s="14" t="inlineStr">
        <is>
          <t>Pago de Expensas · CIUDAD 1132 · CBU Patagonia 0340116900116010765007 / CUIL 30714962473 · Gmail Sent 7-abr (comprobante)</t>
        </is>
      </c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SUMIF($B$23:$B$226,A6,$D$23:$D$226)</f>
        <v/>
      </c>
    </row>
    <row r="7">
      <c r="A7" s="14" t="inlineStr">
        <is>
          <t>Febrero</t>
        </is>
      </c>
      <c r="B7" s="15">
        <f>SUMIF($B$23:$B$226,A7,$D$23:$D$226)</f>
        <v/>
      </c>
    </row>
    <row r="8">
      <c r="A8" s="14" t="inlineStr">
        <is>
          <t>Marzo</t>
        </is>
      </c>
      <c r="B8" s="15">
        <f>SUMIF($B$23:$B$226,A8,$D$23:$D$226)</f>
        <v/>
      </c>
    </row>
    <row r="9">
      <c r="A9" s="14" t="inlineStr">
        <is>
          <t>Abril</t>
        </is>
      </c>
      <c r="B9" s="15">
        <f>SUMIF($B$23:$B$226,A9,$D$23:$D$226)</f>
        <v/>
      </c>
    </row>
    <row r="10">
      <c r="A10" s="14" t="inlineStr">
        <is>
          <t>Mayo</t>
        </is>
      </c>
      <c r="B10" s="15">
        <f>SUMIF($B$23:$B$226,A10,$D$23:$D$226)</f>
        <v/>
      </c>
    </row>
    <row r="11">
      <c r="A11" s="14" t="inlineStr">
        <is>
          <t>Junio</t>
        </is>
      </c>
      <c r="B11" s="15">
        <f>SUMIF($B$23:$B$226,A11,$D$23:$D$226)</f>
        <v/>
      </c>
    </row>
    <row r="12">
      <c r="A12" s="14" t="inlineStr">
        <is>
          <t>Julio</t>
        </is>
      </c>
      <c r="B12" s="15">
        <f>SUMIF($B$23:$B$226,A12,$D$23:$D$226)</f>
        <v/>
      </c>
    </row>
    <row r="13">
      <c r="A13" s="14" t="inlineStr">
        <is>
          <t>Agosto</t>
        </is>
      </c>
      <c r="B13" s="15">
        <f>SUMIF($B$23:$B$226,A13,$D$23:$D$226)</f>
        <v/>
      </c>
    </row>
    <row r="14">
      <c r="A14" s="14" t="inlineStr">
        <is>
          <t>Septiembre</t>
        </is>
      </c>
      <c r="B14" s="15">
        <f>SUMIF($B$23:$B$226,A14,$D$23:$D$226)</f>
        <v/>
      </c>
    </row>
    <row r="15">
      <c r="A15" s="14" t="inlineStr">
        <is>
          <t>Octubre</t>
        </is>
      </c>
      <c r="B15" s="15">
        <f>SUMIF($B$23:$B$226,A15,$D$23:$D$226)</f>
        <v/>
      </c>
    </row>
    <row r="16">
      <c r="A16" s="14" t="inlineStr">
        <is>
          <t>Noviembre</t>
        </is>
      </c>
      <c r="B16" s="15">
        <f>SUMIF($B$23:$B$226,A16,$D$23:$D$226)</f>
        <v/>
      </c>
    </row>
    <row r="17">
      <c r="A17" s="14" t="inlineStr">
        <is>
          <t>Diciembre</t>
        </is>
      </c>
      <c r="B17" s="15">
        <f>SUMIF($B$23:$B$226,A17,$D$23:$D$226)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ALMUERZOS · Ronda · gasto personal Sol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/>
      <c r="B123" s="14" t="n"/>
      <c r="C123" s="14" t="n"/>
      <c r="D123" s="15" t="n"/>
      <c r="E123" s="14" t="n"/>
      <c r="F123" s="14" t="n"/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/>
      <c r="B128" s="14" t="n"/>
      <c r="C128" s="14" t="n"/>
      <c r="D128" s="15" t="n"/>
      <c r="E128" s="14" t="n"/>
      <c r="F128" s="14" t="n"/>
    </row>
    <row r="129">
      <c r="A129" s="43" t="n"/>
      <c r="B129" s="14" t="n"/>
      <c r="C129" s="14" t="n"/>
      <c r="D129" s="15" t="n"/>
      <c r="E129" s="14" t="n"/>
      <c r="F129" s="14" t="n"/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Leocan</t>
        </is>
      </c>
      <c r="D164" s="26" t="n">
        <v>79924</v>
      </c>
      <c r="E164" t="inlineStr">
        <is>
          <t>Mercado Pago</t>
        </is>
      </c>
      <c r="F164" t="inlineStr">
        <is>
          <t>mascotas · gasto personal Sol</t>
        </is>
      </c>
    </row>
    <row r="165">
      <c r="A165" s="44" t="n">
        <v>46163</v>
      </c>
      <c r="B165" t="inlineStr">
        <is>
          <t>Mayo</t>
        </is>
      </c>
      <c r="C165" t="inlineStr">
        <is>
          <t>Federico Cabral</t>
        </is>
      </c>
      <c r="D165" s="26" t="n">
        <v>755800</v>
      </c>
      <c r="E165" t="inlineStr">
        <is>
          <t>Mercado Pago</t>
        </is>
      </c>
      <c r="F165" t="inlineStr">
        <is>
          <t>transferencia · gasto personal Sol (ex-PENDIENTE)</t>
        </is>
      </c>
    </row>
    <row r="166">
      <c r="A166" s="44" t="n">
        <v>46165</v>
      </c>
      <c r="B166" t="inlineStr">
        <is>
          <t>Mayo</t>
        </is>
      </c>
      <c r="C166" t="inlineStr">
        <is>
          <t>Bimba Y Lola</t>
        </is>
      </c>
      <c r="D166" s="26" t="n">
        <v>748000</v>
      </c>
      <c r="E166" t="inlineStr">
        <is>
          <t>Mercado Pago</t>
        </is>
      </c>
      <c r="F166" t="inlineStr">
        <is>
          <t>ropa · gasto personal Sol</t>
        </is>
      </c>
    </row>
    <row r="167">
      <c r="A167" s="44" t="n">
        <v>46165</v>
      </c>
      <c r="B167" t="inlineStr">
        <is>
          <t>Mayo</t>
        </is>
      </c>
      <c r="C167" t="inlineStr">
        <is>
          <t>Christian Ventura</t>
        </is>
      </c>
      <c r="D167" s="26" t="n">
        <v>300000</v>
      </c>
      <c r="E167" t="inlineStr">
        <is>
          <t>Mercado Pago</t>
        </is>
      </c>
      <c r="F167" t="inlineStr">
        <is>
          <t>transferencia · gasto personal Sol (ex-PENDIENTE)</t>
        </is>
      </c>
    </row>
    <row r="168">
      <c r="A168" s="44" t="n">
        <v>46165</v>
      </c>
      <c r="B168" t="inlineStr">
        <is>
          <t>Mayo</t>
        </is>
      </c>
      <c r="C168" t="inlineStr">
        <is>
          <t>Mercado Libre</t>
        </is>
      </c>
      <c r="D168" s="26" t="n">
        <v>35544</v>
      </c>
      <c r="E168" t="inlineStr">
        <is>
          <t>Mercado Pago</t>
        </is>
      </c>
      <c r="F168" t="inlineStr">
        <is>
          <t>ML · ML · gasto personal Sol (revisar)</t>
        </is>
      </c>
    </row>
    <row r="169">
      <c r="A169" s="44" t="n">
        <v>46165</v>
      </c>
      <c r="B169" t="inlineStr">
        <is>
          <t>Mayo</t>
        </is>
      </c>
      <c r="C169" t="inlineStr">
        <is>
          <t>Valeria Mele</t>
        </is>
      </c>
      <c r="D169" s="26" t="n">
        <v>112500</v>
      </c>
      <c r="E169" t="inlineStr">
        <is>
          <t>Mercado Pago</t>
        </is>
      </c>
      <c r="F169" t="inlineStr">
        <is>
          <t>transferencia · gasto personal Sol (ex-PENDIENTE)</t>
        </is>
      </c>
    </row>
    <row r="170">
      <c r="A170" s="44" t="n">
        <v>46168</v>
      </c>
      <c r="B170" t="inlineStr">
        <is>
          <t>Mayo</t>
        </is>
      </c>
      <c r="C170" t="inlineStr">
        <is>
          <t>Movistar Arena</t>
        </is>
      </c>
      <c r="D170" s="26" t="n">
        <v>19000</v>
      </c>
      <c r="E170" t="inlineStr">
        <is>
          <t>Mercado Pago</t>
        </is>
      </c>
      <c r="F170" t="inlineStr">
        <is>
          <t>evento · gasto personal Sol</t>
        </is>
      </c>
    </row>
    <row r="171">
      <c r="A171" s="44" t="n">
        <v>46169</v>
      </c>
      <c r="B171" t="inlineStr">
        <is>
          <t>Mayo</t>
        </is>
      </c>
      <c r="C171" t="inlineStr">
        <is>
          <t>Magic Dragon</t>
        </is>
      </c>
      <c r="D171" s="26" t="n">
        <v>5790</v>
      </c>
      <c r="E171" t="inlineStr">
        <is>
          <t>Mercado Pago</t>
        </is>
      </c>
      <c r="F171" t="inlineStr">
        <is>
          <t>comida/salida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Paws Pet Market</t>
        </is>
      </c>
      <c r="D172" s="26" t="n">
        <v>11100</v>
      </c>
      <c r="E172" t="inlineStr">
        <is>
          <t>Mercado Pago</t>
        </is>
      </c>
      <c r="F172" t="inlineStr">
        <is>
          <t>mascotas · gasto personal Sol</t>
        </is>
      </c>
    </row>
    <row r="173">
      <c r="A173" s="44" t="n">
        <v>46170</v>
      </c>
      <c r="B173" t="inlineStr">
        <is>
          <t>Mayo</t>
        </is>
      </c>
      <c r="C173" t="inlineStr">
        <is>
          <t>Zilver Sa</t>
        </is>
      </c>
      <c r="D173" s="26" t="n">
        <v>25971</v>
      </c>
      <c r="E173" t="inlineStr">
        <is>
          <t>Mercado Pago</t>
        </is>
      </c>
      <c r="F173" t="inlineStr">
        <is>
          <t>personal · gasto personal Sol</t>
        </is>
      </c>
    </row>
    <row r="174">
      <c r="A174" s="44" t="n">
        <v>46171</v>
      </c>
      <c r="B174" t="inlineStr">
        <is>
          <t>Mayo</t>
        </is>
      </c>
      <c r="C174" t="inlineStr">
        <is>
          <t>Servicios De Pagos Virtuales</t>
        </is>
      </c>
      <c r="D174" s="26" t="n">
        <v>630000</v>
      </c>
      <c r="E174" t="inlineStr">
        <is>
          <t>Mercado Pago</t>
        </is>
      </c>
      <c r="F174" t="inlineStr">
        <is>
          <t>¿qué es? · gasto personal Sol (ex-PENDIENTE)</t>
        </is>
      </c>
    </row>
    <row r="175">
      <c r="A175" s="44" t="n">
        <v>46175</v>
      </c>
      <c r="B175" t="inlineStr">
        <is>
          <t>Junio</t>
        </is>
      </c>
      <c r="C175" t="inlineStr">
        <is>
          <t>Andres Di Pasqua</t>
        </is>
      </c>
      <c r="D175" s="26" t="n">
        <v>32046</v>
      </c>
      <c r="E175" t="inlineStr">
        <is>
          <t>Mercado Pago</t>
        </is>
      </c>
      <c r="F175" t="inlineStr">
        <is>
          <t>compra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Correo Argentino</t>
        </is>
      </c>
      <c r="D176" s="26" t="n">
        <v>22500</v>
      </c>
      <c r="E176" t="inlineStr">
        <is>
          <t>Mercado Pago</t>
        </is>
      </c>
      <c r="F176" t="inlineStr">
        <is>
          <t>envíos · gasto personal Sol</t>
        </is>
      </c>
    </row>
    <row r="177">
      <c r="A177" s="44" t="n">
        <v>46179</v>
      </c>
      <c r="B177" t="inlineStr">
        <is>
          <t>Junio</t>
        </is>
      </c>
      <c r="C177" t="inlineStr">
        <is>
          <t>Fundacion Soplo De Vida</t>
        </is>
      </c>
      <c r="D177" s="26" t="n">
        <v>100000</v>
      </c>
      <c r="E177" t="inlineStr">
        <is>
          <t>Mercado Pago</t>
        </is>
      </c>
      <c r="F177" t="inlineStr">
        <is>
          <t>donación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Guillermo Galarraga</t>
        </is>
      </c>
      <c r="D178" s="26" t="n">
        <v>14500</v>
      </c>
      <c r="E178" t="inlineStr">
        <is>
          <t>Mercado Pago</t>
        </is>
      </c>
      <c r="F178" t="inlineStr">
        <is>
          <t>transferencia · gasto personal Sol (ex-PENDIENTE)</t>
        </is>
      </c>
    </row>
    <row r="179">
      <c r="A179" s="44" t="n">
        <v>46180</v>
      </c>
      <c r="B179" t="inlineStr">
        <is>
          <t>Junio</t>
        </is>
      </c>
      <c r="C179" t="inlineStr">
        <is>
          <t>ACA</t>
        </is>
      </c>
      <c r="D179" s="26" t="n">
        <v>711</v>
      </c>
      <c r="E179" t="inlineStr">
        <is>
          <t>Mercado Pago</t>
        </is>
      </c>
      <c r="F179" t="inlineStr">
        <is>
          <t>ACA · AUTO/ACA · gasto personal Sol</t>
        </is>
      </c>
    </row>
    <row r="180">
      <c r="A180" s="44" t="n">
        <v>46181</v>
      </c>
      <c r="B180" t="inlineStr">
        <is>
          <t>Junio</t>
        </is>
      </c>
      <c r="C180" t="inlineStr">
        <is>
          <t>Tuenti</t>
        </is>
      </c>
      <c r="D180" s="26" t="n">
        <v>17400</v>
      </c>
      <c r="E180" t="inlineStr">
        <is>
          <t>Mercado Pago</t>
        </is>
      </c>
      <c r="F180" t="inlineStr">
        <is>
          <t>Tuenti · gasto personal Sol · hoja Gasto Personal Sol</t>
        </is>
      </c>
    </row>
    <row r="181">
      <c r="A181" s="44" t="n">
        <v>46183</v>
      </c>
      <c r="B181" t="inlineStr">
        <is>
          <t>Junio</t>
        </is>
      </c>
      <c r="C181" t="inlineStr">
        <is>
          <t>Casa Godoy</t>
        </is>
      </c>
      <c r="D181" s="26" t="n">
        <v>806000</v>
      </c>
      <c r="E181" t="inlineStr">
        <is>
          <t>Mercado Pago</t>
        </is>
      </c>
      <c r="F181" t="inlineStr">
        <is>
          <t>¿obra/casa? · gasto personal Sol (ex-PENDIENTE)</t>
        </is>
      </c>
    </row>
    <row r="182">
      <c r="A182" s="44" t="n">
        <v>46183</v>
      </c>
      <c r="B182" t="inlineStr">
        <is>
          <t>Junio</t>
        </is>
      </c>
      <c r="C182" t="inlineStr">
        <is>
          <t>Karina Venturo</t>
        </is>
      </c>
      <c r="D182" s="26" t="n">
        <v>8293</v>
      </c>
      <c r="E182" t="inlineStr">
        <is>
          <t>Mercado Pago</t>
        </is>
      </c>
      <c r="F182" t="inlineStr">
        <is>
          <t>transferencia · gasto personal Sol (ex-PENDIENTE)</t>
        </is>
      </c>
    </row>
    <row r="183">
      <c r="A183" s="44" t="n">
        <v>46184</v>
      </c>
      <c r="B183" t="inlineStr">
        <is>
          <t>Junio</t>
        </is>
      </c>
      <c r="C183" t="inlineStr">
        <is>
          <t>Apple</t>
        </is>
      </c>
      <c r="D183" s="26" t="n">
        <v>331291</v>
      </c>
      <c r="E183" t="inlineStr">
        <is>
          <t>Mercado Pago</t>
        </is>
      </c>
      <c r="F183" t="inlineStr">
        <is>
          <t>Apple · gasto personal Sol · hoja Gasto Personal Sol</t>
        </is>
      </c>
    </row>
    <row r="184">
      <c r="A184" s="44" t="n">
        <v>46185</v>
      </c>
      <c r="B184" t="inlineStr">
        <is>
          <t>Junio</t>
        </is>
      </c>
      <c r="C184" t="inlineStr">
        <is>
          <t>Correo Argentino</t>
        </is>
      </c>
      <c r="D184" s="26" t="n">
        <v>48000</v>
      </c>
      <c r="E184" t="inlineStr">
        <is>
          <t>Mercado Pago</t>
        </is>
      </c>
      <c r="F184" t="inlineStr">
        <is>
          <t>envíos · gasto personal Sol</t>
        </is>
      </c>
    </row>
    <row r="185">
      <c r="A185" s="44" t="n">
        <v>46186</v>
      </c>
      <c r="B185" t="inlineStr">
        <is>
          <t>Junio</t>
        </is>
      </c>
      <c r="C185" t="inlineStr">
        <is>
          <t>Apple</t>
        </is>
      </c>
      <c r="D185" s="26" t="n">
        <v>18558</v>
      </c>
      <c r="E185" t="inlineStr">
        <is>
          <t>Mercado Pago</t>
        </is>
      </c>
      <c r="F185" t="inlineStr">
        <is>
          <t>Apple · gasto personal Sol · hoja Gasto Personal Sol</t>
        </is>
      </c>
    </row>
    <row r="186">
      <c r="A186" s="44" t="n"/>
      <c r="D186" s="26" t="n"/>
    </row>
    <row r="187">
      <c r="A187" s="44" t="n">
        <v>46188</v>
      </c>
      <c r="B187" t="inlineStr">
        <is>
          <t>Junio</t>
        </is>
      </c>
      <c r="C187" t="inlineStr">
        <is>
          <t>Madmuscles</t>
        </is>
      </c>
      <c r="D187" s="26" t="n">
        <v>99727</v>
      </c>
      <c r="E187" t="inlineStr">
        <is>
          <t>Mercado Pago</t>
        </is>
      </c>
      <c r="F187" t="inlineStr">
        <is>
          <t>fitness · gasto personal Sol</t>
        </is>
      </c>
    </row>
    <row r="188">
      <c r="A188" s="44" t="n">
        <v>46189</v>
      </c>
      <c r="B188" t="inlineStr">
        <is>
          <t>Junio</t>
        </is>
      </c>
      <c r="C188" t="inlineStr">
        <is>
          <t>Damaris Oliveira</t>
        </is>
      </c>
      <c r="D188" s="26" t="n">
        <v>2542970</v>
      </c>
      <c r="E188" t="inlineStr">
        <is>
          <t>Mercado Pago</t>
        </is>
      </c>
      <c r="F188" t="inlineStr">
        <is>
          <t>compra grande · gasto personal Sol (ex-PENDIENTE)</t>
        </is>
      </c>
    </row>
    <row r="189">
      <c r="A189" s="44" t="n">
        <v>46189</v>
      </c>
      <c r="B189" t="inlineStr">
        <is>
          <t>Junio</t>
        </is>
      </c>
      <c r="C189" t="inlineStr">
        <is>
          <t>Dermacycle</t>
        </is>
      </c>
      <c r="D189" s="26" t="n">
        <v>150000</v>
      </c>
      <c r="E189" t="inlineStr">
        <is>
          <t>Mercado Pago</t>
        </is>
      </c>
      <c r="F189" t="inlineStr">
        <is>
          <t>estética · gasto personal Sol</t>
        </is>
      </c>
    </row>
    <row r="190">
      <c r="A190" s="44" t="n">
        <v>46191</v>
      </c>
      <c r="B190" t="inlineStr">
        <is>
          <t>Junio</t>
        </is>
      </c>
      <c r="C190" t="inlineStr">
        <is>
          <t>Mercado Libre</t>
        </is>
      </c>
      <c r="D190" s="26" t="n">
        <v>67000</v>
      </c>
      <c r="E190" t="inlineStr">
        <is>
          <t>Mercado Pago</t>
        </is>
      </c>
      <c r="F190" t="inlineStr">
        <is>
          <t>ML · ML · gasto personal Sol (revisar)</t>
        </is>
      </c>
    </row>
    <row r="191">
      <c r="A191" s="44" t="n">
        <v>46193</v>
      </c>
      <c r="B191" t="inlineStr">
        <is>
          <t>Junio</t>
        </is>
      </c>
      <c r="C191" t="inlineStr">
        <is>
          <t>Christian Ventura</t>
        </is>
      </c>
      <c r="D191" s="26" t="n">
        <v>20000</v>
      </c>
      <c r="E191" t="inlineStr">
        <is>
          <t>Mercado Pago</t>
        </is>
      </c>
      <c r="F191" t="inlineStr">
        <is>
          <t>transferencia · gasto personal Sol (ex-PENDIENTE)</t>
        </is>
      </c>
    </row>
    <row r="192">
      <c r="A192" s="44" t="n">
        <v>46196</v>
      </c>
      <c r="B192" t="inlineStr">
        <is>
          <t>Junio</t>
        </is>
      </c>
      <c r="C192" t="inlineStr">
        <is>
          <t>Christian Ventura</t>
        </is>
      </c>
      <c r="D192" s="26" t="n">
        <v>150000</v>
      </c>
      <c r="E192" t="inlineStr">
        <is>
          <t>Mercado Pago</t>
        </is>
      </c>
      <c r="F192" t="inlineStr">
        <is>
          <t>transferencia · gasto personal Sol (ex-PENDIENTE)</t>
        </is>
      </c>
    </row>
    <row r="193">
      <c r="A193" s="44" t="n">
        <v>46196</v>
      </c>
      <c r="B193" t="inlineStr">
        <is>
          <t>Junio</t>
        </is>
      </c>
      <c r="C193" t="inlineStr">
        <is>
          <t>Karina Venturo</t>
        </is>
      </c>
      <c r="D193" s="26" t="n">
        <v>6030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Mazzeo Jose</t>
        </is>
      </c>
      <c r="D194" s="26" t="n">
        <v>6400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Omar Pastran</t>
        </is>
      </c>
      <c r="D195" s="26" t="n">
        <v>7000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46197</v>
      </c>
      <c r="B196" t="inlineStr">
        <is>
          <t>Junio</t>
        </is>
      </c>
      <c r="C196" t="inlineStr">
        <is>
          <t>Aylen Difeo</t>
        </is>
      </c>
      <c r="D196" s="26" t="n">
        <v>350000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46197</v>
      </c>
      <c r="B197" t="inlineStr">
        <is>
          <t>Junio</t>
        </is>
      </c>
      <c r="C197" t="inlineStr">
        <is>
          <t>Mercado Libre</t>
        </is>
      </c>
      <c r="D197" s="26" t="n">
        <v>175000</v>
      </c>
      <c r="E197" t="inlineStr">
        <is>
          <t>Mercado Pago</t>
        </is>
      </c>
      <c r="F197" t="inlineStr">
        <is>
          <t>ML · ML · gasto personal Sol (revisar)</t>
        </is>
      </c>
    </row>
    <row r="198">
      <c r="A198" s="44" t="n">
        <v>46198</v>
      </c>
      <c r="B198" t="inlineStr">
        <is>
          <t>Junio</t>
        </is>
      </c>
      <c r="C198" t="inlineStr">
        <is>
          <t>Fundacion Soplo De Vida</t>
        </is>
      </c>
      <c r="D198" s="26" t="n">
        <v>243000</v>
      </c>
      <c r="E198" t="inlineStr">
        <is>
          <t>Mercado Pago</t>
        </is>
      </c>
      <c r="F198" t="inlineStr">
        <is>
          <t>donación · gasto personal Sol</t>
        </is>
      </c>
    </row>
    <row r="199">
      <c r="A199" s="44" t="n">
        <v>46199</v>
      </c>
      <c r="B199" t="inlineStr">
        <is>
          <t>Junio</t>
        </is>
      </c>
      <c r="C199" t="inlineStr">
        <is>
          <t>Valeria Mele</t>
        </is>
      </c>
      <c r="D199" s="26" t="n">
        <v>48600</v>
      </c>
      <c r="E199" t="inlineStr">
        <is>
          <t>Mercado Pago</t>
        </is>
      </c>
      <c r="F199" t="inlineStr">
        <is>
          <t>transferencia · gasto personal Sol (ex-PENDIENTE)</t>
        </is>
      </c>
    </row>
    <row r="200">
      <c r="A200" s="44" t="n">
        <v>46200</v>
      </c>
      <c r="B200" t="inlineStr">
        <is>
          <t>Junio</t>
        </is>
      </c>
      <c r="C200" t="inlineStr">
        <is>
          <t>Belisario Roldán</t>
        </is>
      </c>
      <c r="D200" s="26" t="n">
        <v>206700</v>
      </c>
      <c r="E200" t="inlineStr">
        <is>
          <t>Mercado Pago</t>
        </is>
      </c>
      <c r="F200" t="inlineStr">
        <is>
          <t>salida/evento · gasto personal Sol</t>
        </is>
      </c>
    </row>
    <row r="201">
      <c r="A201" s="44" t="n">
        <v>46200</v>
      </c>
      <c r="B201" t="inlineStr">
        <is>
          <t>Junio</t>
        </is>
      </c>
      <c r="C201" t="inlineStr">
        <is>
          <t>Florencia De La Torre</t>
        </is>
      </c>
      <c r="D201" s="26" t="n">
        <v>20000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46203</v>
      </c>
      <c r="B202" t="inlineStr">
        <is>
          <t>Junio</t>
        </is>
      </c>
      <c r="C202" t="inlineStr">
        <is>
          <t>ACA</t>
        </is>
      </c>
      <c r="D202" s="26" t="n">
        <v>330</v>
      </c>
      <c r="E202" t="inlineStr">
        <is>
          <t>Mercado Pago</t>
        </is>
      </c>
      <c r="F202" t="inlineStr">
        <is>
          <t>ACA · AUTO/ACA · gasto personal Sol</t>
        </is>
      </c>
    </row>
    <row r="203">
      <c r="A203" s="44" t="n">
        <v>46205</v>
      </c>
      <c r="B203" t="inlineStr">
        <is>
          <t>Julio</t>
        </is>
      </c>
      <c r="C203" t="inlineStr">
        <is>
          <t>Veterinaria</t>
        </is>
      </c>
      <c r="D203" s="26" t="n">
        <v>107000</v>
      </c>
      <c r="E203" t="inlineStr">
        <is>
          <t>Mercado Pago</t>
        </is>
      </c>
      <c r="F203" t="inlineStr">
        <is>
          <t>veterinaria · gasto personal Sol</t>
        </is>
      </c>
    </row>
    <row r="204">
      <c r="A204" s="44" t="n">
        <v>46208</v>
      </c>
      <c r="B204" t="inlineStr">
        <is>
          <t>Julio</t>
        </is>
      </c>
      <c r="C204" t="inlineStr">
        <is>
          <t>Analia Veronica Roay</t>
        </is>
      </c>
      <c r="D204" s="26" t="n">
        <v>49000</v>
      </c>
      <c r="E204" t="inlineStr">
        <is>
          <t>Mercado Pago</t>
        </is>
      </c>
      <c r="F204" t="inlineStr">
        <is>
          <t>transferencia · gasto personal Sol (ex-PENDIENTE)</t>
        </is>
      </c>
    </row>
    <row r="205">
      <c r="A205" s="44" t="n">
        <v>46208</v>
      </c>
      <c r="B205" t="inlineStr">
        <is>
          <t>Julio</t>
        </is>
      </c>
      <c r="C205" t="inlineStr">
        <is>
          <t>Antonela Guidobono</t>
        </is>
      </c>
      <c r="D205" s="26" t="n">
        <v>38700</v>
      </c>
      <c r="E205" t="inlineStr">
        <is>
          <t>Mercado Pago</t>
        </is>
      </c>
      <c r="F205" t="inlineStr">
        <is>
          <t>transferencia · gasto personal Sol (ex-PENDIENTE)</t>
        </is>
      </c>
    </row>
    <row r="206">
      <c r="A206" s="44" t="n">
        <v>46209</v>
      </c>
      <c r="B206" t="inlineStr">
        <is>
          <t>Julio</t>
        </is>
      </c>
      <c r="C206" t="inlineStr">
        <is>
          <t>Analia Veronica Roay</t>
        </is>
      </c>
      <c r="D206" s="26" t="n">
        <v>8002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46209</v>
      </c>
      <c r="B207" t="inlineStr">
        <is>
          <t>Julio</t>
        </is>
      </c>
      <c r="C207" t="inlineStr">
        <is>
          <t>Federico Martinez Escariz</t>
        </is>
      </c>
      <c r="D207" s="26" t="n">
        <v>572005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Jose Cristian Montaño</t>
        </is>
      </c>
      <c r="D208" s="26" t="n">
        <v>2500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46211</v>
      </c>
      <c r="B209" t="inlineStr">
        <is>
          <t>Julio</t>
        </is>
      </c>
      <c r="C209" t="inlineStr">
        <is>
          <t>Mara Sikorski</t>
        </is>
      </c>
      <c r="D209" s="26" t="n">
        <v>159000</v>
      </c>
      <c r="E209" t="inlineStr">
        <is>
          <t>Mercado Pago</t>
        </is>
      </c>
      <c r="F209" t="inlineStr">
        <is>
          <t>personal · gasto personal Sol</t>
        </is>
      </c>
    </row>
    <row r="210">
      <c r="A210" s="44" t="n">
        <v>46211</v>
      </c>
      <c r="B210" t="inlineStr">
        <is>
          <t>Julio</t>
        </is>
      </c>
      <c r="C210" t="inlineStr">
        <is>
          <t>Tuenti</t>
        </is>
      </c>
      <c r="D210" s="26" t="n">
        <v>18000</v>
      </c>
      <c r="E210" t="inlineStr">
        <is>
          <t>Mercado Pago</t>
        </is>
      </c>
      <c r="F210" t="inlineStr">
        <is>
          <t>Tuenti · gasto personal Sol · hoja Gasto Personal Sol</t>
        </is>
      </c>
    </row>
    <row r="211">
      <c r="A211" s="44" t="n">
        <v>46213</v>
      </c>
      <c r="B211" t="inlineStr">
        <is>
          <t>Julio</t>
        </is>
      </c>
      <c r="C211" t="inlineStr">
        <is>
          <t>Sikorski Mara</t>
        </is>
      </c>
      <c r="D211" s="26" t="n">
        <v>5000</v>
      </c>
      <c r="E211" t="inlineStr">
        <is>
          <t>Mercado Pago</t>
        </is>
      </c>
      <c r="F211" t="inlineStr">
        <is>
          <t>transferencia · gasto personal Sol (ex-PENDIENTE)</t>
        </is>
      </c>
    </row>
    <row r="212">
      <c r="A212" s="44" t="n">
        <v>46214</v>
      </c>
      <c r="B212" t="inlineStr">
        <is>
          <t>Julio</t>
        </is>
      </c>
      <c r="C212" t="inlineStr">
        <is>
          <t>Comercio</t>
        </is>
      </c>
      <c r="D212" s="26" t="n">
        <v>18300</v>
      </c>
      <c r="E212" t="inlineStr">
        <is>
          <t>Mercado Pago</t>
        </is>
      </c>
      <c r="F212" t="inlineStr">
        <is>
          <t>tienda física · gasto personal Sol (ex-PENDIENTE)</t>
        </is>
      </c>
    </row>
    <row r="213">
      <c r="A213" s="44" t="n">
        <v>46214</v>
      </c>
      <c r="B213" t="inlineStr">
        <is>
          <t>Julio</t>
        </is>
      </c>
      <c r="C213" t="inlineStr">
        <is>
          <t>Franco Yonatan Britez</t>
        </is>
      </c>
      <c r="D213" s="26" t="n">
        <v>1500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46215</v>
      </c>
      <c r="B214" t="inlineStr">
        <is>
          <t>Julio</t>
        </is>
      </c>
      <c r="C214" t="inlineStr">
        <is>
          <t>Apple</t>
        </is>
      </c>
      <c r="D214" s="26" t="n">
        <v>19481</v>
      </c>
      <c r="E214" t="inlineStr">
        <is>
          <t>Mercado Pago</t>
        </is>
      </c>
      <c r="F214" t="inlineStr">
        <is>
          <t>Apple · gasto personal Sol · hoja Gasto Personal Sol</t>
        </is>
      </c>
    </row>
    <row r="215">
      <c r="A215" s="44" t="n">
        <v>46215</v>
      </c>
      <c r="B215" t="inlineStr">
        <is>
          <t>Julio</t>
        </is>
      </c>
      <c r="C215" t="inlineStr">
        <is>
          <t>Klash Pro</t>
        </is>
      </c>
      <c r="D215" s="26" t="n">
        <v>27000</v>
      </c>
      <c r="E215" t="inlineStr">
        <is>
          <t>Mercado Pago</t>
        </is>
      </c>
      <c r="F215" t="inlineStr">
        <is>
          <t>compra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Mercado Libre</t>
        </is>
      </c>
      <c r="D216" s="26" t="n">
        <v>24499</v>
      </c>
      <c r="E216" t="inlineStr">
        <is>
          <t>Mercado Pago</t>
        </is>
      </c>
      <c r="F216" t="inlineStr">
        <is>
          <t>ML · ML · gasto personal Sol (revisar)</t>
        </is>
      </c>
    </row>
    <row r="217">
      <c r="A217" s="44" t="n">
        <v>46217</v>
      </c>
      <c r="B217" t="inlineStr">
        <is>
          <t>Julio</t>
        </is>
      </c>
      <c r="C217" t="inlineStr">
        <is>
          <t>Carenzo Santiago P</t>
        </is>
      </c>
      <c r="D217" s="26" t="n">
        <v>398240</v>
      </c>
      <c r="E217" t="inlineStr">
        <is>
          <t>Mercado Pago</t>
        </is>
      </c>
      <c r="F217" t="inlineStr">
        <is>
          <t>transferencia · gasto personal Sol (ex-PENDIENTE)</t>
        </is>
      </c>
    </row>
    <row r="218">
      <c r="A218" s="44" t="n">
        <v>46218</v>
      </c>
      <c r="B218" t="inlineStr">
        <is>
          <t>Julio</t>
        </is>
      </c>
      <c r="C218" t="inlineStr">
        <is>
          <t>Mercado Libre</t>
        </is>
      </c>
      <c r="D218" s="26" t="n">
        <v>30318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46218</v>
      </c>
      <c r="B219" t="inlineStr">
        <is>
          <t>Julio</t>
        </is>
      </c>
      <c r="C219" t="inlineStr">
        <is>
          <t>Mercado Libre</t>
        </is>
      </c>
      <c r="D219" s="26" t="n">
        <v>18525</v>
      </c>
      <c r="E219" t="inlineStr">
        <is>
          <t>Mercado Pago</t>
        </is>
      </c>
      <c r="F219" t="inlineStr">
        <is>
          <t>ML · ML · gasto personal Sol (revisar)</t>
        </is>
      </c>
    </row>
    <row r="220">
      <c r="A220" s="44" t="n">
        <v>46219</v>
      </c>
      <c r="B220" t="inlineStr">
        <is>
          <t>Julio</t>
        </is>
      </c>
      <c r="C220" t="inlineStr">
        <is>
          <t>Mercado Libre</t>
        </is>
      </c>
      <c r="D220" s="26" t="n">
        <v>62900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46220</v>
      </c>
      <c r="B221" t="inlineStr">
        <is>
          <t>Julio</t>
        </is>
      </c>
      <c r="C221" t="inlineStr">
        <is>
          <t>Mercado Libre</t>
        </is>
      </c>
      <c r="D221" s="26" t="n">
        <v>11747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46220</v>
      </c>
      <c r="B222" t="inlineStr">
        <is>
          <t>Julio</t>
        </is>
      </c>
      <c r="C222" t="inlineStr">
        <is>
          <t>Mercado Libre</t>
        </is>
      </c>
      <c r="D222" s="26" t="n">
        <v>26311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>
        <v>46107</v>
      </c>
      <c r="B223" t="inlineStr">
        <is>
          <t>Marzo</t>
        </is>
      </c>
      <c r="C223" t="inlineStr">
        <is>
          <t>Agustina Vissani</t>
        </is>
      </c>
      <c r="D223" s="26" t="n">
        <v>75000</v>
      </c>
      <c r="E223" t="inlineStr">
        <is>
          <t>Mercado Pago</t>
        </is>
      </c>
      <c r="F223" t="inlineStr">
        <is>
          <t>PELUQUERÍA · Agustina Vissani · gasto personal Sol</t>
        </is>
      </c>
    </row>
    <row r="224">
      <c r="A224" s="44" t="n">
        <v>46157</v>
      </c>
      <c r="B224" t="inlineStr">
        <is>
          <t>Mayo</t>
        </is>
      </c>
      <c r="C224" t="inlineStr">
        <is>
          <t>Agustina Vissani</t>
        </is>
      </c>
      <c r="D224" s="26" t="n">
        <v>125000</v>
      </c>
      <c r="E224" t="inlineStr">
        <is>
          <t>Mercado Pago</t>
        </is>
      </c>
      <c r="F224" t="inlineStr">
        <is>
          <t>PELUQUERÍA · Agustina Vissani · gasto personal Sol</t>
        </is>
      </c>
    </row>
    <row r="225">
      <c r="A225" s="44" t="n">
        <v>46185</v>
      </c>
      <c r="B225" t="inlineStr">
        <is>
          <t>Junio</t>
        </is>
      </c>
      <c r="C225" t="inlineStr">
        <is>
          <t>Agustina Vissani</t>
        </is>
      </c>
      <c r="D225" s="26" t="n">
        <v>135000</v>
      </c>
      <c r="E225" t="inlineStr">
        <is>
          <t>Mercado Pago</t>
        </is>
      </c>
      <c r="F225" t="inlineStr">
        <is>
          <t>PELUQUERÍA · Agustina Vissani · gasto personal Sol</t>
        </is>
      </c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2026-07-21T08:48:35Z</dcterms:modified>
</cp:coreProperties>
</file>
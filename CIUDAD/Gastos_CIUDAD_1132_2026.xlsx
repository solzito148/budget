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4">
    <numFmt numFmtId="164" formatCode="dd/mm/yyyy"/>
    <numFmt numFmtId="165" formatCode="DD/MM/YYYY"/>
    <numFmt numFmtId="166" formatCode="yyyy-mm-dd h:mm:ss"/>
    <numFmt numFmtId="167" formatCode="YYYY-MM-DD"/>
  </numFmts>
  <fonts count="16">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s>
  <fills count="10">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c r="K5" s="5" t="n"/>
      <c r="L5" s="5" t="n"/>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50000</v>
      </c>
      <c r="L6" s="9" t="n">
        <v>50000</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v>73695</v>
      </c>
      <c r="K7" s="5" t="n"/>
      <c r="L7" s="5" t="n"/>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c r="L9" s="5" t="n"/>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400640</v>
      </c>
      <c r="K10" s="9" t="n"/>
      <c r="L10" s="9" t="n"/>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SUMIFS($D$4:$D$600,$A$4:$A$600,"Enero")</f>
        <v/>
      </c>
      <c r="E47" s="7">
        <f>SUMIFS($E$4:$E$600,$A$4:$A$600,"Enero")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SUMIFS($D$4:$D$600,$A$4:$A$600,"Febrero")</f>
        <v/>
      </c>
      <c r="E87" s="7">
        <f>SUMIFS($E$4:$E$600,$A$4:$A$600,"Febrero")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SUMIFS($D$4:$D$600,$A$4:$A$600,"Marzo")</f>
        <v/>
      </c>
      <c r="E131" s="7">
        <f>SUMIFS($E$4:$E$600,$A$4:$A$600,"Marzo")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SUMIFS($D$4:$D$600,$A$4:$A$600,"Abril")</f>
        <v/>
      </c>
      <c r="E176" s="7">
        <f>SUMIFS($E$4:$E$600,$A$4:$A$600,"Abril")</f>
        <v/>
      </c>
      <c r="F176" s="7">
        <f>D176+E176</f>
        <v/>
      </c>
      <c r="G176" s="22" t="n"/>
    </row>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SUMIFS($D$4:$D$600,$A$4:$A$600,"Mayo")</f>
        <v/>
      </c>
      <c r="E228" s="7">
        <f>SUMIFS($E$4:$E$600,$A$4:$A$600,"Mayo")</f>
        <v/>
      </c>
      <c r="F228" s="7">
        <f>D228+E228</f>
        <v/>
      </c>
      <c r="G228" s="22" t="n"/>
    </row>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SUMIFS($D$4:$D$600,$A$4:$A$600,"Junio")</f>
        <v/>
      </c>
      <c r="E273" s="7">
        <f>SUMIFS($E$4:$E$600,$A$4:$A$600,"Junio")</f>
        <v/>
      </c>
      <c r="F273" s="7">
        <f>D273+E273</f>
        <v/>
      </c>
      <c r="G273" s="22" t="n"/>
    </row>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SUMIFS($D$4:$D$600,$A$4:$A$600,"Julio")</f>
        <v/>
      </c>
      <c r="E312" s="7">
        <f>SUMIFS($E$4:$E$600,$A$4:$A$600,"Julio")</f>
        <v/>
      </c>
      <c r="F312" s="7">
        <f>D312+E312</f>
        <v/>
      </c>
      <c r="G312" s="22" t="n"/>
    </row>
    <row r="314">
      <c r="A314" s="14" t="inlineStr">
        <is>
          <t>Agosto</t>
        </is>
      </c>
      <c r="B314" s="17" t="n"/>
      <c r="C314" s="14" t="n"/>
      <c r="D314" s="27" t="n"/>
      <c r="E314" s="28" t="n"/>
      <c r="F314" s="15">
        <f>IF(OR(D298&lt;&gt;"",E298&lt;&gt;""),IF(D298="",0,D298)+IF(E298="",0,E298),"")</f>
        <v/>
      </c>
      <c r="G314" s="14" t="n"/>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SUMIFS($D$4:$D$600,$A$4:$A$600,"Agosto")</f>
        <v/>
      </c>
      <c r="E354" s="7">
        <f>SUMIFS($E$4:$E$600,$A$4:$A$600,"Agosto")</f>
        <v/>
      </c>
      <c r="F354" s="7">
        <f>D354+E354</f>
        <v/>
      </c>
      <c r="G354" s="22" t="n"/>
    </row>
    <row r="356">
      <c r="A356" s="14" t="inlineStr">
        <is>
          <t>Septiembre</t>
        </is>
      </c>
      <c r="B356" s="17" t="n"/>
      <c r="C356" s="14" t="n"/>
      <c r="D356" s="27" t="n"/>
      <c r="E356" s="28" t="n"/>
      <c r="F356" s="15">
        <f>IF(OR(D340&lt;&gt;"",E340&lt;&gt;""),IF(D340="",0,D340)+IF(E340="",0,E340),"")</f>
        <v/>
      </c>
      <c r="G356" s="14" t="n"/>
    </row>
    <row r="357">
      <c r="A357" s="14" t="inlineStr">
        <is>
          <t>Septiembre</t>
        </is>
      </c>
      <c r="B357" s="17" t="n"/>
      <c r="C357" s="14" t="n"/>
      <c r="D357" s="27" t="n"/>
      <c r="E357" s="28" t="n"/>
      <c r="F357" s="15">
        <f>IF(OR(D341&lt;&gt;"",E341&lt;&gt;""),IF(D341="",0,D341)+IF(E341="",0,E341),"")</f>
        <v/>
      </c>
      <c r="G357" s="14" t="n"/>
    </row>
    <row r="358">
      <c r="A358" s="14" t="inlineStr">
        <is>
          <t>Septiembre</t>
        </is>
      </c>
      <c r="B358" s="17" t="n"/>
      <c r="C358" s="14" t="n"/>
      <c r="D358" s="27" t="n"/>
      <c r="E358" s="28" t="n"/>
      <c r="F358" s="15">
        <f>IF(OR(D342&lt;&gt;"",E342&lt;&gt;""),IF(D342="",0,D342)+IF(E342="",0,E342),"")</f>
        <v/>
      </c>
      <c r="G358" s="14" t="n"/>
    </row>
    <row r="359">
      <c r="A359" s="14" t="inlineStr">
        <is>
          <t>Septiembre</t>
        </is>
      </c>
      <c r="B359" s="17" t="n"/>
      <c r="C359" s="14" t="n"/>
      <c r="D359" s="27" t="n"/>
      <c r="E359" s="28" t="n"/>
      <c r="F359" s="15">
        <f>IF(OR(D343&lt;&gt;"",E343&lt;&gt;""),IF(D343="",0,D343)+IF(E343="",0,E343),"")</f>
        <v/>
      </c>
      <c r="G359" s="14" t="n"/>
    </row>
    <row r="360">
      <c r="A360" s="14" t="inlineStr">
        <is>
          <t>Septiembre</t>
        </is>
      </c>
      <c r="B360" s="17" t="n"/>
      <c r="C360" s="14" t="n"/>
      <c r="D360" s="27" t="n"/>
      <c r="E360" s="28" t="n"/>
      <c r="F360" s="15">
        <f>IF(OR(D344&lt;&gt;"",E344&lt;&gt;""),IF(D344="",0,D344)+IF(E344="",0,E344),"")</f>
        <v/>
      </c>
      <c r="G360" s="14" t="n"/>
    </row>
    <row r="361">
      <c r="A361" s="14" t="inlineStr">
        <is>
          <t>Septiembre</t>
        </is>
      </c>
      <c r="B361" s="17" t="n"/>
      <c r="C361" s="14" t="n"/>
      <c r="D361" s="27" t="n"/>
      <c r="E361" s="28" t="n"/>
      <c r="F361" s="15">
        <f>IF(OR(D345&lt;&gt;"",E345&lt;&gt;""),IF(D345="",0,D345)+IF(E345="",0,E345),"")</f>
        <v/>
      </c>
      <c r="G361" s="14" t="n"/>
    </row>
    <row r="362">
      <c r="A362" s="14" t="inlineStr">
        <is>
          <t>Septiembre</t>
        </is>
      </c>
      <c r="B362" s="17" t="n"/>
      <c r="C362" s="14" t="n"/>
      <c r="D362" s="27" t="n"/>
      <c r="E362" s="28" t="n"/>
      <c r="F362" s="15">
        <f>IF(OR(D346&lt;&gt;"",E346&lt;&gt;""),IF(D346="",0,D346)+IF(E346="",0,E346),"")</f>
        <v/>
      </c>
      <c r="G362" s="14" t="n"/>
    </row>
    <row r="363">
      <c r="A363" s="14" t="inlineStr">
        <is>
          <t>Septiembre</t>
        </is>
      </c>
      <c r="B363" s="17" t="n"/>
      <c r="C363" s="14" t="n"/>
      <c r="D363" s="27" t="n"/>
      <c r="E363" s="28" t="n"/>
      <c r="F363" s="15">
        <f>IF(OR(D347&lt;&gt;"",E347&lt;&gt;""),IF(D347="",0,D347)+IF(E347="",0,E347),"")</f>
        <v/>
      </c>
      <c r="G363" s="14" t="n"/>
    </row>
    <row r="364">
      <c r="A364" s="14" t="inlineStr">
        <is>
          <t>Septiembre</t>
        </is>
      </c>
      <c r="B364" s="17" t="n"/>
      <c r="C364" s="14" t="n"/>
      <c r="D364" s="27" t="n"/>
      <c r="E364" s="28" t="n"/>
      <c r="F364" s="15">
        <f>IF(OR(D348&lt;&gt;"",E348&lt;&gt;""),IF(D348="",0,D348)+IF(E348="",0,E348),"")</f>
        <v/>
      </c>
      <c r="G364" s="14" t="n"/>
    </row>
    <row r="365">
      <c r="A365" s="14" t="inlineStr">
        <is>
          <t>Septiembre</t>
        </is>
      </c>
      <c r="B365" s="17" t="n"/>
      <c r="C365" s="14" t="n"/>
      <c r="D365" s="27" t="n"/>
      <c r="E365" s="28" t="n"/>
      <c r="F365" s="15">
        <f>IF(OR(D349&lt;&gt;"",E349&lt;&gt;""),IF(D349="",0,D349)+IF(E349="",0,E349),"")</f>
        <v/>
      </c>
      <c r="G365" s="14" t="n"/>
    </row>
    <row r="366">
      <c r="A366" s="14" t="inlineStr">
        <is>
          <t>Septiembre</t>
        </is>
      </c>
      <c r="B366" s="17" t="n"/>
      <c r="C366" s="14" t="n"/>
      <c r="D366" s="27" t="n"/>
      <c r="E366" s="28" t="n"/>
      <c r="F366" s="15">
        <f>IF(OR(D350&lt;&gt;"",E350&lt;&gt;""),IF(D350="",0,D350)+IF(E350="",0,E350),"")</f>
        <v/>
      </c>
      <c r="G366" s="14" t="n"/>
    </row>
    <row r="367">
      <c r="A367" s="14" t="inlineStr">
        <is>
          <t>Septiembre</t>
        </is>
      </c>
      <c r="B367" s="17" t="n"/>
      <c r="C367" s="14" t="n"/>
      <c r="D367" s="27" t="n"/>
      <c r="E367" s="28" t="n"/>
      <c r="F367" s="15">
        <f>IF(OR(D351&lt;&gt;"",E351&lt;&gt;""),IF(D351="",0,D351)+IF(E351="",0,E351),"")</f>
        <v/>
      </c>
      <c r="G367" s="14" t="n"/>
    </row>
    <row r="368">
      <c r="A368" s="14" t="inlineStr">
        <is>
          <t>Septiembre</t>
        </is>
      </c>
      <c r="B368" s="17" t="n"/>
      <c r="C368" s="14" t="n"/>
      <c r="D368" s="27" t="n"/>
      <c r="E368" s="28" t="n"/>
      <c r="F368" s="15">
        <f>IF(OR(D352&lt;&gt;"",E352&lt;&gt;""),IF(D352="",0,D352)+IF(E352="",0,E352),"")</f>
        <v/>
      </c>
      <c r="G368" s="14" t="n"/>
    </row>
    <row r="369">
      <c r="A369" s="14" t="inlineStr">
        <is>
          <t>Septiembre</t>
        </is>
      </c>
      <c r="B369" s="17" t="n"/>
      <c r="C369" s="14" t="n"/>
      <c r="D369" s="27" t="n"/>
      <c r="E369" s="28" t="n"/>
      <c r="F369" s="15">
        <f>IF(OR(D353&lt;&gt;"",E353&lt;&gt;""),IF(D353="",0,D353)+IF(E353="",0,E353),"")</f>
        <v/>
      </c>
      <c r="G369" s="14" t="n"/>
    </row>
    <row r="370">
      <c r="A370" s="14" t="inlineStr">
        <is>
          <t>Septiembre</t>
        </is>
      </c>
      <c r="B370" s="17" t="n"/>
      <c r="C370" s="14" t="n"/>
      <c r="D370" s="27" t="n"/>
      <c r="E370" s="28" t="n"/>
      <c r="F370" s="15">
        <f>IF(OR(D354&lt;&gt;"",E354&lt;&gt;""),IF(D354="",0,D354)+IF(E354="",0,E354),"")</f>
        <v/>
      </c>
      <c r="G370" s="14" t="n"/>
    </row>
    <row r="371">
      <c r="A371" s="14" t="inlineStr">
        <is>
          <t>Septiembre</t>
        </is>
      </c>
      <c r="B371" s="17" t="n"/>
      <c r="C371" s="14" t="n"/>
      <c r="D371" s="27" t="n"/>
      <c r="E371" s="28" t="n"/>
      <c r="F371" s="15">
        <f>IF(OR(D355&lt;&gt;"",E355&lt;&gt;""),IF(D355="",0,D355)+IF(E355="",0,E355),"")</f>
        <v/>
      </c>
      <c r="G371" s="14" t="n"/>
    </row>
    <row r="372">
      <c r="A372" s="14" t="inlineStr">
        <is>
          <t>Septiembre</t>
        </is>
      </c>
      <c r="B372" s="17" t="n"/>
      <c r="C372" s="14" t="n"/>
      <c r="D372" s="27" t="n"/>
      <c r="E372" s="28" t="n"/>
      <c r="F372" s="15">
        <f>IF(OR(D356&lt;&gt;"",E356&lt;&gt;""),IF(D356="",0,D356)+IF(E356="",0,E356),"")</f>
        <v/>
      </c>
      <c r="G372" s="14" t="n"/>
    </row>
    <row r="373">
      <c r="A373" s="14" t="inlineStr">
        <is>
          <t>Septiembre</t>
        </is>
      </c>
      <c r="B373" s="17" t="n"/>
      <c r="C373" s="14" t="n"/>
      <c r="D373" s="27" t="n"/>
      <c r="E373" s="28" t="n"/>
      <c r="F373" s="15">
        <f>IF(OR(D357&lt;&gt;"",E357&lt;&gt;""),IF(D357="",0,D357)+IF(E357="",0,E357),"")</f>
        <v/>
      </c>
      <c r="G373" s="14" t="n"/>
    </row>
    <row r="374">
      <c r="A374" s="14" t="inlineStr">
        <is>
          <t>Septiembre</t>
        </is>
      </c>
      <c r="B374" s="17" t="n"/>
      <c r="C374" s="14" t="n"/>
      <c r="D374" s="27" t="n"/>
      <c r="E374" s="28" t="n"/>
      <c r="F374" s="15">
        <f>IF(OR(D358&lt;&gt;"",E358&lt;&gt;""),IF(D358="",0,D358)+IF(E358="",0,E358),"")</f>
        <v/>
      </c>
      <c r="G374" s="14" t="n"/>
    </row>
    <row r="375">
      <c r="A375" s="14" t="inlineStr">
        <is>
          <t>Septiembre</t>
        </is>
      </c>
      <c r="B375" s="17" t="n"/>
      <c r="C375" s="14" t="n"/>
      <c r="D375" s="27" t="n"/>
      <c r="E375" s="28" t="n"/>
      <c r="F375" s="15">
        <f>IF(OR(D359&lt;&gt;"",E359&lt;&gt;""),IF(D359="",0,D359)+IF(E359="",0,E359),"")</f>
        <v/>
      </c>
      <c r="G375" s="14" t="n"/>
    </row>
    <row r="376">
      <c r="A376" s="14" t="inlineStr">
        <is>
          <t>Septiembre</t>
        </is>
      </c>
      <c r="B376" s="17" t="n"/>
      <c r="C376" s="14" t="n"/>
      <c r="D376" s="27" t="n"/>
      <c r="E376" s="28" t="n"/>
      <c r="F376" s="15">
        <f>IF(OR(D360&lt;&gt;"",E360&lt;&gt;""),IF(D360="",0,D360)+IF(E360="",0,E360),"")</f>
        <v/>
      </c>
      <c r="G376" s="14" t="n"/>
    </row>
    <row r="377">
      <c r="A377" s="14" t="inlineStr">
        <is>
          <t>Septiembre</t>
        </is>
      </c>
      <c r="B377" s="17" t="n"/>
      <c r="C377" s="14" t="n"/>
      <c r="D377" s="27" t="n"/>
      <c r="E377" s="28" t="n"/>
      <c r="F377" s="15">
        <f>IF(OR(D361&lt;&gt;"",E361&lt;&gt;""),IF(D361="",0,D361)+IF(E361="",0,E361),"")</f>
        <v/>
      </c>
      <c r="G377" s="14" t="n"/>
    </row>
    <row r="378">
      <c r="A378" s="14" t="inlineStr">
        <is>
          <t>Septiembre</t>
        </is>
      </c>
      <c r="B378" s="17" t="n"/>
      <c r="C378" s="14" t="n"/>
      <c r="D378" s="27" t="n"/>
      <c r="E378" s="28" t="n"/>
      <c r="F378" s="15">
        <f>IF(OR(D362&lt;&gt;"",E362&lt;&gt;""),IF(D362="",0,D362)+IF(E362="",0,E362),"")</f>
        <v/>
      </c>
      <c r="G378" s="14" t="n"/>
    </row>
    <row r="379">
      <c r="A379" s="14" t="inlineStr">
        <is>
          <t>Septiembre</t>
        </is>
      </c>
      <c r="B379" s="17" t="n"/>
      <c r="C379" s="14" t="n"/>
      <c r="D379" s="27" t="n"/>
      <c r="E379" s="28" t="n"/>
      <c r="F379" s="15">
        <f>IF(OR(D363&lt;&gt;"",E363&lt;&gt;""),IF(D363="",0,D363)+IF(E363="",0,E363),"")</f>
        <v/>
      </c>
      <c r="G379" s="14" t="n"/>
    </row>
    <row r="380">
      <c r="A380" s="14" t="inlineStr">
        <is>
          <t>Septiembre</t>
        </is>
      </c>
      <c r="B380" s="17" t="n"/>
      <c r="C380" s="14" t="n"/>
      <c r="D380" s="27" t="n"/>
      <c r="E380" s="28" t="n"/>
      <c r="F380" s="15">
        <f>IF(OR(D364&lt;&gt;"",E364&lt;&gt;""),IF(D364="",0,D364)+IF(E364="",0,E364),"")</f>
        <v/>
      </c>
      <c r="G380" s="14" t="n"/>
    </row>
    <row r="381">
      <c r="A381" s="14" t="inlineStr">
        <is>
          <t>Septiembre</t>
        </is>
      </c>
      <c r="B381" s="17" t="n"/>
      <c r="C381" s="14" t="n"/>
      <c r="D381" s="27" t="n"/>
      <c r="E381" s="28" t="n"/>
      <c r="F381" s="15">
        <f>IF(OR(D365&lt;&gt;"",E365&lt;&gt;""),IF(D365="",0,D365)+IF(E365="",0,E365),"")</f>
        <v/>
      </c>
      <c r="G381" s="14" t="n"/>
    </row>
    <row r="382">
      <c r="A382" s="14" t="inlineStr">
        <is>
          <t>Septiembre</t>
        </is>
      </c>
      <c r="B382" s="17" t="n"/>
      <c r="C382" s="14" t="n"/>
      <c r="D382" s="27" t="n"/>
      <c r="E382" s="28" t="n"/>
      <c r="F382" s="15">
        <f>IF(OR(D366&lt;&gt;"",E366&lt;&gt;""),IF(D366="",0,D366)+IF(E366="",0,E366),"")</f>
        <v/>
      </c>
      <c r="G382" s="14" t="n"/>
    </row>
    <row r="383">
      <c r="A383" s="14" t="inlineStr">
        <is>
          <t>Septiembre</t>
        </is>
      </c>
      <c r="B383" s="17" t="n"/>
      <c r="C383" s="14" t="n"/>
      <c r="D383" s="27" t="n"/>
      <c r="E383" s="28" t="n"/>
      <c r="F383" s="15">
        <f>IF(OR(D367&lt;&gt;"",E367&lt;&gt;""),IF(D367="",0,D367)+IF(E367="",0,E367),"")</f>
        <v/>
      </c>
      <c r="G383" s="14" t="n"/>
    </row>
    <row r="384">
      <c r="A384" s="14" t="inlineStr">
        <is>
          <t>Septiembre</t>
        </is>
      </c>
      <c r="B384" s="17" t="n"/>
      <c r="C384" s="14" t="n"/>
      <c r="D384" s="27" t="n"/>
      <c r="E384" s="28" t="n"/>
      <c r="F384" s="15">
        <f>IF(OR(D368&lt;&gt;"",E368&lt;&gt;""),IF(D368="",0,D368)+IF(E368="",0,E368),"")</f>
        <v/>
      </c>
      <c r="G384" s="14" t="n"/>
    </row>
    <row r="385">
      <c r="A385" s="14" t="inlineStr">
        <is>
          <t>Septiembre</t>
        </is>
      </c>
      <c r="B385" s="17" t="n"/>
      <c r="C385" s="14" t="n"/>
      <c r="D385" s="27" t="n"/>
      <c r="E385" s="28" t="n"/>
      <c r="F385" s="15">
        <f>IF(OR(D369&lt;&gt;"",E369&lt;&gt;""),IF(D369="",0,D369)+IF(E369="",0,E369),"")</f>
        <v/>
      </c>
      <c r="G385" s="14" t="n"/>
    </row>
    <row r="386">
      <c r="A386" s="14" t="inlineStr">
        <is>
          <t>Septiembre</t>
        </is>
      </c>
      <c r="B386" s="17" t="n"/>
      <c r="C386" s="14" t="n"/>
      <c r="D386" s="27" t="n"/>
      <c r="E386" s="28" t="n"/>
      <c r="F386" s="15">
        <f>IF(OR(D370&lt;&gt;"",E370&lt;&gt;""),IF(D370="",0,D370)+IF(E370="",0,E370),"")</f>
        <v/>
      </c>
      <c r="G386" s="14" t="n"/>
    </row>
    <row r="387">
      <c r="A387" s="14" t="inlineStr">
        <is>
          <t>Septiembre</t>
        </is>
      </c>
      <c r="B387" s="17" t="n"/>
      <c r="C387" s="14" t="n"/>
      <c r="D387" s="27" t="n"/>
      <c r="E387" s="28" t="n"/>
      <c r="F387" s="15">
        <f>IF(OR(D371&lt;&gt;"",E371&lt;&gt;""),IF(D371="",0,D371)+IF(E371="",0,E371),"")</f>
        <v/>
      </c>
      <c r="G387" s="14" t="n"/>
    </row>
    <row r="388">
      <c r="A388" s="14" t="inlineStr">
        <is>
          <t>Septiembre</t>
        </is>
      </c>
      <c r="B388" s="17" t="n"/>
      <c r="C388" s="14" t="n"/>
      <c r="D388" s="27" t="n"/>
      <c r="E388" s="28" t="n"/>
      <c r="F388" s="15">
        <f>IF(OR(D372&lt;&gt;"",E372&lt;&gt;""),IF(D372="",0,D372)+IF(E372="",0,E372),"")</f>
        <v/>
      </c>
      <c r="G388" s="14" t="n"/>
    </row>
    <row r="389">
      <c r="A389" s="14" t="inlineStr">
        <is>
          <t>Septiembre</t>
        </is>
      </c>
      <c r="B389" s="17" t="n"/>
      <c r="C389" s="14" t="n"/>
      <c r="D389" s="27" t="n"/>
      <c r="E389" s="28" t="n"/>
      <c r="F389" s="15">
        <f>IF(OR(D373&lt;&gt;"",E373&lt;&gt;""),IF(D373="",0,D373)+IF(E373="",0,E373),"")</f>
        <v/>
      </c>
      <c r="G389" s="14" t="n"/>
    </row>
    <row r="390">
      <c r="A390" s="14" t="inlineStr">
        <is>
          <t>Septiembre</t>
        </is>
      </c>
      <c r="B390" s="17" t="n"/>
      <c r="C390" s="14" t="n"/>
      <c r="D390" s="27" t="n"/>
      <c r="E390" s="28" t="n"/>
      <c r="F390" s="15">
        <f>IF(OR(D374&lt;&gt;"",E374&lt;&gt;""),IF(D374="",0,D374)+IF(E374="",0,E374),"")</f>
        <v/>
      </c>
      <c r="G390" s="14" t="n"/>
    </row>
    <row r="391">
      <c r="A391" s="14" t="inlineStr">
        <is>
          <t>Septiembre</t>
        </is>
      </c>
      <c r="B391" s="17" t="n"/>
      <c r="C391" s="14" t="n"/>
      <c r="D391" s="27" t="n"/>
      <c r="E391" s="28" t="n"/>
      <c r="F391" s="15">
        <f>IF(OR(D375&lt;&gt;"",E375&lt;&gt;""),IF(D375="",0,D375)+IF(E375="",0,E375),"")</f>
        <v/>
      </c>
      <c r="G391" s="14" t="n"/>
    </row>
    <row r="392">
      <c r="A392" s="14" t="inlineStr">
        <is>
          <t>Septiembre</t>
        </is>
      </c>
      <c r="B392" s="17" t="n"/>
      <c r="C392" s="14" t="n"/>
      <c r="D392" s="27" t="n"/>
      <c r="E392" s="28" t="n"/>
      <c r="F392" s="15">
        <f>IF(OR(D376&lt;&gt;"",E376&lt;&gt;""),IF(D376="",0,D376)+IF(E376="",0,E376),"")</f>
        <v/>
      </c>
      <c r="G392" s="14" t="n"/>
    </row>
    <row r="393">
      <c r="A393" s="14" t="inlineStr">
        <is>
          <t>Septiembre</t>
        </is>
      </c>
      <c r="B393" s="17" t="n"/>
      <c r="C393" s="14" t="n"/>
      <c r="D393" s="27" t="n"/>
      <c r="E393" s="28" t="n"/>
      <c r="F393" s="15">
        <f>IF(OR(D377&lt;&gt;"",E377&lt;&gt;""),IF(D377="",0,D377)+IF(E377="",0,E377),"")</f>
        <v/>
      </c>
      <c r="G393" s="14" t="n"/>
    </row>
    <row r="394">
      <c r="A394" s="14" t="inlineStr">
        <is>
          <t>Septiembre</t>
        </is>
      </c>
      <c r="B394" s="17" t="n"/>
      <c r="C394" s="14" t="n"/>
      <c r="D394" s="27" t="n"/>
      <c r="E394" s="28" t="n"/>
      <c r="F394" s="15">
        <f>IF(OR(D378&lt;&gt;"",E378&lt;&gt;""),IF(D378="",0,D378)+IF(E378="",0,E378),"")</f>
        <v/>
      </c>
      <c r="G394" s="14" t="n"/>
    </row>
    <row r="395">
      <c r="A395" s="14" t="inlineStr">
        <is>
          <t>Septiembre</t>
        </is>
      </c>
      <c r="B395" s="17" t="n"/>
      <c r="C395" s="14" t="n"/>
      <c r="D395" s="27" t="n"/>
      <c r="E395" s="28" t="n"/>
      <c r="F395" s="15">
        <f>IF(OR(D379&lt;&gt;"",E379&lt;&gt;""),IF(D379="",0,D379)+IF(E379="",0,E379),"")</f>
        <v/>
      </c>
      <c r="G395" s="14" t="n"/>
    </row>
    <row r="396">
      <c r="A396" s="10" t="inlineStr">
        <is>
          <t>TOTAL SEPTIEMBRE</t>
        </is>
      </c>
      <c r="B396" s="22" t="n"/>
      <c r="C396" s="29" t="inlineStr">
        <is>
          <t>Totales mes →</t>
        </is>
      </c>
      <c r="D396" s="7">
        <f>SUMIFS($D$4:$D$600,$A$4:$A$600,"Septiembre")</f>
        <v/>
      </c>
      <c r="E396" s="7">
        <f>SUMIFS($E$4:$E$600,$A$4:$A$600,"Septiembre")</f>
        <v/>
      </c>
      <c r="F396" s="7">
        <f>D396+E396</f>
        <v/>
      </c>
      <c r="G396" s="22" t="n"/>
    </row>
    <row r="398">
      <c r="A398" s="14" t="inlineStr">
        <is>
          <t>Octubre</t>
        </is>
      </c>
      <c r="B398" s="17" t="n"/>
      <c r="C398" s="14" t="n"/>
      <c r="D398" s="27" t="n"/>
      <c r="E398" s="28" t="n"/>
      <c r="F398" s="15">
        <f>IF(OR(D382&lt;&gt;"",E382&lt;&gt;""),IF(D382="",0,D382)+IF(E382="",0,E382),"")</f>
        <v/>
      </c>
      <c r="G398" s="14" t="n"/>
    </row>
    <row r="399">
      <c r="A399" s="14" t="inlineStr">
        <is>
          <t>Octubre</t>
        </is>
      </c>
      <c r="B399" s="17" t="n"/>
      <c r="C399" s="14" t="n"/>
      <c r="D399" s="27" t="n"/>
      <c r="E399" s="28" t="n"/>
      <c r="F399" s="15">
        <f>IF(OR(D383&lt;&gt;"",E383&lt;&gt;""),IF(D383="",0,D383)+IF(E383="",0,E383),"")</f>
        <v/>
      </c>
      <c r="G399" s="14" t="n"/>
    </row>
    <row r="400">
      <c r="A400" s="14" t="inlineStr">
        <is>
          <t>Octubre</t>
        </is>
      </c>
      <c r="B400" s="17" t="n"/>
      <c r="C400" s="14" t="n"/>
      <c r="D400" s="27" t="n"/>
      <c r="E400" s="28" t="n"/>
      <c r="F400" s="15">
        <f>IF(OR(D384&lt;&gt;"",E384&lt;&gt;""),IF(D384="",0,D384)+IF(E384="",0,E384),"")</f>
        <v/>
      </c>
      <c r="G400" s="14" t="n"/>
    </row>
    <row r="401">
      <c r="A401" s="14" t="inlineStr">
        <is>
          <t>Octubre</t>
        </is>
      </c>
      <c r="B401" s="17" t="n"/>
      <c r="C401" s="14" t="n"/>
      <c r="D401" s="27" t="n"/>
      <c r="E401" s="28" t="n"/>
      <c r="F401" s="15">
        <f>IF(OR(D385&lt;&gt;"",E385&lt;&gt;""),IF(D385="",0,D385)+IF(E385="",0,E385),"")</f>
        <v/>
      </c>
      <c r="G401" s="14" t="n"/>
    </row>
    <row r="402">
      <c r="A402" s="14" t="inlineStr">
        <is>
          <t>Octubre</t>
        </is>
      </c>
      <c r="B402" s="17" t="n"/>
      <c r="C402" s="14" t="n"/>
      <c r="D402" s="27" t="n"/>
      <c r="E402" s="28" t="n"/>
      <c r="F402" s="15">
        <f>IF(OR(D386&lt;&gt;"",E386&lt;&gt;""),IF(D386="",0,D386)+IF(E386="",0,E386),"")</f>
        <v/>
      </c>
      <c r="G402" s="14" t="n"/>
    </row>
    <row r="403">
      <c r="A403" s="14" t="inlineStr">
        <is>
          <t>Octubre</t>
        </is>
      </c>
      <c r="B403" s="17" t="n"/>
      <c r="C403" s="14" t="n"/>
      <c r="D403" s="27" t="n"/>
      <c r="E403" s="28" t="n"/>
      <c r="F403" s="15">
        <f>IF(OR(D387&lt;&gt;"",E387&lt;&gt;""),IF(D387="",0,D387)+IF(E387="",0,E387),"")</f>
        <v/>
      </c>
      <c r="G403" s="14" t="n"/>
    </row>
    <row r="404">
      <c r="A404" s="14" t="inlineStr">
        <is>
          <t>Octubre</t>
        </is>
      </c>
      <c r="B404" s="17" t="n"/>
      <c r="C404" s="14" t="n"/>
      <c r="D404" s="27" t="n"/>
      <c r="E404" s="28" t="n"/>
      <c r="F404" s="15">
        <f>IF(OR(D388&lt;&gt;"",E388&lt;&gt;""),IF(D388="",0,D388)+IF(E388="",0,E388),"")</f>
        <v/>
      </c>
      <c r="G404" s="14" t="n"/>
    </row>
    <row r="405">
      <c r="A405" s="14" t="inlineStr">
        <is>
          <t>Octubre</t>
        </is>
      </c>
      <c r="B405" s="17" t="n"/>
      <c r="C405" s="14" t="n"/>
      <c r="D405" s="27" t="n"/>
      <c r="E405" s="28" t="n"/>
      <c r="F405" s="15">
        <f>IF(OR(D389&lt;&gt;"",E389&lt;&gt;""),IF(D389="",0,D389)+IF(E389="",0,E389),"")</f>
        <v/>
      </c>
      <c r="G405" s="14" t="n"/>
    </row>
    <row r="406">
      <c r="A406" s="14" t="inlineStr">
        <is>
          <t>Octubre</t>
        </is>
      </c>
      <c r="B406" s="17" t="n"/>
      <c r="C406" s="14" t="n"/>
      <c r="D406" s="27" t="n"/>
      <c r="E406" s="28" t="n"/>
      <c r="F406" s="15">
        <f>IF(OR(D390&lt;&gt;"",E390&lt;&gt;""),IF(D390="",0,D390)+IF(E390="",0,E390),"")</f>
        <v/>
      </c>
      <c r="G406" s="14" t="n"/>
    </row>
    <row r="407">
      <c r="A407" s="14" t="inlineStr">
        <is>
          <t>Octubre</t>
        </is>
      </c>
      <c r="B407" s="17" t="n"/>
      <c r="C407" s="14" t="n"/>
      <c r="D407" s="27" t="n"/>
      <c r="E407" s="28" t="n"/>
      <c r="F407" s="15">
        <f>IF(OR(D391&lt;&gt;"",E391&lt;&gt;""),IF(D391="",0,D391)+IF(E391="",0,E391),"")</f>
        <v/>
      </c>
      <c r="G407" s="14" t="n"/>
    </row>
    <row r="408">
      <c r="A408" s="14" t="inlineStr">
        <is>
          <t>Octubre</t>
        </is>
      </c>
      <c r="B408" s="17" t="n"/>
      <c r="C408" s="14" t="n"/>
      <c r="D408" s="27" t="n"/>
      <c r="E408" s="28" t="n"/>
      <c r="F408" s="15">
        <f>IF(OR(D392&lt;&gt;"",E392&lt;&gt;""),IF(D392="",0,D392)+IF(E392="",0,E392),"")</f>
        <v/>
      </c>
      <c r="G408" s="14" t="n"/>
    </row>
    <row r="409">
      <c r="A409" s="14" t="inlineStr">
        <is>
          <t>Octubre</t>
        </is>
      </c>
      <c r="B409" s="17" t="n"/>
      <c r="C409" s="14" t="n"/>
      <c r="D409" s="27" t="n"/>
      <c r="E409" s="28" t="n"/>
      <c r="F409" s="15">
        <f>IF(OR(D393&lt;&gt;"",E393&lt;&gt;""),IF(D393="",0,D393)+IF(E393="",0,E393),"")</f>
        <v/>
      </c>
      <c r="G409" s="14" t="n"/>
    </row>
    <row r="410">
      <c r="A410" s="14" t="inlineStr">
        <is>
          <t>Octubre</t>
        </is>
      </c>
      <c r="B410" s="17" t="n"/>
      <c r="C410" s="14" t="n"/>
      <c r="D410" s="27" t="n"/>
      <c r="E410" s="28" t="n"/>
      <c r="F410" s="15">
        <f>IF(OR(D394&lt;&gt;"",E394&lt;&gt;""),IF(D394="",0,D394)+IF(E394="",0,E394),"")</f>
        <v/>
      </c>
      <c r="G410" s="14" t="n"/>
    </row>
    <row r="411">
      <c r="A411" s="14" t="inlineStr">
        <is>
          <t>Octubre</t>
        </is>
      </c>
      <c r="B411" s="17" t="n"/>
      <c r="C411" s="14" t="n"/>
      <c r="D411" s="27" t="n"/>
      <c r="E411" s="28" t="n"/>
      <c r="F411" s="15">
        <f>IF(OR(D395&lt;&gt;"",E395&lt;&gt;""),IF(D395="",0,D395)+IF(E395="",0,E395),"")</f>
        <v/>
      </c>
      <c r="G411" s="14" t="n"/>
    </row>
    <row r="412">
      <c r="A412" s="14" t="inlineStr">
        <is>
          <t>Octubre</t>
        </is>
      </c>
      <c r="B412" s="17" t="n"/>
      <c r="C412" s="14" t="n"/>
      <c r="D412" s="27" t="n"/>
      <c r="E412" s="28" t="n"/>
      <c r="F412" s="15">
        <f>IF(OR(D396&lt;&gt;"",E396&lt;&gt;""),IF(D396="",0,D396)+IF(E396="",0,E396),"")</f>
        <v/>
      </c>
      <c r="G412" s="14" t="n"/>
    </row>
    <row r="413">
      <c r="A413" s="14" t="inlineStr">
        <is>
          <t>Octubre</t>
        </is>
      </c>
      <c r="B413" s="17" t="n"/>
      <c r="C413" s="14" t="n"/>
      <c r="D413" s="27" t="n"/>
      <c r="E413" s="28" t="n"/>
      <c r="F413" s="15">
        <f>IF(OR(D397&lt;&gt;"",E397&lt;&gt;""),IF(D397="",0,D397)+IF(E397="",0,E397),"")</f>
        <v/>
      </c>
      <c r="G413" s="14" t="n"/>
    </row>
    <row r="414">
      <c r="A414" s="14" t="inlineStr">
        <is>
          <t>Octubre</t>
        </is>
      </c>
      <c r="B414" s="17" t="n"/>
      <c r="C414" s="14" t="n"/>
      <c r="D414" s="27" t="n"/>
      <c r="E414" s="28" t="n"/>
      <c r="F414" s="15">
        <f>IF(OR(D398&lt;&gt;"",E398&lt;&gt;""),IF(D398="",0,D398)+IF(E398="",0,E398),"")</f>
        <v/>
      </c>
      <c r="G414" s="14" t="n"/>
    </row>
    <row r="415">
      <c r="A415" s="14" t="inlineStr">
        <is>
          <t>Octubre</t>
        </is>
      </c>
      <c r="B415" s="17" t="n"/>
      <c r="C415" s="14" t="n"/>
      <c r="D415" s="27" t="n"/>
      <c r="E415" s="28" t="n"/>
      <c r="F415" s="15">
        <f>IF(OR(D399&lt;&gt;"",E399&lt;&gt;""),IF(D399="",0,D399)+IF(E399="",0,E399),"")</f>
        <v/>
      </c>
      <c r="G415" s="14" t="n"/>
    </row>
    <row r="416">
      <c r="A416" s="14" t="inlineStr">
        <is>
          <t>Octubre</t>
        </is>
      </c>
      <c r="B416" s="17" t="n"/>
      <c r="C416" s="14" t="n"/>
      <c r="D416" s="27" t="n"/>
      <c r="E416" s="28" t="n"/>
      <c r="F416" s="15">
        <f>IF(OR(D400&lt;&gt;"",E400&lt;&gt;""),IF(D400="",0,D400)+IF(E400="",0,E400),"")</f>
        <v/>
      </c>
      <c r="G416" s="14" t="n"/>
    </row>
    <row r="417">
      <c r="A417" s="14" t="inlineStr">
        <is>
          <t>Octubre</t>
        </is>
      </c>
      <c r="B417" s="17" t="n"/>
      <c r="C417" s="14" t="n"/>
      <c r="D417" s="27" t="n"/>
      <c r="E417" s="28" t="n"/>
      <c r="F417" s="15">
        <f>IF(OR(D401&lt;&gt;"",E401&lt;&gt;""),IF(D401="",0,D401)+IF(E401="",0,E401),"")</f>
        <v/>
      </c>
      <c r="G417" s="14" t="n"/>
    </row>
    <row r="418">
      <c r="A418" s="14" t="inlineStr">
        <is>
          <t>Octubre</t>
        </is>
      </c>
      <c r="B418" s="17" t="n"/>
      <c r="C418" s="14" t="n"/>
      <c r="D418" s="27" t="n"/>
      <c r="E418" s="28" t="n"/>
      <c r="F418" s="15">
        <f>IF(OR(D402&lt;&gt;"",E402&lt;&gt;""),IF(D402="",0,D402)+IF(E402="",0,E402),"")</f>
        <v/>
      </c>
      <c r="G418" s="14" t="n"/>
    </row>
    <row r="419">
      <c r="A419" s="14" t="inlineStr">
        <is>
          <t>Octubre</t>
        </is>
      </c>
      <c r="B419" s="17" t="n"/>
      <c r="C419" s="14" t="n"/>
      <c r="D419" s="27" t="n"/>
      <c r="E419" s="28" t="n"/>
      <c r="F419" s="15">
        <f>IF(OR(D403&lt;&gt;"",E403&lt;&gt;""),IF(D403="",0,D403)+IF(E403="",0,E403),"")</f>
        <v/>
      </c>
      <c r="G419" s="14" t="n"/>
    </row>
    <row r="420">
      <c r="A420" s="14" t="inlineStr">
        <is>
          <t>Octubre</t>
        </is>
      </c>
      <c r="B420" s="17" t="n"/>
      <c r="C420" s="14" t="n"/>
      <c r="D420" s="27" t="n"/>
      <c r="E420" s="28" t="n"/>
      <c r="F420" s="15">
        <f>IF(OR(D404&lt;&gt;"",E404&lt;&gt;""),IF(D404="",0,D404)+IF(E404="",0,E404),"")</f>
        <v/>
      </c>
      <c r="G420" s="14" t="n"/>
    </row>
    <row r="421">
      <c r="A421" s="14" t="inlineStr">
        <is>
          <t>Octubre</t>
        </is>
      </c>
      <c r="B421" s="17" t="n"/>
      <c r="C421" s="14" t="n"/>
      <c r="D421" s="27" t="n"/>
      <c r="E421" s="28" t="n"/>
      <c r="F421" s="15">
        <f>IF(OR(D405&lt;&gt;"",E405&lt;&gt;""),IF(D405="",0,D405)+IF(E405="",0,E405),"")</f>
        <v/>
      </c>
      <c r="G421" s="14" t="n"/>
    </row>
    <row r="422">
      <c r="A422" s="14" t="inlineStr">
        <is>
          <t>Octubre</t>
        </is>
      </c>
      <c r="B422" s="17" t="n"/>
      <c r="C422" s="14" t="n"/>
      <c r="D422" s="27" t="n"/>
      <c r="E422" s="28" t="n"/>
      <c r="F422" s="15">
        <f>IF(OR(D406&lt;&gt;"",E406&lt;&gt;""),IF(D406="",0,D406)+IF(E406="",0,E406),"")</f>
        <v/>
      </c>
      <c r="G422" s="14" t="n"/>
    </row>
    <row r="423">
      <c r="A423" s="14" t="inlineStr">
        <is>
          <t>Octubre</t>
        </is>
      </c>
      <c r="B423" s="17" t="n"/>
      <c r="C423" s="14" t="n"/>
      <c r="D423" s="27" t="n"/>
      <c r="E423" s="28" t="n"/>
      <c r="F423" s="15">
        <f>IF(OR(D407&lt;&gt;"",E407&lt;&gt;""),IF(D407="",0,D407)+IF(E407="",0,E407),"")</f>
        <v/>
      </c>
      <c r="G423" s="14" t="n"/>
    </row>
    <row r="424">
      <c r="A424" s="14" t="inlineStr">
        <is>
          <t>Octubre</t>
        </is>
      </c>
      <c r="B424" s="17" t="n"/>
      <c r="C424" s="14" t="n"/>
      <c r="D424" s="27" t="n"/>
      <c r="E424" s="28" t="n"/>
      <c r="F424" s="15">
        <f>IF(OR(D408&lt;&gt;"",E408&lt;&gt;""),IF(D408="",0,D408)+IF(E408="",0,E408),"")</f>
        <v/>
      </c>
      <c r="G424" s="14" t="n"/>
    </row>
    <row r="425">
      <c r="A425" s="14" t="inlineStr">
        <is>
          <t>Octubre</t>
        </is>
      </c>
      <c r="B425" s="17" t="n"/>
      <c r="C425" s="14" t="n"/>
      <c r="D425" s="27" t="n"/>
      <c r="E425" s="28" t="n"/>
      <c r="F425" s="15">
        <f>IF(OR(D409&lt;&gt;"",E409&lt;&gt;""),IF(D409="",0,D409)+IF(E409="",0,E409),"")</f>
        <v/>
      </c>
      <c r="G425" s="14" t="n"/>
    </row>
    <row r="426">
      <c r="A426" s="14" t="inlineStr">
        <is>
          <t>Octubre</t>
        </is>
      </c>
      <c r="B426" s="17" t="n"/>
      <c r="C426" s="14" t="n"/>
      <c r="D426" s="27" t="n"/>
      <c r="E426" s="28" t="n"/>
      <c r="F426" s="15">
        <f>IF(OR(D410&lt;&gt;"",E410&lt;&gt;""),IF(D410="",0,D410)+IF(E410="",0,E410),"")</f>
        <v/>
      </c>
      <c r="G426" s="14" t="n"/>
    </row>
    <row r="427">
      <c r="A427" s="14" t="inlineStr">
        <is>
          <t>Octubre</t>
        </is>
      </c>
      <c r="B427" s="17" t="n"/>
      <c r="C427" s="14" t="n"/>
      <c r="D427" s="27" t="n"/>
      <c r="E427" s="28" t="n"/>
      <c r="F427" s="15">
        <f>IF(OR(D411&lt;&gt;"",E411&lt;&gt;""),IF(D411="",0,D411)+IF(E411="",0,E411),"")</f>
        <v/>
      </c>
      <c r="G427" s="14" t="n"/>
    </row>
    <row r="428">
      <c r="A428" s="14" t="inlineStr">
        <is>
          <t>Octubre</t>
        </is>
      </c>
      <c r="B428" s="17" t="n"/>
      <c r="C428" s="14" t="n"/>
      <c r="D428" s="27" t="n"/>
      <c r="E428" s="28" t="n"/>
      <c r="F428" s="15">
        <f>IF(OR(D412&lt;&gt;"",E412&lt;&gt;""),IF(D412="",0,D412)+IF(E412="",0,E412),"")</f>
        <v/>
      </c>
      <c r="G428" s="14" t="n"/>
    </row>
    <row r="429">
      <c r="A429" s="14" t="inlineStr">
        <is>
          <t>Octubre</t>
        </is>
      </c>
      <c r="B429" s="17" t="n"/>
      <c r="C429" s="14" t="n"/>
      <c r="D429" s="27" t="n"/>
      <c r="E429" s="28" t="n"/>
      <c r="F429" s="15">
        <f>IF(OR(D413&lt;&gt;"",E413&lt;&gt;""),IF(D413="",0,D413)+IF(E413="",0,E413),"")</f>
        <v/>
      </c>
      <c r="G429" s="14" t="n"/>
    </row>
    <row r="430">
      <c r="A430" s="14" t="inlineStr">
        <is>
          <t>Octubre</t>
        </is>
      </c>
      <c r="B430" s="17" t="n"/>
      <c r="C430" s="14" t="n"/>
      <c r="D430" s="27" t="n"/>
      <c r="E430" s="28" t="n"/>
      <c r="F430" s="15">
        <f>IF(OR(D414&lt;&gt;"",E414&lt;&gt;""),IF(D414="",0,D414)+IF(E414="",0,E414),"")</f>
        <v/>
      </c>
      <c r="G430" s="14" t="n"/>
    </row>
    <row r="431">
      <c r="A431" s="14" t="inlineStr">
        <is>
          <t>Octubre</t>
        </is>
      </c>
      <c r="B431" s="17" t="n"/>
      <c r="C431" s="14" t="n"/>
      <c r="D431" s="27" t="n"/>
      <c r="E431" s="28" t="n"/>
      <c r="F431" s="15">
        <f>IF(OR(D415&lt;&gt;"",E415&lt;&gt;""),IF(D415="",0,D415)+IF(E415="",0,E415),"")</f>
        <v/>
      </c>
      <c r="G431" s="14" t="n"/>
    </row>
    <row r="432">
      <c r="A432" s="14" t="inlineStr">
        <is>
          <t>Octubre</t>
        </is>
      </c>
      <c r="B432" s="17" t="n"/>
      <c r="C432" s="14" t="n"/>
      <c r="D432" s="27" t="n"/>
      <c r="E432" s="28" t="n"/>
      <c r="F432" s="15">
        <f>IF(OR(D416&lt;&gt;"",E416&lt;&gt;""),IF(D416="",0,D416)+IF(E416="",0,E416),"")</f>
        <v/>
      </c>
      <c r="G432" s="14" t="n"/>
    </row>
    <row r="433">
      <c r="A433" s="14" t="inlineStr">
        <is>
          <t>Octubre</t>
        </is>
      </c>
      <c r="B433" s="17" t="n"/>
      <c r="C433" s="14" t="n"/>
      <c r="D433" s="27" t="n"/>
      <c r="E433" s="28" t="n"/>
      <c r="F433" s="15">
        <f>IF(OR(D417&lt;&gt;"",E417&lt;&gt;""),IF(D417="",0,D417)+IF(E417="",0,E417),"")</f>
        <v/>
      </c>
      <c r="G433" s="14" t="n"/>
    </row>
    <row r="434">
      <c r="A434" s="14" t="inlineStr">
        <is>
          <t>Octubre</t>
        </is>
      </c>
      <c r="B434" s="17" t="n"/>
      <c r="C434" s="14" t="n"/>
      <c r="D434" s="27" t="n"/>
      <c r="E434" s="28" t="n"/>
      <c r="F434" s="15">
        <f>IF(OR(D418&lt;&gt;"",E418&lt;&gt;""),IF(D418="",0,D418)+IF(E418="",0,E418),"")</f>
        <v/>
      </c>
      <c r="G434" s="14" t="n"/>
    </row>
    <row r="435">
      <c r="A435" s="14" t="inlineStr">
        <is>
          <t>Octubre</t>
        </is>
      </c>
      <c r="B435" s="17" t="n"/>
      <c r="C435" s="14" t="n"/>
      <c r="D435" s="27" t="n"/>
      <c r="E435" s="28" t="n"/>
      <c r="F435" s="15">
        <f>IF(OR(D419&lt;&gt;"",E419&lt;&gt;""),IF(D419="",0,D419)+IF(E419="",0,E419),"")</f>
        <v/>
      </c>
      <c r="G435" s="14" t="n"/>
    </row>
    <row r="436">
      <c r="A436" s="14" t="inlineStr">
        <is>
          <t>Octubre</t>
        </is>
      </c>
      <c r="B436" s="17" t="n"/>
      <c r="C436" s="14" t="n"/>
      <c r="D436" s="27" t="n"/>
      <c r="E436" s="28" t="n"/>
      <c r="F436" s="15">
        <f>IF(OR(D420&lt;&gt;"",E420&lt;&gt;""),IF(D420="",0,D420)+IF(E420="",0,E420),"")</f>
        <v/>
      </c>
      <c r="G436" s="14" t="n"/>
    </row>
    <row r="437">
      <c r="A437" s="14" t="inlineStr">
        <is>
          <t>Octubre</t>
        </is>
      </c>
      <c r="B437" s="17" t="n"/>
      <c r="C437" s="14" t="n"/>
      <c r="D437" s="27" t="n"/>
      <c r="E437" s="28" t="n"/>
      <c r="F437" s="15">
        <f>IF(OR(D421&lt;&gt;"",E421&lt;&gt;""),IF(D421="",0,D421)+IF(E421="",0,E421),"")</f>
        <v/>
      </c>
      <c r="G437" s="14" t="n"/>
    </row>
    <row r="438">
      <c r="A438" s="10" t="inlineStr">
        <is>
          <t>TOTAL OCTUBRE</t>
        </is>
      </c>
      <c r="B438" s="22" t="n"/>
      <c r="C438" s="29" t="inlineStr">
        <is>
          <t>Totales mes →</t>
        </is>
      </c>
      <c r="D438" s="7">
        <f>SUMIFS($D$4:$D$600,$A$4:$A$600,"Octubre")</f>
        <v/>
      </c>
      <c r="E438" s="7">
        <f>SUMIFS($E$4:$E$600,$A$4:$A$600,"Octubre")</f>
        <v/>
      </c>
      <c r="F438" s="7">
        <f>D438+E438</f>
        <v/>
      </c>
      <c r="G438" s="22" t="n"/>
    </row>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SUMIFS($D$4:$D$600,$A$4:$A$600,"Noviembre")</f>
        <v/>
      </c>
      <c r="E480" s="7">
        <f>SUMIFS($E$4:$E$600,$A$4:$A$600,"Noviembre")</f>
        <v/>
      </c>
      <c r="F480" s="7">
        <f>D480+E480</f>
        <v/>
      </c>
      <c r="G480" s="22" t="n"/>
    </row>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SUMIFS($D$4:$D$600,$A$4:$A$600,"Diciembre")</f>
        <v/>
      </c>
      <c r="E522" s="7">
        <f>SUMIFS($E$4:$E$600,$A$4:$A$600,"Diciembre")</f>
        <v/>
      </c>
      <c r="F522" s="7">
        <f>D522+E522</f>
        <v/>
      </c>
      <c r="G522" s="22" t="n"/>
    </row>
    <row r="523">
      <c r="A523" t="inlineStr">
        <is>
          <t>Enero</t>
        </is>
      </c>
      <c r="B523" s="54" t="n">
        <v>46034</v>
      </c>
      <c r="C523" t="inlineStr">
        <is>
          <t>SUPERMERCADO · Coto</t>
        </is>
      </c>
      <c r="D523" t="n">
        <v>337644</v>
      </c>
      <c r="F523">
        <f>IF(OR(D523&lt;&gt;"",E523&lt;&gt;""),IF(D523="",0,D523)+IF(E523="",0,E523),"")</f>
        <v/>
      </c>
      <c r="G523" t="inlineStr">
        <is>
          <t>SUPERMERCADO · Coto · TC Mercado Pago · compra 2025-12-22</t>
        </is>
      </c>
    </row>
    <row r="524">
      <c r="A524" t="inlineStr">
        <is>
          <t>Enero</t>
        </is>
      </c>
      <c r="B524" s="54" t="n">
        <v>46034</v>
      </c>
      <c r="C524" t="inlineStr">
        <is>
          <t>SUPERMERCADO · Coto</t>
        </is>
      </c>
      <c r="D524" t="n">
        <v>-49597</v>
      </c>
      <c r="F524">
        <f>IF(OR(D524&lt;&gt;"",E524&lt;&gt;""),IF(D524="",0,D524)+IF(E524="",0,E524),"")</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4"/>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Julio 2026</t>
        </is>
      </c>
      <c r="D34" s="15" t="n">
        <v>273500</v>
      </c>
      <c r="E34" s="14" t="inlineStr">
        <is>
          <t>Transferencia</t>
        </is>
      </c>
      <c r="F34" s="18" t="inlineStr"/>
      <c r="G34" s="18" t="inlineStr"/>
      <c r="H34" s="14" t="inlineStr">
        <is>
          <t>Consorcio de Propietarios · Pagado</t>
        </is>
      </c>
      <c r="I34" s="14" t="inlineStr">
        <is>
          <t>Julio</t>
        </is>
      </c>
    </row>
    <row r="35">
      <c r="A35" s="17" t="n">
        <v>46235</v>
      </c>
      <c r="B35" s="14" t="inlineStr">
        <is>
          <t>Telecentro</t>
        </is>
      </c>
      <c r="C35" s="14" t="inlineStr">
        <is>
          <t>Telecentro CIUDAD — servicio mensual 08/2026</t>
        </is>
      </c>
      <c r="D35" s="15" t="n">
        <v>50000</v>
      </c>
      <c r="E35" s="14" t="inlineStr"/>
      <c r="F35" s="18" t="inlineStr"/>
      <c r="G35" s="18" t="inlineStr"/>
      <c r="H35" s="14" t="inlineStr">
        <is>
          <t>Recurrente $50.000/mes hasta nuevo aviso</t>
        </is>
      </c>
      <c r="I35" s="14" t="inlineStr">
        <is>
          <t>Agosto</t>
        </is>
      </c>
    </row>
    <row r="36">
      <c r="A36" s="17" t="n">
        <v>46266</v>
      </c>
      <c r="B36" s="14" t="inlineStr">
        <is>
          <t>Telecentro</t>
        </is>
      </c>
      <c r="C36" s="14" t="inlineStr">
        <is>
          <t>Telecentro CIUDAD — servicio mensual 09/2026</t>
        </is>
      </c>
      <c r="D36" s="15" t="n">
        <v>50000</v>
      </c>
      <c r="E36" s="14" t="inlineStr"/>
      <c r="F36" s="18" t="inlineStr"/>
      <c r="G36" s="18" t="inlineStr"/>
      <c r="H36" s="14" t="inlineStr">
        <is>
          <t>Recurrente $50.000/mes hasta nuevo aviso</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row r="74">
      <c r="A74" s="53" t="n">
        <v>46239</v>
      </c>
      <c r="B74" s="14" t="inlineStr">
        <is>
          <t>Metrogas</t>
        </is>
      </c>
      <c r="C74" s="14" t="inlineStr">
        <is>
          <t>Metrogas CIUDAD · cobro Visa *3200 05/08/2026 · mes julio (período usuario)</t>
        </is>
      </c>
      <c r="D74" s="15" t="n">
        <v>73695</v>
      </c>
      <c r="E74" s="14" t="inlineStr">
        <is>
          <t>BBVA Visa *3200 · METROGAS SA DEB AU</t>
        </is>
      </c>
      <c r="F74" s="18" t="inlineStr">
        <is>
          <t>30010996459</t>
        </is>
      </c>
      <c r="G74" s="18" t="inlineStr">
        <is>
          <t>40049923</t>
        </is>
      </c>
      <c r="H74" s="14" t="inlineStr">
        <is>
          <t>ceil $73.694,19 · aviso 05/08/2026 · asignado a julio</t>
        </is>
      </c>
      <c r="I74" s="14" t="inlineStr">
        <is>
          <t>Julio</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c r="B33" s="14" t="n"/>
      <c r="C33" s="14" t="n"/>
      <c r="D33" s="15" t="n"/>
      <c r="E33" s="14" t="n"/>
      <c r="F33" s="14" t="n"/>
    </row>
    <row r="34">
      <c r="A34" s="17" t="n"/>
      <c r="B34" s="14" t="n"/>
      <c r="C34" s="14" t="n"/>
      <c r="D34" s="15" t="n"/>
      <c r="E34" s="14" t="n"/>
      <c r="F34" s="14" t="n"/>
    </row>
    <row r="35">
      <c r="A35" s="17" t="n"/>
      <c r="B35" s="14" t="n"/>
      <c r="C35" s="14" t="n"/>
      <c r="D35" s="15" t="n"/>
      <c r="E35" s="14" t="n"/>
      <c r="F35" s="14" t="n"/>
    </row>
    <row r="36">
      <c r="A36" s="17" t="n"/>
      <c r="B36" s="14" t="n"/>
      <c r="C36" s="14" t="n"/>
      <c r="D36" s="15" t="n"/>
      <c r="E36" s="14" t="n"/>
      <c r="F36" s="14" t="n"/>
    </row>
    <row r="37">
      <c r="A37" s="17" t="n"/>
      <c r="B37" s="14" t="n"/>
      <c r="C37" s="14" t="n"/>
      <c r="D37" s="15" t="n"/>
      <c r="E37" s="14" t="n"/>
      <c r="F37" s="14" t="n"/>
    </row>
    <row r="38">
      <c r="A38" s="17" t="n"/>
      <c r="B38" s="14" t="n"/>
      <c r="C38" s="14" t="n"/>
      <c r="D38" s="15" t="n"/>
      <c r="E38" s="14" t="n"/>
      <c r="F38" s="14" t="n"/>
    </row>
    <row r="39">
      <c r="A39" s="17" t="n"/>
      <c r="B39" s="14" t="n"/>
      <c r="C39" s="14" t="n"/>
      <c r="D39" s="15" t="n"/>
      <c r="E39" s="14" t="n"/>
      <c r="F39" s="14" t="n"/>
    </row>
    <row r="40">
      <c r="A40" s="17" t="n"/>
      <c r="B40" s="14" t="n"/>
      <c r="C40" s="14" t="n"/>
      <c r="D40" s="15" t="n"/>
      <c r="E40" s="14" t="n"/>
      <c r="F40" s="14" t="n"/>
    </row>
    <row r="41">
      <c r="A41" s="17" t="n"/>
      <c r="B41" s="14" t="n"/>
      <c r="C41" s="14" t="n"/>
      <c r="D41" s="15" t="n"/>
      <c r="E41" s="14" t="n"/>
      <c r="F41" s="14" t="n"/>
    </row>
    <row r="42">
      <c r="A42" s="17" t="n"/>
      <c r="B42" s="14" t="n"/>
      <c r="C42" s="14" t="n"/>
      <c r="D42" s="15" t="n"/>
      <c r="E42" s="14" t="n"/>
      <c r="F42" s="14" t="n"/>
    </row>
    <row r="43">
      <c r="A43" s="17" t="n"/>
      <c r="B43" s="14" t="n"/>
      <c r="C43" s="14" t="n"/>
      <c r="D43" s="15" t="n"/>
      <c r="E43" s="14" t="n"/>
      <c r="F43" s="14" t="n"/>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1"/>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c r="B26" s="14" t="n"/>
      <c r="C26" s="14" t="n"/>
      <c r="D26" s="14" t="n"/>
      <c r="E26" s="14" t="n"/>
      <c r="F26" s="15" t="n"/>
      <c r="G26" s="14" t="n"/>
      <c r="H26" s="17" t="n"/>
      <c r="I26" s="37" t="n"/>
      <c r="J26" s="14" t="n"/>
    </row>
    <row r="27">
      <c r="A27" s="17" t="n"/>
      <c r="B27" s="14" t="n"/>
      <c r="C27" s="14" t="n"/>
      <c r="D27" s="14" t="n"/>
      <c r="E27" s="14" t="n"/>
      <c r="F27" s="15" t="n"/>
      <c r="G27" s="14" t="n"/>
      <c r="H27" s="17" t="n"/>
      <c r="I27" s="37" t="n"/>
      <c r="J27" s="14" t="n"/>
    </row>
    <row r="28">
      <c r="A28" s="17" t="n"/>
      <c r="B28" s="14" t="n"/>
      <c r="C28" s="14" t="n"/>
      <c r="D28" s="14" t="n"/>
      <c r="E28" s="14" t="n"/>
      <c r="F28" s="15" t="n"/>
      <c r="G28" s="14" t="n"/>
      <c r="H28" s="17" t="n"/>
      <c r="I28" s="37" t="n"/>
      <c r="J28" s="14" t="n"/>
    </row>
    <row r="29">
      <c r="A29" s="17" t="n"/>
      <c r="B29" s="14" t="n"/>
      <c r="C29" s="14" t="n"/>
      <c r="D29" s="14" t="n"/>
      <c r="E29" s="14" t="n"/>
      <c r="F29" s="15" t="n"/>
      <c r="G29" s="14" t="n"/>
      <c r="H29" s="17" t="n"/>
      <c r="I29" s="37" t="n"/>
      <c r="J29" s="14" t="n"/>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SUMIF($B$23:$B$52,A6,$D$23:$D$52)</f>
        <v/>
      </c>
    </row>
    <row r="7">
      <c r="A7" s="14" t="inlineStr">
        <is>
          <t>Febrero</t>
        </is>
      </c>
      <c r="B7" s="15">
        <f>SUMIF($B$23:$B$52,A7,$D$23:$D$52)</f>
        <v/>
      </c>
    </row>
    <row r="8">
      <c r="A8" s="14" t="inlineStr">
        <is>
          <t>Marzo</t>
        </is>
      </c>
      <c r="B8" s="15">
        <f>SUMIF($B$23:$B$52,A8,$D$23:$D$52)</f>
        <v/>
      </c>
    </row>
    <row r="9">
      <c r="A9" s="14" t="inlineStr">
        <is>
          <t>Abril</t>
        </is>
      </c>
      <c r="B9" s="15">
        <f>SUMIF($B$23:$B$52,A9,$D$23:$D$52)</f>
        <v/>
      </c>
    </row>
    <row r="10">
      <c r="A10" s="14" t="inlineStr">
        <is>
          <t>Mayo</t>
        </is>
      </c>
      <c r="B10" s="15">
        <f>SUMIF($B$23:$B$52,A10,$D$23:$D$52)</f>
        <v/>
      </c>
    </row>
    <row r="11">
      <c r="A11" s="14" t="inlineStr">
        <is>
          <t>Junio</t>
        </is>
      </c>
      <c r="B11" s="15">
        <f>SUMIF($B$23:$B$52,A11,$D$23:$D$52)</f>
        <v/>
      </c>
    </row>
    <row r="12">
      <c r="A12" s="14" t="inlineStr">
        <is>
          <t>Julio</t>
        </is>
      </c>
      <c r="B12" s="15">
        <f>SUMIF($B$23:$B$52,A12,$D$23:$D$52)</f>
        <v/>
      </c>
    </row>
    <row r="13">
      <c r="A13" s="14" t="inlineStr">
        <is>
          <t>Agosto</t>
        </is>
      </c>
      <c r="B13" s="15">
        <f>SUMIF($B$23:$B$52,A13,$D$23:$D$52)</f>
        <v/>
      </c>
    </row>
    <row r="14">
      <c r="A14" s="14" t="inlineStr">
        <is>
          <t>Septiembre</t>
        </is>
      </c>
      <c r="B14" s="15">
        <f>SUMIF($B$23:$B$52,A14,$D$23:$D$52)</f>
        <v/>
      </c>
    </row>
    <row r="15">
      <c r="A15" s="14" t="inlineStr">
        <is>
          <t>Octubre</t>
        </is>
      </c>
      <c r="B15" s="15">
        <f>SUMIF($B$23:$B$52,A15,$D$23:$D$52)</f>
        <v/>
      </c>
    </row>
    <row r="16">
      <c r="A16" s="14" t="inlineStr">
        <is>
          <t>Noviembre</t>
        </is>
      </c>
      <c r="B16" s="15">
        <f>SUMIF($B$23:$B$52,A16,$D$23:$D$52)</f>
        <v/>
      </c>
    </row>
    <row r="17">
      <c r="A17" s="14" t="inlineStr">
        <is>
          <t>Diciembre</t>
        </is>
      </c>
      <c r="B17" s="15">
        <f>SUMIF($B$23:$B$52,A17,$D$23:$D$52)</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c r="B44" s="14" t="n"/>
      <c r="C44" s="14" t="n"/>
      <c r="D44" s="14" t="n"/>
      <c r="E44" s="15" t="n"/>
      <c r="F44" s="14" t="n"/>
      <c r="G44" s="14" t="n"/>
    </row>
    <row r="45">
      <c r="A45" s="17" t="n"/>
      <c r="B45" s="14" t="n"/>
      <c r="C45" s="14" t="n"/>
      <c r="D45" s="14" t="n"/>
      <c r="E45" s="15" t="n"/>
      <c r="F45" s="14" t="n"/>
      <c r="G45" s="14" t="n"/>
    </row>
    <row r="46">
      <c r="A46" s="17" t="n"/>
      <c r="B46" s="14" t="n"/>
      <c r="C46" s="14" t="n"/>
      <c r="D46" s="14" t="n"/>
      <c r="E46" s="15" t="n"/>
      <c r="F46" s="14" t="n"/>
      <c r="G46" s="14" t="n"/>
    </row>
    <row r="47">
      <c r="A47" s="17" t="n"/>
      <c r="B47" s="14" t="n"/>
      <c r="C47" s="14" t="n"/>
      <c r="D47" s="14" t="n"/>
      <c r="E47" s="15" t="n"/>
      <c r="F47" s="14" t="n"/>
      <c r="G47" s="14" t="n"/>
    </row>
    <row r="48">
      <c r="A48" s="17" t="n"/>
      <c r="B48" s="14" t="n"/>
      <c r="C48" s="14" t="n"/>
      <c r="D48" s="14" t="n"/>
      <c r="E48" s="15" t="n"/>
      <c r="F48" s="14" t="n"/>
      <c r="G48" s="14" t="n"/>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28"/>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D342" t="n">
        <v>28593</v>
      </c>
      <c r="E342" t="inlineStr">
        <is>
          <t>BBVA Mastercard · USD</t>
        </is>
      </c>
      <c r="F342" t="inlineStr">
        <is>
          <t>SUSCRIPCIONES · IA · Vercel · gasto personal Sol · USD 20.00 × TC MEP 1429.65 · suscripción · gasto personal Sol</t>
        </is>
      </c>
    </row>
    <row r="343">
      <c r="A343" s="54" t="n">
        <v>46163</v>
      </c>
      <c r="B343" t="inlineStr">
        <is>
          <t>Mayo</t>
        </is>
      </c>
      <c r="C343" t="inlineStr">
        <is>
          <t>SUSCRIPCIONES · IA</t>
        </is>
      </c>
      <c r="D343" t="n">
        <v>42890</v>
      </c>
      <c r="E343" t="inlineStr">
        <is>
          <t>BBVA Mastercard · USD</t>
        </is>
      </c>
      <c r="F343" t="inlineStr">
        <is>
          <t>SUSCRIPCIONES · IA · Vercel · gasto personal Sol · USD 30.00 × TC MEP 1429.65 · suscripción · gasto personal Sol</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D348" t="n">
        <v>43740</v>
      </c>
      <c r="E348" t="inlineStr">
        <is>
          <t>BBVA Mastercard · USD</t>
        </is>
      </c>
      <c r="F348" t="inlineStr">
        <is>
          <t>SUSCRIPCIONES · IA · Vercel · gasto personal Sol · USD 30.00 × TC MEP 1458.0 · suscripción · gasto personal Sol</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D352" t="n">
        <v>30110</v>
      </c>
      <c r="E352" t="inlineStr">
        <is>
          <t>BBVA Mastercard · USD</t>
        </is>
      </c>
      <c r="F352" t="inlineStr">
        <is>
          <t>SUSCRIPCIONES · IA · Google One / Gemini · gasto personal Sol · USD 19.99 × TC MEP 1506.21 · Gemini Advanced / Google One · gasto personal Sol</t>
        </is>
      </c>
    </row>
    <row r="353">
      <c r="A353" s="54" t="n">
        <v>46060</v>
      </c>
      <c r="B353" t="inlineStr">
        <is>
          <t>Febrero</t>
        </is>
      </c>
      <c r="C353" t="inlineStr">
        <is>
          <t>SUSCRIPCIONES · IA</t>
        </is>
      </c>
      <c r="D353" t="n">
        <v>29193</v>
      </c>
      <c r="E353" t="inlineStr">
        <is>
          <t>BBVA Mastercard · USD</t>
        </is>
      </c>
      <c r="F353" t="inlineStr">
        <is>
          <t>SUSCRIPCIONES · IA · Google One / Gemini · gasto personal Sol · USD 19.99 × TC MEP 1460.38 · Gemini Advanced / Google One · gasto personal Sol</t>
        </is>
      </c>
    </row>
    <row r="354">
      <c r="A354" s="54" t="n">
        <v>46088</v>
      </c>
      <c r="B354" t="inlineStr">
        <is>
          <t>Marzo</t>
        </is>
      </c>
      <c r="C354" t="inlineStr">
        <is>
          <t>SUSCRIPCIONES · IA</t>
        </is>
      </c>
      <c r="D354" t="n">
        <v>28668</v>
      </c>
      <c r="E354" t="inlineStr">
        <is>
          <t>BBVA Mastercard · USD</t>
        </is>
      </c>
      <c r="F354" t="inlineStr">
        <is>
          <t>SUSCRIPCIONES · IA · Google One / Gemini · gasto personal Sol · USD 19.99 × TC MEP 1434.11 · Gemini Advanced / Google One · gasto personal Sol</t>
        </is>
      </c>
    </row>
    <row r="355">
      <c r="A355" s="54" t="n">
        <v>46119</v>
      </c>
      <c r="B355" t="inlineStr">
        <is>
          <t>Abril</t>
        </is>
      </c>
      <c r="C355" t="inlineStr">
        <is>
          <t>SUSCRIPCIONES · IA</t>
        </is>
      </c>
      <c r="D355" t="n">
        <v>28667</v>
      </c>
      <c r="E355" t="inlineStr">
        <is>
          <t>BBVA Mastercard · USD</t>
        </is>
      </c>
      <c r="F355" t="inlineStr">
        <is>
          <t>SUSCRIPCIONES · IA · Google One / Gemini · gasto personal Sol · USD 19.99 × TC MEP 1434.04 · Gemini Advanced / Google One · gasto personal Sol</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v>29208</v>
      </c>
      <c r="E773" s="34" t="inlineStr">
        <is>
          <t>BBVA</t>
        </is>
      </c>
      <c r="F773" s="34" t="inlineStr">
        <is>
          <t>SUSCRIPCIONES · IA · ChatGPT / OpenAI · gasto personal Sol</t>
        </is>
      </c>
    </row>
    <row r="774">
      <c r="A774" s="62" t="n">
        <v>46081</v>
      </c>
      <c r="B774" s="34" t="inlineStr">
        <is>
          <t>Febrero</t>
        </is>
      </c>
      <c r="C774" s="34" t="inlineStr">
        <is>
          <t>SUSCRIPCIONES · IA</t>
        </is>
      </c>
      <c r="D774" s="34" t="n">
        <v>29208</v>
      </c>
      <c r="E774" s="34" t="inlineStr">
        <is>
          <t>BBVA</t>
        </is>
      </c>
      <c r="F774" s="34" t="inlineStr">
        <is>
          <t>SUSCRIPCIONES · IA · ChatGPT / OpenAI · gasto personal Sol</t>
        </is>
      </c>
    </row>
    <row r="775">
      <c r="A775" s="62" t="n">
        <v>46117</v>
      </c>
      <c r="B775" s="34" t="inlineStr">
        <is>
          <t>Abril</t>
        </is>
      </c>
      <c r="C775" s="34" t="inlineStr">
        <is>
          <t>SUSCRIPCIONES · IA</t>
        </is>
      </c>
      <c r="D775" s="34" t="n">
        <v>28681</v>
      </c>
      <c r="E775" s="34" t="inlineStr">
        <is>
          <t>BBVA</t>
        </is>
      </c>
      <c r="F775" s="34" t="inlineStr">
        <is>
          <t>SUSCRIPCIONES · IA · ChatGPT / OpenAI · gasto personal Sol</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v>29</v>
      </c>
      <c r="E825" s="34" t="inlineStr">
        <is>
          <t>BBVA MASTERCARD</t>
        </is>
      </c>
      <c r="F825" s="34" t="inlineStr">
        <is>
          <t>SUSCRIPCIONES · IA · metricscheck.com · REVISAR · metricscheck.com · posible cargo prueba USD · gasto personal Sol</t>
        </is>
      </c>
    </row>
    <row r="826">
      <c r="A826" s="62" t="n">
        <v>46124</v>
      </c>
      <c r="B826" s="34" t="inlineStr">
        <is>
          <t>Abril</t>
        </is>
      </c>
      <c r="C826" s="34" t="inlineStr">
        <is>
          <t>SUSCRIPCIONES · IA</t>
        </is>
      </c>
      <c r="D826" s="34" t="n">
        <v>1</v>
      </c>
      <c r="E826" s="34" t="inlineStr">
        <is>
          <t>BBVA MASTERCARD</t>
        </is>
      </c>
      <c r="F826" s="34" t="inlineStr">
        <is>
          <t>SUSCRIPCIONES · IA · metricscheck.com · REVISAR · metricscheck.com · posible cargo prueba USD · gasto personal Sol</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46239</v>
      </c>
      <c r="C252" t="inlineStr">
        <is>
          <t>AVA Palpa · cuota 10 · pendiente factura</t>
        </is>
      </c>
      <c r="D252" t="inlineStr">
        <is>
          <t>AVA FIDEICOMISO</t>
        </is>
      </c>
      <c r="E252" t="n">
        <v>10</v>
      </c>
      <c r="F252" t="n">
        <v>32</v>
      </c>
      <c r="H252" t="inlineStr">
        <is>
          <t>Agosto 2026</t>
        </is>
      </c>
      <c r="I252" t="inlineStr">
        <is>
          <t>2026-08</t>
        </is>
      </c>
      <c r="J252" t="inlineStr">
        <is>
          <t>PENDIENTE</t>
        </is>
      </c>
      <c r="K252" t="inlineStr">
        <is>
          <t>Compromiso AVA · monto a confirmar · 50% Sol / 50% Chris</t>
        </is>
      </c>
      <c r="L252" t="inlineStr">
        <is>
          <t>Sol 50% (TBD)</t>
        </is>
      </c>
    </row>
    <row r="253">
      <c r="A253" t="inlineStr">
        <is>
          <t>AVA Fideicomiso</t>
        </is>
      </c>
      <c r="B253" s="52" t="n">
        <v>46270</v>
      </c>
      <c r="C253" t="inlineStr">
        <is>
          <t>AVA Palpa · cuota 11 · pendiente factura</t>
        </is>
      </c>
      <c r="D253" t="inlineStr">
        <is>
          <t>AVA FIDEICOMISO</t>
        </is>
      </c>
      <c r="E253" t="n">
        <v>11</v>
      </c>
      <c r="F253" t="n">
        <v>32</v>
      </c>
      <c r="H253" t="inlineStr">
        <is>
          <t>Septiembre 2026</t>
        </is>
      </c>
      <c r="I253" t="inlineStr">
        <is>
          <t>2026-09</t>
        </is>
      </c>
      <c r="J253" t="inlineStr">
        <is>
          <t>PENDIENTE</t>
        </is>
      </c>
      <c r="K253" t="inlineStr">
        <is>
          <t>Compromiso AVA · monto a confirmar · 50% Sol / 50% Chris</t>
        </is>
      </c>
      <c r="L253" t="inlineStr">
        <is>
          <t>Sol 50% (TBD)</t>
        </is>
      </c>
    </row>
    <row r="254">
      <c r="A254" t="inlineStr">
        <is>
          <t>AVA Fideicomiso</t>
        </is>
      </c>
      <c r="B254" s="52" t="n">
        <v>46300</v>
      </c>
      <c r="C254" t="inlineStr">
        <is>
          <t>AVA Palpa · cuota 12 · pendiente factura</t>
        </is>
      </c>
      <c r="D254" t="inlineStr">
        <is>
          <t>AVA FIDEICOMISO</t>
        </is>
      </c>
      <c r="E254" t="n">
        <v>12</v>
      </c>
      <c r="F254" t="n">
        <v>32</v>
      </c>
      <c r="H254" t="inlineStr">
        <is>
          <t>Octubre 2026</t>
        </is>
      </c>
      <c r="I254" t="inlineStr">
        <is>
          <t>2026-10</t>
        </is>
      </c>
      <c r="J254" t="inlineStr">
        <is>
          <t>PENDIENTE</t>
        </is>
      </c>
      <c r="K254" t="inlineStr">
        <is>
          <t>Compromiso AVA · monto a confirmar · 50% Sol / 50% Chris</t>
        </is>
      </c>
      <c r="L254" t="inlineStr">
        <is>
          <t>Sol 50% (TBD)</t>
        </is>
      </c>
    </row>
    <row r="255">
      <c r="A255" t="inlineStr">
        <is>
          <t>AVA Fideicomiso</t>
        </is>
      </c>
      <c r="B255" s="52" t="n">
        <v>46331</v>
      </c>
      <c r="C255" t="inlineStr">
        <is>
          <t>AVA Palpa · cuota 13 · pendiente factura</t>
        </is>
      </c>
      <c r="D255" t="inlineStr">
        <is>
          <t>AVA FIDEICOMISO</t>
        </is>
      </c>
      <c r="E255" t="n">
        <v>13</v>
      </c>
      <c r="F255" t="n">
        <v>32</v>
      </c>
      <c r="H255" t="inlineStr">
        <is>
          <t>Noviembre 2026</t>
        </is>
      </c>
      <c r="I255" t="inlineStr">
        <is>
          <t>2026-11</t>
        </is>
      </c>
      <c r="J255" t="inlineStr">
        <is>
          <t>PENDIENTE</t>
        </is>
      </c>
      <c r="K255" t="inlineStr">
        <is>
          <t>Compromiso AVA · monto a confirmar · 50% Sol / 50% Chris</t>
        </is>
      </c>
      <c r="L255" t="inlineStr">
        <is>
          <t>Sol 50% (TBD)</t>
        </is>
      </c>
    </row>
    <row r="256">
      <c r="A256" t="inlineStr">
        <is>
          <t>AVA Fideicomiso</t>
        </is>
      </c>
      <c r="B256" s="52" t="n">
        <v>46361</v>
      </c>
      <c r="C256" t="inlineStr">
        <is>
          <t>AVA Palpa · cuota 14 · pendiente factura</t>
        </is>
      </c>
      <c r="D256" t="inlineStr">
        <is>
          <t>AVA FIDEICOMISO</t>
        </is>
      </c>
      <c r="E256" t="n">
        <v>14</v>
      </c>
      <c r="F256" t="n">
        <v>32</v>
      </c>
      <c r="H256" t="inlineStr">
        <is>
          <t>Diciembre 2026</t>
        </is>
      </c>
      <c r="I256" t="inlineStr">
        <is>
          <t>2026-12</t>
        </is>
      </c>
      <c r="J256" t="inlineStr">
        <is>
          <t>PENDIENTE</t>
        </is>
      </c>
      <c r="K256" t="inlineStr">
        <is>
          <t>Compromiso AVA · monto a confirmar · 50% Sol / 50% Chris</t>
        </is>
      </c>
      <c r="L256" t="inlineStr">
        <is>
          <t>Sol 50% (TBD)</t>
        </is>
      </c>
    </row>
    <row r="257">
      <c r="A257" t="inlineStr">
        <is>
          <t>AVA Fideicomiso</t>
        </is>
      </c>
      <c r="B257" s="52" t="n">
        <v>46392</v>
      </c>
      <c r="C257" t="inlineStr">
        <is>
          <t>AVA Palpa · cuota 15 · pendiente factura</t>
        </is>
      </c>
      <c r="D257" t="inlineStr">
        <is>
          <t>AVA FIDEICOMISO</t>
        </is>
      </c>
      <c r="E257" t="n">
        <v>15</v>
      </c>
      <c r="F257" t="n">
        <v>32</v>
      </c>
      <c r="H257" t="inlineStr">
        <is>
          <t>Enero 2027</t>
        </is>
      </c>
      <c r="I257" t="inlineStr">
        <is>
          <t>2027-01</t>
        </is>
      </c>
      <c r="J257" t="inlineStr">
        <is>
          <t>PENDIENTE</t>
        </is>
      </c>
      <c r="K257" t="inlineStr">
        <is>
          <t>Compromiso AVA · monto a confirmar · 50% Sol / 50% Chris</t>
        </is>
      </c>
      <c r="L257" t="inlineStr">
        <is>
          <t>Sol 50% (TBD)</t>
        </is>
      </c>
    </row>
    <row r="258">
      <c r="A258" t="inlineStr">
        <is>
          <t>AVA Fideicomiso</t>
        </is>
      </c>
      <c r="B258" s="52" t="n">
        <v>46423</v>
      </c>
      <c r="C258" t="inlineStr">
        <is>
          <t>AVA Palpa · cuota 16 · pendiente factura</t>
        </is>
      </c>
      <c r="D258" t="inlineStr">
        <is>
          <t>AVA FIDEICOMISO</t>
        </is>
      </c>
      <c r="E258" t="n">
        <v>16</v>
      </c>
      <c r="F258" t="n">
        <v>32</v>
      </c>
      <c r="H258" t="inlineStr">
        <is>
          <t>Febrero 2027</t>
        </is>
      </c>
      <c r="I258" t="inlineStr">
        <is>
          <t>2027-02</t>
        </is>
      </c>
      <c r="J258" t="inlineStr">
        <is>
          <t>PENDIENTE</t>
        </is>
      </c>
      <c r="K258" t="inlineStr">
        <is>
          <t>Compromiso AVA · monto a confirmar · 50% Sol / 50% Chris</t>
        </is>
      </c>
      <c r="L258" t="inlineStr">
        <is>
          <t>Sol 50% (TBD)</t>
        </is>
      </c>
    </row>
    <row r="259">
      <c r="A259" t="inlineStr">
        <is>
          <t>AVA Fideicomiso</t>
        </is>
      </c>
      <c r="B259" s="52" t="n">
        <v>46451</v>
      </c>
      <c r="C259" t="inlineStr">
        <is>
          <t>AVA Palpa · cuota 17 · pendiente factura</t>
        </is>
      </c>
      <c r="D259" t="inlineStr">
        <is>
          <t>AVA FIDEICOMISO</t>
        </is>
      </c>
      <c r="E259" t="n">
        <v>17</v>
      </c>
      <c r="F259" t="n">
        <v>32</v>
      </c>
      <c r="H259" t="inlineStr">
        <is>
          <t>Marzo 2027</t>
        </is>
      </c>
      <c r="I259" t="inlineStr">
        <is>
          <t>2027-03</t>
        </is>
      </c>
      <c r="J259" t="inlineStr">
        <is>
          <t>PENDIENTE</t>
        </is>
      </c>
      <c r="K259" t="inlineStr">
        <is>
          <t>Compromiso AVA · monto a confirmar · 50% Sol / 50% Chris</t>
        </is>
      </c>
      <c r="L259" t="inlineStr">
        <is>
          <t>Sol 50% (TBD)</t>
        </is>
      </c>
    </row>
    <row r="260">
      <c r="A260" t="inlineStr">
        <is>
          <t>AVA Fideicomiso</t>
        </is>
      </c>
      <c r="B260" s="52" t="n">
        <v>46482</v>
      </c>
      <c r="C260" t="inlineStr">
        <is>
          <t>AVA Palpa · cuota 18 · pendiente factura</t>
        </is>
      </c>
      <c r="D260" t="inlineStr">
        <is>
          <t>AVA FIDEICOMISO</t>
        </is>
      </c>
      <c r="E260" t="n">
        <v>18</v>
      </c>
      <c r="F260" t="n">
        <v>32</v>
      </c>
      <c r="H260" t="inlineStr">
        <is>
          <t>Abril 2027</t>
        </is>
      </c>
      <c r="I260" t="inlineStr">
        <is>
          <t>2027-04</t>
        </is>
      </c>
      <c r="J260" t="inlineStr">
        <is>
          <t>PENDIENTE</t>
        </is>
      </c>
      <c r="K260" t="inlineStr">
        <is>
          <t>Compromiso AVA · monto a confirmar · 50% Sol / 50% Chris</t>
        </is>
      </c>
      <c r="L260" t="inlineStr">
        <is>
          <t>Sol 50% (TBD)</t>
        </is>
      </c>
    </row>
    <row r="261">
      <c r="A261" t="inlineStr">
        <is>
          <t>AVA Fideicomiso</t>
        </is>
      </c>
      <c r="B261" s="52" t="n">
        <v>46512</v>
      </c>
      <c r="C261" t="inlineStr">
        <is>
          <t>AVA Palpa · cuota 19 · pendiente factura</t>
        </is>
      </c>
      <c r="D261" t="inlineStr">
        <is>
          <t>AVA FIDEICOMISO</t>
        </is>
      </c>
      <c r="E261" t="n">
        <v>19</v>
      </c>
      <c r="F261" t="n">
        <v>32</v>
      </c>
      <c r="H261" t="inlineStr">
        <is>
          <t>Mayo 2027</t>
        </is>
      </c>
      <c r="I261" t="inlineStr">
        <is>
          <t>2027-05</t>
        </is>
      </c>
      <c r="J261" t="inlineStr">
        <is>
          <t>PENDIENTE</t>
        </is>
      </c>
      <c r="K261" t="inlineStr">
        <is>
          <t>Compromiso AVA · monto a confirmar · 50% Sol / 50% Chris</t>
        </is>
      </c>
      <c r="L261" t="inlineStr">
        <is>
          <t>Sol 50% (TBD)</t>
        </is>
      </c>
    </row>
    <row r="262">
      <c r="A262" t="inlineStr">
        <is>
          <t>AVA Fideicomiso</t>
        </is>
      </c>
      <c r="B262" s="52" t="n">
        <v>46543</v>
      </c>
      <c r="C262" t="inlineStr">
        <is>
          <t>AVA Palpa · cuota 20 · pendiente factura</t>
        </is>
      </c>
      <c r="D262" t="inlineStr">
        <is>
          <t>AVA FIDEICOMISO</t>
        </is>
      </c>
      <c r="E262" t="n">
        <v>20</v>
      </c>
      <c r="F262" t="n">
        <v>32</v>
      </c>
      <c r="H262" t="inlineStr">
        <is>
          <t>Junio 2027</t>
        </is>
      </c>
      <c r="I262" t="inlineStr">
        <is>
          <t>2027-06</t>
        </is>
      </c>
      <c r="J262" t="inlineStr">
        <is>
          <t>PENDIENTE</t>
        </is>
      </c>
      <c r="K262" t="inlineStr">
        <is>
          <t>Compromiso AVA · monto a confirmar · 50% Sol / 50% Chris</t>
        </is>
      </c>
      <c r="L262" t="inlineStr">
        <is>
          <t>Sol 50% (TBD)</t>
        </is>
      </c>
    </row>
    <row r="263">
      <c r="A263" t="inlineStr">
        <is>
          <t>AVA Fideicomiso</t>
        </is>
      </c>
      <c r="B263" s="52" t="n">
        <v>46573</v>
      </c>
      <c r="C263" t="inlineStr">
        <is>
          <t>AVA Palpa · cuota 21 · pendiente factura</t>
        </is>
      </c>
      <c r="D263" t="inlineStr">
        <is>
          <t>AVA FIDEICOMISO</t>
        </is>
      </c>
      <c r="E263" t="n">
        <v>21</v>
      </c>
      <c r="F263" t="n">
        <v>32</v>
      </c>
      <c r="H263" t="inlineStr">
        <is>
          <t>Julio 2027</t>
        </is>
      </c>
      <c r="I263" t="inlineStr">
        <is>
          <t>2027-07</t>
        </is>
      </c>
      <c r="J263" t="inlineStr">
        <is>
          <t>PENDIENTE</t>
        </is>
      </c>
      <c r="K263" t="inlineStr">
        <is>
          <t>Compromiso AVA · monto a confirmar · 50% Sol / 50% Chris</t>
        </is>
      </c>
      <c r="L263" t="inlineStr">
        <is>
          <t>Sol 50% (TBD)</t>
        </is>
      </c>
    </row>
    <row r="264">
      <c r="A264" t="inlineStr">
        <is>
          <t>AVA Fideicomiso</t>
        </is>
      </c>
      <c r="B264" s="52" t="n">
        <v>46604</v>
      </c>
      <c r="C264" t="inlineStr">
        <is>
          <t>AVA Palpa · cuota 22 · pendiente factura</t>
        </is>
      </c>
      <c r="D264" t="inlineStr">
        <is>
          <t>AVA FIDEICOMISO</t>
        </is>
      </c>
      <c r="E264" t="n">
        <v>22</v>
      </c>
      <c r="F264" t="n">
        <v>32</v>
      </c>
      <c r="H264" t="inlineStr">
        <is>
          <t>Agosto 2027</t>
        </is>
      </c>
      <c r="I264" t="inlineStr">
        <is>
          <t>2027-08</t>
        </is>
      </c>
      <c r="J264" t="inlineStr">
        <is>
          <t>PENDIENTE</t>
        </is>
      </c>
      <c r="K264" t="inlineStr">
        <is>
          <t>Compromiso AVA · monto a confirmar · 50% Sol / 50% Chris</t>
        </is>
      </c>
      <c r="L264" t="inlineStr">
        <is>
          <t>Sol 50% (TBD)</t>
        </is>
      </c>
    </row>
    <row r="265">
      <c r="A265" t="inlineStr">
        <is>
          <t>AVA Fideicomiso</t>
        </is>
      </c>
      <c r="B265" s="52" t="n">
        <v>46635</v>
      </c>
      <c r="C265" t="inlineStr">
        <is>
          <t>AVA Palpa · cuota 23 · pendiente factura</t>
        </is>
      </c>
      <c r="D265" t="inlineStr">
        <is>
          <t>AVA FIDEICOMISO</t>
        </is>
      </c>
      <c r="E265" t="n">
        <v>23</v>
      </c>
      <c r="F265" t="n">
        <v>32</v>
      </c>
      <c r="H265" t="inlineStr">
        <is>
          <t>Septiembre 2027</t>
        </is>
      </c>
      <c r="I265" t="inlineStr">
        <is>
          <t>2027-09</t>
        </is>
      </c>
      <c r="J265" t="inlineStr">
        <is>
          <t>PENDIENTE</t>
        </is>
      </c>
      <c r="K265" t="inlineStr">
        <is>
          <t>Compromiso AVA · monto a confirmar · 50% Sol / 50% Chris</t>
        </is>
      </c>
      <c r="L265" t="inlineStr">
        <is>
          <t>Sol 50% (TBD)</t>
        </is>
      </c>
    </row>
    <row r="266">
      <c r="A266" t="inlineStr">
        <is>
          <t>AVA Fideicomiso</t>
        </is>
      </c>
      <c r="B266" s="52" t="n">
        <v>46665</v>
      </c>
      <c r="C266" t="inlineStr">
        <is>
          <t>AVA Palpa · cuota 24 · pendiente factura</t>
        </is>
      </c>
      <c r="D266" t="inlineStr">
        <is>
          <t>AVA FIDEICOMISO</t>
        </is>
      </c>
      <c r="E266" t="n">
        <v>24</v>
      </c>
      <c r="F266" t="n">
        <v>32</v>
      </c>
      <c r="H266" t="inlineStr">
        <is>
          <t>Octubre 2027</t>
        </is>
      </c>
      <c r="I266" t="inlineStr">
        <is>
          <t>2027-10</t>
        </is>
      </c>
      <c r="J266" t="inlineStr">
        <is>
          <t>PENDIENTE</t>
        </is>
      </c>
      <c r="K266" t="inlineStr">
        <is>
          <t>Compromiso AVA · monto a confirmar · 50% Sol / 50% Chris</t>
        </is>
      </c>
      <c r="L266" t="inlineStr">
        <is>
          <t>Sol 50% (TBD)</t>
        </is>
      </c>
    </row>
    <row r="267">
      <c r="A267" t="inlineStr">
        <is>
          <t>AVA Fideicomiso</t>
        </is>
      </c>
      <c r="B267" s="52" t="n">
        <v>46696</v>
      </c>
      <c r="C267" t="inlineStr">
        <is>
          <t>AVA Palpa · cuota 25 · pendiente factura</t>
        </is>
      </c>
      <c r="D267" t="inlineStr">
        <is>
          <t>AVA FIDEICOMISO</t>
        </is>
      </c>
      <c r="E267" t="n">
        <v>25</v>
      </c>
      <c r="F267" t="n">
        <v>32</v>
      </c>
      <c r="H267" t="inlineStr">
        <is>
          <t>Noviembre 2027</t>
        </is>
      </c>
      <c r="I267" t="inlineStr">
        <is>
          <t>2027-11</t>
        </is>
      </c>
      <c r="J267" t="inlineStr">
        <is>
          <t>PENDIENTE</t>
        </is>
      </c>
      <c r="K267" t="inlineStr">
        <is>
          <t>Compromiso AVA · monto a confirmar · 50% Sol / 50% Chris</t>
        </is>
      </c>
      <c r="L267" t="inlineStr">
        <is>
          <t>Sol 50% (TBD)</t>
        </is>
      </c>
    </row>
    <row r="268">
      <c r="A268" t="inlineStr">
        <is>
          <t>AVA Fideicomiso</t>
        </is>
      </c>
      <c r="B268" s="52" t="n">
        <v>46726</v>
      </c>
      <c r="C268" t="inlineStr">
        <is>
          <t>AVA Palpa · cuota 26 · pendiente factura</t>
        </is>
      </c>
      <c r="D268" t="inlineStr">
        <is>
          <t>AVA FIDEICOMISO</t>
        </is>
      </c>
      <c r="E268" t="n">
        <v>26</v>
      </c>
      <c r="F268" t="n">
        <v>32</v>
      </c>
      <c r="H268" t="inlineStr">
        <is>
          <t>Diciembre 2027</t>
        </is>
      </c>
      <c r="I268" t="inlineStr">
        <is>
          <t>2027-12</t>
        </is>
      </c>
      <c r="J268" t="inlineStr">
        <is>
          <t>PENDIENTE</t>
        </is>
      </c>
      <c r="K268" t="inlineStr">
        <is>
          <t>Compromiso AVA · monto a confirmar · 50% Sol / 50% Chris</t>
        </is>
      </c>
      <c r="L268" t="inlineStr">
        <is>
          <t>Sol 50% (TBD)</t>
        </is>
      </c>
    </row>
    <row r="269">
      <c r="A269" t="inlineStr">
        <is>
          <t>AVA Fideicomiso</t>
        </is>
      </c>
      <c r="B269" s="52" t="n">
        <v>46757</v>
      </c>
      <c r="C269" t="inlineStr">
        <is>
          <t>AVA Palpa · cuota 27 · pendiente factura</t>
        </is>
      </c>
      <c r="D269" t="inlineStr">
        <is>
          <t>AVA FIDEICOMISO</t>
        </is>
      </c>
      <c r="E269" t="n">
        <v>27</v>
      </c>
      <c r="F269" t="n">
        <v>32</v>
      </c>
      <c r="H269" t="inlineStr">
        <is>
          <t>Enero 2028</t>
        </is>
      </c>
      <c r="I269" t="inlineStr">
        <is>
          <t>2028-01</t>
        </is>
      </c>
      <c r="J269" t="inlineStr">
        <is>
          <t>PENDIENTE</t>
        </is>
      </c>
      <c r="K269" t="inlineStr">
        <is>
          <t>Compromiso AVA · monto a confirmar · 50% Sol / 50% Chris</t>
        </is>
      </c>
      <c r="L269" t="inlineStr">
        <is>
          <t>Sol 50% (TBD)</t>
        </is>
      </c>
    </row>
    <row r="270">
      <c r="A270" t="inlineStr">
        <is>
          <t>AVA Fideicomiso</t>
        </is>
      </c>
      <c r="B270" s="52" t="n">
        <v>46788</v>
      </c>
      <c r="C270" t="inlineStr">
        <is>
          <t>AVA Palpa · cuota 28 · pendiente factura</t>
        </is>
      </c>
      <c r="D270" t="inlineStr">
        <is>
          <t>AVA FIDEICOMISO</t>
        </is>
      </c>
      <c r="E270" t="n">
        <v>28</v>
      </c>
      <c r="F270" t="n">
        <v>32</v>
      </c>
      <c r="H270" t="inlineStr">
        <is>
          <t>Febrero 2028</t>
        </is>
      </c>
      <c r="I270" t="inlineStr">
        <is>
          <t>2028-02</t>
        </is>
      </c>
      <c r="J270" t="inlineStr">
        <is>
          <t>PENDIENTE</t>
        </is>
      </c>
      <c r="K270" t="inlineStr">
        <is>
          <t>Compromiso AVA · monto a confirmar · 50% Sol / 50% Chris</t>
        </is>
      </c>
      <c r="L270" t="inlineStr">
        <is>
          <t>Sol 50% (TBD)</t>
        </is>
      </c>
    </row>
    <row r="271">
      <c r="A271" t="inlineStr">
        <is>
          <t>AVA Fideicomiso</t>
        </is>
      </c>
      <c r="B271" s="52" t="n">
        <v>46817</v>
      </c>
      <c r="C271" t="inlineStr">
        <is>
          <t>AVA Palpa · cuota 29 · pendiente factura</t>
        </is>
      </c>
      <c r="D271" t="inlineStr">
        <is>
          <t>AVA FIDEICOMISO</t>
        </is>
      </c>
      <c r="E271" t="n">
        <v>29</v>
      </c>
      <c r="F271" t="n">
        <v>32</v>
      </c>
      <c r="H271" t="inlineStr">
        <is>
          <t>Marzo 2028</t>
        </is>
      </c>
      <c r="I271" t="inlineStr">
        <is>
          <t>2028-03</t>
        </is>
      </c>
      <c r="J271" t="inlineStr">
        <is>
          <t>PENDIENTE</t>
        </is>
      </c>
      <c r="K271" t="inlineStr">
        <is>
          <t>Compromiso AVA · monto a confirmar · 50% Sol / 50% Chris</t>
        </is>
      </c>
      <c r="L271" t="inlineStr">
        <is>
          <t>Sol 50% (TBD)</t>
        </is>
      </c>
    </row>
    <row r="272">
      <c r="A272" t="inlineStr">
        <is>
          <t>AVA Fideicomiso</t>
        </is>
      </c>
      <c r="B272" s="52" t="n">
        <v>46848</v>
      </c>
      <c r="C272" t="inlineStr">
        <is>
          <t>AVA Palpa · cuota 30 · pendiente factura</t>
        </is>
      </c>
      <c r="D272" t="inlineStr">
        <is>
          <t>AVA FIDEICOMISO</t>
        </is>
      </c>
      <c r="E272" t="n">
        <v>30</v>
      </c>
      <c r="F272" t="n">
        <v>32</v>
      </c>
      <c r="H272" t="inlineStr">
        <is>
          <t>Abril 2028</t>
        </is>
      </c>
      <c r="I272" t="inlineStr">
        <is>
          <t>2028-04</t>
        </is>
      </c>
      <c r="J272" t="inlineStr">
        <is>
          <t>PENDIENTE</t>
        </is>
      </c>
      <c r="K272" t="inlineStr">
        <is>
          <t>Compromiso AVA · monto a confirmar · 50% Sol / 50% Chris</t>
        </is>
      </c>
      <c r="L272" t="inlineStr">
        <is>
          <t>Sol 50% (TBD)</t>
        </is>
      </c>
    </row>
    <row r="273">
      <c r="A273" t="inlineStr">
        <is>
          <t>AVA Fideicomiso</t>
        </is>
      </c>
      <c r="B273" s="52" t="n">
        <v>46878</v>
      </c>
      <c r="C273" t="inlineStr">
        <is>
          <t>AVA Palpa · cuota 31 · pendiente factura</t>
        </is>
      </c>
      <c r="D273" t="inlineStr">
        <is>
          <t>AVA FIDEICOMISO</t>
        </is>
      </c>
      <c r="E273" t="n">
        <v>31</v>
      </c>
      <c r="F273" t="n">
        <v>32</v>
      </c>
      <c r="H273" t="inlineStr">
        <is>
          <t>Mayo 2028</t>
        </is>
      </c>
      <c r="I273" t="inlineStr">
        <is>
          <t>2028-05</t>
        </is>
      </c>
      <c r="J273" t="inlineStr">
        <is>
          <t>PENDIENTE</t>
        </is>
      </c>
      <c r="K273" t="inlineStr">
        <is>
          <t>Compromiso AVA · monto a confirmar · 50% Sol / 50% Chris</t>
        </is>
      </c>
      <c r="L273" t="inlineStr">
        <is>
          <t>Sol 50% (TBD)</t>
        </is>
      </c>
    </row>
    <row r="274">
      <c r="A274" t="inlineStr">
        <is>
          <t>AVA Fideicomiso</t>
        </is>
      </c>
      <c r="B274" s="52" t="n">
        <v>46909</v>
      </c>
      <c r="C274" t="inlineStr">
        <is>
          <t>AVA Palpa · cuota 32 · pendiente factura</t>
        </is>
      </c>
      <c r="D274" t="inlineStr">
        <is>
          <t>AVA FIDEICOMISO</t>
        </is>
      </c>
      <c r="E274" t="n">
        <v>32</v>
      </c>
      <c r="F274" t="n">
        <v>32</v>
      </c>
      <c r="H274" t="inlineStr">
        <is>
          <t>Junio 2028</t>
        </is>
      </c>
      <c r="I274" t="inlineStr">
        <is>
          <t>2028-06</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9</v>
      </c>
      <c r="C279" t="n">
        <v>24724731</v>
      </c>
    </row>
    <row r="280">
      <c r="A280" t="inlineStr">
        <is>
          <t>AVA Fideicomiso PENDIENTE (cuotas futuras, monto TBD)</t>
        </is>
      </c>
      <c r="B280" t="n">
        <v>23</v>
      </c>
    </row>
    <row r="281">
      <c r="A281" t="inlineStr">
        <is>
          <t>COMPROMISO NUMÉRICO ACTUAL (BBVA pendiente con monto)</t>
        </is>
      </c>
      <c r="B281" t="n">
        <v>92</v>
      </c>
      <c r="C281" t="n">
        <v>9156618</v>
      </c>
    </row>
    <row r="282">
      <c r="A282" t="inlineStr">
        <is>
          <t>Notas: AVA 50% Sol PAGADO ya está en Gasto Personal Sol (no duplicar). Cuotas AVA 10+ sin monto hasta factura. Resúmenes oficiales prevalecen sobre texto de chat.</t>
        </is>
      </c>
    </row>
  </sheetData>
  <mergeCells count="1">
    <mergeCell ref="A282:H28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2026-08-05T17:09:38Z</dcterms:modified>
</cp:coreProperties>
</file>
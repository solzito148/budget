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</sheets>
  <definedNames>
    <definedName name="_xlnm._FilterDatabase" localSheetId="2" hidden="1">'Detalle'!$A$3:$I$51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inlineStr">
        <is>
          <t>PENDIENTE</t>
        </is>
      </c>
      <c r="H5" s="6" t="inlineStr">
        <is>
          <t>PENDIENTE</t>
        </is>
      </c>
      <c r="I5" s="5" t="n">
        <v>246150</v>
      </c>
      <c r="J5" s="5" t="n">
        <v>273500</v>
      </c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</t>
        </is>
      </c>
      <c r="D6" s="9" t="n">
        <v>50000</v>
      </c>
      <c r="E6" s="9" t="n">
        <v>50000</v>
      </c>
      <c r="F6" s="9" t="n">
        <v>50000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</t>
        </is>
      </c>
      <c r="D9" s="5" t="n">
        <v>12435</v>
      </c>
      <c r="E9" s="5" t="n">
        <v>83757</v>
      </c>
      <c r="F9" s="5" t="n">
        <v>88141</v>
      </c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</t>
        </is>
      </c>
      <c r="C10" s="21" t="inlineStr">
        <is>
          <t>Limpieza Susana</t>
        </is>
      </c>
      <c r="D10" s="9" t="n">
        <v>1300244</v>
      </c>
      <c r="E10" s="9" t="n">
        <v>1020100</v>
      </c>
      <c r="F10" s="9" t="n">
        <v>872390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s="10" t="inlineStr">
        <is>
          <t>TOTAL</t>
        </is>
      </c>
      <c r="B19" s="23" t="n"/>
      <c r="C19" s="24" t="n"/>
      <c r="D19" s="7">
        <f>SUM(D5:D18)</f>
        <v/>
      </c>
      <c r="E19" s="7">
        <f>SUM(E5:E18)</f>
        <v/>
      </c>
      <c r="F19" s="7">
        <f>SUM(F5:F18)</f>
        <v/>
      </c>
      <c r="G19" s="7">
        <f>SUM(G5:G18)</f>
        <v/>
      </c>
      <c r="H19" s="7">
        <f>SUM(H5:H18)</f>
        <v/>
      </c>
      <c r="I19" s="7">
        <f>SUM(I5:I18)</f>
        <v/>
      </c>
      <c r="J19" s="7">
        <f>SUM(J5:J18)</f>
        <v/>
      </c>
      <c r="K19" s="7">
        <f>SUM(K5:K18)</f>
        <v/>
      </c>
      <c r="L19" s="7">
        <f>SUM(L5:L18)</f>
        <v/>
      </c>
      <c r="M19" s="7">
        <f>SUM(M5:M18)</f>
        <v/>
      </c>
      <c r="N19" s="7">
        <f>SUM(N5:N18)</f>
        <v/>
      </c>
      <c r="O19" s="7">
        <f>SUM(O5:O18)</f>
        <v/>
      </c>
      <c r="P19" s="7">
        <f>SUM(P5:P18)</f>
        <v/>
      </c>
    </row>
    <row r="21">
      <c r="A21" s="11" t="inlineStr">
        <is>
          <t>Notas</t>
        </is>
      </c>
    </row>
    <row r="22">
      <c r="A22" t="inlineStr">
        <is>
          <t>• Catálogo fijo de conceptos CIUDAD 1132</t>
        </is>
      </c>
    </row>
    <row r="23">
      <c r="A23" t="inlineStr">
        <is>
          <t>• Telecentro: $50.000 mensuales hasta nuevo aviso</t>
        </is>
      </c>
    </row>
    <row r="24">
      <c r="A24" t="inlineStr">
        <is>
          <t>• Montos enteros, siempre redondeados hacia arriba</t>
        </is>
      </c>
    </row>
    <row r="25">
      <c r="A25" t="inlineStr">
        <is>
          <t>• Expensas abril/mayo 2026: PENDIENTE</t>
        </is>
      </c>
    </row>
    <row r="26">
      <c r="A26" t="inlineStr">
        <is>
          <t>• En Detalle: Forma de pago, N° Cliente y N° Medidor cuando existan</t>
        </is>
      </c>
    </row>
    <row r="27">
      <c r="A27" t="inlineStr">
        <is>
          <t>• ALMACEN SOL / ALMACEN CHRIS: totales automáticos desde hoja "Almacen Detalle"</t>
        </is>
      </c>
    </row>
    <row r="28">
      <c r="A28" t="inlineStr">
        <is>
          <t>• TRANSPORTE: Cabify / Uber (Ebanx) / Didi — montos enteros ceil desde Mercado Pago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inlineStr">
        <is>
          <t>Enero</t>
        </is>
      </c>
      <c r="B7" s="17" t="n">
        <v>46051</v>
      </c>
      <c r="C7" s="14" t="inlineStr">
        <is>
          <t>Copetin Catering</t>
        </is>
      </c>
      <c r="D7" s="27" t="n">
        <v>9800</v>
      </c>
      <c r="E7" s="28" t="n"/>
      <c r="F7" s="15">
        <f>IF(OR(D7&lt;&gt;"",E7&lt;&gt;""),IF(D7="",0,D7)+IF(E7="",0,E7),"")</f>
        <v/>
      </c>
      <c r="G7" s="14" t="inlineStr">
        <is>
          <t>MP · catering</t>
        </is>
      </c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MP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MP · Market</t>
        </is>
      </c>
    </row>
    <row r="10">
      <c r="A10" s="14" t="inlineStr">
        <is>
          <t>Enero</t>
        </is>
      </c>
      <c r="B10" s="17" t="n">
        <v>46049</v>
      </c>
      <c r="C10" s="14" t="inlineStr">
        <is>
          <t>Copetin Catering (27/1)</t>
        </is>
      </c>
      <c r="D10" s="27" t="n">
        <v>19550</v>
      </c>
      <c r="E10" s="28" t="n"/>
      <c r="F10" s="15">
        <f>IF(OR(D10&lt;&gt;"",E10&lt;&gt;""),IF(D10="",0,D10)+IF(E10="",0,E10),"")</f>
        <v/>
      </c>
      <c r="G10" s="14" t="inlineStr">
        <is>
          <t>MP · catering</t>
        </is>
      </c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inlineStr">
        <is>
          <t>Enero</t>
        </is>
      </c>
      <c r="B14" s="17" t="n">
        <v>46044</v>
      </c>
      <c r="C14" s="14" t="inlineStr">
        <is>
          <t>Copetin Catering (22/1)</t>
        </is>
      </c>
      <c r="D14" s="27" t="n">
        <v>11950</v>
      </c>
      <c r="E14" s="28" t="n"/>
      <c r="F14" s="15">
        <f>IF(OR(D14&lt;&gt;"",E14&lt;&gt;""),IF(D14="",0,D14)+IF(E14="",0,E14),"")</f>
        <v/>
      </c>
      <c r="G14" s="14" t="inlineStr">
        <is>
          <t>MP · catering</t>
        </is>
      </c>
    </row>
    <row r="15">
      <c r="A15" s="14" t="inlineStr">
        <is>
          <t>Enero</t>
        </is>
      </c>
      <c r="B15" s="17" t="n">
        <v>46042</v>
      </c>
      <c r="C15" s="14" t="inlineStr">
        <is>
          <t>Copetin Catering (20/1)</t>
        </is>
      </c>
      <c r="D15" s="27" t="n">
        <v>3585</v>
      </c>
      <c r="E15" s="28" t="n"/>
      <c r="F15" s="15">
        <f>IF(OR(D15&lt;&gt;"",E15&lt;&gt;""),IF(D15="",0,D15)+IF(E15="",0,E15),"")</f>
        <v/>
      </c>
      <c r="G15" s="14" t="inlineStr">
        <is>
          <t>MP · catering</t>
        </is>
      </c>
    </row>
    <row r="16">
      <c r="A16" s="14" t="inlineStr">
        <is>
          <t>Enero</t>
        </is>
      </c>
      <c r="B16" s="17" t="n">
        <v>46041</v>
      </c>
      <c r="C16" s="14" t="inlineStr">
        <is>
          <t>Copetin Catering (19/1)</t>
        </is>
      </c>
      <c r="D16" s="27" t="n">
        <v>3585</v>
      </c>
      <c r="E16" s="28" t="n"/>
      <c r="F16" s="15">
        <f>IF(OR(D16&lt;&gt;"",E16&lt;&gt;""),IF(D16="",0,D16)+IF(E16="",0,E16),"")</f>
        <v/>
      </c>
      <c r="G16" s="14" t="inlineStr">
        <is>
          <t>MP · catering</t>
        </is>
      </c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MP · Carrefour</t>
        </is>
      </c>
    </row>
    <row r="18">
      <c r="A18" s="14" t="inlineStr">
        <is>
          <t>Enero</t>
        </is>
      </c>
      <c r="B18" s="17" t="n">
        <v>46035</v>
      </c>
      <c r="C18" s="14" t="inlineStr">
        <is>
          <t>Copetin Catering (13/1)</t>
        </is>
      </c>
      <c r="D18" s="27" t="n">
        <v>2940</v>
      </c>
      <c r="E18" s="28" t="n"/>
      <c r="F18" s="15">
        <f>IF(OR(D18&lt;&gt;"",E18&lt;&gt;""),IF(D18="",0,D18)+IF(E18="",0,E18),"")</f>
        <v/>
      </c>
      <c r="G18" s="14" t="inlineStr">
        <is>
          <t>MP · catering</t>
        </is>
      </c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MP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MP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MP · neto tras devolución parcial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MP · propina</t>
        </is>
      </c>
    </row>
    <row r="23">
      <c r="A23" s="14" t="inlineStr">
        <is>
          <t>Enero</t>
        </is>
      </c>
      <c r="B23" s="17" t="n">
        <v>46030</v>
      </c>
      <c r="C23" s="14" t="inlineStr">
        <is>
          <t>Copetin Catering (8/1)</t>
        </is>
      </c>
      <c r="D23" s="27" t="n">
        <v>3585</v>
      </c>
      <c r="E23" s="28" t="n"/>
      <c r="F23" s="15">
        <f>IF(OR(D23&lt;&gt;"",E23&lt;&gt;""),IF(D23="",0,D23)+IF(E23="",0,E23),"")</f>
        <v/>
      </c>
      <c r="G23" s="14" t="inlineStr">
        <is>
          <t>MP · catering</t>
        </is>
      </c>
    </row>
    <row r="24">
      <c r="A24" s="14" t="inlineStr">
        <is>
          <t>Enero</t>
        </is>
      </c>
      <c r="B24" s="17" t="n">
        <v>46028</v>
      </c>
      <c r="C24" s="14" t="inlineStr">
        <is>
          <t>Copetin Catering (6/1)</t>
        </is>
      </c>
      <c r="D24" s="27" t="n">
        <v>645</v>
      </c>
      <c r="E24" s="28" t="n"/>
      <c r="F24" s="15">
        <f>IF(OR(D24&lt;&gt;"",E24&lt;&gt;""),IF(D24="",0,D24)+IF(E24="",0,E24),"")</f>
        <v/>
      </c>
      <c r="G24" s="14" t="inlineStr">
        <is>
          <t>MP · catering</t>
        </is>
      </c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MP · Día Online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MP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MP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MP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MP · Día</t>
        </is>
      </c>
    </row>
    <row r="32">
      <c r="A32" s="14" t="inlineStr">
        <is>
          <t>Enero</t>
        </is>
      </c>
      <c r="B32" s="17" t="n"/>
      <c r="C32" s="14" t="n"/>
      <c r="D32" s="27" t="n"/>
      <c r="E32" s="28" t="n"/>
      <c r="F32" s="15">
        <f>IF(OR(D32&lt;&gt;"",E32&lt;&gt;""),IF(D32="",0,D32)+IF(E32="",0,E32),"")</f>
        <v/>
      </c>
      <c r="G32" s="14" t="n"/>
    </row>
    <row r="33">
      <c r="A33" s="14" t="inlineStr">
        <is>
          <t>Enero</t>
        </is>
      </c>
      <c r="B33" s="17" t="n"/>
      <c r="C33" s="14" t="n"/>
      <c r="D33" s="27" t="n"/>
      <c r="E33" s="28" t="n"/>
      <c r="F33" s="15">
        <f>IF(OR(D33&lt;&gt;"",E33&lt;&gt;""),IF(D33="",0,D33)+IF(E33="",0,E33),"")</f>
        <v/>
      </c>
      <c r="G33" s="14" t="n"/>
    </row>
    <row r="34">
      <c r="A34" s="14" t="inlineStr">
        <is>
          <t>Enero</t>
        </is>
      </c>
      <c r="B34" s="17" t="n"/>
      <c r="C34" s="14" t="n"/>
      <c r="D34" s="27" t="n"/>
      <c r="E34" s="28" t="n"/>
      <c r="F34" s="15">
        <f>IF(OR(D34&lt;&gt;"",E34&lt;&gt;""),IF(D34="",0,D34)+IF(E34="",0,E34),"")</f>
        <v/>
      </c>
      <c r="G34" s="14" t="n"/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inlineStr">
        <is>
          <t>Febrero</t>
        </is>
      </c>
      <c r="B50" s="17" t="n">
        <v>46077</v>
      </c>
      <c r="C50" s="14" t="inlineStr">
        <is>
          <t>Copetin Catering</t>
        </is>
      </c>
      <c r="D50" s="27" t="n">
        <v>13500</v>
      </c>
      <c r="E50" s="28" t="n"/>
      <c r="F50" s="15">
        <f>IF(OR(D50&lt;&gt;"",E50&lt;&gt;""),IF(D50="",0,D50)+IF(E50="",0,E50),"")</f>
        <v/>
      </c>
      <c r="G50" s="14" t="inlineStr">
        <is>
          <t>MP · catering</t>
        </is>
      </c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MP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MP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MP · Día</t>
        </is>
      </c>
    </row>
    <row r="54">
      <c r="A54" s="14" t="inlineStr">
        <is>
          <t>Febrero</t>
        </is>
      </c>
      <c r="B54" s="17" t="n">
        <v>46071</v>
      </c>
      <c r="C54" s="14" t="inlineStr">
        <is>
          <t>Copetin Catering</t>
        </is>
      </c>
      <c r="D54" s="27" t="n">
        <v>2703</v>
      </c>
      <c r="E54" s="28" t="n"/>
      <c r="F54" s="15">
        <f>IF(OR(D54&lt;&gt;"",E54&lt;&gt;""),IF(D54="",0,D54)+IF(E54="",0,E54),"")</f>
        <v/>
      </c>
      <c r="G54" s="14" t="inlineStr">
        <is>
          <t>MP · catering</t>
        </is>
      </c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MP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inlineStr">
        <is>
          <t>Febrero</t>
        </is>
      </c>
      <c r="B57" s="17" t="n">
        <v>46063</v>
      </c>
      <c r="C57" s="14" t="inlineStr">
        <is>
          <t>Copetin Catering</t>
        </is>
      </c>
      <c r="D57" s="27" t="n">
        <v>2940</v>
      </c>
      <c r="E57" s="28" t="n"/>
      <c r="F57" s="15">
        <f>IF(OR(D57&lt;&gt;"",E57&lt;&gt;""),IF(D57="",0,D57)+IF(E57="",0,E57),"")</f>
        <v/>
      </c>
      <c r="G57" s="14" t="inlineStr">
        <is>
          <t>MP · catering</t>
        </is>
      </c>
    </row>
    <row r="58">
      <c r="A58" s="14" t="inlineStr">
        <is>
          <t>Febrero</t>
        </is>
      </c>
      <c r="B58" s="17" t="n">
        <v>46063</v>
      </c>
      <c r="C58" s="14" t="inlineStr">
        <is>
          <t>Copetin Catering (2)</t>
        </is>
      </c>
      <c r="D58" s="27" t="n">
        <v>1770</v>
      </c>
      <c r="E58" s="28" t="n"/>
      <c r="F58" s="15">
        <f>IF(OR(D58&lt;&gt;"",E58&lt;&gt;""),IF(D58="",0,D58)+IF(E58="",0,E58),"")</f>
        <v/>
      </c>
      <c r="G58" s="14" t="inlineStr">
        <is>
          <t>MP · catering</t>
        </is>
      </c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MP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MP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inlineStr">
        <is>
          <t>Febrero</t>
        </is>
      </c>
      <c r="B63" s="17" t="n">
        <v>46058</v>
      </c>
      <c r="C63" s="14" t="inlineStr">
        <is>
          <t>Copetin Catering (5/2)</t>
        </is>
      </c>
      <c r="D63" s="27" t="n">
        <v>2940</v>
      </c>
      <c r="E63" s="28" t="n"/>
      <c r="F63" s="15">
        <f>IF(OR(D63&lt;&gt;"",E63&lt;&gt;""),IF(D63="",0,D63)+IF(E63="",0,E63),"")</f>
        <v/>
      </c>
      <c r="G63" s="14" t="inlineStr">
        <is>
          <t>MP · catering</t>
        </is>
      </c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inlineStr">
        <is>
          <t>Febrero</t>
        </is>
      </c>
      <c r="B65" s="17" t="n">
        <v>46056</v>
      </c>
      <c r="C65" s="14" t="inlineStr">
        <is>
          <t>Copetin Catering (3/2)</t>
        </is>
      </c>
      <c r="D65" s="27" t="n">
        <v>3585</v>
      </c>
      <c r="E65" s="28" t="n"/>
      <c r="F65" s="15">
        <f>IF(OR(D65&lt;&gt;"",E65&lt;&gt;""),IF(D65="",0,D65)+IF(E65="",0,E65),"")</f>
        <v/>
      </c>
      <c r="G65" s="14" t="inlineStr">
        <is>
          <t>MP · catering</t>
        </is>
      </c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MP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MP · PedidosYa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MP · Market</t>
        </is>
      </c>
    </row>
    <row r="69">
      <c r="A69" s="14" t="inlineStr">
        <is>
          <t>Febrero</t>
        </is>
      </c>
      <c r="B69" s="17" t="n"/>
      <c r="C69" s="14" t="n"/>
      <c r="D69" s="27" t="n"/>
      <c r="E69" s="28" t="n"/>
      <c r="F69" s="15">
        <f>IF(OR(D69&lt;&gt;"",E69&lt;&gt;""),IF(D69="",0,D69)+IF(E69="",0,E69),"")</f>
        <v/>
      </c>
      <c r="G69" s="14" t="n"/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inlineStr">
        <is>
          <t>Marzo</t>
        </is>
      </c>
      <c r="B91" s="17" t="n">
        <v>46112</v>
      </c>
      <c r="C91" s="14" t="inlineStr">
        <is>
          <t>Copetin Catering</t>
        </is>
      </c>
      <c r="D91" s="27" t="n">
        <v>13500</v>
      </c>
      <c r="E91" s="28" t="n"/>
      <c r="F91" s="15">
        <f>IF(OR(D91&lt;&gt;"",E91&lt;&gt;""),IF(D91="",0,D91)+IF(E91="",0,E91),"")</f>
        <v/>
      </c>
      <c r="G91" s="14" t="inlineStr">
        <is>
          <t>MP · catering</t>
        </is>
      </c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MP · supermercado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MP · super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/>
      <c r="C106" s="14" t="n"/>
      <c r="D106" s="27" t="n"/>
      <c r="E106" s="28" t="n"/>
      <c r="F106" s="15">
        <f>IF(OR(D106&lt;&gt;"",E106&lt;&gt;""),IF(D106="",0,D106)+IF(E106="",0,E106),"")</f>
        <v/>
      </c>
      <c r="G106" s="14" t="n"/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inlineStr">
        <is>
          <t>Abril</t>
        </is>
      </c>
      <c r="B135" s="17" t="n">
        <v>46132</v>
      </c>
      <c r="C135" s="14" t="inlineStr">
        <is>
          <t>Copetin Catering</t>
        </is>
      </c>
      <c r="D135" s="27" t="n">
        <v>12650</v>
      </c>
      <c r="E135" s="28" t="n"/>
      <c r="F135" s="15">
        <f>IF(OR(D135&lt;&gt;"",E135&lt;&gt;""),IF(D135="",0,D135)+IF(E135="",0,E135),"")</f>
        <v/>
      </c>
      <c r="G135" s="14" t="inlineStr">
        <is>
          <t>MP · catering</t>
        </is>
      </c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MP · delivery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MP · delivery</t>
        </is>
      </c>
    </row>
    <row r="141">
      <c r="A141" s="14" t="inlineStr">
        <is>
          <t>Abril</t>
        </is>
      </c>
      <c r="B141" s="17" t="n">
        <v>46120</v>
      </c>
      <c r="C141" s="14" t="inlineStr">
        <is>
          <t>Copetin Catering</t>
        </is>
      </c>
      <c r="D141" s="27" t="n">
        <v>17050</v>
      </c>
      <c r="E141" s="28" t="n"/>
      <c r="F141" s="15">
        <f>IF(OR(D141&lt;&gt;"",E141&lt;&gt;""),IF(D141="",0,D141)+IF(E141="",0,E141),"")</f>
        <v/>
      </c>
      <c r="G141" s="14" t="inlineStr">
        <is>
          <t>MP · catering</t>
        </is>
      </c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MP · supermercado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MP · supermercado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MP · supermercado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MP · delivery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MP · delivery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/>
      <c r="C149" s="14" t="n"/>
      <c r="D149" s="27" t="n"/>
      <c r="E149" s="28" t="n"/>
      <c r="F149" s="15">
        <f>IF(OR(D149&lt;&gt;"",E149&lt;&gt;""),IF(D149="",0,D149)+IF(E149="",0,E149),"")</f>
        <v/>
      </c>
      <c r="G149" s="14" t="n"/>
    </row>
    <row r="150">
      <c r="A150" s="14" t="inlineStr">
        <is>
          <t>Abril</t>
        </is>
      </c>
      <c r="B150" s="17" t="n"/>
      <c r="C150" s="14" t="n"/>
      <c r="D150" s="27" t="n"/>
      <c r="E150" s="28" t="n"/>
      <c r="F150" s="15">
        <f>IF(OR(D150&lt;&gt;"",E150&lt;&gt;""),IF(D150="",0,D150)+IF(E150="",0,E150),"")</f>
        <v/>
      </c>
      <c r="G150" s="14" t="n"/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MP · supermercado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MP · delivery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MP · delivery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MP · delivery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MP · delivery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MP · supermercado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MP · delivery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MP · delivery neto parcial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MP · delivery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MP · delivery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MP · delivery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MP · delivery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MP · delivery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inlineStr">
        <is>
          <t>Junio</t>
        </is>
      </c>
      <c r="B230" s="17" t="n">
        <v>46174</v>
      </c>
      <c r="C230" s="14" t="inlineStr">
        <is>
          <t>Copetin Catering</t>
        </is>
      </c>
      <c r="D230" s="27" t="n">
        <v>2700</v>
      </c>
      <c r="E230" s="28" t="n"/>
      <c r="F230" s="15">
        <f>IF(OR(D230&lt;&gt;"",E230&lt;&gt;""),IF(D230="",0,D230)+IF(E230="",0,E230),"")</f>
        <v/>
      </c>
      <c r="G230" s="14" t="inlineStr">
        <is>
          <t>MP · catering</t>
        </is>
      </c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MP · supermercado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MP · supermercado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n"/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n"/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n"/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n"/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MP · delivery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MP · Valenti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MP · Valenti</t>
        </is>
      </c>
    </row>
    <row r="265">
      <c r="A265" s="14" t="inlineStr">
        <is>
          <t>Julio</t>
        </is>
      </c>
      <c r="B265" s="17" t="n">
        <v>46209</v>
      </c>
      <c r="C265" s="14" t="inlineStr">
        <is>
          <t>Copetin Catering</t>
        </is>
      </c>
      <c r="D265" s="27" t="n">
        <v>765</v>
      </c>
      <c r="E265" s="28" t="n"/>
      <c r="F265" s="15">
        <f>IF(OR(D265&lt;&gt;"",E265&lt;&gt;""),IF(D265="",0,D265)+IF(E265="",0,E265),"")</f>
        <v/>
      </c>
      <c r="G265" s="14" t="inlineStr">
        <is>
          <t>MP · catering</t>
        </is>
      </c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MP · delivery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MP · delivery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/>
      <c r="C270" s="14" t="n"/>
      <c r="D270" s="27" t="n"/>
      <c r="E270" s="28" t="n"/>
      <c r="F270" s="15">
        <f>IF(OR(D270&lt;&gt;"",E270&lt;&gt;""),IF(D270="",0,D270)+IF(E270="",0,E270),"")</f>
        <v/>
      </c>
      <c r="G270" s="14" t="n"/>
    </row>
    <row r="271">
      <c r="A271" s="14" t="inlineStr">
        <is>
          <t>Julio</t>
        </is>
      </c>
      <c r="B271" s="17" t="n"/>
      <c r="C271" s="14" t="n"/>
      <c r="D271" s="27" t="n"/>
      <c r="E271" s="28" t="n"/>
      <c r="F271" s="15">
        <f>IF(OR(D271&lt;&gt;"",E271&lt;&gt;""),IF(D271="",0,D271)+IF(E271="",0,E271),"")</f>
        <v/>
      </c>
      <c r="G271" s="14" t="n"/>
    </row>
    <row r="272">
      <c r="A272" s="14" t="inlineStr">
        <is>
          <t>Julio</t>
        </is>
      </c>
      <c r="B272" s="17" t="n"/>
      <c r="C272" s="14" t="n"/>
      <c r="D272" s="27" t="n"/>
      <c r="E272" s="28" t="n"/>
      <c r="F272" s="15">
        <f>IF(OR(D272&lt;&gt;"",E272&lt;&gt;""),IF(D272="",0,D272)+IF(E272="",0,E272),"")</f>
        <v/>
      </c>
      <c r="G272" s="14" t="n"/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Susana</t>
        </is>
      </c>
      <c r="C4" s="14" t="inlineStr">
        <is>
          <t>Limpieza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— servicio mensual 01/2026</t>
        </is>
      </c>
      <c r="D5" s="15" t="n">
        <v>50000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Susana</t>
        </is>
      </c>
      <c r="C8" s="14" t="inlineStr">
        <is>
          <t>Limpieza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— servicio mensual 02/2026</t>
        </is>
      </c>
      <c r="D9" s="15" t="n">
        <v>50000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Susana</t>
        </is>
      </c>
      <c r="C12" s="14" t="inlineStr">
        <is>
          <t>Limpieza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— servicio mensual 03/2026</t>
        </is>
      </c>
      <c r="D13" s="15" t="n">
        <v>50000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</t>
        </is>
      </c>
      <c r="D14" s="15" t="n">
        <v>82994</v>
      </c>
      <c r="E14" s="14" t="inlineStr">
        <is>
          <t>Débito Visa 3200</t>
        </is>
      </c>
      <c r="F14" s="18" t="inlineStr">
        <is>
          <t>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Susana</t>
        </is>
      </c>
      <c r="C18" s="14" t="inlineStr">
        <is>
          <t>Limpieza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</t>
        </is>
      </c>
      <c r="D20" s="15" t="n">
        <v>56700</v>
      </c>
      <c r="E20" s="14" t="inlineStr">
        <is>
          <t>Débito Visa 3200</t>
        </is>
      </c>
      <c r="F20" s="18" t="inlineStr">
        <is>
          <t>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Susana</t>
        </is>
      </c>
      <c r="C23" s="14" t="inlineStr">
        <is>
          <t>Limpieza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</t>
        </is>
      </c>
      <c r="D25" s="15" t="n">
        <v>52012</v>
      </c>
      <c r="E25" s="14" t="inlineStr">
        <is>
          <t>Débito Visa 3200</t>
        </is>
      </c>
      <c r="F25" s="18" t="inlineStr">
        <is>
          <t>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Susana</t>
        </is>
      </c>
      <c r="C27" s="14" t="inlineStr">
        <is>
          <t>Limpieza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</t>
        </is>
      </c>
      <c r="D29" s="15" t="n">
        <v>106212</v>
      </c>
      <c r="E29" s="14" t="inlineStr">
        <is>
          <t>Débito Visa 3200</t>
        </is>
      </c>
      <c r="F29" s="18" t="inlineStr">
        <is>
          <t>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</t>
        </is>
      </c>
      <c r="D32" s="15" t="n">
        <v>128877</v>
      </c>
      <c r="E32" s="14" t="inlineStr">
        <is>
          <t>Débito Visa 3200</t>
        </is>
      </c>
      <c r="F32" s="18" t="inlineStr">
        <is>
          <t>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</sheetData>
  <autoFilter ref="A3:I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2026-07-18T17:00:29Z</dcterms:modified>
</cp:coreProperties>
</file>
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v>46153</v>
      </c>
      <c r="C205" s="14" t="inlineStr">
        <is>
          <t>COMIDA · Pescadería Belgrano</t>
        </is>
      </c>
      <c r="D205" s="27" t="n">
        <v>24852</v>
      </c>
      <c r="E205" s="28" t="n"/>
      <c r="F205" s="15">
        <f>IF(OR(D205&lt;&gt;"",E205&lt;&gt;""),IF(D205="",0,D205)+IF(E205="",0,E205),"")</f>
        <v/>
      </c>
      <c r="G205" s="14" t="inlineStr">
        <is>
          <t>COMIDA · Pescadería Belgrano · Mercado Pago · Gmail Pago aprobado · movido desde GPS · ALMACEN SOL</t>
        </is>
      </c>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v>46175</v>
      </c>
      <c r="C253" s="14" t="inlineStr">
        <is>
          <t>COMIDA · Pescadería Belgrano</t>
        </is>
      </c>
      <c r="D253" s="27" t="n">
        <v>32046</v>
      </c>
      <c r="E253" s="28" t="n"/>
      <c r="F253" s="15">
        <f>IF(OR(D253&lt;&gt;"",E253&lt;&gt;""),IF(D253="",0,D253)+IF(E253="",0,E253),"")</f>
        <v/>
      </c>
      <c r="G253" s="14" t="inlineStr">
        <is>
          <t>COMIDA · Pescadería Belgrano · Mercado Pago · Gmail Pago aprobado · movido desde GPS · ALMACEN SOL</t>
        </is>
      </c>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v>46207</v>
      </c>
      <c r="C290" s="14" t="inlineStr">
        <is>
          <t>RAMON · Comida</t>
        </is>
      </c>
      <c r="D290" s="27" t="n">
        <v>149500</v>
      </c>
      <c r="E290" s="28" t="n"/>
      <c r="F290" s="15">
        <f>IF(OR(D290&lt;&gt;"",E290&lt;&gt;""),IF(D290="",0,D290)+IF(E290="",0,E290),"")</f>
        <v/>
      </c>
      <c r="G290" s="14" t="inlineStr">
        <is>
          <t>RAMON · Comida · DR BARF · pedido #462 · checkout total $149.500 · Gmail Recibimos tu pago · ALMACEN SOL</t>
        </is>
      </c>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v>46235</v>
      </c>
      <c r="C316" s="14" t="inlineStr">
        <is>
          <t>RAMON · Comida</t>
        </is>
      </c>
      <c r="D316" s="27" t="n">
        <v>176000</v>
      </c>
      <c r="E316" s="28" t="n"/>
      <c r="F316" s="15">
        <f>IF(OR(D316&lt;&gt;"",E316&lt;&gt;""),IF(D316="",0,D316)+IF(E316="",0,E316),"")</f>
        <v/>
      </c>
      <c r="G316" s="14" t="inlineStr">
        <is>
          <t>RAMON · Comida · DR BARF · Gibiana Cova · Gmail Pago aprobado BBVA · ALMACEN SOL</t>
        </is>
      </c>
    </row>
    <row r="317">
      <c r="A317" s="14" t="inlineStr">
        <is>
          <t>Agosto</t>
        </is>
      </c>
      <c r="B317" s="17" t="n">
        <v>46250</v>
      </c>
      <c r="C317" s="14" t="inlineStr">
        <is>
          <t>ENTRETENIMIENTO · Social</t>
        </is>
      </c>
      <c r="D317" s="27" t="n">
        <v>1060501</v>
      </c>
      <c r="E317" s="28" t="n"/>
      <c r="F317" s="15">
        <f>IF(OR(D317&lt;&gt;"",E317&lt;&gt;""),IF(D317="",0,D317)+IF(E317="",0,E317),"")</f>
        <v/>
      </c>
      <c r="G317" s="14" t="inlineStr">
        <is>
          <t>ENTRETENIMIENTO · Social · Gardiner Restaurant · BBVA VISA · Gmail Compra aprobada · mesa 9 · ALMACEN SOL</t>
        </is>
      </c>
    </row>
    <row r="318">
      <c r="A318" s="14" t="inlineStr">
        <is>
          <t>Agosto</t>
        </is>
      </c>
      <c r="B318" s="17" t="n">
        <v>46256</v>
      </c>
      <c r="C318" s="14" t="inlineStr">
        <is>
          <t>RAMON · Otros</t>
        </is>
      </c>
      <c r="D318" s="27" t="n">
        <v>77200</v>
      </c>
      <c r="E318" s="28" t="n"/>
      <c r="F318" s="15">
        <f>IF(OR(D318&lt;&gt;"",E318&lt;&gt;""),IF(D318="",0,D318)+IF(E318="",0,E318),"")</f>
        <v/>
      </c>
      <c r="G318" s="14" t="inlineStr">
        <is>
          <t>RAMON · Otros · Paws Pet Market · BBVA VISA · 3 cuotas · Gmail Compra aprobada · ALMACEN SOL</t>
        </is>
      </c>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B410" s="52" t="n">
        <v>46275</v>
      </c>
      <c r="C410" t="inlineStr">
        <is>
          <t>RAMON · Comida</t>
        </is>
      </c>
      <c r="D410" t="n">
        <v>131000</v>
      </c>
      <c r="F410">
        <f>IF(OR(D410&lt;&gt;"",E410&lt;&gt;""),IF(D410="",0,D410)+IF(E410="",0,E410),"")</f>
        <v/>
      </c>
      <c r="G410" t="inlineStr">
        <is>
          <t>RAMON · Comida · DR BARF · Cova Abreu Gibiana Del Valle · transferencia MP · ALMACEN SOL</t>
        </is>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(no CIUDAD) ABL OHIGGINS partida 3016365 — ver OHIGGINS/Detalle</t>
        </is>
      </c>
      <c r="D52" s="26" t="n"/>
      <c r="E52" t="inlineStr">
        <is>
          <t>Mercado Pago — Dinero disponible</t>
        </is>
      </c>
      <c r="H52" t="inlineStr">
        <is>
          <t>SUPERSEDE · monto 88141 es OHIGGINS (&gt;80k) · no sumar a CIUDAD</t>
        </is>
      </c>
      <c r="I52" t="inlineStr">
        <is>
          <t>Marzo</t>
        </is>
      </c>
    </row>
    <row r="53">
      <c r="A53" s="25" t="n">
        <v>46066</v>
      </c>
      <c r="B53" t="inlineStr">
        <is>
          <t>ABL</t>
        </is>
      </c>
      <c r="C53" t="inlineStr">
        <is>
          <t>(no CIUDAD) ABL OHIGGINS partida 3016365 — ver OHIGGINS/Detalle</t>
        </is>
      </c>
      <c r="D53" s="26" t="n"/>
      <c r="E53" t="inlineStr">
        <is>
          <t>Mercado Pago — Dinero disponible</t>
        </is>
      </c>
      <c r="H53" t="inlineStr">
        <is>
          <t>SUPERSEDE · monto 83757 es OHIGGINS (&gt;80k) · no sumar a CIUDAD</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MOVIDO → Almacén</t>
        </is>
      </c>
      <c r="D155" s="26" t="n"/>
      <c r="F155" t="inlineStr">
        <is>
          <t>SUPERSEDE · Pescadería Belgrano $24852 → Almacen Detalle · COMIDA · Pescadería Belgrano (no GPS)</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MOVIDO → Almacén</t>
        </is>
      </c>
      <c r="D173" s="26" t="n"/>
      <c r="F173" t="inlineStr">
        <is>
          <t>SUPERSEDE · Pescadería Belgrano $32046 → Almacen Detalle · COMIDA · Pescadería Belgrano (no GPS)</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MOVIDO → Almacén</t>
        </is>
      </c>
      <c r="F861" t="inlineStr">
        <is>
          <t>SUPERSEDE · DR BARF / Gibiana Cova → Almacen Detalle · RAMON · Comida (no GPS)</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MOVIDO → Almacén</t>
        </is>
      </c>
      <c r="F953" t="inlineStr">
        <is>
          <t>SUPERSEDE · DR BARF / Gibiana Cova → Almacen Detalle · RAMON · Comida (no GPS)</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2026-10-12T22:18:10Z</dcterms:modified>
</cp:coreProperties>
</file>
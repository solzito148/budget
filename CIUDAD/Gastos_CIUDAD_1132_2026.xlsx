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sz val="12"/>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EFDA"/>
      </patternFill>
    </fill>
    <fill>
      <patternFill patternType="solid">
        <fgColor rgb="00FFF2CC"/>
      </patternFill>
    </fill>
  </fills>
  <borders count="8">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
      <left style="thin"/>
      <right style="thin"/>
      <top style="thin"/>
      <bottom style="thin"/>
    </border>
  </borders>
  <cellStyleXfs count="1">
    <xf numFmtId="0" fontId="0" fillId="0" borderId="0"/>
  </cellStyleXfs>
  <cellXfs count="8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7" fontId="0" fillId="0" borderId="7" pivotButton="0" quotePrefix="0" xfId="0"/>
    <xf numFmtId="0" fontId="0" fillId="0" borderId="7" pivotButton="0" quotePrefix="0" xfId="0"/>
    <xf numFmtId="3" fontId="0" fillId="0" borderId="7" pivotButton="0" quotePrefix="0" xfId="0"/>
    <xf numFmtId="0" fontId="16" fillId="0" borderId="0" pivotButton="0" quotePrefix="0" xfId="0"/>
    <xf numFmtId="0" fontId="7" fillId="2" borderId="7" pivotButton="0" quotePrefix="0" xfId="0"/>
    <xf numFmtId="167" fontId="10" fillId="10" borderId="7" pivotButton="0" quotePrefix="0" xfId="0"/>
    <xf numFmtId="0" fontId="0" fillId="10" borderId="7" pivotButton="0" quotePrefix="0" xfId="0"/>
    <xf numFmtId="3" fontId="0" fillId="10" borderId="7" pivotButton="0" quotePrefix="0" xfId="0"/>
    <xf numFmtId="9" fontId="0" fillId="10" borderId="7" pivotButton="0" quotePrefix="0" xfId="0"/>
    <xf numFmtId="167" fontId="0" fillId="10" borderId="7" pivotButton="0" quotePrefix="0" xfId="0"/>
    <xf numFmtId="167" fontId="11" fillId="10" borderId="7" pivotButton="0" quotePrefix="0" xfId="0"/>
    <xf numFmtId="0" fontId="6" fillId="10" borderId="7" pivotButton="0" quotePrefix="0" xfId="0"/>
    <xf numFmtId="3" fontId="11" fillId="10" borderId="7" pivotButton="0" quotePrefix="0" xfId="0"/>
    <xf numFmtId="9" fontId="11" fillId="10" borderId="7" pivotButton="0" quotePrefix="0" xfId="0"/>
    <xf numFmtId="164" fontId="0" fillId="11" borderId="1" pivotButton="0" quotePrefix="0" xfId="0"/>
    <xf numFmtId="164" fontId="6" fillId="0" borderId="1" pivotButton="0" quotePrefix="0" xfId="0"/>
    <xf numFmtId="164" fontId="7" fillId="2" borderId="7" pivotButton="0" quotePrefix="0" xfId="0"/>
    <xf numFmtId="3" fontId="7" fillId="2" borderId="7" pivotButton="0" quotePrefix="0" xfId="0"/>
    <xf numFmtId="10" fontId="7" fillId="2" borderId="7" pivotButton="0" quotePrefix="0" xfId="0"/>
    <xf numFmtId="164" fontId="0" fillId="0" borderId="7" pivotButton="0" quotePrefix="0" xfId="0"/>
    <xf numFmtId="10" fontId="0"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63" t="n">
        <v>46232</v>
      </c>
      <c r="B24" s="64" t="inlineStr">
        <is>
          <t>Julio</t>
        </is>
      </c>
      <c r="C24" s="64" t="inlineStr">
        <is>
          <t>Inversión</t>
        </is>
      </c>
      <c r="D24" s="64" t="inlineStr">
        <is>
          <t>Banco MP · Christian</t>
        </is>
      </c>
      <c r="E24" s="65" t="n">
        <v>10000000</v>
      </c>
      <c r="F24" s="64" t="inlineStr">
        <is>
          <t>ARS</t>
        </is>
      </c>
      <c r="G24" s="64" t="inlineStr">
        <is>
          <t>Mercado Pago</t>
        </is>
      </c>
      <c r="H24" s="64" t="inlineStr">
        <is>
          <t>Inversión · − · único stock banco MP · Christian · 21% anual · instruido Sol 2026-08-03</t>
        </is>
      </c>
    </row>
    <row r="25">
      <c r="A25" s="63" t="n">
        <v>46232</v>
      </c>
      <c r="B25" s="64" t="inlineStr">
        <is>
          <t>Julio</t>
        </is>
      </c>
      <c r="C25" s="64" t="inlineStr">
        <is>
          <t>Inversión</t>
        </is>
      </c>
      <c r="D25" s="64" t="inlineStr">
        <is>
          <t>Banco MP · Sol</t>
        </is>
      </c>
      <c r="E25" s="65" t="n">
        <v>3000000</v>
      </c>
      <c r="F25" s="64" t="inlineStr">
        <is>
          <t>ARS</t>
        </is>
      </c>
      <c r="G25" s="64" t="inlineStr">
        <is>
          <t>Mercado Pago</t>
        </is>
      </c>
      <c r="H25" s="64" t="inlineStr">
        <is>
          <t>Inversión · − · único stock banco MP · Sol · 21% anual · instruido Sol 2026-08-03</t>
        </is>
      </c>
    </row>
    <row r="26">
      <c r="A26" s="63" t="n">
        <v>46222</v>
      </c>
      <c r="B26" s="64" t="inlineStr">
        <is>
          <t>Julio</t>
        </is>
      </c>
      <c r="C26" s="64" t="inlineStr">
        <is>
          <t>Dinero retirado</t>
        </is>
      </c>
      <c r="D26" s="64" t="inlineStr">
        <is>
          <t>Susi</t>
        </is>
      </c>
      <c r="E26" s="65" t="n">
        <v>15000</v>
      </c>
      <c r="F26" s="64" t="inlineStr">
        <is>
          <t>ARS</t>
        </is>
      </c>
      <c r="G26" s="64" t="inlineStr">
        <is>
          <t>Mercado Pago</t>
        </is>
      </c>
      <c r="H26" s="64" t="inlineStr">
        <is>
          <t>Dinero retirado · + · financió transferencia Matias Aranda</t>
        </is>
      </c>
    </row>
    <row r="27">
      <c r="A27" s="63" t="n">
        <v>46221</v>
      </c>
      <c r="B27" s="64" t="inlineStr">
        <is>
          <t>Julio</t>
        </is>
      </c>
      <c r="C27" s="64" t="inlineStr">
        <is>
          <t>Dinero retirado</t>
        </is>
      </c>
      <c r="D27" s="64" t="inlineStr">
        <is>
          <t>Palermo</t>
        </is>
      </c>
      <c r="E27" s="65" t="n">
        <v>593000</v>
      </c>
      <c r="F27" s="64" t="inlineStr">
        <is>
          <t>ARS</t>
        </is>
      </c>
      <c r="G27" s="64" t="inlineStr">
        <is>
          <t>Mercado Pago</t>
        </is>
      </c>
      <c r="H27" s="64" t="inlineStr">
        <is>
          <t>Dinero retirado · + · financió transferencia Analia Roay</t>
        </is>
      </c>
    </row>
    <row r="28">
      <c r="A28" s="63" t="n">
        <v>46221</v>
      </c>
      <c r="B28" s="64" t="inlineStr">
        <is>
          <t>Julio</t>
        </is>
      </c>
      <c r="C28" s="64" t="inlineStr">
        <is>
          <t>Inversión</t>
        </is>
      </c>
      <c r="D28" s="64" t="inlineStr">
        <is>
          <t>Venta de dólares</t>
        </is>
      </c>
      <c r="E28" s="65" t="n">
        <v>1261633</v>
      </c>
      <c r="F28" s="64" t="inlineStr">
        <is>
          <t>ARS</t>
        </is>
      </c>
      <c r="G28" s="64" t="inlineStr">
        <is>
          <t>Mercado Pago</t>
        </is>
      </c>
      <c r="H28" s="64" t="inlineStr">
        <is>
          <t>Venta de dólares · + · en proceso · ceil 1261632.32</t>
        </is>
      </c>
    </row>
    <row r="29">
      <c r="A29" s="63" t="n">
        <v>46221</v>
      </c>
      <c r="B29" s="64" t="inlineStr">
        <is>
          <t>Julio</t>
        </is>
      </c>
      <c r="C29" s="64" t="inlineStr">
        <is>
          <t>Dinero retirado</t>
        </is>
      </c>
      <c r="D29" s="64" t="inlineStr">
        <is>
          <t>Gastos</t>
        </is>
      </c>
      <c r="E29" s="65" t="n">
        <v>845</v>
      </c>
      <c r="F29" s="64" t="inlineStr">
        <is>
          <t>USD</t>
        </is>
      </c>
      <c r="G29" s="64" t="inlineStr">
        <is>
          <t>Mercado Pago</t>
        </is>
      </c>
      <c r="H29" s="64" t="inlineStr">
        <is>
          <t>Dinero retirado · + US$844.37 → ceil 845</t>
        </is>
      </c>
    </row>
    <row r="30">
      <c r="A30" s="63" t="n">
        <v>46221</v>
      </c>
      <c r="B30" s="64" t="inlineStr">
        <is>
          <t>Julio</t>
        </is>
      </c>
      <c r="C30" s="64" t="inlineStr">
        <is>
          <t>Dinero reservado</t>
        </is>
      </c>
      <c r="D30" s="64" t="inlineStr">
        <is>
          <t>Susi</t>
        </is>
      </c>
      <c r="E30" s="65" t="n">
        <v>5654</v>
      </c>
      <c r="F30" s="64" t="inlineStr">
        <is>
          <t>ARS</t>
        </is>
      </c>
      <c r="G30" s="64" t="inlineStr">
        <is>
          <t>Mercado Pago</t>
        </is>
      </c>
      <c r="H30" s="64" t="inlineStr">
        <is>
          <t>Dinero reservado · − · ceil 5653.97 · NUNCA almacén</t>
        </is>
      </c>
    </row>
    <row r="31">
      <c r="A31" s="63" t="n">
        <v>46221</v>
      </c>
      <c r="B31" s="64" t="inlineStr">
        <is>
          <t>Julio</t>
        </is>
      </c>
      <c r="C31" s="64" t="inlineStr">
        <is>
          <t>Reserva automática</t>
        </is>
      </c>
      <c r="D31" s="64" t="inlineStr">
        <is>
          <t>AVA</t>
        </is>
      </c>
      <c r="E31" s="65" t="n">
        <v>500</v>
      </c>
      <c r="F31" s="64" t="inlineStr">
        <is>
          <t>ARS</t>
        </is>
      </c>
      <c r="G31" s="64" t="inlineStr">
        <is>
          <t>Mercado Pago</t>
        </is>
      </c>
      <c r="H31" s="64" t="inlineStr">
        <is>
          <t>Reserva automática · − · NUNCA almacén</t>
        </is>
      </c>
    </row>
    <row r="32">
      <c r="A32" s="63" t="n">
        <v>46221</v>
      </c>
      <c r="B32" s="64" t="inlineStr">
        <is>
          <t>Julio</t>
        </is>
      </c>
      <c r="C32" s="64" t="inlineStr">
        <is>
          <t>Reserva automática</t>
        </is>
      </c>
      <c r="D32" s="64" t="inlineStr">
        <is>
          <t>Susi</t>
        </is>
      </c>
      <c r="E32" s="65" t="n">
        <v>3000</v>
      </c>
      <c r="F32" s="64" t="inlineStr">
        <is>
          <t>ARS</t>
        </is>
      </c>
      <c r="G32" s="64" t="inlineStr">
        <is>
          <t>Mercado Pago</t>
        </is>
      </c>
      <c r="H32" s="64" t="inlineStr">
        <is>
          <t>Reserva automática · − · NUNCA almacén</t>
        </is>
      </c>
    </row>
    <row r="33">
      <c r="A33" s="63" t="n">
        <v>46221</v>
      </c>
      <c r="B33" s="64" t="inlineStr">
        <is>
          <t>Julio</t>
        </is>
      </c>
      <c r="C33" s="64" t="inlineStr">
        <is>
          <t>Dinero retirado</t>
        </is>
      </c>
      <c r="D33" s="64" t="inlineStr">
        <is>
          <t>Susi</t>
        </is>
      </c>
      <c r="E33" s="65" t="n">
        <v>120000</v>
      </c>
      <c r="F33" s="64" t="inlineStr">
        <is>
          <t>ARS</t>
        </is>
      </c>
      <c r="G33" s="64" t="inlineStr">
        <is>
          <t>Mercado Pago</t>
        </is>
      </c>
      <c r="H33" s="64" t="inlineStr">
        <is>
          <t>Dinero retirado · +</t>
        </is>
      </c>
    </row>
    <row r="34">
      <c r="A34" s="63" t="n">
        <v>46221</v>
      </c>
      <c r="B34" s="64" t="inlineStr">
        <is>
          <t>Julio</t>
        </is>
      </c>
      <c r="C34" s="64" t="inlineStr">
        <is>
          <t>Dinero retirado</t>
        </is>
      </c>
      <c r="D34" s="64" t="inlineStr">
        <is>
          <t>AVA</t>
        </is>
      </c>
      <c r="E34" s="65" t="n">
        <v>36813</v>
      </c>
      <c r="F34" s="64" t="inlineStr">
        <is>
          <t>ARS</t>
        </is>
      </c>
      <c r="G34" s="64" t="inlineStr">
        <is>
          <t>Mercado Pago</t>
        </is>
      </c>
      <c r="H34" s="64" t="inlineStr">
        <is>
          <t>Dinero retirado · + · ceil 36812.97</t>
        </is>
      </c>
    </row>
    <row r="35">
      <c r="A35" s="63" t="n">
        <v>46221</v>
      </c>
      <c r="B35" s="64" t="inlineStr">
        <is>
          <t>Julio</t>
        </is>
      </c>
      <c r="C35" s="64" t="inlineStr">
        <is>
          <t>Dinero retirado</t>
        </is>
      </c>
      <c r="D35" s="64" t="inlineStr">
        <is>
          <t>Susi</t>
        </is>
      </c>
      <c r="E35" s="65" t="n">
        <v>1</v>
      </c>
      <c r="F35" s="64" t="inlineStr">
        <is>
          <t>ARS</t>
        </is>
      </c>
      <c r="G35" s="64" t="inlineStr">
        <is>
          <t>Mercado Pago</t>
        </is>
      </c>
      <c r="H35" s="64" t="inlineStr">
        <is>
          <t>Dinero retirado · +</t>
        </is>
      </c>
    </row>
    <row r="36">
      <c r="A36" s="63" t="n">
        <v>46221</v>
      </c>
      <c r="B36" s="64" t="inlineStr">
        <is>
          <t>Julio</t>
        </is>
      </c>
      <c r="C36" s="64" t="inlineStr">
        <is>
          <t>Pago de deuda MP</t>
        </is>
      </c>
      <c r="D36" s="64" t="inlineStr">
        <is>
          <t>Mercado Pago</t>
        </is>
      </c>
      <c r="E36" s="65" t="n">
        <v>147660</v>
      </c>
      <c r="F36" s="64" t="inlineStr">
        <is>
          <t>ARS</t>
        </is>
      </c>
      <c r="G36" s="64" t="inlineStr">
        <is>
          <t>Mercado Pago</t>
        </is>
      </c>
      <c r="H36" s="64" t="inlineStr">
        <is>
          <t>Pago de deuda · − · pareado con retiro Susi 147660 · NUNCA almacén</t>
        </is>
      </c>
    </row>
    <row r="37">
      <c r="A37" s="63" t="n">
        <v>46221</v>
      </c>
      <c r="B37" s="64" t="inlineStr">
        <is>
          <t>Julio</t>
        </is>
      </c>
      <c r="C37" s="64" t="inlineStr">
        <is>
          <t>Dinero retirado</t>
        </is>
      </c>
      <c r="D37" s="64" t="inlineStr">
        <is>
          <t>Susi</t>
        </is>
      </c>
      <c r="E37" s="65" t="n">
        <v>147660</v>
      </c>
      <c r="F37" s="64" t="inlineStr">
        <is>
          <t>ARS</t>
        </is>
      </c>
      <c r="G37" s="64" t="inlineStr">
        <is>
          <t>Mercado Pago</t>
        </is>
      </c>
      <c r="H37" s="64" t="inlineStr">
        <is>
          <t>Dinero retirado · + · pareado pago deuda / Susana</t>
        </is>
      </c>
    </row>
    <row r="38">
      <c r="A38" s="63" t="n">
        <v>46221</v>
      </c>
      <c r="B38" s="64" t="inlineStr">
        <is>
          <t>Julio</t>
        </is>
      </c>
      <c r="C38" s="64" t="inlineStr">
        <is>
          <t>Pago de deuda MP</t>
        </is>
      </c>
      <c r="D38" s="64" t="inlineStr">
        <is>
          <t>Mercado Pago</t>
        </is>
      </c>
      <c r="E38" s="65" t="n">
        <v>60000</v>
      </c>
      <c r="F38" s="64" t="inlineStr">
        <is>
          <t>ARS</t>
        </is>
      </c>
      <c r="G38" s="64" t="inlineStr">
        <is>
          <t>Mercado Pago</t>
        </is>
      </c>
      <c r="H38" s="64" t="inlineStr">
        <is>
          <t>Pago de deuda · − · NUNCA almacén</t>
        </is>
      </c>
    </row>
    <row r="39">
      <c r="A39" s="63" t="n">
        <v>46221</v>
      </c>
      <c r="B39" s="64" t="inlineStr">
        <is>
          <t>Julio</t>
        </is>
      </c>
      <c r="C39" s="64" t="inlineStr">
        <is>
          <t>Dinero retirado</t>
        </is>
      </c>
      <c r="D39" s="64" t="inlineStr">
        <is>
          <t>Susi</t>
        </is>
      </c>
      <c r="E39" s="65" t="n">
        <v>60000</v>
      </c>
      <c r="F39" s="64" t="inlineStr">
        <is>
          <t>ARS</t>
        </is>
      </c>
      <c r="G39" s="64" t="inlineStr">
        <is>
          <t>Mercado Pago</t>
        </is>
      </c>
      <c r="H39" s="64" t="inlineStr">
        <is>
          <t>Dinero retirado · + · pareado pago deuda 60k</t>
        </is>
      </c>
    </row>
    <row r="40">
      <c r="A40" s="63" t="n">
        <v>46221</v>
      </c>
      <c r="B40" s="64" t="inlineStr">
        <is>
          <t>Julio</t>
        </is>
      </c>
      <c r="C40" s="64" t="inlineStr">
        <is>
          <t>Pago de deuda MP</t>
        </is>
      </c>
      <c r="D40" s="64" t="inlineStr">
        <is>
          <t>Mercado Pago</t>
        </is>
      </c>
      <c r="E40" s="65" t="n">
        <v>966</v>
      </c>
      <c r="F40" s="64" t="inlineStr">
        <is>
          <t>ARS</t>
        </is>
      </c>
      <c r="G40" s="64" t="inlineStr">
        <is>
          <t>Mercado Pago</t>
        </is>
      </c>
      <c r="H40" s="64" t="inlineStr">
        <is>
          <t>Pago de deuda · − · ceil 965.70 · NUNCA almacén</t>
        </is>
      </c>
    </row>
    <row r="41">
      <c r="A41" s="63" t="n">
        <v>46220</v>
      </c>
      <c r="B41" s="64" t="inlineStr">
        <is>
          <t>Julio</t>
        </is>
      </c>
      <c r="C41" s="64" t="inlineStr">
        <is>
          <t>Reserva automática</t>
        </is>
      </c>
      <c r="D41" s="64" t="inlineStr">
        <is>
          <t>AVA</t>
        </is>
      </c>
      <c r="E41" s="65" t="n">
        <v>500</v>
      </c>
      <c r="F41" s="64" t="inlineStr">
        <is>
          <t>ARS</t>
        </is>
      </c>
      <c r="G41" s="64" t="inlineStr">
        <is>
          <t>Mercado Pago</t>
        </is>
      </c>
      <c r="H41" s="64" t="inlineStr">
        <is>
          <t>Reserva automática · − · NUNCA almacén</t>
        </is>
      </c>
    </row>
    <row r="42">
      <c r="A42" s="63" t="n">
        <v>46220</v>
      </c>
      <c r="B42" s="64" t="inlineStr">
        <is>
          <t>Julio</t>
        </is>
      </c>
      <c r="C42" s="64" t="inlineStr">
        <is>
          <t>Reserva automática</t>
        </is>
      </c>
      <c r="D42" s="64" t="inlineStr">
        <is>
          <t>Susi</t>
        </is>
      </c>
      <c r="E42" s="65" t="n">
        <v>3000</v>
      </c>
      <c r="F42" s="64" t="inlineStr">
        <is>
          <t>ARS</t>
        </is>
      </c>
      <c r="G42" s="64" t="inlineStr">
        <is>
          <t>Mercado Pago</t>
        </is>
      </c>
      <c r="H42" s="64" t="inlineStr">
        <is>
          <t>Reserva automática · − · 18:17 · NUNCA almacén</t>
        </is>
      </c>
    </row>
    <row r="43">
      <c r="A43" s="63" t="n">
        <v>46220</v>
      </c>
      <c r="B43" s="64" t="inlineStr">
        <is>
          <t>Julio</t>
        </is>
      </c>
      <c r="C43" s="64" t="inlineStr">
        <is>
          <t>Dinero retirado</t>
        </is>
      </c>
      <c r="D43" s="64" t="inlineStr">
        <is>
          <t>Susi</t>
        </is>
      </c>
      <c r="E43" s="65" t="n">
        <v>30000</v>
      </c>
      <c r="F43" s="64" t="inlineStr">
        <is>
          <t>ARS</t>
        </is>
      </c>
      <c r="G43" s="64" t="inlineStr">
        <is>
          <t>Mercado Pago</t>
        </is>
      </c>
      <c r="H43" s="64" t="inlineStr">
        <is>
          <t>Dinero retirado · + · 14:32</t>
        </is>
      </c>
    </row>
    <row r="44">
      <c r="A44" s="63" t="n">
        <v>46220</v>
      </c>
      <c r="B44" s="64" t="inlineStr">
        <is>
          <t>Julio</t>
        </is>
      </c>
      <c r="C44" s="64" t="inlineStr">
        <is>
          <t>Reserva automática</t>
        </is>
      </c>
      <c r="D44" s="64" t="inlineStr">
        <is>
          <t>Susi</t>
        </is>
      </c>
      <c r="E44" s="65" t="n">
        <v>3000</v>
      </c>
      <c r="F44" s="64" t="inlineStr">
        <is>
          <t>ARS</t>
        </is>
      </c>
      <c r="G44" s="64" t="inlineStr">
        <is>
          <t>Mercado Pago</t>
        </is>
      </c>
      <c r="H44" s="64" t="inlineStr">
        <is>
          <t>Reserva automática · − · 18:17 · NUNCA almacén</t>
        </is>
      </c>
    </row>
    <row r="45">
      <c r="A45" s="63" t="n">
        <v>46220</v>
      </c>
      <c r="B45" s="64" t="inlineStr">
        <is>
          <t>Julio</t>
        </is>
      </c>
      <c r="C45" s="64" t="inlineStr">
        <is>
          <t>Reserva automática</t>
        </is>
      </c>
      <c r="D45" s="64" t="inlineStr">
        <is>
          <t>AVA</t>
        </is>
      </c>
      <c r="E45" s="65" t="n">
        <v>500</v>
      </c>
      <c r="F45" s="64" t="inlineStr">
        <is>
          <t>ARS</t>
        </is>
      </c>
      <c r="G45" s="64" t="inlineStr">
        <is>
          <t>Mercado Pago</t>
        </is>
      </c>
      <c r="H45" s="64" t="inlineStr">
        <is>
          <t>Reserva automática · − · 17:15 · NUNCA almacén</t>
        </is>
      </c>
    </row>
    <row r="46">
      <c r="A46" s="63" t="n">
        <v>46219</v>
      </c>
      <c r="B46" s="64" t="inlineStr">
        <is>
          <t>Julio</t>
        </is>
      </c>
      <c r="C46" s="64" t="inlineStr">
        <is>
          <t>Dinero reservado</t>
        </is>
      </c>
      <c r="D46" s="64" t="inlineStr">
        <is>
          <t>Susi</t>
        </is>
      </c>
      <c r="E46" s="65" t="n">
        <v>488004</v>
      </c>
      <c r="F46" s="64" t="inlineStr">
        <is>
          <t>ARS</t>
        </is>
      </c>
      <c r="G46" s="64" t="inlineStr">
        <is>
          <t>Mercado Pago</t>
        </is>
      </c>
      <c r="H46" s="64" t="inlineStr">
        <is>
          <t>Dinero reservado · − · ceil 488003.27 · NUNCA almacén</t>
        </is>
      </c>
    </row>
    <row r="47">
      <c r="A47" s="63" t="n">
        <v>46218</v>
      </c>
      <c r="B47" s="64" t="inlineStr">
        <is>
          <t>Julio</t>
        </is>
      </c>
      <c r="C47" s="64" t="inlineStr">
        <is>
          <t>Dinero retirado</t>
        </is>
      </c>
      <c r="D47" s="64" t="inlineStr">
        <is>
          <t>Gastos</t>
        </is>
      </c>
      <c r="E47" s="65" t="n">
        <v>500</v>
      </c>
      <c r="F47" s="64" t="inlineStr">
        <is>
          <t>USD</t>
        </is>
      </c>
      <c r="G47" s="64" t="inlineStr">
        <is>
          <t>Mercado Pago</t>
        </is>
      </c>
      <c r="H47" s="64" t="inlineStr">
        <is>
          <t>Dinero retirado · + US$500 · pareado transferencia propia Sanes</t>
        </is>
      </c>
    </row>
    <row r="48">
      <c r="A48" s="63" t="n">
        <v>46218</v>
      </c>
      <c r="B48" s="64" t="inlineStr">
        <is>
          <t>Julio</t>
        </is>
      </c>
      <c r="C48" s="64" t="inlineStr">
        <is>
          <t>Reserva automática</t>
        </is>
      </c>
      <c r="D48" s="64" t="inlineStr">
        <is>
          <t>AVA</t>
        </is>
      </c>
      <c r="E48" s="65" t="n">
        <v>500</v>
      </c>
      <c r="F48" s="64" t="inlineStr">
        <is>
          <t>ARS</t>
        </is>
      </c>
      <c r="G48" s="64" t="inlineStr">
        <is>
          <t>Mercado Pago</t>
        </is>
      </c>
      <c r="H48" s="64" t="inlineStr">
        <is>
          <t>Reserva automática · − · NUNCA almacén</t>
        </is>
      </c>
    </row>
    <row r="49">
      <c r="A49" s="63" t="n">
        <v>46218</v>
      </c>
      <c r="B49" s="64" t="inlineStr">
        <is>
          <t>Julio</t>
        </is>
      </c>
      <c r="C49" s="64" t="inlineStr">
        <is>
          <t>Reserva automática</t>
        </is>
      </c>
      <c r="D49" s="64" t="inlineStr">
        <is>
          <t>Susi</t>
        </is>
      </c>
      <c r="E49" s="65" t="n">
        <v>3000</v>
      </c>
      <c r="F49" s="64" t="inlineStr">
        <is>
          <t>ARS</t>
        </is>
      </c>
      <c r="G49" s="64" t="inlineStr">
        <is>
          <t>Mercado Pago</t>
        </is>
      </c>
      <c r="H49" s="64" t="inlineStr">
        <is>
          <t>Reserva automática · − · NUNCA almacén</t>
        </is>
      </c>
    </row>
    <row r="50">
      <c r="A50" s="63" t="n">
        <v>46218</v>
      </c>
      <c r="B50" s="64" t="inlineStr">
        <is>
          <t>Julio</t>
        </is>
      </c>
      <c r="C50" s="64" t="inlineStr">
        <is>
          <t>Pago de resumen TC</t>
        </is>
      </c>
      <c r="D50" s="64" t="inlineStr">
        <is>
          <t>Tarjeta de crédito</t>
        </is>
      </c>
      <c r="E50" s="65" t="n">
        <v>576242</v>
      </c>
      <c r="F50" s="64" t="inlineStr">
        <is>
          <t>ARS</t>
        </is>
      </c>
      <c r="G50" s="64" t="inlineStr">
        <is>
          <t>Mercado Pago</t>
        </is>
      </c>
      <c r="H50" s="64" t="inlineStr">
        <is>
          <t>Pago de resumen · − · ceil 576241.18 · NUNCA almacén / no gasto nuevo</t>
        </is>
      </c>
    </row>
    <row r="51">
      <c r="A51" s="63" t="n">
        <v>46217</v>
      </c>
      <c r="B51" s="64" t="inlineStr">
        <is>
          <t>Julio</t>
        </is>
      </c>
      <c r="C51" s="64" t="inlineStr">
        <is>
          <t>Reserva automática</t>
        </is>
      </c>
      <c r="D51" s="64" t="inlineStr">
        <is>
          <t>AVA</t>
        </is>
      </c>
      <c r="E51" s="65" t="n">
        <v>500</v>
      </c>
      <c r="F51" s="64" t="inlineStr">
        <is>
          <t>ARS</t>
        </is>
      </c>
      <c r="G51" s="64" t="inlineStr">
        <is>
          <t>Mercado Pago</t>
        </is>
      </c>
      <c r="H51" s="64" t="inlineStr">
        <is>
          <t>Reserva automática · − · NUNCA almacén</t>
        </is>
      </c>
    </row>
    <row r="52">
      <c r="A52" s="63" t="n">
        <v>46217</v>
      </c>
      <c r="B52" s="64" t="inlineStr">
        <is>
          <t>Julio</t>
        </is>
      </c>
      <c r="C52" s="64" t="inlineStr">
        <is>
          <t>Reserva automática</t>
        </is>
      </c>
      <c r="D52" s="64" t="inlineStr">
        <is>
          <t>Susi</t>
        </is>
      </c>
      <c r="E52" s="65" t="n">
        <v>3000</v>
      </c>
      <c r="F52" s="64" t="inlineStr">
        <is>
          <t>ARS</t>
        </is>
      </c>
      <c r="G52" s="64" t="inlineStr">
        <is>
          <t>Mercado Pago</t>
        </is>
      </c>
      <c r="H52" s="64" t="inlineStr">
        <is>
          <t>Reserva automática · −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 Stock banco MP vigente = único valor instruido por Sol (no sumar inversiones previas Bonos/PF).</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SUMIFS($F$27:$F$500,$B$27:$B$500,A6,$D$27:$D$500,"Inversión")</f>
        <v/>
      </c>
      <c r="C6" s="15">
        <f>SUMIFS($F$27:$F$500,$B$27:$B$500,A6,$D$27:$D$500,"Rescate")</f>
        <v/>
      </c>
      <c r="D6" s="15">
        <f>SUMIFS($F$27:$F$500,$B$27:$B$500,A6,$D$27:$D$500,"Rendimiento")</f>
        <v/>
      </c>
      <c r="E6" s="15">
        <f>C6+D6-B6</f>
        <v/>
      </c>
    </row>
    <row r="7">
      <c r="A7" s="14" t="inlineStr">
        <is>
          <t>Febrero</t>
        </is>
      </c>
      <c r="B7" s="15">
        <f>SUMIFS($F$27:$F$500,$B$27:$B$500,A7,$D$27:$D$500,"Inversión")</f>
        <v/>
      </c>
      <c r="C7" s="15">
        <f>SUMIFS($F$27:$F$500,$B$27:$B$500,A7,$D$27:$D$500,"Rescate")</f>
        <v/>
      </c>
      <c r="D7" s="15">
        <f>SUMIFS($F$27:$F$500,$B$27:$B$500,A7,$D$27:$D$500,"Rendimiento")</f>
        <v/>
      </c>
      <c r="E7" s="15">
        <f>C7+D7-B7</f>
        <v/>
      </c>
    </row>
    <row r="8">
      <c r="A8" s="14" t="inlineStr">
        <is>
          <t>Marzo</t>
        </is>
      </c>
      <c r="B8" s="15">
        <f>SUMIFS($F$27:$F$500,$B$27:$B$500,A8,$D$27:$D$500,"Inversión")</f>
        <v/>
      </c>
      <c r="C8" s="15">
        <f>SUMIFS($F$27:$F$500,$B$27:$B$500,A8,$D$27:$D$500,"Rescate")</f>
        <v/>
      </c>
      <c r="D8" s="15">
        <f>SUMIFS($F$27:$F$500,$B$27:$B$500,A8,$D$27:$D$500,"Rendimiento")</f>
        <v/>
      </c>
      <c r="E8" s="15">
        <f>C8+D8-B8</f>
        <v/>
      </c>
    </row>
    <row r="9">
      <c r="A9" s="14" t="inlineStr">
        <is>
          <t>Abril</t>
        </is>
      </c>
      <c r="B9" s="15">
        <f>SUMIFS($F$27:$F$500,$B$27:$B$500,A9,$D$27:$D$500,"Inversión")</f>
        <v/>
      </c>
      <c r="C9" s="15">
        <f>SUMIFS($F$27:$F$500,$B$27:$B$500,A9,$D$27:$D$500,"Rescate")</f>
        <v/>
      </c>
      <c r="D9" s="15">
        <f>SUMIFS($F$27:$F$500,$B$27:$B$500,A9,$D$27:$D$500,"Rendimiento")</f>
        <v/>
      </c>
      <c r="E9" s="15">
        <f>C9+D9-B9</f>
        <v/>
      </c>
    </row>
    <row r="10">
      <c r="A10" s="14" t="inlineStr">
        <is>
          <t>Mayo</t>
        </is>
      </c>
      <c r="B10" s="15">
        <f>SUMIFS($F$27:$F$500,$B$27:$B$500,A10,$D$27:$D$500,"Inversión")</f>
        <v/>
      </c>
      <c r="C10" s="15">
        <f>SUMIFS($F$27:$F$500,$B$27:$B$500,A10,$D$27:$D$500,"Rescate")</f>
        <v/>
      </c>
      <c r="D10" s="15">
        <f>SUMIFS($F$27:$F$500,$B$27:$B$500,A10,$D$27:$D$500,"Rendimiento")</f>
        <v/>
      </c>
      <c r="E10" s="15">
        <f>C10+D10-B10</f>
        <v/>
      </c>
    </row>
    <row r="11">
      <c r="A11" s="14" t="inlineStr">
        <is>
          <t>Junio</t>
        </is>
      </c>
      <c r="B11" s="15">
        <f>SUMIFS($F$27:$F$500,$B$27:$B$500,A11,$D$27:$D$500,"Inversión")</f>
        <v/>
      </c>
      <c r="C11" s="15">
        <f>SUMIFS($F$27:$F$500,$B$27:$B$500,A11,$D$27:$D$500,"Rescate")</f>
        <v/>
      </c>
      <c r="D11" s="15">
        <f>SUMIFS($F$27:$F$500,$B$27:$B$500,A11,$D$27:$D$500,"Rendimiento")</f>
        <v/>
      </c>
      <c r="E11" s="15">
        <f>C11+D11-B11</f>
        <v/>
      </c>
    </row>
    <row r="12">
      <c r="A12" s="14" t="inlineStr">
        <is>
          <t>Julio</t>
        </is>
      </c>
      <c r="B12" s="15">
        <f>SUMIFS($F$27:$F$500,$B$27:$B$500,A12,$D$27:$D$500,"Inversión")</f>
        <v/>
      </c>
      <c r="C12" s="15">
        <f>SUMIFS($F$27:$F$500,$B$27:$B$500,A12,$D$27:$D$500,"Rescate")</f>
        <v/>
      </c>
      <c r="D12" s="15">
        <f>SUMIFS($F$27:$F$500,$B$27:$B$500,A12,$D$27:$D$500,"Rendimiento")</f>
        <v/>
      </c>
      <c r="E12" s="15">
        <f>C12+D12-B12</f>
        <v/>
      </c>
    </row>
    <row r="13">
      <c r="A13" s="14" t="inlineStr">
        <is>
          <t>Agosto</t>
        </is>
      </c>
      <c r="B13" s="15">
        <f>SUMIFS($F$27:$F$500,$B$27:$B$500,A13,$D$27:$D$500,"Inversión")</f>
        <v/>
      </c>
      <c r="C13" s="15">
        <f>SUMIFS($F$27:$F$500,$B$27:$B$500,A13,$D$27:$D$500,"Rescate")</f>
        <v/>
      </c>
      <c r="D13" s="15">
        <f>SUMIFS($F$27:$F$500,$B$27:$B$500,A13,$D$27:$D$500,"Rendimiento")</f>
        <v/>
      </c>
      <c r="E13" s="15">
        <f>C13+D13-B13</f>
        <v/>
      </c>
    </row>
    <row r="14">
      <c r="A14" s="14" t="inlineStr">
        <is>
          <t>Septiembre</t>
        </is>
      </c>
      <c r="B14" s="15">
        <f>SUMIFS($F$27:$F$500,$B$27:$B$500,A14,$D$27:$D$500,"Inversión")</f>
        <v/>
      </c>
      <c r="C14" s="15">
        <f>SUMIFS($F$27:$F$500,$B$27:$B$500,A14,$D$27:$D$500,"Rescate")</f>
        <v/>
      </c>
      <c r="D14" s="15">
        <f>SUMIFS($F$27:$F$500,$B$27:$B$500,A14,$D$27:$D$500,"Rendimiento")</f>
        <v/>
      </c>
      <c r="E14" s="15">
        <f>C14+D14-B14</f>
        <v/>
      </c>
    </row>
    <row r="15">
      <c r="A15" s="14" t="inlineStr">
        <is>
          <t>Octubre</t>
        </is>
      </c>
      <c r="B15" s="15">
        <f>SUMIFS($F$27:$F$500,$B$27:$B$500,A15,$D$27:$D$500,"Inversión")</f>
        <v/>
      </c>
      <c r="C15" s="15">
        <f>SUMIFS($F$27:$F$500,$B$27:$B$500,A15,$D$27:$D$500,"Rescate")</f>
        <v/>
      </c>
      <c r="D15" s="15">
        <f>SUMIFS($F$27:$F$500,$B$27:$B$500,A15,$D$27:$D$500,"Rendimiento")</f>
        <v/>
      </c>
      <c r="E15" s="15">
        <f>C15+D15-B15</f>
        <v/>
      </c>
    </row>
    <row r="16">
      <c r="A16" s="14" t="inlineStr">
        <is>
          <t>Noviembre</t>
        </is>
      </c>
      <c r="B16" s="15">
        <f>SUMIFS($F$27:$F$500,$B$27:$B$500,A16,$D$27:$D$500,"Inversión")</f>
        <v/>
      </c>
      <c r="C16" s="15">
        <f>SUMIFS($F$27:$F$500,$B$27:$B$500,A16,$D$27:$D$500,"Rescate")</f>
        <v/>
      </c>
      <c r="D16" s="15">
        <f>SUMIFS($F$27:$F$500,$B$27:$B$500,A16,$D$27:$D$500,"Rendimiento")</f>
        <v/>
      </c>
      <c r="E16" s="15">
        <f>C16+D16-B16</f>
        <v/>
      </c>
    </row>
    <row r="17">
      <c r="A17" s="14" t="inlineStr">
        <is>
          <t>Diciembre</t>
        </is>
      </c>
      <c r="B17" s="15">
        <f>SUMIFS($F$27:$F$500,$B$27:$B$500,A17,$D$27:$D$500,"Inversión")</f>
        <v/>
      </c>
      <c r="C17" s="15">
        <f>SUMIFS($F$27:$F$500,$B$27:$B$500,A17,$D$27:$D$500,"Rescate")</f>
        <v/>
      </c>
      <c r="D17" s="15">
        <f>SUMIFS($F$27:$F$500,$B$27:$B$500,A17,$D$27:$D$500,"Rendimiento")</f>
        <v/>
      </c>
      <c r="E17" s="15">
        <f>C17+D17-B17</f>
        <v/>
      </c>
    </row>
    <row r="18">
      <c r="A18" s="35" t="inlineStr">
        <is>
          <t>TOTAL AÑO</t>
        </is>
      </c>
      <c r="B18" s="36">
        <f>SUM(B6:B17)</f>
        <v/>
      </c>
      <c r="C18" s="36">
        <f>SUM(C6:C17)</f>
        <v/>
      </c>
      <c r="D18" s="36">
        <f>SUM(D6:D17)</f>
        <v/>
      </c>
      <c r="E18" s="36">
        <f>SUM(E6:E17)</f>
        <v/>
      </c>
    </row>
    <row r="19">
      <c r="A19" s="66" t="inlineStr">
        <is>
          <t>Posición actual — Banco MP (único stock)</t>
        </is>
      </c>
    </row>
    <row r="20">
      <c r="A20" s="67" t="inlineStr">
        <is>
          <t>Fecha stock</t>
        </is>
      </c>
      <c r="B20" s="67" t="inlineStr">
        <is>
          <t>Titular</t>
        </is>
      </c>
      <c r="C20" s="67" t="inlineStr">
        <is>
          <t>Capital invertido</t>
        </is>
      </c>
      <c r="D20" s="67" t="inlineStr">
        <is>
          <t>Tasa anual</t>
        </is>
      </c>
      <c r="E20" s="67" t="inlineStr">
        <is>
          <t>Rendimiento anual esperado</t>
        </is>
      </c>
      <c r="F20" s="67" t="inlineStr">
        <is>
          <t>Rendimiento mensual lineal</t>
        </is>
      </c>
    </row>
    <row r="21">
      <c r="A21" s="68" t="n">
        <v>46232</v>
      </c>
      <c r="B21" s="69" t="inlineStr">
        <is>
          <t>Christian</t>
        </is>
      </c>
      <c r="C21" s="70" t="n">
        <v>10000000</v>
      </c>
      <c r="D21" s="71" t="n">
        <v>0.21</v>
      </c>
      <c r="E21" s="70">
        <f>C21*D21</f>
        <v/>
      </c>
      <c r="F21" s="70">
        <f>E21/12</f>
        <v/>
      </c>
    </row>
    <row r="22">
      <c r="A22" s="72" t="n">
        <v>46232</v>
      </c>
      <c r="B22" s="69" t="inlineStr">
        <is>
          <t>Sol</t>
        </is>
      </c>
      <c r="C22" s="70" t="n">
        <v>3000000</v>
      </c>
      <c r="D22" s="71" t="n">
        <v>0.21</v>
      </c>
      <c r="E22" s="70">
        <f>C22*D22</f>
        <v/>
      </c>
      <c r="F22" s="70">
        <f>E22/12</f>
        <v/>
      </c>
    </row>
    <row r="23">
      <c r="A23" s="73" t="n">
        <v>46232</v>
      </c>
      <c r="B23" s="74" t="inlineStr">
        <is>
          <t>TOTAL banco MP</t>
        </is>
      </c>
      <c r="C23" s="75">
        <f>C21+C22</f>
        <v/>
      </c>
      <c r="D23" s="76" t="n">
        <v>0.21</v>
      </c>
      <c r="E23" s="75">
        <f>E21+E22</f>
        <v/>
      </c>
      <c r="F23" s="75">
        <f>F21+F22</f>
        <v/>
      </c>
      <c r="G23" s="34" t="n"/>
      <c r="H23" s="34" t="n"/>
      <c r="I23" s="34" t="n"/>
      <c r="J23" s="34" t="n"/>
    </row>
    <row r="24">
      <c r="A24" s="77" t="inlineStr">
        <is>
          <t>Instrucción Sol 2026-08-03: único valor invertido en banco MP = $13.000.000 (Christian $10.000.000 + Sol $3.000.000) al 21% anual desde 29/07/2026. Se deja de contar el Bonos/PF previo ($1.000.000 del 15/07) como stock.</t>
        </is>
      </c>
      <c r="B24" s="14" t="n"/>
      <c r="C24" s="14" t="n"/>
      <c r="D24" s="14" t="n"/>
      <c r="E24" s="14" t="n"/>
      <c r="F24" s="15" t="n"/>
      <c r="G24" s="14" t="n"/>
      <c r="H24" s="17" t="n"/>
      <c r="I24" s="37" t="n"/>
      <c r="J24" s="14" t="n"/>
    </row>
    <row r="25">
      <c r="A25" s="78" t="inlineStr">
        <is>
          <t>Detalle</t>
        </is>
      </c>
      <c r="B25" s="14" t="n"/>
      <c r="C25" s="14" t="n"/>
      <c r="D25" s="14" t="n"/>
      <c r="E25" s="14" t="n"/>
      <c r="F25" s="15" t="n"/>
      <c r="G25" s="14" t="n"/>
      <c r="H25" s="17" t="n"/>
      <c r="I25" s="37" t="n"/>
      <c r="J25" s="14" t="n"/>
    </row>
    <row r="26">
      <c r="A26" s="79" t="inlineStr">
        <is>
          <t>Fecha</t>
        </is>
      </c>
      <c r="B26" s="67" t="inlineStr">
        <is>
          <t>Mes</t>
        </is>
      </c>
      <c r="C26" s="67" t="inlineStr">
        <is>
          <t>Tipo</t>
        </is>
      </c>
      <c r="D26" s="67" t="inlineStr">
        <is>
          <t>Movimiento</t>
        </is>
      </c>
      <c r="E26" s="67" t="inlineStr">
        <is>
          <t>Instrumento / concepto</t>
        </is>
      </c>
      <c r="F26" s="80" t="inlineStr">
        <is>
          <t>Monto</t>
        </is>
      </c>
      <c r="G26" s="67" t="inlineStr">
        <is>
          <t>Entidad / medio</t>
        </is>
      </c>
      <c r="H26" s="79" t="inlineStr">
        <is>
          <t>Vencimiento</t>
        </is>
      </c>
      <c r="I26" s="81" t="inlineStr">
        <is>
          <t>Tasa / rendimiento</t>
        </is>
      </c>
      <c r="J26" s="67" t="inlineStr">
        <is>
          <t>Comentario</t>
        </is>
      </c>
    </row>
    <row r="27">
      <c r="A27" s="63" t="n">
        <v>46232</v>
      </c>
      <c r="B27" s="64" t="inlineStr">
        <is>
          <t>Julio</t>
        </is>
      </c>
      <c r="C27" s="64" t="inlineStr">
        <is>
          <t>Banco MP</t>
        </is>
      </c>
      <c r="D27" s="64" t="inlineStr">
        <is>
          <t>Inversión</t>
        </is>
      </c>
      <c r="E27" s="64" t="inlineStr">
        <is>
          <t>Banco MP · Christian</t>
        </is>
      </c>
      <c r="F27" s="65" t="n">
        <v>10000000</v>
      </c>
      <c r="G27" s="64" t="inlineStr">
        <is>
          <t>Mercado Pago</t>
        </is>
      </c>
      <c r="H27" s="82" t="n"/>
      <c r="I27" s="83" t="inlineStr">
        <is>
          <t>21% anual</t>
        </is>
      </c>
      <c r="J27" s="64" t="inlineStr">
        <is>
          <t>Único stock banco MP · titular Christian · instruido Sol 2026-08-03 · también MP No Gasto</t>
        </is>
      </c>
    </row>
    <row r="28">
      <c r="A28" s="63" t="n">
        <v>46232</v>
      </c>
      <c r="B28" s="64" t="inlineStr">
        <is>
          <t>Julio</t>
        </is>
      </c>
      <c r="C28" s="64" t="inlineStr">
        <is>
          <t>Banco MP</t>
        </is>
      </c>
      <c r="D28" s="64" t="inlineStr">
        <is>
          <t>Inversión</t>
        </is>
      </c>
      <c r="E28" s="64" t="inlineStr">
        <is>
          <t>Banco MP · Sol</t>
        </is>
      </c>
      <c r="F28" s="65" t="n">
        <v>3000000</v>
      </c>
      <c r="G28" s="64" t="inlineStr">
        <is>
          <t>Mercado Pago</t>
        </is>
      </c>
      <c r="H28" s="82" t="n"/>
      <c r="I28" s="83" t="inlineStr">
        <is>
          <t>21% anual</t>
        </is>
      </c>
      <c r="J28" s="64" t="inlineStr">
        <is>
          <t>Único stock banco MP · titular Sol · instruido Sol 2026-08-03 · también MP No Gasto</t>
        </is>
      </c>
    </row>
    <row r="29">
      <c r="A29" s="63" t="n">
        <v>46221</v>
      </c>
      <c r="B29" s="64" t="inlineStr">
        <is>
          <t>Julio</t>
        </is>
      </c>
      <c r="C29" s="64" t="inlineStr">
        <is>
          <t>USD</t>
        </is>
      </c>
      <c r="D29" s="64" t="inlineStr">
        <is>
          <t>Rescate</t>
        </is>
      </c>
      <c r="E29" s="64" t="inlineStr">
        <is>
          <t>Venta de dólares</t>
        </is>
      </c>
      <c r="F29" s="65" t="n">
        <v>1261633</v>
      </c>
      <c r="G29" s="64" t="inlineStr">
        <is>
          <t>Mercado Pago</t>
        </is>
      </c>
      <c r="H29" s="82" t="n"/>
      <c r="I29" s="83" t="n"/>
      <c r="J29" s="64" t="inlineStr">
        <is>
          <t>Histórico · en proceso · ceil 1.261.632,32 · NO es stock banco MP · también en MP No Gasto</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2026-08-03T12:01:33Z</dcterms:modified>
</cp:coreProperties>
</file>
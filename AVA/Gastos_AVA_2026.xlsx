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Fideicomiso" sheetId="1" state="visible" r:id="rId1"/>
    <sheet name="Análisis Cuota vs IPC+CAC" sheetId="2" state="visible" r:id="rId2"/>
    <sheet name="2026" sheetId="3" state="visible" r:id="rId3"/>
    <sheet name="Detalle" sheetId="4" state="visible" r:id="rId4"/>
  </sheets>
  <definedNames>
    <definedName name="_xlnm._FilterDatabase" localSheetId="3" hidden="1">'Detalle'!$A$3:$J$103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pivotButton="0" quotePrefix="0" xfId="0"/>
    <xf numFmtId="164" fontId="0" fillId="0" borderId="1" pivotButton="0" quotePrefix="0" xfId="0"/>
    <xf numFmtId="49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3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166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6" pivotButton="0" quotePrefix="0" xfId="0"/>
    <xf numFmtId="3" fontId="0" fillId="0" borderId="6" pivotButton="0" quotePrefix="0" xfId="0"/>
    <xf numFmtId="166" fontId="0" fillId="0" borderId="6" pivotButton="0" quotePrefix="0" xfId="0"/>
    <xf numFmtId="2" fontId="0" fillId="0" borderId="6" pivotButton="0" quotePrefix="0" xfId="0"/>
    <xf numFmtId="4" fontId="0" fillId="0" borderId="6" pivotButton="0" quotePrefix="0" xfId="0"/>
    <xf numFmtId="0" fontId="0" fillId="4" borderId="6" pivotButton="0" quotePrefix="0" xfId="0"/>
    <xf numFmtId="0" fontId="4" fillId="0" borderId="0" pivotButton="0" quotePrefix="0" xfId="0"/>
    <xf numFmtId="3" fontId="4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2" customWidth="1" min="19" max="19"/>
  </cols>
  <sheetData>
    <row r="1" ht="36" customHeight="1">
      <c r="A1" s="18" t="inlineStr">
        <is>
          <t>Cuota Nro</t>
        </is>
      </c>
      <c r="B1" s="18" t="inlineStr">
        <is>
          <t>Mes período</t>
        </is>
      </c>
      <c r="C1" s="18" t="inlineStr">
        <is>
          <t>Monto total ARS</t>
        </is>
      </c>
      <c r="D1" s="18" t="inlineStr">
        <is>
          <t>Fecha vencimiento</t>
        </is>
      </c>
      <c r="E1" s="18" t="inlineStr">
        <is>
          <t>TC MEP venta</t>
        </is>
      </c>
      <c r="F1" s="18" t="inlineStr">
        <is>
          <t>Fecha cotización MEP</t>
        </is>
      </c>
      <c r="G1" s="18" t="inlineStr">
        <is>
          <t>Valor USD</t>
        </is>
      </c>
      <c r="H1" s="18" t="inlineStr">
        <is>
          <t>50% Sol</t>
        </is>
      </c>
      <c r="I1" s="18" t="inlineStr">
        <is>
          <t>50% Chris</t>
        </is>
      </c>
      <c r="J1" s="18" t="inlineStr">
        <is>
          <t>Acumulado ARS</t>
        </is>
      </c>
      <c r="K1" s="18" t="inlineStr">
        <is>
          <t>% Δ cuota vs mes ant.</t>
        </is>
      </c>
      <c r="L1" s="18" t="inlineStr">
        <is>
          <t>Mes ref. índices</t>
        </is>
      </c>
      <c r="M1" s="18" t="inlineStr">
        <is>
          <t>IPC % (INDEC)</t>
        </is>
      </c>
      <c r="N1" s="18" t="inlineStr">
        <is>
          <t>CAC % (CAMARCO)</t>
        </is>
      </c>
      <c r="O1" s="18" t="inlineStr">
        <is>
          <t>IPC+CAC %</t>
        </is>
      </c>
      <c r="P1" s="18" t="inlineStr">
        <is>
          <t>Δ cuota − (IPC+CAC)</t>
        </is>
      </c>
      <c r="Q1" s="18" t="inlineStr">
        <is>
          <t>Vs IPC+CAC</t>
        </is>
      </c>
      <c r="R1" s="18" t="inlineStr">
        <is>
          <t>Estado</t>
        </is>
      </c>
      <c r="S1" s="18" t="inlineStr">
        <is>
          <t>Fuente MEP / nota</t>
        </is>
      </c>
    </row>
    <row r="2">
      <c r="A2" s="19" t="n">
        <v>1</v>
      </c>
      <c r="B2" s="19" t="inlineStr">
        <is>
          <t>noviembre 2025</t>
        </is>
      </c>
      <c r="C2" s="20" t="n">
        <v>5071069</v>
      </c>
      <c r="D2" s="21" t="n">
        <v>45965</v>
      </c>
      <c r="E2" s="22" t="n">
        <v>1496.5</v>
      </c>
      <c r="F2" s="21" t="n">
        <v>45965</v>
      </c>
      <c r="G2" s="23" t="n">
        <v>3388.62</v>
      </c>
      <c r="H2" s="20" t="n">
        <v>2535535</v>
      </c>
      <c r="I2" s="20" t="n">
        <v>2535534</v>
      </c>
      <c r="J2" s="20" t="n">
        <v>5071069</v>
      </c>
      <c r="K2" s="19" t="n"/>
      <c r="L2" s="19" t="n"/>
      <c r="M2" s="19" t="n"/>
      <c r="N2" s="19" t="n"/>
      <c r="O2" s="19" t="n"/>
      <c r="P2" s="19" t="n"/>
      <c r="Q2" s="19" t="n"/>
      <c r="R2" s="19" t="inlineStr">
        <is>
          <t>PAGADO</t>
        </is>
      </c>
      <c r="S2" s="19" t="inlineStr">
        <is>
          <t>MEP bolsa venta (argentinadatos) · Usuario+Gmail validado</t>
        </is>
      </c>
    </row>
    <row r="3">
      <c r="A3" s="19" t="n">
        <v>2</v>
      </c>
      <c r="B3" s="19" t="inlineStr">
        <is>
          <t>diciembre 2025</t>
        </is>
      </c>
      <c r="C3" s="20" t="n">
        <v>5188102</v>
      </c>
      <c r="D3" s="21" t="n">
        <v>45996</v>
      </c>
      <c r="E3" s="22" t="n">
        <v>1479.6</v>
      </c>
      <c r="F3" s="21" t="n">
        <v>45996</v>
      </c>
      <c r="G3" s="23" t="n">
        <v>3506.42</v>
      </c>
      <c r="H3" s="20" t="n">
        <v>2594051</v>
      </c>
      <c r="I3" s="20" t="n">
        <v>2594051</v>
      </c>
      <c r="J3" s="20" t="n">
        <v>10259171</v>
      </c>
      <c r="K3" s="22" t="n">
        <v>2.31</v>
      </c>
      <c r="L3" s="19" t="inlineStr">
        <is>
          <t>2025-11</t>
        </is>
      </c>
      <c r="M3" s="22" t="n">
        <v>2.5</v>
      </c>
      <c r="N3" s="22" t="n">
        <v>1.99</v>
      </c>
      <c r="O3" s="22" t="n">
        <v>4.49</v>
      </c>
      <c r="P3" s="22" t="n">
        <v>-2.18</v>
      </c>
      <c r="Q3" s="24" t="inlineStr">
        <is>
          <t>MENOS que IPC+CAC</t>
        </is>
      </c>
      <c r="R3" s="19" t="inlineStr">
        <is>
          <t>PAGADO</t>
        </is>
      </c>
      <c r="S3" s="19" t="inlineStr">
        <is>
          <t>MEP bolsa venta (argentinadatos) · Usuario+Gmail validado</t>
        </is>
      </c>
    </row>
    <row r="4">
      <c r="A4" s="19" t="n">
        <v>3</v>
      </c>
      <c r="B4" s="19" t="inlineStr">
        <is>
          <t>enero 2026</t>
        </is>
      </c>
      <c r="C4" s="20" t="n">
        <v>5291593</v>
      </c>
      <c r="D4" s="21" t="n">
        <v>46027</v>
      </c>
      <c r="E4" s="22" t="n">
        <v>1501.8</v>
      </c>
      <c r="F4" s="21" t="n">
        <v>46027</v>
      </c>
      <c r="G4" s="23" t="n">
        <v>3523.5</v>
      </c>
      <c r="H4" s="20" t="n">
        <v>2645797</v>
      </c>
      <c r="I4" s="20" t="n">
        <v>2645796</v>
      </c>
      <c r="J4" s="20" t="n">
        <v>15550764</v>
      </c>
      <c r="K4" s="22" t="n">
        <v>1.99</v>
      </c>
      <c r="L4" s="19" t="inlineStr">
        <is>
          <t>2025-12</t>
        </is>
      </c>
      <c r="M4" s="22" t="n">
        <v>2.8</v>
      </c>
      <c r="N4" s="22" t="n">
        <v>1.3</v>
      </c>
      <c r="O4" s="22" t="n">
        <v>4.1</v>
      </c>
      <c r="P4" s="22" t="n">
        <v>-2.11</v>
      </c>
      <c r="Q4" s="24" t="inlineStr">
        <is>
          <t>MENOS que IPC+CAC</t>
        </is>
      </c>
      <c r="R4" s="19" t="inlineStr">
        <is>
          <t>PAGADO</t>
        </is>
      </c>
      <c r="S4" s="19" t="inlineStr">
        <is>
          <t>MEP bolsa venta (argentinadatos) · Usuario+Gmail validado; MP OK</t>
        </is>
      </c>
    </row>
    <row r="5">
      <c r="A5" s="19" t="n">
        <v>4</v>
      </c>
      <c r="B5" s="19" t="inlineStr">
        <is>
          <t>febrero 2026</t>
        </is>
      </c>
      <c r="C5" s="20" t="n">
        <v>5360265</v>
      </c>
      <c r="D5" s="21" t="n">
        <v>46057</v>
      </c>
      <c r="E5" s="22" t="n">
        <v>1459.7</v>
      </c>
      <c r="F5" s="21" t="n">
        <v>46057</v>
      </c>
      <c r="G5" s="23" t="n">
        <v>3672.17</v>
      </c>
      <c r="H5" s="20" t="n">
        <v>2680133</v>
      </c>
      <c r="I5" s="20" t="n">
        <v>2680132</v>
      </c>
      <c r="J5" s="20" t="n">
        <v>20911029</v>
      </c>
      <c r="K5" s="22" t="n">
        <v>1.3</v>
      </c>
      <c r="L5" s="19" t="inlineStr">
        <is>
          <t>2026-01</t>
        </is>
      </c>
      <c r="M5" s="22" t="n">
        <v>2.9</v>
      </c>
      <c r="N5" s="22" t="n">
        <v>2.3</v>
      </c>
      <c r="O5" s="22" t="n">
        <v>5.2</v>
      </c>
      <c r="P5" s="22" t="n">
        <v>-3.9</v>
      </c>
      <c r="Q5" s="24" t="inlineStr">
        <is>
          <t>MENOS que IPC+CAC</t>
        </is>
      </c>
      <c r="R5" s="19" t="inlineStr">
        <is>
          <t>PAGADO</t>
        </is>
      </c>
      <c r="S5" s="19" t="inlineStr">
        <is>
          <t>MEP bolsa venta (argentinadatos) · Usuario+Gmail validado; MP OK</t>
        </is>
      </c>
    </row>
    <row r="6">
      <c r="A6" s="19" t="n">
        <v>5</v>
      </c>
      <c r="B6" s="19" t="inlineStr">
        <is>
          <t>marzo 2026</t>
        </is>
      </c>
      <c r="C6" s="20" t="n">
        <v>5484067</v>
      </c>
      <c r="D6" s="21" t="n">
        <v>46085</v>
      </c>
      <c r="E6" s="22" t="n">
        <v>1429.9</v>
      </c>
      <c r="F6" s="21" t="n">
        <v>46085</v>
      </c>
      <c r="G6" s="23" t="n">
        <v>3835.28</v>
      </c>
      <c r="H6" s="20" t="n">
        <v>2742034</v>
      </c>
      <c r="I6" s="20" t="n">
        <v>2742033</v>
      </c>
      <c r="J6" s="20" t="n">
        <v>26395096</v>
      </c>
      <c r="K6" s="22" t="n">
        <v>2.31</v>
      </c>
      <c r="L6" s="19" t="inlineStr">
        <is>
          <t>2026-02</t>
        </is>
      </c>
      <c r="M6" s="22" t="n">
        <v>2.9</v>
      </c>
      <c r="N6" s="22" t="n">
        <v>1.3</v>
      </c>
      <c r="O6" s="22" t="n">
        <v>4.2</v>
      </c>
      <c r="P6" s="22" t="n">
        <v>-1.89</v>
      </c>
      <c r="Q6" s="24" t="inlineStr">
        <is>
          <t>MENOS que IPC+CAC</t>
        </is>
      </c>
      <c r="R6" s="19" t="inlineStr">
        <is>
          <t>PAGADO</t>
        </is>
      </c>
      <c r="S6" s="19" t="inlineStr">
        <is>
          <t>MEP bolsa venta (argentinadatos) · Usuario+Gmail validado; MP OK</t>
        </is>
      </c>
    </row>
    <row r="7">
      <c r="A7" s="19" t="n">
        <v>6</v>
      </c>
      <c r="B7" s="19" t="inlineStr">
        <is>
          <t>abril 2026</t>
        </is>
      </c>
      <c r="C7" s="20" t="n">
        <v>5553706</v>
      </c>
      <c r="D7" s="21" t="n">
        <v>46118</v>
      </c>
      <c r="E7" s="22" t="n">
        <v>1430.6</v>
      </c>
      <c r="F7" s="21" t="n">
        <v>46118</v>
      </c>
      <c r="G7" s="23" t="n">
        <v>3882.08</v>
      </c>
      <c r="H7" s="20" t="n">
        <v>2776853</v>
      </c>
      <c r="I7" s="20" t="n">
        <v>2776853</v>
      </c>
      <c r="J7" s="20" t="n">
        <v>31948802</v>
      </c>
      <c r="K7" s="22" t="n">
        <v>1.27</v>
      </c>
      <c r="L7" s="19" t="inlineStr">
        <is>
          <t>2026-03</t>
        </is>
      </c>
      <c r="M7" s="22" t="n">
        <v>3.4</v>
      </c>
      <c r="N7" s="22" t="n">
        <v>1.6</v>
      </c>
      <c r="O7" s="22" t="n">
        <v>5</v>
      </c>
      <c r="P7" s="22" t="n">
        <v>-3.73</v>
      </c>
      <c r="Q7" s="24" t="inlineStr">
        <is>
          <t>MENOS que IPC+CAC</t>
        </is>
      </c>
      <c r="R7" s="19" t="inlineStr">
        <is>
          <t>PAGADO</t>
        </is>
      </c>
      <c r="S7" s="19" t="inlineStr">
        <is>
          <t>MEP bolsa venta (argentinadatos) · Usuario+Gmail validado; MP OK</t>
        </is>
      </c>
    </row>
    <row r="8">
      <c r="A8" s="19" t="n">
        <v>7</v>
      </c>
      <c r="B8" s="19" t="inlineStr">
        <is>
          <t>mayo 2026</t>
        </is>
      </c>
      <c r="C8" s="20" t="n">
        <v>5644624</v>
      </c>
      <c r="D8" s="21" t="n">
        <v>46148</v>
      </c>
      <c r="E8" s="22" t="n">
        <v>1448.5</v>
      </c>
      <c r="F8" s="21" t="n">
        <v>46148</v>
      </c>
      <c r="G8" s="23" t="n">
        <v>3896.88</v>
      </c>
      <c r="H8" s="20" t="n">
        <v>2822312</v>
      </c>
      <c r="I8" s="20" t="n">
        <v>2822312</v>
      </c>
      <c r="J8" s="20" t="n">
        <v>37593426</v>
      </c>
      <c r="K8" s="22" t="n">
        <v>1.64</v>
      </c>
      <c r="L8" s="19" t="inlineStr">
        <is>
          <t>2026-04</t>
        </is>
      </c>
      <c r="M8" s="22" t="n">
        <v>2.6</v>
      </c>
      <c r="N8" s="22" t="n">
        <v>3.7</v>
      </c>
      <c r="O8" s="22" t="n">
        <v>6.3</v>
      </c>
      <c r="P8" s="22" t="n">
        <v>-4.66</v>
      </c>
      <c r="Q8" s="24" t="inlineStr">
        <is>
          <t>MENOS que IPC+CAC</t>
        </is>
      </c>
      <c r="R8" s="19" t="inlineStr">
        <is>
          <t>PAGADO</t>
        </is>
      </c>
      <c r="S8" s="19" t="inlineStr">
        <is>
          <t>MEP bolsa venta (argentinadatos) · Usuario+Gmail validado; MP OK</t>
        </is>
      </c>
    </row>
    <row r="9">
      <c r="A9" s="19" t="n">
        <v>8</v>
      </c>
      <c r="B9" s="19" t="inlineStr">
        <is>
          <t>junio 2026</t>
        </is>
      </c>
      <c r="C9" s="20" t="n">
        <v>5850639</v>
      </c>
      <c r="D9" s="21" t="n">
        <v>46178</v>
      </c>
      <c r="E9" s="22" t="n">
        <v>1461.4</v>
      </c>
      <c r="F9" s="21" t="n">
        <v>46178</v>
      </c>
      <c r="G9" s="23" t="n">
        <v>4003.45</v>
      </c>
      <c r="H9" s="20" t="n">
        <v>2925320</v>
      </c>
      <c r="I9" s="20" t="n">
        <v>2925319</v>
      </c>
      <c r="J9" s="20" t="n">
        <v>43444065</v>
      </c>
      <c r="K9" s="22" t="n">
        <v>3.65</v>
      </c>
      <c r="L9" s="19" t="inlineStr">
        <is>
          <t>2026-05</t>
        </is>
      </c>
      <c r="M9" s="22" t="n">
        <v>2.1</v>
      </c>
      <c r="N9" s="22" t="n">
        <v>2.6</v>
      </c>
      <c r="O9" s="22" t="n">
        <v>4.7</v>
      </c>
      <c r="P9" s="22" t="n">
        <v>-1.05</v>
      </c>
      <c r="Q9" s="24" t="inlineStr">
        <is>
          <t>MENOS que IPC+CAC</t>
        </is>
      </c>
      <c r="R9" s="19" t="inlineStr">
        <is>
          <t>PAGADO</t>
        </is>
      </c>
      <c r="S9" s="19" t="inlineStr">
        <is>
          <t>MEP bolsa venta (argentinadatos) · Usuario+Gmail validado; MP OK</t>
        </is>
      </c>
    </row>
    <row r="10">
      <c r="A10" s="19" t="n">
        <v>9</v>
      </c>
      <c r="B10" s="19" t="inlineStr">
        <is>
          <t>julio 2026</t>
        </is>
      </c>
      <c r="C10" s="20" t="n">
        <v>6005392</v>
      </c>
      <c r="D10" s="21" t="n">
        <v>46209</v>
      </c>
      <c r="E10" s="22" t="n">
        <v>1525.1</v>
      </c>
      <c r="F10" s="21" t="n">
        <v>46209</v>
      </c>
      <c r="G10" s="23" t="n">
        <v>3937.7</v>
      </c>
      <c r="H10" s="20" t="n">
        <v>3002696</v>
      </c>
      <c r="I10" s="20" t="n">
        <v>3002696</v>
      </c>
      <c r="J10" s="20" t="n">
        <v>49449457</v>
      </c>
      <c r="K10" s="22" t="n">
        <v>2.65</v>
      </c>
      <c r="L10" s="19" t="inlineStr">
        <is>
          <t>2026-06</t>
        </is>
      </c>
      <c r="M10" s="22" t="n">
        <v>1.9</v>
      </c>
      <c r="N10" s="19" t="n"/>
      <c r="O10" s="19" t="n"/>
      <c r="P10" s="19" t="n"/>
      <c r="Q10" s="19" t="inlineStr">
        <is>
          <t>CAC pendiente</t>
        </is>
      </c>
      <c r="R10" s="19" t="inlineStr">
        <is>
          <t>PAGADO</t>
        </is>
      </c>
      <c r="S10" s="19" t="inlineStr">
        <is>
          <t>MEP bolsa venta (argentinadatos) · Usuario+Gmail validado; MP OK</t>
        </is>
      </c>
    </row>
    <row r="11">
      <c r="A11" s="19" t="n">
        <v>10</v>
      </c>
      <c r="B11" s="19" t="inlineStr">
        <is>
          <t>agosto 2026</t>
        </is>
      </c>
      <c r="C11" s="19" t="n">
        <v>6178522</v>
      </c>
      <c r="D11" s="21" t="n">
        <v>46239</v>
      </c>
      <c r="E11" s="19" t="n">
        <v>1518.45</v>
      </c>
      <c r="F11" s="21" t="n">
        <v>46239</v>
      </c>
      <c r="G11" s="19" t="n">
        <v>4068.97</v>
      </c>
      <c r="H11" s="19" t="n">
        <v>3089261</v>
      </c>
      <c r="I11" s="19" t="n">
        <v>3089261</v>
      </c>
      <c r="J11" s="20" t="n">
        <v>49449457</v>
      </c>
      <c r="K11" s="19" t="n"/>
      <c r="L11" s="19" t="n"/>
      <c r="M11" s="19" t="n"/>
      <c r="N11" s="19" t="n"/>
      <c r="O11" s="19" t="n"/>
      <c r="P11" s="19" t="n"/>
      <c r="Q11" s="19" t="n"/>
      <c r="R11" s="19" t="inlineStr">
        <is>
          <t>PAGADO</t>
        </is>
      </c>
      <c r="S11" s="19" t="inlineStr">
        <is>
          <t>Gmail Sancor 22/07 · MEP Rava 1518.45</t>
        </is>
      </c>
    </row>
    <row r="12">
      <c r="A12" s="19" t="n">
        <v>11</v>
      </c>
      <c r="B12" s="19" t="inlineStr">
        <is>
          <t>septiembre 2026</t>
        </is>
      </c>
      <c r="C12" s="19" t="n">
        <v>6269440</v>
      </c>
      <c r="D12" s="21" t="n">
        <v>46269</v>
      </c>
      <c r="E12" s="19" t="n">
        <v>1525.39</v>
      </c>
      <c r="F12" s="21" t="n">
        <v>46269</v>
      </c>
      <c r="G12" s="19" t="n">
        <v>4110.06</v>
      </c>
      <c r="H12" s="19" t="n">
        <v>3134720</v>
      </c>
      <c r="I12" s="19" t="n">
        <v>3134720</v>
      </c>
      <c r="J12" s="20" t="n">
        <v>49449457</v>
      </c>
      <c r="K12" s="19" t="n"/>
      <c r="L12" s="19" t="n"/>
      <c r="M12" s="19" t="n"/>
      <c r="N12" s="19" t="n"/>
      <c r="O12" s="19" t="n"/>
      <c r="P12" s="19" t="n"/>
      <c r="Q12" s="19" t="n"/>
      <c r="R12" s="19" t="inlineStr">
        <is>
          <t>PAGADO</t>
        </is>
      </c>
      <c r="S12" s="19" t="inlineStr">
        <is>
          <t>Gmail Sancor 25/08 · MEP Rava 1525.39 · GPS OK</t>
        </is>
      </c>
    </row>
    <row r="13">
      <c r="A13" s="19" t="n">
        <v>12</v>
      </c>
      <c r="B13" s="19" t="inlineStr">
        <is>
          <t>octubre 2026</t>
        </is>
      </c>
      <c r="C13" s="19" t="n">
        <v>6550413</v>
      </c>
      <c r="D13" s="21" t="n">
        <v>46300</v>
      </c>
      <c r="E13" s="19" t="n">
        <v>1538.39</v>
      </c>
      <c r="F13" s="21" t="n">
        <v>46300</v>
      </c>
      <c r="G13" s="19" t="n">
        <v>4257.97</v>
      </c>
      <c r="H13" s="19" t="n">
        <v>3275206</v>
      </c>
      <c r="I13" s="19" t="n">
        <v>3275207</v>
      </c>
      <c r="J13" s="20" t="n">
        <v>49449457</v>
      </c>
      <c r="K13" s="19" t="n"/>
      <c r="L13" s="19" t="n"/>
      <c r="M13" s="19" t="n"/>
      <c r="N13" s="19" t="n"/>
      <c r="O13" s="19" t="n"/>
      <c r="P13" s="19" t="n"/>
      <c r="Q13" s="19" t="n"/>
      <c r="R13" s="19" t="inlineStr">
        <is>
          <t>PAGADO</t>
        </is>
      </c>
      <c r="S13" s="19" t="inlineStr">
        <is>
          <t>Gmail Sancor 24/09 · MEP Rava 1538.39</t>
        </is>
      </c>
    </row>
    <row r="14">
      <c r="A14" s="19" t="n">
        <v>13</v>
      </c>
      <c r="B14" s="19" t="inlineStr">
        <is>
          <t>noviembre 2026</t>
        </is>
      </c>
      <c r="C14" s="19" t="n">
        <v>6739503</v>
      </c>
      <c r="D14" s="21" t="n">
        <v>46330</v>
      </c>
      <c r="E14" s="19" t="n"/>
      <c r="F14" s="19" t="n"/>
      <c r="G14" s="19" t="n"/>
      <c r="H14" s="19" t="n">
        <v>3369751</v>
      </c>
      <c r="I14" s="19" t="n">
        <v>3369752</v>
      </c>
      <c r="J14" s="20" t="n">
        <v>49449457</v>
      </c>
      <c r="K14" s="19" t="n"/>
      <c r="L14" s="19" t="n"/>
      <c r="M14" s="19" t="n"/>
      <c r="N14" s="19" t="n"/>
      <c r="O14" s="19" t="n"/>
      <c r="P14" s="19" t="n"/>
      <c r="Q14" s="19" t="n"/>
      <c r="R14" s="19" t="inlineStr">
        <is>
          <t>PENDIENTE</t>
        </is>
      </c>
      <c r="S14" s="19" t="inlineStr">
        <is>
          <t>Gmail Sancor 23/10 · TC MEP TBD al vencimiento 04/11</t>
        </is>
      </c>
    </row>
    <row r="15">
      <c r="A15" s="19" t="n">
        <v>14</v>
      </c>
      <c r="B15" s="19" t="inlineStr">
        <is>
          <t>diciembre 2026</t>
        </is>
      </c>
      <c r="C15" s="19" t="n"/>
      <c r="D15" s="19" t="n"/>
      <c r="E15" s="19" t="n"/>
      <c r="F15" s="19" t="n"/>
      <c r="G15" s="19" t="n"/>
      <c r="H15" s="19" t="n"/>
      <c r="I15" s="19" t="n"/>
      <c r="J15" s="20" t="n">
        <v>49449457</v>
      </c>
      <c r="K15" s="19" t="n"/>
      <c r="L15" s="19" t="n"/>
      <c r="M15" s="19" t="n"/>
      <c r="N15" s="19" t="n"/>
      <c r="O15" s="19" t="n"/>
      <c r="P15" s="19" t="n"/>
      <c r="Q15" s="19" t="n"/>
      <c r="R15" s="19" t="inlineStr">
        <is>
          <t>PENDIENTE</t>
        </is>
      </c>
      <c r="S15" s="19" t="n"/>
    </row>
    <row r="16">
      <c r="A16" s="19" t="n">
        <v>15</v>
      </c>
      <c r="B16" s="19" t="inlineStr">
        <is>
          <t>enero 2027</t>
        </is>
      </c>
      <c r="C16" s="19" t="n"/>
      <c r="D16" s="19" t="n"/>
      <c r="E16" s="19" t="n"/>
      <c r="F16" s="19" t="n"/>
      <c r="G16" s="19" t="n"/>
      <c r="H16" s="19" t="n"/>
      <c r="I16" s="19" t="n"/>
      <c r="J16" s="20" t="n">
        <v>49449457</v>
      </c>
      <c r="K16" s="19" t="n"/>
      <c r="L16" s="19" t="n"/>
      <c r="M16" s="19" t="n"/>
      <c r="N16" s="19" t="n"/>
      <c r="O16" s="19" t="n"/>
      <c r="P16" s="19" t="n"/>
      <c r="Q16" s="19" t="n"/>
      <c r="R16" s="19" t="inlineStr">
        <is>
          <t>PENDIENTE</t>
        </is>
      </c>
      <c r="S16" s="19" t="n"/>
    </row>
    <row r="17">
      <c r="A17" s="19" t="n">
        <v>16</v>
      </c>
      <c r="B17" s="19" t="inlineStr">
        <is>
          <t>febrero 2027</t>
        </is>
      </c>
      <c r="C17" s="19" t="n"/>
      <c r="D17" s="19" t="n"/>
      <c r="E17" s="19" t="n"/>
      <c r="F17" s="19" t="n"/>
      <c r="G17" s="19" t="n"/>
      <c r="H17" s="19" t="n"/>
      <c r="I17" s="19" t="n"/>
      <c r="J17" s="20" t="n">
        <v>49449457</v>
      </c>
      <c r="K17" s="19" t="n"/>
      <c r="L17" s="19" t="n"/>
      <c r="M17" s="19" t="n"/>
      <c r="N17" s="19" t="n"/>
      <c r="O17" s="19" t="n"/>
      <c r="P17" s="19" t="n"/>
      <c r="Q17" s="19" t="n"/>
      <c r="R17" s="19" t="inlineStr">
        <is>
          <t>PENDIENTE</t>
        </is>
      </c>
      <c r="S17" s="19" t="n"/>
    </row>
    <row r="18">
      <c r="A18" s="19" t="n">
        <v>17</v>
      </c>
      <c r="B18" s="19" t="inlineStr">
        <is>
          <t>marzo 2027</t>
        </is>
      </c>
      <c r="C18" s="19" t="n"/>
      <c r="D18" s="19" t="n"/>
      <c r="E18" s="19" t="n"/>
      <c r="F18" s="19" t="n"/>
      <c r="G18" s="19" t="n"/>
      <c r="H18" s="19" t="n"/>
      <c r="I18" s="19" t="n"/>
      <c r="J18" s="20" t="n">
        <v>49449457</v>
      </c>
      <c r="K18" s="19" t="n"/>
      <c r="L18" s="19" t="n"/>
      <c r="M18" s="19" t="n"/>
      <c r="N18" s="19" t="n"/>
      <c r="O18" s="19" t="n"/>
      <c r="P18" s="19" t="n"/>
      <c r="Q18" s="19" t="n"/>
      <c r="R18" s="19" t="inlineStr">
        <is>
          <t>PENDIENTE</t>
        </is>
      </c>
      <c r="S18" s="19" t="n"/>
    </row>
    <row r="19">
      <c r="A19" s="19" t="n">
        <v>18</v>
      </c>
      <c r="B19" s="19" t="inlineStr">
        <is>
          <t>abril 2027</t>
        </is>
      </c>
      <c r="C19" s="19" t="n"/>
      <c r="D19" s="19" t="n"/>
      <c r="E19" s="19" t="n"/>
      <c r="F19" s="19" t="n"/>
      <c r="G19" s="19" t="n"/>
      <c r="H19" s="19" t="n"/>
      <c r="I19" s="19" t="n"/>
      <c r="J19" s="20" t="n">
        <v>49449457</v>
      </c>
      <c r="K19" s="19" t="n"/>
      <c r="L19" s="19" t="n"/>
      <c r="M19" s="19" t="n"/>
      <c r="N19" s="19" t="n"/>
      <c r="O19" s="19" t="n"/>
      <c r="P19" s="19" t="n"/>
      <c r="Q19" s="19" t="n"/>
      <c r="R19" s="19" t="inlineStr">
        <is>
          <t>PENDIENTE</t>
        </is>
      </c>
      <c r="S19" s="19" t="n"/>
    </row>
    <row r="20">
      <c r="A20" s="19" t="n">
        <v>19</v>
      </c>
      <c r="B20" s="19" t="inlineStr">
        <is>
          <t>mayo 2027</t>
        </is>
      </c>
      <c r="C20" s="19" t="n"/>
      <c r="D20" s="19" t="n"/>
      <c r="E20" s="19" t="n"/>
      <c r="F20" s="19" t="n"/>
      <c r="G20" s="19" t="n"/>
      <c r="H20" s="19" t="n"/>
      <c r="I20" s="19" t="n"/>
      <c r="J20" s="20" t="n">
        <v>49449457</v>
      </c>
      <c r="K20" s="19" t="n"/>
      <c r="L20" s="19" t="n"/>
      <c r="M20" s="19" t="n"/>
      <c r="N20" s="19" t="n"/>
      <c r="O20" s="19" t="n"/>
      <c r="P20" s="19" t="n"/>
      <c r="Q20" s="19" t="n"/>
      <c r="R20" s="19" t="inlineStr">
        <is>
          <t>PENDIENTE</t>
        </is>
      </c>
      <c r="S20" s="19" t="n"/>
    </row>
    <row r="21">
      <c r="A21" s="19" t="n">
        <v>20</v>
      </c>
      <c r="B21" s="19" t="inlineStr">
        <is>
          <t>junio 2027</t>
        </is>
      </c>
      <c r="C21" s="19" t="n"/>
      <c r="D21" s="19" t="n"/>
      <c r="E21" s="19" t="n"/>
      <c r="F21" s="19" t="n"/>
      <c r="G21" s="19" t="n"/>
      <c r="H21" s="19" t="n"/>
      <c r="I21" s="19" t="n"/>
      <c r="J21" s="20" t="n">
        <v>49449457</v>
      </c>
      <c r="K21" s="19" t="n"/>
      <c r="L21" s="19" t="n"/>
      <c r="M21" s="19" t="n"/>
      <c r="N21" s="19" t="n"/>
      <c r="O21" s="19" t="n"/>
      <c r="P21" s="19" t="n"/>
      <c r="Q21" s="19" t="n"/>
      <c r="R21" s="19" t="inlineStr">
        <is>
          <t>PENDIENTE</t>
        </is>
      </c>
      <c r="S21" s="19" t="n"/>
    </row>
    <row r="22">
      <c r="A22" s="19" t="n">
        <v>21</v>
      </c>
      <c r="B22" s="19" t="inlineStr">
        <is>
          <t>julio 2027</t>
        </is>
      </c>
      <c r="C22" s="19" t="n"/>
      <c r="D22" s="19" t="n"/>
      <c r="E22" s="19" t="n"/>
      <c r="F22" s="19" t="n"/>
      <c r="G22" s="19" t="n"/>
      <c r="H22" s="19" t="n"/>
      <c r="I22" s="19" t="n"/>
      <c r="J22" s="20" t="n">
        <v>49449457</v>
      </c>
      <c r="K22" s="19" t="n"/>
      <c r="L22" s="19" t="n"/>
      <c r="M22" s="19" t="n"/>
      <c r="N22" s="19" t="n"/>
      <c r="O22" s="19" t="n"/>
      <c r="P22" s="19" t="n"/>
      <c r="Q22" s="19" t="n"/>
      <c r="R22" s="19" t="inlineStr">
        <is>
          <t>PENDIENTE</t>
        </is>
      </c>
      <c r="S22" s="19" t="n"/>
    </row>
    <row r="23">
      <c r="A23" s="19" t="n">
        <v>22</v>
      </c>
      <c r="B23" s="19" t="inlineStr">
        <is>
          <t>agosto 2027</t>
        </is>
      </c>
      <c r="C23" s="19" t="n"/>
      <c r="D23" s="19" t="n"/>
      <c r="E23" s="19" t="n"/>
      <c r="F23" s="19" t="n"/>
      <c r="G23" s="19" t="n"/>
      <c r="H23" s="19" t="n"/>
      <c r="I23" s="19" t="n"/>
      <c r="J23" s="20" t="n">
        <v>49449457</v>
      </c>
      <c r="K23" s="19" t="n"/>
      <c r="L23" s="19" t="n"/>
      <c r="M23" s="19" t="n"/>
      <c r="N23" s="19" t="n"/>
      <c r="O23" s="19" t="n"/>
      <c r="P23" s="19" t="n"/>
      <c r="Q23" s="19" t="n"/>
      <c r="R23" s="19" t="inlineStr">
        <is>
          <t>PENDIENTE</t>
        </is>
      </c>
      <c r="S23" s="19" t="n"/>
    </row>
    <row r="24">
      <c r="A24" s="19" t="n">
        <v>23</v>
      </c>
      <c r="B24" s="19" t="inlineStr">
        <is>
          <t>septiembre 2027</t>
        </is>
      </c>
      <c r="C24" s="19" t="n"/>
      <c r="D24" s="19" t="n"/>
      <c r="E24" s="19" t="n"/>
      <c r="F24" s="19" t="n"/>
      <c r="G24" s="19" t="n"/>
      <c r="H24" s="19" t="n"/>
      <c r="I24" s="19" t="n"/>
      <c r="J24" s="20" t="n">
        <v>49449457</v>
      </c>
      <c r="K24" s="19" t="n"/>
      <c r="L24" s="19" t="n"/>
      <c r="M24" s="19" t="n"/>
      <c r="N24" s="19" t="n"/>
      <c r="O24" s="19" t="n"/>
      <c r="P24" s="19" t="n"/>
      <c r="Q24" s="19" t="n"/>
      <c r="R24" s="19" t="inlineStr">
        <is>
          <t>PENDIENTE</t>
        </is>
      </c>
      <c r="S24" s="19" t="n"/>
    </row>
    <row r="25">
      <c r="A25" s="19" t="n">
        <v>24</v>
      </c>
      <c r="B25" s="19" t="inlineStr">
        <is>
          <t>octubre 2027</t>
        </is>
      </c>
      <c r="C25" s="19" t="n"/>
      <c r="D25" s="19" t="n"/>
      <c r="E25" s="19" t="n"/>
      <c r="F25" s="19" t="n"/>
      <c r="G25" s="19" t="n"/>
      <c r="H25" s="19" t="n"/>
      <c r="I25" s="19" t="n"/>
      <c r="J25" s="20" t="n">
        <v>49449457</v>
      </c>
      <c r="K25" s="19" t="n"/>
      <c r="L25" s="19" t="n"/>
      <c r="M25" s="19" t="n"/>
      <c r="N25" s="19" t="n"/>
      <c r="O25" s="19" t="n"/>
      <c r="P25" s="19" t="n"/>
      <c r="Q25" s="19" t="n"/>
      <c r="R25" s="19" t="inlineStr">
        <is>
          <t>PENDIENTE</t>
        </is>
      </c>
      <c r="S25" s="19" t="n"/>
    </row>
    <row r="26">
      <c r="A26" s="19" t="n">
        <v>25</v>
      </c>
      <c r="B26" s="19" t="inlineStr">
        <is>
          <t>noviembre 2027</t>
        </is>
      </c>
      <c r="C26" s="19" t="n"/>
      <c r="D26" s="19" t="n"/>
      <c r="E26" s="19" t="n"/>
      <c r="F26" s="19" t="n"/>
      <c r="G26" s="19" t="n"/>
      <c r="H26" s="19" t="n"/>
      <c r="I26" s="19" t="n"/>
      <c r="J26" s="20" t="n">
        <v>49449457</v>
      </c>
      <c r="K26" s="19" t="n"/>
      <c r="L26" s="19" t="n"/>
      <c r="M26" s="19" t="n"/>
      <c r="N26" s="19" t="n"/>
      <c r="O26" s="19" t="n"/>
      <c r="P26" s="19" t="n"/>
      <c r="Q26" s="19" t="n"/>
      <c r="R26" s="19" t="inlineStr">
        <is>
          <t>PENDIENTE</t>
        </is>
      </c>
      <c r="S26" s="19" t="n"/>
    </row>
    <row r="27">
      <c r="A27" s="19" t="n">
        <v>26</v>
      </c>
      <c r="B27" s="19" t="inlineStr">
        <is>
          <t>diciembre 2027</t>
        </is>
      </c>
      <c r="C27" s="19" t="n"/>
      <c r="D27" s="19" t="n"/>
      <c r="E27" s="19" t="n"/>
      <c r="F27" s="19" t="n"/>
      <c r="G27" s="19" t="n"/>
      <c r="H27" s="19" t="n"/>
      <c r="I27" s="19" t="n"/>
      <c r="J27" s="20" t="n">
        <v>49449457</v>
      </c>
      <c r="K27" s="19" t="n"/>
      <c r="L27" s="19" t="n"/>
      <c r="M27" s="19" t="n"/>
      <c r="N27" s="19" t="n"/>
      <c r="O27" s="19" t="n"/>
      <c r="P27" s="19" t="n"/>
      <c r="Q27" s="19" t="n"/>
      <c r="R27" s="19" t="inlineStr">
        <is>
          <t>PENDIENTE</t>
        </is>
      </c>
      <c r="S27" s="19" t="n"/>
    </row>
    <row r="28">
      <c r="A28" s="19" t="n">
        <v>27</v>
      </c>
      <c r="B28" s="19" t="inlineStr">
        <is>
          <t>enero 2028</t>
        </is>
      </c>
      <c r="C28" s="19" t="n"/>
      <c r="D28" s="19" t="n"/>
      <c r="E28" s="19" t="n"/>
      <c r="F28" s="19" t="n"/>
      <c r="G28" s="19" t="n"/>
      <c r="H28" s="19" t="n"/>
      <c r="I28" s="19" t="n"/>
      <c r="J28" s="20" t="n">
        <v>49449457</v>
      </c>
      <c r="K28" s="19" t="n"/>
      <c r="L28" s="19" t="n"/>
      <c r="M28" s="19" t="n"/>
      <c r="N28" s="19" t="n"/>
      <c r="O28" s="19" t="n"/>
      <c r="P28" s="19" t="n"/>
      <c r="Q28" s="19" t="n"/>
      <c r="R28" s="19" t="inlineStr">
        <is>
          <t>PENDIENTE</t>
        </is>
      </c>
      <c r="S28" s="19" t="n"/>
    </row>
    <row r="29">
      <c r="A29" s="19" t="n">
        <v>28</v>
      </c>
      <c r="B29" s="19" t="inlineStr">
        <is>
          <t>febrero 2028</t>
        </is>
      </c>
      <c r="C29" s="19" t="n"/>
      <c r="D29" s="19" t="n"/>
      <c r="E29" s="19" t="n"/>
      <c r="F29" s="19" t="n"/>
      <c r="G29" s="19" t="n"/>
      <c r="H29" s="19" t="n"/>
      <c r="I29" s="19" t="n"/>
      <c r="J29" s="20" t="n">
        <v>49449457</v>
      </c>
      <c r="K29" s="19" t="n"/>
      <c r="L29" s="19" t="n"/>
      <c r="M29" s="19" t="n"/>
      <c r="N29" s="19" t="n"/>
      <c r="O29" s="19" t="n"/>
      <c r="P29" s="19" t="n"/>
      <c r="Q29" s="19" t="n"/>
      <c r="R29" s="19" t="inlineStr">
        <is>
          <t>PENDIENTE</t>
        </is>
      </c>
      <c r="S29" s="19" t="n"/>
    </row>
    <row r="30">
      <c r="A30" s="19" t="n">
        <v>29</v>
      </c>
      <c r="B30" s="19" t="inlineStr">
        <is>
          <t>marzo 2028</t>
        </is>
      </c>
      <c r="C30" s="19" t="n"/>
      <c r="D30" s="19" t="n"/>
      <c r="E30" s="19" t="n"/>
      <c r="F30" s="19" t="n"/>
      <c r="G30" s="19" t="n"/>
      <c r="H30" s="19" t="n"/>
      <c r="I30" s="19" t="n"/>
      <c r="J30" s="20" t="n">
        <v>49449457</v>
      </c>
      <c r="K30" s="19" t="n"/>
      <c r="L30" s="19" t="n"/>
      <c r="M30" s="19" t="n"/>
      <c r="N30" s="19" t="n"/>
      <c r="O30" s="19" t="n"/>
      <c r="P30" s="19" t="n"/>
      <c r="Q30" s="19" t="n"/>
      <c r="R30" s="19" t="inlineStr">
        <is>
          <t>PENDIENTE</t>
        </is>
      </c>
      <c r="S30" s="19" t="n"/>
    </row>
    <row r="31">
      <c r="A31" s="19" t="n">
        <v>30</v>
      </c>
      <c r="B31" s="19" t="inlineStr">
        <is>
          <t>abril 2028</t>
        </is>
      </c>
      <c r="C31" s="19" t="n"/>
      <c r="D31" s="19" t="n"/>
      <c r="E31" s="19" t="n"/>
      <c r="F31" s="19" t="n"/>
      <c r="G31" s="19" t="n"/>
      <c r="H31" s="19" t="n"/>
      <c r="I31" s="19" t="n"/>
      <c r="J31" s="20" t="n">
        <v>49449457</v>
      </c>
      <c r="K31" s="19" t="n"/>
      <c r="L31" s="19" t="n"/>
      <c r="M31" s="19" t="n"/>
      <c r="N31" s="19" t="n"/>
      <c r="O31" s="19" t="n"/>
      <c r="P31" s="19" t="n"/>
      <c r="Q31" s="19" t="n"/>
      <c r="R31" s="19" t="inlineStr">
        <is>
          <t>PENDIENTE</t>
        </is>
      </c>
      <c r="S31" s="19" t="n"/>
    </row>
    <row r="32">
      <c r="A32" s="19" t="n">
        <v>31</v>
      </c>
      <c r="B32" s="19" t="inlineStr">
        <is>
          <t>mayo 2028</t>
        </is>
      </c>
      <c r="C32" s="19" t="n"/>
      <c r="D32" s="19" t="n"/>
      <c r="E32" s="19" t="n"/>
      <c r="F32" s="19" t="n"/>
      <c r="G32" s="19" t="n"/>
      <c r="H32" s="19" t="n"/>
      <c r="I32" s="19" t="n"/>
      <c r="J32" s="20" t="n">
        <v>49449457</v>
      </c>
      <c r="K32" s="19" t="n"/>
      <c r="L32" s="19" t="n"/>
      <c r="M32" s="19" t="n"/>
      <c r="N32" s="19" t="n"/>
      <c r="O32" s="19" t="n"/>
      <c r="P32" s="19" t="n"/>
      <c r="Q32" s="19" t="n"/>
      <c r="R32" s="19" t="inlineStr">
        <is>
          <t>PENDIENTE</t>
        </is>
      </c>
      <c r="S32" s="19" t="n"/>
    </row>
    <row r="33">
      <c r="A33" s="19" t="n">
        <v>32</v>
      </c>
      <c r="B33" s="19" t="inlineStr">
        <is>
          <t>junio 2028</t>
        </is>
      </c>
      <c r="C33" s="19" t="n"/>
      <c r="D33" s="19" t="n"/>
      <c r="E33" s="19" t="n"/>
      <c r="F33" s="19" t="n"/>
      <c r="G33" s="19" t="n"/>
      <c r="H33" s="19" t="n"/>
      <c r="I33" s="19" t="n"/>
      <c r="J33" s="20" t="n">
        <v>49449457</v>
      </c>
      <c r="K33" s="19" t="n"/>
      <c r="L33" s="19" t="n"/>
      <c r="M33" s="19" t="n"/>
      <c r="N33" s="19" t="n"/>
      <c r="O33" s="19" t="n"/>
      <c r="P33" s="19" t="n"/>
      <c r="Q33" s="19" t="n"/>
      <c r="R33" s="19" t="inlineStr">
        <is>
          <t>PENDIENTE</t>
        </is>
      </c>
      <c r="S33" s="19" t="n"/>
    </row>
    <row r="34"/>
    <row r="35">
      <c r="B35" s="25" t="inlineStr">
        <is>
          <t>TOTAL PAGADO</t>
        </is>
      </c>
      <c r="C35" s="26" t="n">
        <v>49449457</v>
      </c>
      <c r="G35" s="27" t="n">
        <v>33646.1</v>
      </c>
      <c r="H35" s="14" t="n">
        <v>24724731</v>
      </c>
      <c r="I35" s="14" t="n">
        <v>24724726</v>
      </c>
    </row>
    <row r="36"/>
    <row r="37">
      <c r="B37" s="25" t="inlineStr">
        <is>
          <t>METODOLOGÍA</t>
        </is>
      </c>
    </row>
    <row r="38">
      <c r="B38" t="inlineStr">
        <is>
          <t>TC MEP: siempre dólar bolsa (MEP) tipo VENDEDOR (venta) de api.argentinadatos.com en la fecha de vencimiento de la cuota (si no hay rueda, día hábil anterior).</t>
        </is>
      </c>
    </row>
    <row r="39">
      <c r="B39" t="inlineStr">
        <is>
          <t>Valor USD = Monto ARS ÷ TC MEP venta.</t>
        </is>
      </c>
    </row>
    <row r="40">
      <c r="B40" t="inlineStr">
        <is>
          <t>% Δ cuota = variación vs cuota anterior del mismo plan.</t>
        </is>
      </c>
    </row>
    <row r="41">
      <c r="B41" t="inlineStr">
        <is>
          <t>IPC: variación mensual INDEC del mes de referencia (mes calendario anterior al período de la cuota).</t>
        </is>
      </c>
    </row>
    <row r="42">
      <c r="B42" t="inlineStr">
        <is>
          <t>CAC: variación mensual Indicador CAMARCO / Índice CAC costo de construcción (Cámara Argentina de la Construcción).</t>
        </is>
      </c>
    </row>
    <row r="43">
      <c r="B43" t="inlineStr">
        <is>
          <t>Benchmark pedido: IPC + CAC (suma de %). Comparar si la cuota subió MÁS o MENOS que ese benchmark.</t>
        </is>
      </c>
    </row>
    <row r="44">
      <c r="B44" t="inlineStr">
        <is>
          <t>Nota: CAC junio 2026 aún no publicado al 19-jul-2026; la fila julio queda con CAC pendiente para el veredicto IPC+CAC.</t>
        </is>
      </c>
    </row>
    <row r="45">
      <c r="B45" t="inlineStr">
        <is>
          <t>50% Sol → hoja Gasto Personal Sol (CIUDAD). No sumar a matriz 2026 de CIUDAD como gasto de propiedad.</t>
        </is>
      </c>
    </row>
  </sheetData>
  <mergeCells count="8">
    <mergeCell ref="B43:L43"/>
    <mergeCell ref="B38:L38"/>
    <mergeCell ref="B44:L44"/>
    <mergeCell ref="B39:L39"/>
    <mergeCell ref="B42:L42"/>
    <mergeCell ref="B45:L45"/>
    <mergeCell ref="B40:L40"/>
    <mergeCell ref="B41:L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28" t="inlineStr">
        <is>
          <t>Cuota</t>
        </is>
      </c>
      <c r="B1" s="28" t="inlineStr">
        <is>
          <t>Período</t>
        </is>
      </c>
      <c r="C1" s="28" t="inlineStr">
        <is>
          <t>% Δ cuota</t>
        </is>
      </c>
      <c r="D1" s="28" t="inlineStr">
        <is>
          <t>IPC %</t>
        </is>
      </c>
      <c r="E1" s="28" t="inlineStr">
        <is>
          <t>CAC %</t>
        </is>
      </c>
      <c r="F1" s="28" t="inlineStr">
        <is>
          <t>IPC+CAC %</t>
        </is>
      </c>
      <c r="G1" s="28" t="inlineStr">
        <is>
          <t>Diferencia pp</t>
        </is>
      </c>
      <c r="H1" s="28" t="inlineStr">
        <is>
          <t>Veredicto</t>
        </is>
      </c>
      <c r="I1" s="28" t="inlineStr">
        <is>
          <t>Lectura</t>
        </is>
      </c>
    </row>
    <row r="2">
      <c r="A2" t="n">
        <v>2</v>
      </c>
      <c r="B2" t="inlineStr">
        <is>
          <t>diciembre 2025</t>
        </is>
      </c>
      <c r="C2" s="29" t="n">
        <v>2.31</v>
      </c>
      <c r="D2" s="29" t="n">
        <v>2.5</v>
      </c>
      <c r="E2" s="29" t="n">
        <v>1.99</v>
      </c>
      <c r="F2" s="29" t="n">
        <v>4.49</v>
      </c>
      <c r="G2" s="29" t="n">
        <v>-2.18</v>
      </c>
      <c r="H2" s="30" t="inlineStr">
        <is>
          <t>MENOS que IPC+CAC</t>
        </is>
      </c>
      <c r="I2" t="inlineStr">
        <is>
          <t>La cuota subió 2.18 pp por debajo de IPC+CAC</t>
        </is>
      </c>
    </row>
    <row r="3">
      <c r="A3" t="n">
        <v>3</v>
      </c>
      <c r="B3" t="inlineStr">
        <is>
          <t>enero 2026</t>
        </is>
      </c>
      <c r="C3" s="29" t="n">
        <v>1.99</v>
      </c>
      <c r="D3" s="29" t="n">
        <v>2.8</v>
      </c>
      <c r="E3" s="29" t="n">
        <v>1.3</v>
      </c>
      <c r="F3" s="29" t="n">
        <v>4.1</v>
      </c>
      <c r="G3" s="29" t="n">
        <v>-2.11</v>
      </c>
      <c r="H3" s="30" t="inlineStr">
        <is>
          <t>MENOS que IPC+CAC</t>
        </is>
      </c>
      <c r="I3" t="inlineStr">
        <is>
          <t>La cuota subió 2.11 pp por debajo de IPC+CAC</t>
        </is>
      </c>
    </row>
    <row r="4">
      <c r="A4" t="n">
        <v>4</v>
      </c>
      <c r="B4" t="inlineStr">
        <is>
          <t>febrero 2026</t>
        </is>
      </c>
      <c r="C4" s="29" t="n">
        <v>1.3</v>
      </c>
      <c r="D4" s="29" t="n">
        <v>2.9</v>
      </c>
      <c r="E4" s="29" t="n">
        <v>2.3</v>
      </c>
      <c r="F4" s="29" t="n">
        <v>5.2</v>
      </c>
      <c r="G4" s="29" t="n">
        <v>-3.9</v>
      </c>
      <c r="H4" s="30" t="inlineStr">
        <is>
          <t>MENOS que IPC+CAC</t>
        </is>
      </c>
      <c r="I4" t="inlineStr">
        <is>
          <t>La cuota subió 3.90 pp por debajo de IPC+CAC</t>
        </is>
      </c>
    </row>
    <row r="5">
      <c r="A5" t="n">
        <v>5</v>
      </c>
      <c r="B5" t="inlineStr">
        <is>
          <t>marzo 2026</t>
        </is>
      </c>
      <c r="C5" s="29" t="n">
        <v>2.31</v>
      </c>
      <c r="D5" s="29" t="n">
        <v>2.9</v>
      </c>
      <c r="E5" s="29" t="n">
        <v>1.3</v>
      </c>
      <c r="F5" s="29" t="n">
        <v>4.2</v>
      </c>
      <c r="G5" s="29" t="n">
        <v>-1.89</v>
      </c>
      <c r="H5" s="30" t="inlineStr">
        <is>
          <t>MENOS que IPC+CAC</t>
        </is>
      </c>
      <c r="I5" t="inlineStr">
        <is>
          <t>La cuota subió 1.89 pp por debajo de IPC+CAC</t>
        </is>
      </c>
    </row>
    <row r="6">
      <c r="A6" t="n">
        <v>6</v>
      </c>
      <c r="B6" t="inlineStr">
        <is>
          <t>abril 2026</t>
        </is>
      </c>
      <c r="C6" s="29" t="n">
        <v>1.27</v>
      </c>
      <c r="D6" s="29" t="n">
        <v>3.4</v>
      </c>
      <c r="E6" s="29" t="n">
        <v>1.6</v>
      </c>
      <c r="F6" s="29" t="n">
        <v>5</v>
      </c>
      <c r="G6" s="29" t="n">
        <v>-3.73</v>
      </c>
      <c r="H6" s="30" t="inlineStr">
        <is>
          <t>MENOS que IPC+CAC</t>
        </is>
      </c>
      <c r="I6" t="inlineStr">
        <is>
          <t>La cuota subió 3.73 pp por debajo de IPC+CAC</t>
        </is>
      </c>
    </row>
    <row r="7">
      <c r="A7" t="n">
        <v>7</v>
      </c>
      <c r="B7" t="inlineStr">
        <is>
          <t>mayo 2026</t>
        </is>
      </c>
      <c r="C7" s="29" t="n">
        <v>1.64</v>
      </c>
      <c r="D7" s="29" t="n">
        <v>2.6</v>
      </c>
      <c r="E7" s="29" t="n">
        <v>3.7</v>
      </c>
      <c r="F7" s="29" t="n">
        <v>6.3</v>
      </c>
      <c r="G7" s="29" t="n">
        <v>-4.66</v>
      </c>
      <c r="H7" s="30" t="inlineStr">
        <is>
          <t>MENOS que IPC+CAC</t>
        </is>
      </c>
      <c r="I7" t="inlineStr">
        <is>
          <t>La cuota subió 4.66 pp por debajo de IPC+CAC</t>
        </is>
      </c>
    </row>
    <row r="8">
      <c r="A8" t="n">
        <v>8</v>
      </c>
      <c r="B8" t="inlineStr">
        <is>
          <t>junio 2026</t>
        </is>
      </c>
      <c r="C8" s="29" t="n">
        <v>3.65</v>
      </c>
      <c r="D8" s="29" t="n">
        <v>2.1</v>
      </c>
      <c r="E8" s="29" t="n">
        <v>2.6</v>
      </c>
      <c r="F8" s="29" t="n">
        <v>4.7</v>
      </c>
      <c r="G8" s="29" t="n">
        <v>-1.05</v>
      </c>
      <c r="H8" s="30" t="inlineStr">
        <is>
          <t>MENOS que IPC+CAC</t>
        </is>
      </c>
      <c r="I8" t="inlineStr">
        <is>
          <t>La cuota subió 1.05 pp por debajo de IPC+CAC</t>
        </is>
      </c>
    </row>
    <row r="9">
      <c r="A9" t="n">
        <v>9</v>
      </c>
      <c r="B9" t="inlineStr">
        <is>
          <t>julio 2026</t>
        </is>
      </c>
      <c r="C9" s="29" t="n">
        <v>2.65</v>
      </c>
      <c r="D9" s="29" t="n">
        <v>1.9</v>
      </c>
      <c r="H9" t="inlineStr">
        <is>
          <t>CAC pendiente</t>
        </is>
      </c>
      <c r="I9" t="inlineStr">
        <is>
          <t>IPC ref=1.9%; falta CAC del mes 2026-06 para cerrar IPC+CAC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AVA</t>
        </is>
      </c>
    </row>
    <row r="2">
      <c r="A2" s="2" t="inlineStr">
        <is>
          <t>Gastos 2026 — propiedad independiente</t>
        </is>
      </c>
    </row>
    <row r="4">
      <c r="A4" s="3" t="inlineStr">
        <is>
          <t>Tipo</t>
        </is>
      </c>
      <c r="B4" s="3" t="inlineStr">
        <is>
          <t>Categoría</t>
        </is>
      </c>
      <c r="C4" s="3" t="inlineStr">
        <is>
          <t>Descripción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  <c r="P4" s="3" t="inlineStr">
        <is>
          <t>TOTAL</t>
        </is>
      </c>
    </row>
    <row r="5">
      <c r="A5" s="4" t="inlineStr">
        <is>
          <t>SERVICIOS</t>
        </is>
      </c>
      <c r="B5" s="4" t="inlineStr">
        <is>
          <t>EXPENSAS</t>
        </is>
      </c>
      <c r="C5" s="4" t="inlineStr">
        <is>
          <t>Fideicomiso Ava Palpa</t>
        </is>
      </c>
      <c r="D5" s="5" t="n">
        <v>5291593</v>
      </c>
      <c r="E5" s="5" t="n">
        <v>5360265</v>
      </c>
      <c r="F5" s="5" t="n">
        <v>5484067</v>
      </c>
      <c r="G5" s="5" t="n">
        <v>5553706</v>
      </c>
      <c r="H5" s="5" t="n">
        <v>5644624</v>
      </c>
      <c r="I5" s="5" t="n">
        <v>5850639</v>
      </c>
      <c r="J5" s="5" t="n">
        <v>6005392</v>
      </c>
      <c r="K5" s="5" t="n">
        <v>6178522</v>
      </c>
      <c r="L5" s="5" t="n">
        <v>6269440</v>
      </c>
      <c r="M5" s="5" t="n">
        <v>6550413</v>
      </c>
      <c r="N5" s="5" t="n">
        <v>6739503</v>
      </c>
      <c r="O5" s="5" t="n"/>
      <c r="P5" s="5">
        <f>SUM(D5:O5)</f>
        <v/>
      </c>
    </row>
    <row r="6">
      <c r="A6" s="4" t="n"/>
      <c r="B6" s="4" t="n"/>
      <c r="C6" s="4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>
        <f>SUM(D6:O6)</f>
        <v/>
      </c>
    </row>
    <row r="7">
      <c r="A7" s="4" t="n"/>
      <c r="B7" s="4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>
        <f>SUM(D7:O7)</f>
        <v/>
      </c>
    </row>
    <row r="8">
      <c r="A8" s="4" t="n"/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>
        <f>SUM(D8:O8)</f>
        <v/>
      </c>
    </row>
    <row r="9">
      <c r="A9" s="4" t="n"/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>
        <f>SUM(D9:O9)</f>
        <v/>
      </c>
    </row>
    <row r="10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>
        <f>SUM(D10:O10)</f>
        <v/>
      </c>
    </row>
    <row r="11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SUM(D11:O11)</f>
        <v/>
      </c>
    </row>
    <row r="12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>
        <f>SUM(D12:O12)</f>
        <v/>
      </c>
    </row>
    <row r="13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SUM(D13:O13)</f>
        <v/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>
        <f>SUM(D14:O14)</f>
        <v/>
      </c>
    </row>
    <row r="15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SUM(D15:O15)</f>
        <v/>
      </c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>
        <f>SUM(D16:O16)</f>
        <v/>
      </c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SUM(D17:O17)</f>
        <v/>
      </c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>
        <f>SUM(D18:O18)</f>
        <v/>
      </c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SUM(D19:O19)</f>
        <v/>
      </c>
    </row>
    <row r="20">
      <c r="A20" s="6" t="inlineStr">
        <is>
          <t>TOTAL MES</t>
        </is>
      </c>
      <c r="B20" s="11" t="n"/>
      <c r="C20" s="12" t="n"/>
      <c r="D20" s="7">
        <f>SUM(D5:D19)</f>
        <v/>
      </c>
      <c r="E20" s="7">
        <f>SUM(E5:E19)</f>
        <v/>
      </c>
      <c r="F20" s="7">
        <f>SUM(F5:F19)</f>
        <v/>
      </c>
      <c r="G20" s="7">
        <f>SUM(G5:G19)</f>
        <v/>
      </c>
      <c r="H20" s="7">
        <f>SUM(H5:H19)</f>
        <v/>
      </c>
      <c r="I20" s="7">
        <f>SUM(I5:I19)</f>
        <v/>
      </c>
      <c r="J20" s="7">
        <f>SUM(J5:J19)</f>
        <v/>
      </c>
      <c r="K20" s="7">
        <f>SUM(K5:K19)</f>
        <v/>
      </c>
      <c r="L20" s="7">
        <f>SUM(L5:L19)</f>
        <v/>
      </c>
      <c r="M20" s="7">
        <f>SUM(M5:M19)</f>
        <v/>
      </c>
      <c r="N20" s="7">
        <f>SUM(N5:N19)</f>
        <v/>
      </c>
      <c r="O20" s="7">
        <f>SUM(O5:O19)</f>
        <v/>
      </c>
      <c r="P20" s="7">
        <f>SUM(P5:P19)</f>
        <v/>
      </c>
    </row>
  </sheetData>
  <mergeCells count="1"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2" customWidth="1" min="4" max="4"/>
    <col width="12" customWidth="1" min="5" max="5"/>
    <col width="18" customWidth="1" min="6" max="6"/>
    <col width="18" customWidth="1" min="7" max="7"/>
    <col width="16" customWidth="1" min="8" max="8"/>
    <col width="40" customWidth="1" min="9" max="9"/>
    <col width="12" customWidth="1" min="10" max="10"/>
  </cols>
  <sheetData>
    <row r="1">
      <c r="A1" s="1" t="inlineStr">
        <is>
          <t>AVA — Detalle de gastos 2026</t>
        </is>
      </c>
    </row>
    <row r="3">
      <c r="A3" s="8" t="inlineStr">
        <is>
          <t>Fecha</t>
        </is>
      </c>
      <c r="B3" s="8" t="inlineStr">
        <is>
          <t>Tipo</t>
        </is>
      </c>
      <c r="C3" s="8" t="inlineStr">
        <is>
          <t>Categoría</t>
        </is>
      </c>
      <c r="D3" s="8" t="inlineStr">
        <is>
          <t>Descripción</t>
        </is>
      </c>
      <c r="E3" s="8" t="inlineStr">
        <is>
          <t>Monto</t>
        </is>
      </c>
      <c r="F3" s="8" t="inlineStr">
        <is>
          <t>Forma de pago</t>
        </is>
      </c>
      <c r="G3" s="8" t="inlineStr">
        <is>
          <t>N° Cliente</t>
        </is>
      </c>
      <c r="H3" s="8" t="inlineStr">
        <is>
          <t>N° Medidor</t>
        </is>
      </c>
      <c r="I3" s="8" t="inlineStr">
        <is>
          <t>Notas</t>
        </is>
      </c>
      <c r="J3" s="8" t="inlineStr">
        <is>
          <t>Mes</t>
        </is>
      </c>
    </row>
    <row r="4">
      <c r="A4" s="17" t="n">
        <v>46027</v>
      </c>
      <c r="B4" s="4" t="inlineStr">
        <is>
          <t>EXPENSAS</t>
        </is>
      </c>
      <c r="C4" s="4" t="inlineStr">
        <is>
          <t>Fideicomiso Ava Palpa</t>
        </is>
      </c>
      <c r="D4" s="5" t="inlineStr">
        <is>
          <t>Cuota 3 · enero 2026</t>
        </is>
      </c>
      <c r="E4" s="5" t="n">
        <v>5291593</v>
      </c>
      <c r="F4" s="4" t="inlineStr">
        <is>
          <t>Mercado Pago / TC MEP</t>
        </is>
      </c>
      <c r="G4" s="10" t="n"/>
      <c r="H4" s="10" t="n"/>
      <c r="I4" s="4" t="inlineStr">
        <is>
          <t>Total cuota. 50% Sol=$2,645,797 en Gasto Personal Sol (CIUDAD)</t>
        </is>
      </c>
      <c r="J4" s="4" t="inlineStr">
        <is>
          <t>Enero</t>
        </is>
      </c>
    </row>
    <row r="5">
      <c r="A5" s="17" t="n">
        <v>46057</v>
      </c>
      <c r="B5" s="4" t="inlineStr">
        <is>
          <t>EXPENSAS</t>
        </is>
      </c>
      <c r="C5" s="4" t="inlineStr">
        <is>
          <t>Fideicomiso Ava Palpa</t>
        </is>
      </c>
      <c r="D5" s="5" t="inlineStr">
        <is>
          <t>Cuota 4 · febrero 2026</t>
        </is>
      </c>
      <c r="E5" s="5" t="n">
        <v>5360265</v>
      </c>
      <c r="F5" s="4" t="inlineStr">
        <is>
          <t>Mercado Pago / TC MEP</t>
        </is>
      </c>
      <c r="G5" s="10" t="n"/>
      <c r="H5" s="10" t="n"/>
      <c r="I5" s="4" t="inlineStr">
        <is>
          <t>Total cuota. 50% Sol=$2,680,133 en Gasto Personal Sol (CIUDAD)</t>
        </is>
      </c>
      <c r="J5" s="4" t="inlineStr">
        <is>
          <t>Febrero</t>
        </is>
      </c>
    </row>
    <row r="6">
      <c r="A6" s="17" t="n">
        <v>46085</v>
      </c>
      <c r="B6" s="4" t="inlineStr">
        <is>
          <t>EXPENSAS</t>
        </is>
      </c>
      <c r="C6" s="4" t="inlineStr">
        <is>
          <t>Fideicomiso Ava Palpa</t>
        </is>
      </c>
      <c r="D6" s="5" t="inlineStr">
        <is>
          <t>Cuota 5 · marzo 2026</t>
        </is>
      </c>
      <c r="E6" s="5" t="n">
        <v>5484067</v>
      </c>
      <c r="F6" s="4" t="inlineStr">
        <is>
          <t>Mercado Pago / TC MEP</t>
        </is>
      </c>
      <c r="G6" s="10" t="n"/>
      <c r="H6" s="10" t="n"/>
      <c r="I6" s="4" t="inlineStr">
        <is>
          <t>Total cuota. 50% Sol=$2,742,034 en Gasto Personal Sol (CIUDAD)</t>
        </is>
      </c>
      <c r="J6" s="4" t="inlineStr">
        <is>
          <t>Marzo</t>
        </is>
      </c>
    </row>
    <row r="7">
      <c r="A7" s="17" t="n">
        <v>46118</v>
      </c>
      <c r="B7" s="4" t="inlineStr">
        <is>
          <t>EXPENSAS</t>
        </is>
      </c>
      <c r="C7" s="4" t="inlineStr">
        <is>
          <t>Fideicomiso Ava Palpa</t>
        </is>
      </c>
      <c r="D7" s="5" t="inlineStr">
        <is>
          <t>Cuota 6 · abril 2026</t>
        </is>
      </c>
      <c r="E7" s="5" t="n">
        <v>5553706</v>
      </c>
      <c r="F7" s="4" t="inlineStr">
        <is>
          <t>Mercado Pago / TC MEP</t>
        </is>
      </c>
      <c r="G7" s="10" t="n"/>
      <c r="H7" s="10" t="n"/>
      <c r="I7" s="4" t="inlineStr">
        <is>
          <t>Total cuota. 50% Sol=$2,776,853 en Gasto Personal Sol (CIUDAD)</t>
        </is>
      </c>
      <c r="J7" s="4" t="inlineStr">
        <is>
          <t>Abril</t>
        </is>
      </c>
    </row>
    <row r="8">
      <c r="A8" s="17" t="n">
        <v>46148</v>
      </c>
      <c r="B8" s="4" t="inlineStr">
        <is>
          <t>EXPENSAS</t>
        </is>
      </c>
      <c r="C8" s="4" t="inlineStr">
        <is>
          <t>Fideicomiso Ava Palpa</t>
        </is>
      </c>
      <c r="D8" s="5" t="inlineStr">
        <is>
          <t>Cuota 7 · mayo 2026</t>
        </is>
      </c>
      <c r="E8" s="5" t="n">
        <v>5644624</v>
      </c>
      <c r="F8" s="4" t="inlineStr">
        <is>
          <t>Mercado Pago / TC MEP</t>
        </is>
      </c>
      <c r="G8" s="10" t="n"/>
      <c r="H8" s="10" t="n"/>
      <c r="I8" s="4" t="inlineStr">
        <is>
          <t>Total cuota. 50% Sol=$2,822,312 en Gasto Personal Sol (CIUDAD)</t>
        </is>
      </c>
      <c r="J8" s="4" t="inlineStr">
        <is>
          <t>Mayo</t>
        </is>
      </c>
    </row>
    <row r="9">
      <c r="A9" s="17" t="n">
        <v>46178</v>
      </c>
      <c r="B9" s="4" t="inlineStr">
        <is>
          <t>EXPENSAS</t>
        </is>
      </c>
      <c r="C9" s="4" t="inlineStr">
        <is>
          <t>Fideicomiso Ava Palpa</t>
        </is>
      </c>
      <c r="D9" s="5" t="inlineStr">
        <is>
          <t>Cuota 8 · junio 2026</t>
        </is>
      </c>
      <c r="E9" s="5" t="n">
        <v>5850639</v>
      </c>
      <c r="F9" s="4" t="inlineStr">
        <is>
          <t>Mercado Pago / TC MEP</t>
        </is>
      </c>
      <c r="G9" s="10" t="n"/>
      <c r="H9" s="10" t="n"/>
      <c r="I9" s="4" t="inlineStr">
        <is>
          <t>Total cuota. 50% Sol=$2,925,320 en Gasto Personal Sol (CIUDAD)</t>
        </is>
      </c>
      <c r="J9" s="4" t="inlineStr">
        <is>
          <t>Junio</t>
        </is>
      </c>
    </row>
    <row r="10">
      <c r="A10" s="17" t="n">
        <v>46209</v>
      </c>
      <c r="B10" s="4" t="inlineStr">
        <is>
          <t>EXPENSAS</t>
        </is>
      </c>
      <c r="C10" s="4" t="inlineStr">
        <is>
          <t>Fideicomiso Ava Palpa</t>
        </is>
      </c>
      <c r="D10" s="4" t="inlineStr">
        <is>
          <t>Cuota 9 · julio 2026</t>
        </is>
      </c>
      <c r="E10" s="5" t="n">
        <v>6005392</v>
      </c>
      <c r="F10" s="4" t="inlineStr">
        <is>
          <t>Mercado Pago / TC MEP</t>
        </is>
      </c>
      <c r="G10" s="10" t="n"/>
      <c r="H10" s="10" t="n"/>
      <c r="I10" s="4" t="inlineStr">
        <is>
          <t>Total cuota. 50% Sol=$3,002,696 en Gasto Personal Sol (CIUDAD)</t>
        </is>
      </c>
      <c r="J10" s="4" t="inlineStr">
        <is>
          <t>Julio</t>
        </is>
      </c>
    </row>
    <row r="11">
      <c r="A11" s="9" t="n"/>
      <c r="B11" s="4" t="n"/>
      <c r="C11" s="4" t="n"/>
      <c r="D11" s="4" t="n"/>
      <c r="E11" s="5" t="n"/>
      <c r="F11" s="4" t="n"/>
      <c r="G11" s="10" t="n"/>
      <c r="H11" s="10" t="n"/>
      <c r="I11" s="4" t="n"/>
      <c r="J11" s="4" t="n"/>
    </row>
    <row r="12">
      <c r="A12" s="9" t="n"/>
      <c r="B12" s="4" t="n"/>
      <c r="C12" s="4" t="n"/>
      <c r="D12" s="4" t="n"/>
      <c r="E12" s="5" t="n"/>
      <c r="F12" s="4" t="n"/>
      <c r="G12" s="10" t="n"/>
      <c r="H12" s="10" t="n"/>
      <c r="I12" s="4" t="n"/>
      <c r="J12" s="4" t="n"/>
    </row>
    <row r="13">
      <c r="A13" s="9" t="n"/>
      <c r="B13" s="4" t="n"/>
      <c r="C13" s="4" t="n"/>
      <c r="D13" s="4" t="n"/>
      <c r="E13" s="5" t="n"/>
      <c r="F13" s="4" t="n"/>
      <c r="G13" s="10" t="n"/>
      <c r="H13" s="10" t="n"/>
      <c r="I13" s="4" t="n"/>
      <c r="J13" s="4" t="n"/>
    </row>
    <row r="14">
      <c r="A14" s="9" t="n"/>
      <c r="B14" s="4" t="n"/>
      <c r="C14" s="4" t="n"/>
      <c r="D14" s="4" t="n"/>
      <c r="E14" s="5" t="n"/>
      <c r="F14" s="4" t="n"/>
      <c r="G14" s="10" t="n"/>
      <c r="H14" s="10" t="n"/>
      <c r="I14" s="4" t="n"/>
      <c r="J14" s="4" t="n"/>
    </row>
    <row r="15">
      <c r="A15" s="9" t="n"/>
      <c r="B15" s="4" t="n"/>
      <c r="C15" s="4" t="n"/>
      <c r="D15" s="4" t="n"/>
      <c r="E15" s="5" t="n"/>
      <c r="F15" s="4" t="n"/>
      <c r="G15" s="10" t="n"/>
      <c r="H15" s="10" t="n"/>
      <c r="I15" s="4" t="n"/>
      <c r="J15" s="4" t="n"/>
    </row>
    <row r="16">
      <c r="A16" s="9" t="n"/>
      <c r="B16" s="4" t="n"/>
      <c r="C16" s="4" t="n"/>
      <c r="D16" s="4" t="n"/>
      <c r="E16" s="5" t="n"/>
      <c r="F16" s="4" t="n"/>
      <c r="G16" s="10" t="n"/>
      <c r="H16" s="10" t="n"/>
      <c r="I16" s="4" t="n"/>
      <c r="J16" s="4" t="n"/>
    </row>
    <row r="17">
      <c r="A17" s="9" t="n"/>
      <c r="B17" s="4" t="n"/>
      <c r="C17" s="4" t="n"/>
      <c r="D17" s="4" t="n"/>
      <c r="E17" s="5" t="n"/>
      <c r="F17" s="4" t="n"/>
      <c r="G17" s="10" t="n"/>
      <c r="H17" s="10" t="n"/>
      <c r="I17" s="4" t="n"/>
      <c r="J17" s="4" t="n"/>
    </row>
    <row r="18">
      <c r="A18" s="9" t="n"/>
      <c r="B18" s="4" t="n"/>
      <c r="C18" s="4" t="n"/>
      <c r="D18" s="4" t="n"/>
      <c r="E18" s="5" t="n"/>
      <c r="F18" s="4" t="n"/>
      <c r="G18" s="10" t="n"/>
      <c r="H18" s="10" t="n"/>
      <c r="I18" s="4" t="n"/>
      <c r="J18" s="4" t="n"/>
    </row>
    <row r="19">
      <c r="A19" s="9" t="n"/>
      <c r="B19" s="4" t="n"/>
      <c r="C19" s="4" t="n"/>
      <c r="D19" s="4" t="n"/>
      <c r="E19" s="5" t="n"/>
      <c r="F19" s="4" t="n"/>
      <c r="G19" s="10" t="n"/>
      <c r="H19" s="10" t="n"/>
      <c r="I19" s="4" t="n"/>
      <c r="J19" s="4" t="n"/>
    </row>
    <row r="20">
      <c r="A20" s="9" t="n"/>
      <c r="B20" s="4" t="n"/>
      <c r="C20" s="4" t="n"/>
      <c r="D20" s="4" t="n"/>
      <c r="E20" s="5" t="n"/>
      <c r="F20" s="4" t="n"/>
      <c r="G20" s="10" t="n"/>
      <c r="H20" s="10" t="n"/>
      <c r="I20" s="4" t="n"/>
      <c r="J20" s="4" t="n"/>
    </row>
    <row r="21">
      <c r="A21" s="9" t="n"/>
      <c r="B21" s="4" t="n"/>
      <c r="C21" s="4" t="n"/>
      <c r="D21" s="4" t="n"/>
      <c r="E21" s="5" t="n"/>
      <c r="F21" s="4" t="n"/>
      <c r="G21" s="10" t="n"/>
      <c r="H21" s="10" t="n"/>
      <c r="I21" s="4" t="n"/>
      <c r="J21" s="4" t="n"/>
    </row>
    <row r="22">
      <c r="A22" s="9" t="n"/>
      <c r="B22" s="4" t="n"/>
      <c r="C22" s="4" t="n"/>
      <c r="D22" s="4" t="n"/>
      <c r="E22" s="5" t="n"/>
      <c r="F22" s="4" t="n"/>
      <c r="G22" s="10" t="n"/>
      <c r="H22" s="10" t="n"/>
      <c r="I22" s="4" t="n"/>
      <c r="J22" s="4" t="n"/>
    </row>
    <row r="23">
      <c r="A23" s="9" t="n"/>
      <c r="B23" s="4" t="n"/>
      <c r="C23" s="4" t="n"/>
      <c r="D23" s="4" t="n"/>
      <c r="E23" s="5" t="n"/>
      <c r="F23" s="4" t="n"/>
      <c r="G23" s="10" t="n"/>
      <c r="H23" s="10" t="n"/>
      <c r="I23" s="4" t="n"/>
      <c r="J23" s="4" t="n"/>
    </row>
    <row r="24">
      <c r="A24" s="9" t="n"/>
      <c r="B24" s="4" t="n"/>
      <c r="C24" s="4" t="n"/>
      <c r="D24" s="4" t="n"/>
      <c r="E24" s="5" t="n"/>
      <c r="F24" s="4" t="n"/>
      <c r="G24" s="10" t="n"/>
      <c r="H24" s="10" t="n"/>
      <c r="I24" s="4" t="n"/>
      <c r="J24" s="4" t="n"/>
    </row>
    <row r="25">
      <c r="A25" s="9" t="n"/>
      <c r="B25" s="4" t="n"/>
      <c r="C25" s="4" t="n"/>
      <c r="D25" s="4" t="n"/>
      <c r="E25" s="5" t="n"/>
      <c r="F25" s="4" t="n"/>
      <c r="G25" s="10" t="n"/>
      <c r="H25" s="10" t="n"/>
      <c r="I25" s="4" t="n"/>
      <c r="J25" s="4" t="n"/>
    </row>
    <row r="26">
      <c r="A26" s="9" t="n"/>
      <c r="B26" s="4" t="n"/>
      <c r="C26" s="4" t="n"/>
      <c r="D26" s="4" t="n"/>
      <c r="E26" s="5" t="n"/>
      <c r="F26" s="4" t="n"/>
      <c r="G26" s="10" t="n"/>
      <c r="H26" s="10" t="n"/>
      <c r="I26" s="4" t="n"/>
      <c r="J26" s="4" t="n"/>
    </row>
    <row r="27">
      <c r="A27" s="9" t="n"/>
      <c r="B27" s="4" t="n"/>
      <c r="C27" s="4" t="n"/>
      <c r="D27" s="4" t="n"/>
      <c r="E27" s="5" t="n"/>
      <c r="F27" s="4" t="n"/>
      <c r="G27" s="10" t="n"/>
      <c r="H27" s="10" t="n"/>
      <c r="I27" s="4" t="n"/>
      <c r="J27" s="4" t="n"/>
    </row>
    <row r="28">
      <c r="A28" s="9" t="n"/>
      <c r="B28" s="4" t="n"/>
      <c r="C28" s="4" t="n"/>
      <c r="D28" s="4" t="n"/>
      <c r="E28" s="5" t="n"/>
      <c r="F28" s="4" t="n"/>
      <c r="G28" s="10" t="n"/>
      <c r="H28" s="10" t="n"/>
      <c r="I28" s="4" t="n"/>
      <c r="J28" s="4" t="n"/>
    </row>
    <row r="29">
      <c r="A29" s="9" t="n"/>
      <c r="B29" s="4" t="n"/>
      <c r="C29" s="4" t="n"/>
      <c r="D29" s="4" t="n"/>
      <c r="E29" s="5" t="n"/>
      <c r="F29" s="4" t="n"/>
      <c r="G29" s="10" t="n"/>
      <c r="H29" s="10" t="n"/>
      <c r="I29" s="4" t="n"/>
      <c r="J29" s="4" t="n"/>
    </row>
    <row r="30">
      <c r="A30" s="9" t="n"/>
      <c r="B30" s="4" t="n"/>
      <c r="C30" s="4" t="n"/>
      <c r="D30" s="4" t="n"/>
      <c r="E30" s="5" t="n"/>
      <c r="F30" s="4" t="n"/>
      <c r="G30" s="10" t="n"/>
      <c r="H30" s="10" t="n"/>
      <c r="I30" s="4" t="n"/>
      <c r="J30" s="4" t="n"/>
    </row>
    <row r="31">
      <c r="A31" s="9" t="n"/>
      <c r="B31" s="4" t="n"/>
      <c r="C31" s="4" t="n"/>
      <c r="D31" s="4" t="n"/>
      <c r="E31" s="5" t="n"/>
      <c r="F31" s="4" t="n"/>
      <c r="G31" s="10" t="n"/>
      <c r="H31" s="10" t="n"/>
      <c r="I31" s="4" t="n"/>
      <c r="J31" s="4" t="n"/>
    </row>
    <row r="32">
      <c r="A32" s="9" t="n"/>
      <c r="B32" s="4" t="n"/>
      <c r="C32" s="4" t="n"/>
      <c r="D32" s="4" t="n"/>
      <c r="E32" s="5" t="n"/>
      <c r="F32" s="4" t="n"/>
      <c r="G32" s="10" t="n"/>
      <c r="H32" s="10" t="n"/>
      <c r="I32" s="4" t="n"/>
      <c r="J32" s="4" t="n"/>
    </row>
    <row r="33">
      <c r="A33" s="9" t="n"/>
      <c r="B33" s="4" t="n"/>
      <c r="C33" s="4" t="n"/>
      <c r="D33" s="4" t="n"/>
      <c r="E33" s="5" t="n"/>
      <c r="F33" s="4" t="n"/>
      <c r="G33" s="10" t="n"/>
      <c r="H33" s="10" t="n"/>
      <c r="I33" s="4" t="n"/>
      <c r="J33" s="4" t="n"/>
    </row>
    <row r="34">
      <c r="A34" s="9" t="n"/>
      <c r="B34" s="4" t="n"/>
      <c r="C34" s="4" t="n"/>
      <c r="D34" s="4" t="n"/>
      <c r="E34" s="5" t="n"/>
      <c r="F34" s="4" t="n"/>
      <c r="G34" s="10" t="n"/>
      <c r="H34" s="10" t="n"/>
      <c r="I34" s="4" t="n"/>
      <c r="J34" s="4" t="n"/>
    </row>
    <row r="35">
      <c r="A35" s="9" t="n"/>
      <c r="B35" s="4" t="n"/>
      <c r="C35" s="4" t="n"/>
      <c r="D35" s="4" t="n"/>
      <c r="E35" s="5" t="n"/>
      <c r="F35" s="4" t="n"/>
      <c r="G35" s="10" t="n"/>
      <c r="H35" s="10" t="n"/>
      <c r="I35" s="4" t="n"/>
      <c r="J35" s="4" t="n"/>
    </row>
    <row r="36">
      <c r="A36" s="9" t="n"/>
      <c r="B36" s="4" t="n"/>
      <c r="C36" s="4" t="n"/>
      <c r="D36" s="4" t="n"/>
      <c r="E36" s="5" t="n"/>
      <c r="F36" s="4" t="n"/>
      <c r="G36" s="10" t="n"/>
      <c r="H36" s="10" t="n"/>
      <c r="I36" s="4" t="n"/>
      <c r="J36" s="4" t="n"/>
    </row>
    <row r="37">
      <c r="A37" s="9" t="n"/>
      <c r="B37" s="4" t="n"/>
      <c r="C37" s="4" t="n"/>
      <c r="D37" s="4" t="n"/>
      <c r="E37" s="5" t="n"/>
      <c r="F37" s="4" t="n"/>
      <c r="G37" s="10" t="n"/>
      <c r="H37" s="10" t="n"/>
      <c r="I37" s="4" t="n"/>
      <c r="J37" s="4" t="n"/>
    </row>
    <row r="38">
      <c r="A38" s="9" t="n"/>
      <c r="B38" s="4" t="n"/>
      <c r="C38" s="4" t="n"/>
      <c r="D38" s="4" t="n"/>
      <c r="E38" s="5" t="n"/>
      <c r="F38" s="4" t="n"/>
      <c r="G38" s="10" t="n"/>
      <c r="H38" s="10" t="n"/>
      <c r="I38" s="4" t="n"/>
      <c r="J38" s="4" t="n"/>
    </row>
    <row r="39">
      <c r="A39" s="9" t="n"/>
      <c r="B39" s="4" t="n"/>
      <c r="C39" s="4" t="n"/>
      <c r="D39" s="4" t="n"/>
      <c r="E39" s="5" t="n"/>
      <c r="F39" s="4" t="n"/>
      <c r="G39" s="10" t="n"/>
      <c r="H39" s="10" t="n"/>
      <c r="I39" s="4" t="n"/>
      <c r="J39" s="4" t="n"/>
    </row>
    <row r="40">
      <c r="A40" s="9" t="n"/>
      <c r="B40" s="4" t="n"/>
      <c r="C40" s="4" t="n"/>
      <c r="D40" s="4" t="n"/>
      <c r="E40" s="5" t="n"/>
      <c r="F40" s="4" t="n"/>
      <c r="G40" s="10" t="n"/>
      <c r="H40" s="10" t="n"/>
      <c r="I40" s="4" t="n"/>
      <c r="J40" s="4" t="n"/>
    </row>
    <row r="41">
      <c r="A41" s="9" t="n"/>
      <c r="B41" s="4" t="n"/>
      <c r="C41" s="4" t="n"/>
      <c r="D41" s="4" t="n"/>
      <c r="E41" s="5" t="n"/>
      <c r="F41" s="4" t="n"/>
      <c r="G41" s="10" t="n"/>
      <c r="H41" s="10" t="n"/>
      <c r="I41" s="4" t="n"/>
      <c r="J41" s="4" t="n"/>
    </row>
    <row r="42">
      <c r="A42" s="9" t="n"/>
      <c r="B42" s="4" t="n"/>
      <c r="C42" s="4" t="n"/>
      <c r="D42" s="4" t="n"/>
      <c r="E42" s="5" t="n"/>
      <c r="F42" s="4" t="n"/>
      <c r="G42" s="10" t="n"/>
      <c r="H42" s="10" t="n"/>
      <c r="I42" s="4" t="n"/>
      <c r="J42" s="4" t="n"/>
    </row>
    <row r="43">
      <c r="A43" s="9" t="n"/>
      <c r="B43" s="4" t="n"/>
      <c r="C43" s="4" t="n"/>
      <c r="D43" s="4" t="n"/>
      <c r="E43" s="5" t="n"/>
      <c r="F43" s="4" t="n"/>
      <c r="G43" s="10" t="n"/>
      <c r="H43" s="10" t="n"/>
      <c r="I43" s="4" t="n"/>
      <c r="J43" s="4" t="n"/>
    </row>
    <row r="44">
      <c r="A44" s="9" t="n"/>
      <c r="B44" s="4" t="n"/>
      <c r="C44" s="4" t="n"/>
      <c r="D44" s="4" t="n"/>
      <c r="E44" s="5" t="n"/>
      <c r="F44" s="4" t="n"/>
      <c r="G44" s="10" t="n"/>
      <c r="H44" s="10" t="n"/>
      <c r="I44" s="4" t="n"/>
      <c r="J44" s="4" t="n"/>
    </row>
    <row r="45">
      <c r="A45" s="9" t="n"/>
      <c r="B45" s="4" t="n"/>
      <c r="C45" s="4" t="n"/>
      <c r="D45" s="4" t="n"/>
      <c r="E45" s="5" t="n"/>
      <c r="F45" s="4" t="n"/>
      <c r="G45" s="10" t="n"/>
      <c r="H45" s="10" t="n"/>
      <c r="I45" s="4" t="n"/>
      <c r="J45" s="4" t="n"/>
    </row>
    <row r="46">
      <c r="A46" s="9" t="n"/>
      <c r="B46" s="4" t="n"/>
      <c r="C46" s="4" t="n"/>
      <c r="D46" s="4" t="n"/>
      <c r="E46" s="5" t="n"/>
      <c r="F46" s="4" t="n"/>
      <c r="G46" s="10" t="n"/>
      <c r="H46" s="10" t="n"/>
      <c r="I46" s="4" t="n"/>
      <c r="J46" s="4" t="n"/>
    </row>
    <row r="47">
      <c r="A47" s="9" t="n"/>
      <c r="B47" s="4" t="n"/>
      <c r="C47" s="4" t="n"/>
      <c r="D47" s="4" t="n"/>
      <c r="E47" s="5" t="n"/>
      <c r="F47" s="4" t="n"/>
      <c r="G47" s="10" t="n"/>
      <c r="H47" s="10" t="n"/>
      <c r="I47" s="4" t="n"/>
      <c r="J47" s="4" t="n"/>
    </row>
    <row r="48">
      <c r="A48" s="9" t="n"/>
      <c r="B48" s="4" t="n"/>
      <c r="C48" s="4" t="n"/>
      <c r="D48" s="4" t="n"/>
      <c r="E48" s="5" t="n"/>
      <c r="F48" s="4" t="n"/>
      <c r="G48" s="10" t="n"/>
      <c r="H48" s="10" t="n"/>
      <c r="I48" s="4" t="n"/>
      <c r="J48" s="4" t="n"/>
    </row>
    <row r="49">
      <c r="A49" s="9" t="n"/>
      <c r="B49" s="4" t="n"/>
      <c r="C49" s="4" t="n"/>
      <c r="D49" s="4" t="n"/>
      <c r="E49" s="5" t="n"/>
      <c r="F49" s="4" t="n"/>
      <c r="G49" s="10" t="n"/>
      <c r="H49" s="10" t="n"/>
      <c r="I49" s="4" t="n"/>
      <c r="J49" s="4" t="n"/>
    </row>
    <row r="50">
      <c r="A50" s="9" t="n"/>
      <c r="B50" s="4" t="n"/>
      <c r="C50" s="4" t="n"/>
      <c r="D50" s="4" t="n"/>
      <c r="E50" s="5" t="n"/>
      <c r="F50" s="4" t="n"/>
      <c r="G50" s="10" t="n"/>
      <c r="H50" s="10" t="n"/>
      <c r="I50" s="4" t="n"/>
      <c r="J50" s="4" t="n"/>
    </row>
    <row r="51">
      <c r="A51" s="9" t="n"/>
      <c r="B51" s="4" t="n"/>
      <c r="C51" s="4" t="n"/>
      <c r="D51" s="4" t="n"/>
      <c r="E51" s="5" t="n"/>
      <c r="F51" s="4" t="n"/>
      <c r="G51" s="10" t="n"/>
      <c r="H51" s="10" t="n"/>
      <c r="I51" s="4" t="n"/>
      <c r="J51" s="4" t="n"/>
    </row>
    <row r="52">
      <c r="A52" s="9" t="n"/>
      <c r="B52" s="4" t="n"/>
      <c r="C52" s="4" t="n"/>
      <c r="D52" s="4" t="n"/>
      <c r="E52" s="5" t="n"/>
      <c r="F52" s="4" t="n"/>
      <c r="G52" s="10" t="n"/>
      <c r="H52" s="10" t="n"/>
      <c r="I52" s="4" t="n"/>
      <c r="J52" s="4" t="n"/>
    </row>
    <row r="53">
      <c r="A53" s="9" t="n"/>
      <c r="B53" s="4" t="n"/>
      <c r="C53" s="4" t="n"/>
      <c r="D53" s="4" t="n"/>
      <c r="E53" s="5" t="n"/>
      <c r="F53" s="4" t="n"/>
      <c r="G53" s="10" t="n"/>
      <c r="H53" s="10" t="n"/>
      <c r="I53" s="4" t="n"/>
      <c r="J53" s="4" t="n"/>
    </row>
    <row r="54">
      <c r="A54" s="9" t="n"/>
      <c r="B54" s="4" t="n"/>
      <c r="C54" s="4" t="n"/>
      <c r="D54" s="4" t="n"/>
      <c r="E54" s="5" t="n"/>
      <c r="F54" s="4" t="n"/>
      <c r="G54" s="10" t="n"/>
      <c r="H54" s="10" t="n"/>
      <c r="I54" s="4" t="n"/>
      <c r="J54" s="4" t="n"/>
    </row>
    <row r="55">
      <c r="A55" s="9" t="n"/>
      <c r="B55" s="4" t="n"/>
      <c r="C55" s="4" t="n"/>
      <c r="D55" s="4" t="n"/>
      <c r="E55" s="5" t="n"/>
      <c r="F55" s="4" t="n"/>
      <c r="G55" s="10" t="n"/>
      <c r="H55" s="10" t="n"/>
      <c r="I55" s="4" t="n"/>
      <c r="J55" s="4" t="n"/>
    </row>
    <row r="56">
      <c r="A56" s="9" t="n"/>
      <c r="B56" s="4" t="n"/>
      <c r="C56" s="4" t="n"/>
      <c r="D56" s="4" t="n"/>
      <c r="E56" s="5" t="n"/>
      <c r="F56" s="4" t="n"/>
      <c r="G56" s="10" t="n"/>
      <c r="H56" s="10" t="n"/>
      <c r="I56" s="4" t="n"/>
      <c r="J56" s="4" t="n"/>
    </row>
    <row r="57">
      <c r="A57" s="9" t="n"/>
      <c r="B57" s="4" t="n"/>
      <c r="C57" s="4" t="n"/>
      <c r="D57" s="4" t="n"/>
      <c r="E57" s="5" t="n"/>
      <c r="F57" s="4" t="n"/>
      <c r="G57" s="10" t="n"/>
      <c r="H57" s="10" t="n"/>
      <c r="I57" s="4" t="n"/>
      <c r="J57" s="4" t="n"/>
    </row>
    <row r="58">
      <c r="A58" s="9" t="n"/>
      <c r="B58" s="4" t="n"/>
      <c r="C58" s="4" t="n"/>
      <c r="D58" s="4" t="n"/>
      <c r="E58" s="5" t="n"/>
      <c r="F58" s="4" t="n"/>
      <c r="G58" s="10" t="n"/>
      <c r="H58" s="10" t="n"/>
      <c r="I58" s="4" t="n"/>
      <c r="J58" s="4" t="n"/>
    </row>
    <row r="59">
      <c r="A59" s="9" t="n"/>
      <c r="B59" s="4" t="n"/>
      <c r="C59" s="4" t="n"/>
      <c r="D59" s="4" t="n"/>
      <c r="E59" s="5" t="n"/>
      <c r="F59" s="4" t="n"/>
      <c r="G59" s="10" t="n"/>
      <c r="H59" s="10" t="n"/>
      <c r="I59" s="4" t="n"/>
      <c r="J59" s="4" t="n"/>
    </row>
    <row r="60">
      <c r="A60" s="9" t="n"/>
      <c r="B60" s="4" t="n"/>
      <c r="C60" s="4" t="n"/>
      <c r="D60" s="4" t="n"/>
      <c r="E60" s="5" t="n"/>
      <c r="F60" s="4" t="n"/>
      <c r="G60" s="10" t="n"/>
      <c r="H60" s="10" t="n"/>
      <c r="I60" s="4" t="n"/>
      <c r="J60" s="4" t="n"/>
    </row>
    <row r="61">
      <c r="A61" s="9" t="n"/>
      <c r="B61" s="4" t="n"/>
      <c r="C61" s="4" t="n"/>
      <c r="D61" s="4" t="n"/>
      <c r="E61" s="5" t="n"/>
      <c r="F61" s="4" t="n"/>
      <c r="G61" s="10" t="n"/>
      <c r="H61" s="10" t="n"/>
      <c r="I61" s="4" t="n"/>
      <c r="J61" s="4" t="n"/>
    </row>
    <row r="62">
      <c r="A62" s="9" t="n"/>
      <c r="B62" s="4" t="n"/>
      <c r="C62" s="4" t="n"/>
      <c r="D62" s="4" t="n"/>
      <c r="E62" s="5" t="n"/>
      <c r="F62" s="4" t="n"/>
      <c r="G62" s="10" t="n"/>
      <c r="H62" s="10" t="n"/>
      <c r="I62" s="4" t="n"/>
      <c r="J62" s="4" t="n"/>
    </row>
    <row r="63">
      <c r="A63" s="9" t="n"/>
      <c r="B63" s="4" t="n"/>
      <c r="C63" s="4" t="n"/>
      <c r="D63" s="4" t="n"/>
      <c r="E63" s="5" t="n"/>
      <c r="F63" s="4" t="n"/>
      <c r="G63" s="10" t="n"/>
      <c r="H63" s="10" t="n"/>
      <c r="I63" s="4" t="n"/>
      <c r="J63" s="4" t="n"/>
    </row>
    <row r="64">
      <c r="A64" s="9" t="n"/>
      <c r="B64" s="4" t="n"/>
      <c r="C64" s="4" t="n"/>
      <c r="D64" s="4" t="n"/>
      <c r="E64" s="5" t="n"/>
      <c r="F64" s="4" t="n"/>
      <c r="G64" s="10" t="n"/>
      <c r="H64" s="10" t="n"/>
      <c r="I64" s="4" t="n"/>
      <c r="J64" s="4" t="n"/>
    </row>
    <row r="65">
      <c r="A65" s="9" t="n"/>
      <c r="B65" s="4" t="n"/>
      <c r="C65" s="4" t="n"/>
      <c r="D65" s="4" t="n"/>
      <c r="E65" s="5" t="n"/>
      <c r="F65" s="4" t="n"/>
      <c r="G65" s="10" t="n"/>
      <c r="H65" s="10" t="n"/>
      <c r="I65" s="4" t="n"/>
      <c r="J65" s="4" t="n"/>
    </row>
    <row r="66">
      <c r="A66" s="9" t="n"/>
      <c r="B66" s="4" t="n"/>
      <c r="C66" s="4" t="n"/>
      <c r="D66" s="4" t="n"/>
      <c r="E66" s="5" t="n"/>
      <c r="F66" s="4" t="n"/>
      <c r="G66" s="10" t="n"/>
      <c r="H66" s="10" t="n"/>
      <c r="I66" s="4" t="n"/>
      <c r="J66" s="4" t="n"/>
    </row>
    <row r="67">
      <c r="A67" s="9" t="n"/>
      <c r="B67" s="4" t="n"/>
      <c r="C67" s="4" t="n"/>
      <c r="D67" s="4" t="n"/>
      <c r="E67" s="5" t="n"/>
      <c r="F67" s="4" t="n"/>
      <c r="G67" s="10" t="n"/>
      <c r="H67" s="10" t="n"/>
      <c r="I67" s="4" t="n"/>
      <c r="J67" s="4" t="n"/>
    </row>
    <row r="68">
      <c r="A68" s="9" t="n"/>
      <c r="B68" s="4" t="n"/>
      <c r="C68" s="4" t="n"/>
      <c r="D68" s="4" t="n"/>
      <c r="E68" s="5" t="n"/>
      <c r="F68" s="4" t="n"/>
      <c r="G68" s="10" t="n"/>
      <c r="H68" s="10" t="n"/>
      <c r="I68" s="4" t="n"/>
      <c r="J68" s="4" t="n"/>
    </row>
    <row r="69">
      <c r="A69" s="9" t="n"/>
      <c r="B69" s="4" t="n"/>
      <c r="C69" s="4" t="n"/>
      <c r="D69" s="4" t="n"/>
      <c r="E69" s="5" t="n"/>
      <c r="F69" s="4" t="n"/>
      <c r="G69" s="10" t="n"/>
      <c r="H69" s="10" t="n"/>
      <c r="I69" s="4" t="n"/>
      <c r="J69" s="4" t="n"/>
    </row>
    <row r="70">
      <c r="A70" s="9" t="n"/>
      <c r="B70" s="4" t="n"/>
      <c r="C70" s="4" t="n"/>
      <c r="D70" s="4" t="n"/>
      <c r="E70" s="5" t="n"/>
      <c r="F70" s="4" t="n"/>
      <c r="G70" s="10" t="n"/>
      <c r="H70" s="10" t="n"/>
      <c r="I70" s="4" t="n"/>
      <c r="J70" s="4" t="n"/>
    </row>
    <row r="71">
      <c r="A71" s="9" t="n"/>
      <c r="B71" s="4" t="n"/>
      <c r="C71" s="4" t="n"/>
      <c r="D71" s="4" t="n"/>
      <c r="E71" s="5" t="n"/>
      <c r="F71" s="4" t="n"/>
      <c r="G71" s="10" t="n"/>
      <c r="H71" s="10" t="n"/>
      <c r="I71" s="4" t="n"/>
      <c r="J71" s="4" t="n"/>
    </row>
    <row r="72">
      <c r="A72" s="9" t="n"/>
      <c r="B72" s="4" t="n"/>
      <c r="C72" s="4" t="n"/>
      <c r="D72" s="4" t="n"/>
      <c r="E72" s="5" t="n"/>
      <c r="F72" s="4" t="n"/>
      <c r="G72" s="10" t="n"/>
      <c r="H72" s="10" t="n"/>
      <c r="I72" s="4" t="n"/>
      <c r="J72" s="4" t="n"/>
    </row>
    <row r="73">
      <c r="A73" s="9" t="n"/>
      <c r="B73" s="4" t="n"/>
      <c r="C73" s="4" t="n"/>
      <c r="D73" s="4" t="n"/>
      <c r="E73" s="5" t="n"/>
      <c r="F73" s="4" t="n"/>
      <c r="G73" s="10" t="n"/>
      <c r="H73" s="10" t="n"/>
      <c r="I73" s="4" t="n"/>
      <c r="J73" s="4" t="n"/>
    </row>
    <row r="74">
      <c r="A74" s="9" t="n"/>
      <c r="B74" s="4" t="n"/>
      <c r="C74" s="4" t="n"/>
      <c r="D74" s="4" t="n"/>
      <c r="E74" s="5" t="n"/>
      <c r="F74" s="4" t="n"/>
      <c r="G74" s="10" t="n"/>
      <c r="H74" s="10" t="n"/>
      <c r="I74" s="4" t="n"/>
      <c r="J74" s="4" t="n"/>
    </row>
    <row r="75">
      <c r="A75" s="9" t="n"/>
      <c r="B75" s="4" t="n"/>
      <c r="C75" s="4" t="n"/>
      <c r="D75" s="4" t="n"/>
      <c r="E75" s="5" t="n"/>
      <c r="F75" s="4" t="n"/>
      <c r="G75" s="10" t="n"/>
      <c r="H75" s="10" t="n"/>
      <c r="I75" s="4" t="n"/>
      <c r="J75" s="4" t="n"/>
    </row>
    <row r="76">
      <c r="A76" s="9" t="n"/>
      <c r="B76" s="4" t="n"/>
      <c r="C76" s="4" t="n"/>
      <c r="D76" s="4" t="n"/>
      <c r="E76" s="5" t="n"/>
      <c r="F76" s="4" t="n"/>
      <c r="G76" s="10" t="n"/>
      <c r="H76" s="10" t="n"/>
      <c r="I76" s="4" t="n"/>
      <c r="J76" s="4" t="n"/>
    </row>
    <row r="77">
      <c r="A77" s="9" t="n"/>
      <c r="B77" s="4" t="n"/>
      <c r="C77" s="4" t="n"/>
      <c r="D77" s="4" t="n"/>
      <c r="E77" s="5" t="n"/>
      <c r="F77" s="4" t="n"/>
      <c r="G77" s="10" t="n"/>
      <c r="H77" s="10" t="n"/>
      <c r="I77" s="4" t="n"/>
      <c r="J77" s="4" t="n"/>
    </row>
    <row r="78">
      <c r="A78" s="9" t="n"/>
      <c r="B78" s="4" t="n"/>
      <c r="C78" s="4" t="n"/>
      <c r="D78" s="4" t="n"/>
      <c r="E78" s="5" t="n"/>
      <c r="F78" s="4" t="n"/>
      <c r="G78" s="10" t="n"/>
      <c r="H78" s="10" t="n"/>
      <c r="I78" s="4" t="n"/>
      <c r="J78" s="4" t="n"/>
    </row>
    <row r="79">
      <c r="A79" s="9" t="n"/>
      <c r="B79" s="4" t="n"/>
      <c r="C79" s="4" t="n"/>
      <c r="D79" s="4" t="n"/>
      <c r="E79" s="5" t="n"/>
      <c r="F79" s="4" t="n"/>
      <c r="G79" s="10" t="n"/>
      <c r="H79" s="10" t="n"/>
      <c r="I79" s="4" t="n"/>
      <c r="J79" s="4" t="n"/>
    </row>
    <row r="80">
      <c r="A80" s="9" t="n"/>
      <c r="B80" s="4" t="n"/>
      <c r="C80" s="4" t="n"/>
      <c r="D80" s="4" t="n"/>
      <c r="E80" s="5" t="n"/>
      <c r="F80" s="4" t="n"/>
      <c r="G80" s="10" t="n"/>
      <c r="H80" s="10" t="n"/>
      <c r="I80" s="4" t="n"/>
      <c r="J80" s="4" t="n"/>
    </row>
    <row r="81">
      <c r="A81" s="9" t="n"/>
      <c r="B81" s="4" t="n"/>
      <c r="C81" s="4" t="n"/>
      <c r="D81" s="4" t="n"/>
      <c r="E81" s="5" t="n"/>
      <c r="F81" s="4" t="n"/>
      <c r="G81" s="10" t="n"/>
      <c r="H81" s="10" t="n"/>
      <c r="I81" s="4" t="n"/>
      <c r="J81" s="4" t="n"/>
    </row>
    <row r="82">
      <c r="A82" s="9" t="n"/>
      <c r="B82" s="4" t="n"/>
      <c r="C82" s="4" t="n"/>
      <c r="D82" s="4" t="n"/>
      <c r="E82" s="5" t="n"/>
      <c r="F82" s="4" t="n"/>
      <c r="G82" s="10" t="n"/>
      <c r="H82" s="10" t="n"/>
      <c r="I82" s="4" t="n"/>
      <c r="J82" s="4" t="n"/>
    </row>
    <row r="83">
      <c r="A83" s="9" t="n"/>
      <c r="B83" s="4" t="n"/>
      <c r="C83" s="4" t="n"/>
      <c r="D83" s="4" t="n"/>
      <c r="E83" s="5" t="n"/>
      <c r="F83" s="4" t="n"/>
      <c r="G83" s="10" t="n"/>
      <c r="H83" s="10" t="n"/>
      <c r="I83" s="4" t="n"/>
      <c r="J83" s="4" t="n"/>
    </row>
    <row r="84">
      <c r="A84" s="9" t="n"/>
      <c r="B84" s="4" t="n"/>
      <c r="C84" s="4" t="n"/>
      <c r="D84" s="4" t="n"/>
      <c r="E84" s="5" t="n"/>
      <c r="F84" s="4" t="n"/>
      <c r="G84" s="10" t="n"/>
      <c r="H84" s="10" t="n"/>
      <c r="I84" s="4" t="n"/>
      <c r="J84" s="4" t="n"/>
    </row>
    <row r="85">
      <c r="A85" s="9" t="n"/>
      <c r="B85" s="4" t="n"/>
      <c r="C85" s="4" t="n"/>
      <c r="D85" s="4" t="n"/>
      <c r="E85" s="5" t="n"/>
      <c r="F85" s="4" t="n"/>
      <c r="G85" s="10" t="n"/>
      <c r="H85" s="10" t="n"/>
      <c r="I85" s="4" t="n"/>
      <c r="J85" s="4" t="n"/>
    </row>
    <row r="86">
      <c r="A86" s="9" t="n"/>
      <c r="B86" s="4" t="n"/>
      <c r="C86" s="4" t="n"/>
      <c r="D86" s="4" t="n"/>
      <c r="E86" s="5" t="n"/>
      <c r="F86" s="4" t="n"/>
      <c r="G86" s="10" t="n"/>
      <c r="H86" s="10" t="n"/>
      <c r="I86" s="4" t="n"/>
      <c r="J86" s="4" t="n"/>
    </row>
    <row r="87">
      <c r="A87" s="9" t="n"/>
      <c r="B87" s="4" t="n"/>
      <c r="C87" s="4" t="n"/>
      <c r="D87" s="4" t="n"/>
      <c r="E87" s="5" t="n"/>
      <c r="F87" s="4" t="n"/>
      <c r="G87" s="10" t="n"/>
      <c r="H87" s="10" t="n"/>
      <c r="I87" s="4" t="n"/>
      <c r="J87" s="4" t="n"/>
    </row>
    <row r="88">
      <c r="A88" s="9" t="n"/>
      <c r="B88" s="4" t="n"/>
      <c r="C88" s="4" t="n"/>
      <c r="D88" s="4" t="n"/>
      <c r="E88" s="5" t="n"/>
      <c r="F88" s="4" t="n"/>
      <c r="G88" s="10" t="n"/>
      <c r="H88" s="10" t="n"/>
      <c r="I88" s="4" t="n"/>
      <c r="J88" s="4" t="n"/>
    </row>
    <row r="89">
      <c r="A89" s="9" t="n"/>
      <c r="B89" s="4" t="n"/>
      <c r="C89" s="4" t="n"/>
      <c r="D89" s="4" t="n"/>
      <c r="E89" s="5" t="n"/>
      <c r="F89" s="4" t="n"/>
      <c r="G89" s="10" t="n"/>
      <c r="H89" s="10" t="n"/>
      <c r="I89" s="4" t="n"/>
      <c r="J89" s="4" t="n"/>
    </row>
    <row r="90">
      <c r="A90" s="9" t="n"/>
      <c r="B90" s="4" t="n"/>
      <c r="C90" s="4" t="n"/>
      <c r="D90" s="4" t="n"/>
      <c r="E90" s="5" t="n"/>
      <c r="F90" s="4" t="n"/>
      <c r="G90" s="10" t="n"/>
      <c r="H90" s="10" t="n"/>
      <c r="I90" s="4" t="n"/>
      <c r="J90" s="4" t="n"/>
    </row>
    <row r="91">
      <c r="A91" s="9" t="n"/>
      <c r="B91" s="4" t="n"/>
      <c r="C91" s="4" t="n"/>
      <c r="D91" s="4" t="n"/>
      <c r="E91" s="5" t="n"/>
      <c r="F91" s="4" t="n"/>
      <c r="G91" s="10" t="n"/>
      <c r="H91" s="10" t="n"/>
      <c r="I91" s="4" t="n"/>
      <c r="J91" s="4" t="n"/>
    </row>
    <row r="92">
      <c r="A92" s="9" t="n"/>
      <c r="B92" s="4" t="n"/>
      <c r="C92" s="4" t="n"/>
      <c r="D92" s="4" t="n"/>
      <c r="E92" s="5" t="n"/>
      <c r="F92" s="4" t="n"/>
      <c r="G92" s="10" t="n"/>
      <c r="H92" s="10" t="n"/>
      <c r="I92" s="4" t="n"/>
      <c r="J92" s="4" t="n"/>
    </row>
    <row r="93">
      <c r="A93" s="9" t="n"/>
      <c r="B93" s="4" t="n"/>
      <c r="C93" s="4" t="n"/>
      <c r="D93" s="4" t="n"/>
      <c r="E93" s="5" t="n"/>
      <c r="F93" s="4" t="n"/>
      <c r="G93" s="10" t="n"/>
      <c r="H93" s="10" t="n"/>
      <c r="I93" s="4" t="n"/>
      <c r="J93" s="4" t="n"/>
    </row>
    <row r="94">
      <c r="A94" s="9" t="n"/>
      <c r="B94" s="4" t="n"/>
      <c r="C94" s="4" t="n"/>
      <c r="D94" s="4" t="n"/>
      <c r="E94" s="5" t="n"/>
      <c r="F94" s="4" t="n"/>
      <c r="G94" s="10" t="n"/>
      <c r="H94" s="10" t="n"/>
      <c r="I94" s="4" t="n"/>
      <c r="J94" s="4" t="n"/>
    </row>
    <row r="95">
      <c r="A95" s="9" t="n"/>
      <c r="B95" s="4" t="n"/>
      <c r="C95" s="4" t="n"/>
      <c r="D95" s="4" t="n"/>
      <c r="E95" s="5" t="n"/>
      <c r="F95" s="4" t="n"/>
      <c r="G95" s="10" t="n"/>
      <c r="H95" s="10" t="n"/>
      <c r="I95" s="4" t="n"/>
      <c r="J95" s="4" t="n"/>
    </row>
    <row r="96">
      <c r="A96" s="9" t="n"/>
      <c r="B96" s="4" t="n"/>
      <c r="C96" s="4" t="n"/>
      <c r="D96" s="4" t="n"/>
      <c r="E96" s="5" t="n"/>
      <c r="F96" s="4" t="n"/>
      <c r="G96" s="10" t="n"/>
      <c r="H96" s="10" t="n"/>
      <c r="I96" s="4" t="n"/>
      <c r="J96" s="4" t="n"/>
    </row>
    <row r="97">
      <c r="A97" s="9" t="n"/>
      <c r="B97" s="4" t="n"/>
      <c r="C97" s="4" t="n"/>
      <c r="D97" s="4" t="n"/>
      <c r="E97" s="5" t="n"/>
      <c r="F97" s="4" t="n"/>
      <c r="G97" s="10" t="n"/>
      <c r="H97" s="10" t="n"/>
      <c r="I97" s="4" t="n"/>
      <c r="J97" s="4" t="n"/>
    </row>
    <row r="98">
      <c r="A98" s="9" t="n"/>
      <c r="B98" s="4" t="n"/>
      <c r="C98" s="4" t="n"/>
      <c r="D98" s="4" t="n"/>
      <c r="E98" s="5" t="n"/>
      <c r="F98" s="4" t="n"/>
      <c r="G98" s="10" t="n"/>
      <c r="H98" s="10" t="n"/>
      <c r="I98" s="4" t="n"/>
      <c r="J98" s="4" t="n"/>
    </row>
    <row r="99">
      <c r="A99" s="9" t="n"/>
      <c r="B99" s="4" t="n"/>
      <c r="C99" s="4" t="n"/>
      <c r="D99" s="4" t="n"/>
      <c r="E99" s="5" t="n"/>
      <c r="F99" s="4" t="n"/>
      <c r="G99" s="10" t="n"/>
      <c r="H99" s="10" t="n"/>
      <c r="I99" s="4" t="n"/>
      <c r="J99" s="4" t="n"/>
    </row>
    <row r="100">
      <c r="A100" s="9" t="n"/>
      <c r="B100" s="4" t="n"/>
      <c r="C100" s="4" t="n"/>
      <c r="D100" s="4" t="n"/>
      <c r="E100" s="5" t="n"/>
      <c r="F100" s="4" t="n"/>
      <c r="G100" s="10" t="n"/>
      <c r="H100" s="10" t="n"/>
      <c r="I100" s="4" t="n"/>
      <c r="J100" s="4" t="n"/>
    </row>
    <row r="101">
      <c r="A101" s="9" t="n"/>
      <c r="B101" s="4" t="n"/>
      <c r="C101" s="4" t="n"/>
      <c r="D101" s="4" t="n"/>
      <c r="E101" s="5" t="n"/>
      <c r="F101" s="4" t="n"/>
      <c r="G101" s="10" t="n"/>
      <c r="H101" s="10" t="n"/>
      <c r="I101" s="4" t="n"/>
      <c r="J101" s="4" t="n"/>
    </row>
    <row r="102">
      <c r="A102" s="9" t="n"/>
      <c r="B102" s="4" t="n"/>
      <c r="C102" s="4" t="n"/>
      <c r="D102" s="4" t="n"/>
      <c r="E102" s="5" t="n"/>
      <c r="F102" s="4" t="n"/>
      <c r="G102" s="10" t="n"/>
      <c r="H102" s="10" t="n"/>
      <c r="I102" s="4" t="n"/>
      <c r="J102" s="4" t="n"/>
    </row>
    <row r="103">
      <c r="A103" s="9" t="n"/>
      <c r="B103" s="4" t="n"/>
      <c r="C103" s="4" t="n"/>
      <c r="D103" s="4" t="n"/>
      <c r="E103" s="5" t="n"/>
      <c r="F103" s="4" t="n"/>
      <c r="G103" s="10" t="n"/>
      <c r="H103" s="10" t="n"/>
      <c r="I103" s="4" t="n"/>
      <c r="J103" s="4" t="n"/>
    </row>
    <row r="104">
      <c r="A104" s="16" t="n">
        <v>46239</v>
      </c>
      <c r="B104" t="inlineStr">
        <is>
          <t>EXPENSAS</t>
        </is>
      </c>
      <c r="C104" t="inlineStr">
        <is>
          <t>Fideicomiso Ava Palpa</t>
        </is>
      </c>
      <c r="D104" t="inlineStr">
        <is>
          <t>Cuota 10 · agosto 2026</t>
        </is>
      </c>
      <c r="E104" t="n">
        <v>6178522</v>
      </c>
      <c r="F104" t="inlineStr">
        <is>
          <t>Mercado Pago / TC MEP</t>
        </is>
      </c>
      <c r="I104" t="inlineStr">
        <is>
          <t>Total cuota. 50% Sol=$3089261 en Gasto Personal Sol (CIUDAD). Gmail Sancor 22/07 · vto 05/08 · MEP Rava cierre</t>
        </is>
      </c>
    </row>
    <row r="105">
      <c r="A105" s="16" t="n">
        <v>46269</v>
      </c>
      <c r="B105" t="inlineStr">
        <is>
          <t>EXPENSAS</t>
        </is>
      </c>
      <c r="C105" t="inlineStr">
        <is>
          <t>Fideicomiso Ava Palpa</t>
        </is>
      </c>
      <c r="D105" t="inlineStr">
        <is>
          <t>Cuota 11 · septiembre 2026</t>
        </is>
      </c>
      <c r="E105" t="n">
        <v>6269440</v>
      </c>
      <c r="F105" t="inlineStr">
        <is>
          <t>Mercado Pago / TC MEP</t>
        </is>
      </c>
      <c r="I105" t="inlineStr">
        <is>
          <t>Total cuota. 50% Sol=$3134720 en Gasto Personal Sol (CIUDAD). Gmail Sancor 25/08 · vto 04/09 · MEP Rava · ya en GPS (renum cuota 11)</t>
        </is>
      </c>
    </row>
    <row r="106">
      <c r="A106" s="16" t="n">
        <v>46300</v>
      </c>
      <c r="B106" t="inlineStr">
        <is>
          <t>EXPENSAS</t>
        </is>
      </c>
      <c r="C106" t="inlineStr">
        <is>
          <t>Fideicomiso Ava Palpa</t>
        </is>
      </c>
      <c r="D106" t="inlineStr">
        <is>
          <t>Cuota 12 · octubre 2026</t>
        </is>
      </c>
      <c r="E106" t="n">
        <v>6550413</v>
      </c>
      <c r="F106" t="inlineStr">
        <is>
          <t>Mercado Pago / TC MEP</t>
        </is>
      </c>
      <c r="I106" t="inlineStr">
        <is>
          <t>Total cuota. 50% Sol=$3275206 en Gasto Personal Sol (CIUDAD). Gmail Sancor 24/09 · vto 05/10 · MEP Rava cierre</t>
        </is>
      </c>
    </row>
    <row r="107">
      <c r="A107" s="16" t="n">
        <v>46330</v>
      </c>
      <c r="B107" t="inlineStr">
        <is>
          <t>EXPENSAS</t>
        </is>
      </c>
      <c r="C107" t="inlineStr">
        <is>
          <t>Fideicomiso Ava Palpa</t>
        </is>
      </c>
      <c r="D107" t="inlineStr">
        <is>
          <t>Cuota 13 · noviembre 2026</t>
        </is>
      </c>
      <c r="E107" t="n">
        <v>6739503</v>
      </c>
      <c r="F107" t="inlineStr">
        <is>
          <t>PENDIENTE factura</t>
        </is>
      </c>
      <c r="I107" t="inlineStr">
        <is>
          <t>Total cuota. 50% Sol=$3369751 en Gasto Personal Sol (CIUDAD). Gmail Sancor 23/10 · vto 04/11 · TC MEP pendiente hasta rueda del vencimiento</t>
        </is>
      </c>
    </row>
  </sheetData>
  <autoFilter ref="A3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2026-07-18T16:30:24Z</dcterms:created>
  <dcterms:modified xsi:type="dcterms:W3CDTF">2026-10-23T17:21:46Z</dcterms:modified>
</cp:coreProperties>
</file>
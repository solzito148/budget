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3"/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  <c r="J5" t="n">
        <v>907569</v>
      </c>
      <c r="K5" t="n">
        <v>722979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/>
      <c r="M6" s="5" t="n"/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/>
      <c r="L7" s="5" t="n"/>
      <c r="M7" s="5" t="n"/>
      <c r="N7" s="5" t="n"/>
      <c r="O7" s="5" t="n"/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/>
      <c r="L8" s="5" t="n">
        <v>18236</v>
      </c>
      <c r="M8" s="5" t="n"/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5208</v>
      </c>
      <c r="K9" s="5" t="n">
        <v>5209</v>
      </c>
      <c r="L9" s="5" t="n">
        <v>5582</v>
      </c>
      <c r="M9" s="5" t="n">
        <v>5589</v>
      </c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2"/>
    <row r="3">
      <c r="A3" s="15" t="inlineStr">
        <is>
          <t>Fecha</t>
        </is>
      </c>
      <c r="B3" s="15" t="inlineStr">
        <is>
          <t>Tipo</t>
        </is>
      </c>
      <c r="C3" s="15" t="inlineStr">
        <is>
          <t>Categoría</t>
        </is>
      </c>
      <c r="D3" s="15" t="inlineStr">
        <is>
          <t>Descripción</t>
        </is>
      </c>
      <c r="E3" s="15" t="inlineStr">
        <is>
          <t>Monto</t>
        </is>
      </c>
      <c r="F3" s="15" t="inlineStr">
        <is>
          <t>Forma de pago</t>
        </is>
      </c>
      <c r="G3" s="15" t="inlineStr">
        <is>
          <t>Partida / N° Cliente / Notas</t>
        </is>
      </c>
    </row>
    <row r="4">
      <c r="A4" s="16" t="n">
        <v>46066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83757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46084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88141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46203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100779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46217</v>
      </c>
      <c r="B7" s="17" t="inlineStr">
        <is>
          <t>IMPUESTOS</t>
        </is>
      </c>
      <c r="C7" s="17" t="inlineStr">
        <is>
          <t>ABL</t>
        </is>
      </c>
      <c r="D7" s="17" t="inlineStr">
        <is>
          <t>ABL — partida 3016365</t>
        </is>
      </c>
      <c r="E7" s="17" t="n">
        <v>88891</v>
      </c>
      <c r="F7" s="17" t="inlineStr">
        <is>
          <t>Mercado Pago</t>
        </is>
      </c>
      <c r="G7" s="17" t="inlineStr">
        <is>
          <t>3016365</t>
        </is>
      </c>
    </row>
    <row r="8">
      <c r="A8" s="16" t="n">
        <v>46081</v>
      </c>
      <c r="B8" s="17" t="inlineStr">
        <is>
          <t>SERVICIOS</t>
        </is>
      </c>
      <c r="C8" s="17" t="inlineStr">
        <is>
          <t>LUZ</t>
        </is>
      </c>
      <c r="D8" s="17" t="inlineStr">
        <is>
          <t>Edenor — Marta Chagas · O'Higgins 2225</t>
        </is>
      </c>
      <c r="E8" s="17" t="n">
        <v>116475</v>
      </c>
      <c r="F8" s="17" t="inlineStr">
        <is>
          <t>Factura digital Gmail / BBVA</t>
        </is>
      </c>
      <c r="G8" s="17" t="inlineStr">
        <is>
          <t>9267222037</t>
        </is>
      </c>
    </row>
    <row r="9">
      <c r="A9" s="16" t="n">
        <v>46110</v>
      </c>
      <c r="B9" s="17" t="inlineStr">
        <is>
          <t>SERVICIOS</t>
        </is>
      </c>
      <c r="C9" s="17" t="inlineStr">
        <is>
          <t>LUZ</t>
        </is>
      </c>
      <c r="D9" s="17" t="inlineStr">
        <is>
          <t>Edenor — Marta Chagas · O'Higgins 2225</t>
        </is>
      </c>
      <c r="E9" s="17" t="n">
        <v>21474</v>
      </c>
      <c r="F9" s="17" t="inlineStr">
        <is>
          <t>Factura digital Gmail / BBVA</t>
        </is>
      </c>
      <c r="G9" s="17" t="inlineStr">
        <is>
          <t>9267222037</t>
        </is>
      </c>
    </row>
    <row r="10">
      <c r="A10" s="16" t="n">
        <v>46142</v>
      </c>
      <c r="B10" s="17" t="inlineStr">
        <is>
          <t>SERVICIOS</t>
        </is>
      </c>
      <c r="C10" s="17" t="inlineStr">
        <is>
          <t>LUZ</t>
        </is>
      </c>
      <c r="D10" s="17" t="inlineStr">
        <is>
          <t>Edenor — Marta Chagas · O'Higgins 2225</t>
        </is>
      </c>
      <c r="E10" s="17" t="n">
        <v>14546</v>
      </c>
      <c r="F10" s="17" t="inlineStr">
        <is>
          <t>Factura digital Gmail / BBVA</t>
        </is>
      </c>
      <c r="G10" s="17" t="inlineStr">
        <is>
          <t>9267222037</t>
        </is>
      </c>
    </row>
    <row r="11">
      <c r="A11" s="16" t="n">
        <v>46171</v>
      </c>
      <c r="B11" s="17" t="inlineStr">
        <is>
          <t>SERVICIOS</t>
        </is>
      </c>
      <c r="C11" s="17" t="inlineStr">
        <is>
          <t>LUZ</t>
        </is>
      </c>
      <c r="D11" s="17" t="inlineStr">
        <is>
          <t>Edenor — Marta Chagas · O'Higgins 2225</t>
        </is>
      </c>
      <c r="E11" s="17" t="n">
        <v>10578</v>
      </c>
      <c r="F11" s="17" t="inlineStr">
        <is>
          <t>Factura digital Gmail / BBVA</t>
        </is>
      </c>
      <c r="G11" s="17" t="inlineStr">
        <is>
          <t>9267222037</t>
        </is>
      </c>
    </row>
    <row r="12">
      <c r="A12" s="16" t="n">
        <v>46200</v>
      </c>
      <c r="B12" s="17" t="inlineStr">
        <is>
          <t>SERVICIOS</t>
        </is>
      </c>
      <c r="C12" s="17" t="inlineStr">
        <is>
          <t>LUZ</t>
        </is>
      </c>
      <c r="D12" s="17" t="inlineStr">
        <is>
          <t>Edenor — Marta Chagas · O'Higgins 2225</t>
        </is>
      </c>
      <c r="E12" s="17" t="n">
        <v>16904</v>
      </c>
      <c r="F12" s="17" t="inlineStr">
        <is>
          <t>Factura digital Gmail / BBVA</t>
        </is>
      </c>
      <c r="G12" s="17" t="inlineStr">
        <is>
          <t>9267222037</t>
        </is>
      </c>
    </row>
    <row r="13">
      <c r="A13" s="16" t="n">
        <v>46118</v>
      </c>
      <c r="B13" s="17" t="inlineStr">
        <is>
          <t>SERVICIOS</t>
        </is>
      </c>
      <c r="C13" s="17" t="inlineStr">
        <is>
          <t>GAS</t>
        </is>
      </c>
      <c r="D13" s="17" t="inlineStr">
        <is>
          <t>Metrogas — INVALMAR SRL · O'Higgins 2225</t>
        </is>
      </c>
      <c r="E13" s="17" t="n">
        <v>4850</v>
      </c>
      <c r="F13" s="17" t="inlineStr">
        <is>
          <t>Mercado Pago / Gmail</t>
        </is>
      </c>
      <c r="G13" s="17" t="inlineStr">
        <is>
          <t>10139236800</t>
        </is>
      </c>
    </row>
    <row r="14">
      <c r="A14" s="16" t="n">
        <v>46146</v>
      </c>
      <c r="B14" s="17" t="inlineStr">
        <is>
          <t>SERVICIOS</t>
        </is>
      </c>
      <c r="C14" s="17" t="inlineStr">
        <is>
          <t>GAS</t>
        </is>
      </c>
      <c r="D14" s="17" t="inlineStr">
        <is>
          <t>Metrogas — INVALMAR SRL · O'Higgins 2225</t>
        </is>
      </c>
      <c r="E14" s="17" t="n">
        <v>4935</v>
      </c>
      <c r="F14" s="17" t="inlineStr">
        <is>
          <t>Mercado Pago / Gmail</t>
        </is>
      </c>
      <c r="G14" s="17" t="inlineStr">
        <is>
          <t>10139236800</t>
        </is>
      </c>
    </row>
    <row r="15">
      <c r="A15" s="16" t="n">
        <v>46175</v>
      </c>
      <c r="B15" s="17" t="inlineStr">
        <is>
          <t>SERVICIOS</t>
        </is>
      </c>
      <c r="C15" s="17" t="inlineStr">
        <is>
          <t>GAS</t>
        </is>
      </c>
      <c r="D15" s="17" t="inlineStr">
        <is>
          <t>Metrogas — INVALMAR SRL · O'Higgins 2225</t>
        </is>
      </c>
      <c r="E15" s="17" t="n">
        <v>4984</v>
      </c>
      <c r="F15" s="17" t="inlineStr">
        <is>
          <t>Mercado Pago / Gmail</t>
        </is>
      </c>
      <c r="G15" s="17" t="inlineStr">
        <is>
          <t>10139236800</t>
        </is>
      </c>
    </row>
    <row r="16">
      <c r="A16" s="16" t="n">
        <v>46209</v>
      </c>
      <c r="B16" s="17" t="inlineStr">
        <is>
          <t>SERVICIOS</t>
        </is>
      </c>
      <c r="C16" s="17" t="inlineStr">
        <is>
          <t>GAS</t>
        </is>
      </c>
      <c r="D16" s="17" t="inlineStr">
        <is>
          <t>Metrogas — INVALMAR SRL · O'Higgins 2225</t>
        </is>
      </c>
      <c r="E16" s="17" t="n">
        <v>5208</v>
      </c>
      <c r="F16" s="17" t="inlineStr">
        <is>
          <t>Mercado Pago / Gmail</t>
        </is>
      </c>
      <c r="G16" s="17" t="inlineStr">
        <is>
          <t>10139236800</t>
        </is>
      </c>
    </row>
    <row r="17">
      <c r="A17" s="16" t="n">
        <v>46032</v>
      </c>
      <c r="B17" s="17" t="inlineStr">
        <is>
          <t>SERVICIOS</t>
        </is>
      </c>
      <c r="C17" s="17" t="inlineStr">
        <is>
          <t>TV CABLE-INTERNET</t>
        </is>
      </c>
      <c r="D17" s="17" t="inlineStr">
        <is>
          <t>Personal — Pago directo</t>
        </is>
      </c>
      <c r="E17" s="17" t="n">
        <v>34921</v>
      </c>
      <c r="F17" s="17" t="inlineStr">
        <is>
          <t>Mercado Pago</t>
        </is>
      </c>
      <c r="G17" s="17" t="inlineStr">
        <is>
          <t>Personal flow · resumen MP</t>
        </is>
      </c>
    </row>
    <row r="18">
      <c r="A18" s="16" t="n">
        <v>46122</v>
      </c>
      <c r="B18" s="17" t="inlineStr">
        <is>
          <t>SERVICIOS</t>
        </is>
      </c>
      <c r="C18" s="17" t="inlineStr">
        <is>
          <t>TV CABLE-INTERNET</t>
        </is>
      </c>
      <c r="D18" s="17" t="inlineStr">
        <is>
          <t>Personal — Pago directo</t>
        </is>
      </c>
      <c r="E18" s="17" t="n">
        <v>101114</v>
      </c>
      <c r="F18" s="17" t="inlineStr">
        <is>
          <t>Mercado Pago</t>
        </is>
      </c>
      <c r="G18" s="17" t="inlineStr">
        <is>
          <t>resumen MP</t>
        </is>
      </c>
    </row>
    <row r="19">
      <c r="A19" s="16" t="n">
        <v>46154</v>
      </c>
      <c r="B19" s="17" t="inlineStr">
        <is>
          <t>SERVICIOS</t>
        </is>
      </c>
      <c r="C19" s="17" t="inlineStr">
        <is>
          <t>TV CABLE-INTERNET</t>
        </is>
      </c>
      <c r="D19" s="17" t="inlineStr">
        <is>
          <t>Personal — Pago directo</t>
        </is>
      </c>
      <c r="E19" s="17" t="n">
        <v>53245</v>
      </c>
      <c r="F19" s="17" t="inlineStr">
        <is>
          <t>Mercado Pago</t>
        </is>
      </c>
      <c r="G19" s="17" t="inlineStr">
        <is>
          <t>resumen MP</t>
        </is>
      </c>
    </row>
    <row r="20">
      <c r="A20" s="16" t="n">
        <v>46184</v>
      </c>
      <c r="B20" s="17" t="inlineStr">
        <is>
          <t>SERVICIOS</t>
        </is>
      </c>
      <c r="C20" s="17" t="inlineStr">
        <is>
          <t>TV CABLE-INTERNET</t>
        </is>
      </c>
      <c r="D20" s="17" t="inlineStr">
        <is>
          <t>Personal — Pago directo</t>
        </is>
      </c>
      <c r="E20" s="17" t="n">
        <v>55106</v>
      </c>
      <c r="F20" s="17" t="inlineStr">
        <is>
          <t>Mercado Pago</t>
        </is>
      </c>
      <c r="G20" s="17" t="inlineStr">
        <is>
          <t>resumen MP</t>
        </is>
      </c>
    </row>
    <row r="21">
      <c r="A21" s="16" t="n">
        <v>46217</v>
      </c>
      <c r="B21" s="17" t="inlineStr">
        <is>
          <t>SERVICIOS</t>
        </is>
      </c>
      <c r="C21" s="17" t="inlineStr">
        <is>
          <t>TV CABLE-INTERNET</t>
        </is>
      </c>
      <c r="D21" s="17" t="inlineStr">
        <is>
          <t>Personal — Pago directo</t>
        </is>
      </c>
      <c r="E21" s="17" t="n">
        <v>56200</v>
      </c>
      <c r="F21" s="17" t="inlineStr">
        <is>
          <t>Mercado Pago</t>
        </is>
      </c>
      <c r="G21" s="17" t="inlineStr">
        <is>
          <t>resumen MP</t>
        </is>
      </c>
    </row>
    <row r="22">
      <c r="A22" s="16" t="n">
        <v>46031</v>
      </c>
      <c r="B22" s="17" t="inlineStr">
        <is>
          <t>SERVICIOS</t>
        </is>
      </c>
      <c r="C22" s="17" t="inlineStr">
        <is>
          <t>EXPENSAS</t>
        </is>
      </c>
      <c r="D22" s="17" t="inlineStr">
        <is>
          <t>Expensas OHIGGINS 2219 piso 8 · enero</t>
        </is>
      </c>
      <c r="E22" s="17" t="n">
        <v>376564</v>
      </c>
      <c r="F22" s="17" t="inlineStr">
        <is>
          <t>Mercado Pago — Consorcio De Copropi</t>
        </is>
      </c>
      <c r="G22" s="17" t="inlineStr">
        <is>
          <t>Kalmus</t>
        </is>
      </c>
    </row>
    <row r="23">
      <c r="A23" s="16" t="n">
        <v>46059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febrero</t>
        </is>
      </c>
      <c r="E23" s="17" t="n">
        <v>395551</v>
      </c>
      <c r="F23" s="17" t="inlineStr">
        <is>
          <t>Mercado Pago — Consorcio De Copropi</t>
        </is>
      </c>
      <c r="G23" s="17" t="inlineStr">
        <is>
          <t>Kalmus</t>
        </is>
      </c>
    </row>
    <row r="24">
      <c r="A24" s="16" t="n">
        <v>46091</v>
      </c>
      <c r="B24" s="17" t="inlineStr">
        <is>
          <t>SERVICIOS</t>
        </is>
      </c>
      <c r="C24" s="17" t="inlineStr">
        <is>
          <t>EXPENSAS</t>
        </is>
      </c>
      <c r="D24" s="17" t="inlineStr">
        <is>
          <t>Expensas OHIGGINS 2219 piso 8 · marzo</t>
        </is>
      </c>
      <c r="E24" s="17" t="n">
        <v>402934</v>
      </c>
      <c r="F24" s="17" t="inlineStr">
        <is>
          <t>Mercado Pago — Consorcio De Copropi</t>
        </is>
      </c>
      <c r="G24" s="17" t="inlineStr">
        <is>
          <t>Kalmus</t>
        </is>
      </c>
    </row>
    <row r="25">
      <c r="A25" s="16" t="n">
        <v>46120</v>
      </c>
      <c r="B25" s="17" t="inlineStr">
        <is>
          <t>SERVICIOS</t>
        </is>
      </c>
      <c r="C25" s="17" t="inlineStr">
        <is>
          <t>EXPENSAS</t>
        </is>
      </c>
      <c r="D25" s="17" t="inlineStr">
        <is>
          <t>Expensas OHIGGINS 2219 piso 8 · abril</t>
        </is>
      </c>
      <c r="E25" s="17" t="n">
        <v>570841</v>
      </c>
      <c r="F25" s="17" t="inlineStr">
        <is>
          <t>Banco — Transferencia</t>
        </is>
      </c>
      <c r="G25" s="17" t="inlineStr">
        <is>
          <t>Gmail Sent 8-abr</t>
        </is>
      </c>
    </row>
    <row r="26">
      <c r="A26" s="16" t="n">
        <v>46183</v>
      </c>
      <c r="B26" s="17" t="inlineStr">
        <is>
          <t>SERVICIOS</t>
        </is>
      </c>
      <c r="C26" s="17" t="inlineStr">
        <is>
          <t>EXPENSAS</t>
        </is>
      </c>
      <c r="D26" s="17" t="inlineStr">
        <is>
          <t>Expensas OHIGGINS 2219 piso 8 · mayo (pago 10-jun)</t>
        </is>
      </c>
      <c r="E26" s="17" t="n">
        <v>666347</v>
      </c>
      <c r="F26" s="17" t="inlineStr">
        <is>
          <t>Mercado Pago — Consorcio De Copropi</t>
        </is>
      </c>
      <c r="G26" s="17" t="inlineStr">
        <is>
          <t>Gmail Sent</t>
        </is>
      </c>
    </row>
    <row r="27">
      <c r="A27" s="16" t="n">
        <v>46212</v>
      </c>
      <c r="B27" s="17" t="inlineStr">
        <is>
          <t>SERVICIOS</t>
        </is>
      </c>
      <c r="C27" s="17" t="inlineStr">
        <is>
          <t>EXPENSAS</t>
        </is>
      </c>
      <c r="D27" s="17" t="inlineStr">
        <is>
          <t>Expensas OHIGGINS 2219 piso 8 · junio (pago 9-jul)</t>
        </is>
      </c>
      <c r="E27" s="17" t="n">
        <v>829490</v>
      </c>
      <c r="F27" s="17" t="inlineStr">
        <is>
          <t>Mercado Pago — Consorcio De Copropi</t>
        </is>
      </c>
      <c r="G27" s="17" t="inlineStr">
        <is>
          <t>Gmail Sent</t>
        </is>
      </c>
    </row>
    <row r="28">
      <c r="A28" s="18" t="n">
        <v>46244</v>
      </c>
      <c r="B28" t="inlineStr">
        <is>
          <t>SERVICIOS</t>
        </is>
      </c>
      <c r="C28" t="inlineStr">
        <is>
          <t>EXPENSAS</t>
        </is>
      </c>
      <c r="D28" t="inlineStr">
        <is>
          <t>Expensas OHIGGINS 2219 piso 8 · julio (pago 10-ago)</t>
        </is>
      </c>
      <c r="E28" t="n">
        <v>907569</v>
      </c>
      <c r="F28" t="inlineStr">
        <is>
          <t>Mercado Pago — Consorcio De Copropi</t>
        </is>
      </c>
      <c r="G28" t="inlineStr">
        <is>
          <t>Kalmus · Gmail Sent · recibo $907.568,08</t>
        </is>
      </c>
    </row>
    <row r="29">
      <c r="A29" s="18" t="n">
        <v>46276</v>
      </c>
      <c r="B29" t="inlineStr">
        <is>
          <t>SERVICIOS</t>
        </is>
      </c>
      <c r="C29" t="inlineStr">
        <is>
          <t>EXPENSAS</t>
        </is>
      </c>
      <c r="D29" t="inlineStr">
        <is>
          <t>Expensas OHIGGINS 2219 piso 8 · agosto (pago 11-sep)</t>
        </is>
      </c>
      <c r="E29" t="n">
        <v>722979</v>
      </c>
      <c r="F29" t="inlineStr">
        <is>
          <t>Mercado Pago — Consorcio De Copropi</t>
        </is>
      </c>
      <c r="G29" t="inlineStr">
        <is>
          <t>Kalmus · Gmail Sent · MP $722.978,08 · Galicia</t>
        </is>
      </c>
    </row>
    <row r="30">
      <c r="A30" s="18" t="n">
        <v>46274</v>
      </c>
      <c r="B30" t="inlineStr">
        <is>
          <t>SERVICIOS</t>
        </is>
      </c>
      <c r="C30" t="inlineStr">
        <is>
          <t>LUZ</t>
        </is>
      </c>
      <c r="D30" t="inlineStr">
        <is>
          <t>Edenor — Marta Chagas · cobro BBVA 09/09/2026</t>
        </is>
      </c>
      <c r="E30" t="n">
        <v>18236</v>
      </c>
      <c r="F30" t="inlineStr">
        <is>
          <t>Débito BBVA Visa 3200</t>
        </is>
      </c>
      <c r="G30" t="inlineStr">
        <is>
          <t>cuenta 9267222037</t>
        </is>
      </c>
    </row>
    <row r="31">
      <c r="A31" s="16" t="n">
        <v>46244</v>
      </c>
      <c r="B31" s="17" t="inlineStr">
        <is>
          <t>SERVICIOS</t>
        </is>
      </c>
      <c r="C31" s="17" t="inlineStr">
        <is>
          <t>GAS</t>
        </is>
      </c>
      <c r="D31" s="17" t="inlineStr">
        <is>
          <t>Metrogas — INVALMAR SRL · O'Higgins 2225 · venc. 10/08/2026</t>
        </is>
      </c>
      <c r="E31" s="17" t="n">
        <v>5209</v>
      </c>
      <c r="F31" s="17" t="inlineStr">
        <is>
          <t>Factura Gmail Metrogas · sin pago MP aún</t>
        </is>
      </c>
      <c r="G31" s="17" t="inlineStr">
        <is>
          <t>10139236800 · medidor 8683287 · emisión 30/07 · período 02/06–01/07 · Débito NO</t>
        </is>
      </c>
    </row>
    <row r="32">
      <c r="A32" s="16" t="n">
        <v>46279</v>
      </c>
      <c r="B32" s="17" t="inlineStr">
        <is>
          <t>SERVICIOS</t>
        </is>
      </c>
      <c r="C32" s="17" t="inlineStr">
        <is>
          <t>GAS</t>
        </is>
      </c>
      <c r="D32" s="17" t="inlineStr">
        <is>
          <t>Metrogas — INVALMAR SRL · O'Higgins 2225 · venc. 14/09/2026</t>
        </is>
      </c>
      <c r="E32" s="17" t="n">
        <v>5582</v>
      </c>
      <c r="F32" s="17" t="inlineStr">
        <is>
          <t>Factura Gmail Metrogas · sin pago MP aún</t>
        </is>
      </c>
      <c r="G32" s="17" t="inlineStr">
        <is>
          <t>10139236800 · medidor 8683287 · emisión 02/09 · período 02/07–30/07 · Débito NO · PENDIENTE pago</t>
        </is>
      </c>
    </row>
    <row r="33">
      <c r="A33" s="16" t="n">
        <v>46308</v>
      </c>
      <c r="B33" s="17" t="inlineStr">
        <is>
          <t>SERVICIOS</t>
        </is>
      </c>
      <c r="C33" s="17" t="inlineStr">
        <is>
          <t>GAS</t>
        </is>
      </c>
      <c r="D33" s="17" t="inlineStr">
        <is>
          <t>Metrogas — INVALMAR SRL · O'Higgins 2225 · venc. 13/10/2026</t>
        </is>
      </c>
      <c r="E33" s="17" t="n">
        <v>5589</v>
      </c>
      <c r="F33" s="17" t="inlineStr">
        <is>
          <t>Factura Gmail Metrogas · sin pago MP aún</t>
        </is>
      </c>
      <c r="G33" s="17" t="inlineStr">
        <is>
          <t>10139236800 · medidor 8683287 · emisión 30/09 · período 31/07–31/08 · Débito NO · PENDIENTE pago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2026-10-07T23:00:34Z</dcterms:modified>
</cp:coreProperties>
</file>